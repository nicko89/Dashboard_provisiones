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ecowrapscol.sharepoint.com/sites/AccountsReceivables/Shared Documents/General/USA/HammerHead/Informes de cierre USA/Provisión/Provision Power BI/"/>
    </mc:Choice>
  </mc:AlternateContent>
  <xr:revisionPtr revIDLastSave="282" documentId="13_ncr:1_{BD58E5F2-88D8-43D4-9C4B-BD9DBBE835DA}" xr6:coauthVersionLast="47" xr6:coauthVersionMax="47" xr10:uidLastSave="{3C55A8AA-3DAC-4BA0-908A-1B05979CCB14}"/>
  <bookViews>
    <workbookView xWindow="-120" yWindow="-120" windowWidth="38640" windowHeight="21120" activeTab="1" xr2:uid="{5C54177A-EFD2-4507-B932-8B2EC13D9A04}"/>
  </bookViews>
  <sheets>
    <sheet name="Clientes" sheetId="1" r:id="rId1"/>
    <sheet name="Write off" sheetId="12" r:id="rId2"/>
    <sheet name="Indicadores Modelo Nuevo" sheetId="10" r:id="rId3"/>
    <sheet name="Hoja1" sheetId="11" r:id="rId4"/>
  </sheets>
  <definedNames>
    <definedName name="_xlnm._FilterDatabase" localSheetId="0" hidden="1">Clientes!$A$1:$J$6111</definedName>
    <definedName name="_xlnm._FilterDatabase" localSheetId="3" hidden="1">Hoja1!$A$1:$C$6191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2" l="1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2" i="12"/>
  <c r="J6112" i="1" l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B4729" i="1" l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B4471" i="1" l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2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 l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273" i="1" l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2916" i="1" l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2915" i="1"/>
  <c r="G16" i="10" l="1"/>
  <c r="D16" i="10"/>
  <c r="C16" i="10"/>
  <c r="F15" i="10"/>
  <c r="F16" i="10" s="1"/>
  <c r="E15" i="10"/>
  <c r="E16" i="10" s="1"/>
  <c r="D15" i="10"/>
  <c r="C15" i="10"/>
  <c r="G8" i="10"/>
  <c r="F8" i="10"/>
  <c r="E8" i="10"/>
  <c r="E7" i="10"/>
  <c r="D7" i="10"/>
  <c r="D8" i="10" s="1"/>
  <c r="C7" i="10"/>
  <c r="C8" i="10" s="1"/>
  <c r="J2642" i="1" l="1"/>
  <c r="J2666" i="1"/>
  <c r="J2678" i="1"/>
  <c r="J2690" i="1"/>
  <c r="J2702" i="1"/>
  <c r="J2714" i="1"/>
  <c r="J2726" i="1"/>
  <c r="J2738" i="1"/>
  <c r="J2750" i="1"/>
  <c r="J2762" i="1"/>
  <c r="J2774" i="1"/>
  <c r="J2786" i="1"/>
  <c r="J2808" i="1"/>
  <c r="J2810" i="1"/>
  <c r="J2820" i="1"/>
  <c r="J2822" i="1"/>
  <c r="J2834" i="1"/>
  <c r="J2844" i="1"/>
  <c r="J2846" i="1"/>
  <c r="J2858" i="1"/>
  <c r="J2867" i="1"/>
  <c r="J2868" i="1"/>
  <c r="J2870" i="1"/>
  <c r="J2873" i="1"/>
  <c r="J2874" i="1"/>
  <c r="J2876" i="1"/>
  <c r="J2880" i="1"/>
  <c r="J2882" i="1"/>
  <c r="J2886" i="1"/>
  <c r="J2892" i="1"/>
  <c r="J2894" i="1"/>
  <c r="J2897" i="1"/>
  <c r="J2898" i="1"/>
  <c r="J2899" i="1"/>
  <c r="J2900" i="1"/>
  <c r="J2903" i="1"/>
  <c r="J2906" i="1"/>
  <c r="J2912" i="1"/>
  <c r="J2618" i="1"/>
  <c r="J2630" i="1"/>
  <c r="J2654" i="1"/>
  <c r="J2798" i="1"/>
  <c r="J2884" i="1"/>
  <c r="J2888" i="1"/>
  <c r="J2896" i="1"/>
  <c r="J2908" i="1"/>
  <c r="J2619" i="1"/>
  <c r="J2620" i="1"/>
  <c r="J2621" i="1"/>
  <c r="J2622" i="1"/>
  <c r="J2623" i="1"/>
  <c r="J2624" i="1"/>
  <c r="J2625" i="1"/>
  <c r="J2626" i="1"/>
  <c r="J2627" i="1"/>
  <c r="J2628" i="1"/>
  <c r="J2629" i="1"/>
  <c r="J2631" i="1"/>
  <c r="J2632" i="1"/>
  <c r="J2633" i="1"/>
  <c r="J2634" i="1"/>
  <c r="J2635" i="1"/>
  <c r="J2636" i="1"/>
  <c r="J2637" i="1"/>
  <c r="J2638" i="1"/>
  <c r="J2639" i="1"/>
  <c r="J2640" i="1"/>
  <c r="J2641" i="1"/>
  <c r="J2643" i="1"/>
  <c r="J2644" i="1"/>
  <c r="J2645" i="1"/>
  <c r="J2646" i="1"/>
  <c r="J2647" i="1"/>
  <c r="J2648" i="1"/>
  <c r="J2649" i="1"/>
  <c r="J2650" i="1"/>
  <c r="J2651" i="1"/>
  <c r="J2652" i="1"/>
  <c r="J2653" i="1"/>
  <c r="J2655" i="1"/>
  <c r="J2656" i="1"/>
  <c r="J2657" i="1"/>
  <c r="J2658" i="1"/>
  <c r="J2659" i="1"/>
  <c r="J2660" i="1"/>
  <c r="J2661" i="1"/>
  <c r="J2662" i="1"/>
  <c r="J2663" i="1"/>
  <c r="J2664" i="1"/>
  <c r="J2665" i="1"/>
  <c r="J2667" i="1"/>
  <c r="J2668" i="1"/>
  <c r="J2669" i="1"/>
  <c r="J2670" i="1"/>
  <c r="J2671" i="1"/>
  <c r="J2672" i="1"/>
  <c r="J2673" i="1"/>
  <c r="J2674" i="1"/>
  <c r="J2675" i="1"/>
  <c r="J2676" i="1"/>
  <c r="J2677" i="1"/>
  <c r="J2679" i="1"/>
  <c r="J2680" i="1"/>
  <c r="J2681" i="1"/>
  <c r="J2682" i="1"/>
  <c r="J2683" i="1"/>
  <c r="J2684" i="1"/>
  <c r="J2685" i="1"/>
  <c r="J2686" i="1"/>
  <c r="J2687" i="1"/>
  <c r="J2688" i="1"/>
  <c r="J2689" i="1"/>
  <c r="J2691" i="1"/>
  <c r="J2692" i="1"/>
  <c r="J2693" i="1"/>
  <c r="J2694" i="1"/>
  <c r="J2695" i="1"/>
  <c r="J2696" i="1"/>
  <c r="J2697" i="1"/>
  <c r="J2698" i="1"/>
  <c r="J2699" i="1"/>
  <c r="J2700" i="1"/>
  <c r="J2701" i="1"/>
  <c r="J2703" i="1"/>
  <c r="J2704" i="1"/>
  <c r="J2705" i="1"/>
  <c r="J2706" i="1"/>
  <c r="J2707" i="1"/>
  <c r="J2708" i="1"/>
  <c r="J2709" i="1"/>
  <c r="J2710" i="1"/>
  <c r="J2711" i="1"/>
  <c r="J2712" i="1"/>
  <c r="J2713" i="1"/>
  <c r="J2715" i="1"/>
  <c r="J2716" i="1"/>
  <c r="J2717" i="1"/>
  <c r="J2718" i="1"/>
  <c r="J2719" i="1"/>
  <c r="J2720" i="1"/>
  <c r="J2721" i="1"/>
  <c r="J2722" i="1"/>
  <c r="J2723" i="1"/>
  <c r="J2724" i="1"/>
  <c r="J2725" i="1"/>
  <c r="J2727" i="1"/>
  <c r="J2728" i="1"/>
  <c r="J2729" i="1"/>
  <c r="J2730" i="1"/>
  <c r="J2731" i="1"/>
  <c r="J2732" i="1"/>
  <c r="J2733" i="1"/>
  <c r="J2734" i="1"/>
  <c r="J2735" i="1"/>
  <c r="J2736" i="1"/>
  <c r="J2737" i="1"/>
  <c r="J2739" i="1"/>
  <c r="J2740" i="1"/>
  <c r="J2741" i="1"/>
  <c r="J2742" i="1"/>
  <c r="J2743" i="1"/>
  <c r="J2744" i="1"/>
  <c r="J2745" i="1"/>
  <c r="J2746" i="1"/>
  <c r="J2747" i="1"/>
  <c r="J2748" i="1"/>
  <c r="J2749" i="1"/>
  <c r="J2751" i="1"/>
  <c r="J2752" i="1"/>
  <c r="J2753" i="1"/>
  <c r="J2754" i="1"/>
  <c r="J2755" i="1"/>
  <c r="J2756" i="1"/>
  <c r="J2757" i="1"/>
  <c r="J2758" i="1"/>
  <c r="J2759" i="1"/>
  <c r="J2760" i="1"/>
  <c r="J2761" i="1"/>
  <c r="J2763" i="1"/>
  <c r="J2764" i="1"/>
  <c r="J2765" i="1"/>
  <c r="J2766" i="1"/>
  <c r="J2767" i="1"/>
  <c r="J2768" i="1"/>
  <c r="J2769" i="1"/>
  <c r="J2770" i="1"/>
  <c r="J2771" i="1"/>
  <c r="J2772" i="1"/>
  <c r="J2773" i="1"/>
  <c r="J2775" i="1"/>
  <c r="J2776" i="1"/>
  <c r="J2777" i="1"/>
  <c r="J2778" i="1"/>
  <c r="J2779" i="1"/>
  <c r="J2780" i="1"/>
  <c r="J2781" i="1"/>
  <c r="J2782" i="1"/>
  <c r="J2783" i="1"/>
  <c r="J2784" i="1"/>
  <c r="J2785" i="1"/>
  <c r="J2787" i="1"/>
  <c r="J2788" i="1"/>
  <c r="J2789" i="1"/>
  <c r="J2790" i="1"/>
  <c r="J2791" i="1"/>
  <c r="J2792" i="1"/>
  <c r="J2793" i="1"/>
  <c r="J2794" i="1"/>
  <c r="J2795" i="1"/>
  <c r="J2796" i="1"/>
  <c r="J2797" i="1"/>
  <c r="J2799" i="1"/>
  <c r="J2800" i="1"/>
  <c r="J2801" i="1"/>
  <c r="J2802" i="1"/>
  <c r="J2803" i="1"/>
  <c r="J2804" i="1"/>
  <c r="J2805" i="1"/>
  <c r="J2806" i="1"/>
  <c r="J2807" i="1"/>
  <c r="J2809" i="1"/>
  <c r="J2811" i="1"/>
  <c r="J2812" i="1"/>
  <c r="J2813" i="1"/>
  <c r="J2814" i="1"/>
  <c r="J2815" i="1"/>
  <c r="J2816" i="1"/>
  <c r="J2817" i="1"/>
  <c r="J2818" i="1"/>
  <c r="J2819" i="1"/>
  <c r="J2821" i="1"/>
  <c r="J2823" i="1"/>
  <c r="J2824" i="1"/>
  <c r="J2825" i="1"/>
  <c r="J2826" i="1"/>
  <c r="J2827" i="1"/>
  <c r="J2828" i="1"/>
  <c r="J2829" i="1"/>
  <c r="J2830" i="1"/>
  <c r="J2831" i="1"/>
  <c r="J2832" i="1"/>
  <c r="J2833" i="1"/>
  <c r="J2835" i="1"/>
  <c r="J2836" i="1"/>
  <c r="J2837" i="1"/>
  <c r="J2838" i="1"/>
  <c r="J2839" i="1"/>
  <c r="J2840" i="1"/>
  <c r="J2841" i="1"/>
  <c r="J2842" i="1"/>
  <c r="J2843" i="1"/>
  <c r="J2845" i="1"/>
  <c r="J2847" i="1"/>
  <c r="J2848" i="1"/>
  <c r="J2849" i="1"/>
  <c r="J2850" i="1"/>
  <c r="J2851" i="1"/>
  <c r="J2852" i="1"/>
  <c r="J2853" i="1"/>
  <c r="J2854" i="1"/>
  <c r="J2855" i="1"/>
  <c r="J2856" i="1"/>
  <c r="J2857" i="1"/>
  <c r="J2859" i="1"/>
  <c r="J2860" i="1"/>
  <c r="J2861" i="1"/>
  <c r="J2862" i="1"/>
  <c r="J2863" i="1"/>
  <c r="J2864" i="1"/>
  <c r="J2865" i="1"/>
  <c r="J2866" i="1"/>
  <c r="J2869" i="1"/>
  <c r="J2871" i="1"/>
  <c r="J2872" i="1"/>
  <c r="J2875" i="1"/>
  <c r="J2877" i="1"/>
  <c r="J2878" i="1"/>
  <c r="J2879" i="1"/>
  <c r="J2881" i="1"/>
  <c r="J2883" i="1"/>
  <c r="J2885" i="1"/>
  <c r="J2887" i="1"/>
  <c r="J2889" i="1"/>
  <c r="J2890" i="1"/>
  <c r="J2891" i="1"/>
  <c r="J2893" i="1"/>
  <c r="J2895" i="1"/>
  <c r="J2901" i="1"/>
  <c r="J2902" i="1"/>
  <c r="J2904" i="1"/>
  <c r="J2905" i="1"/>
  <c r="J2907" i="1"/>
  <c r="J2909" i="1"/>
  <c r="J2910" i="1"/>
  <c r="J2911" i="1"/>
  <c r="J2913" i="1"/>
  <c r="J29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DE61F6-2C02-4954-B185-10D19437D05A}" keepAlive="1" name="Consulta - DIC -2021" description="Conexión a la consulta 'DIC -2021' en el libro." type="5" refreshedVersion="0" background="1">
    <dbPr connection="Provider=Microsoft.Mashup.OleDb.1;Data Source=$Workbook$;Location=&quot;DIC -2021&quot;;Extended Properties=&quot;&quot;" command="SELECT * FROM [DIC -2021]"/>
  </connection>
  <connection id="2" xr16:uid="{252DD4FA-C613-4E83-B14E-31FB46154E05}" keepAlive="1" name="Consulta - P de Cartera Dic Ajuste Jewel" description="Conexión a la consulta 'P de Cartera Dic Ajuste Jewel' en el libro." type="5" refreshedVersion="0" background="1">
    <dbPr connection="Provider=Microsoft.Mashup.OleDb.1;Data Source=$Workbook$;Location=&quot;P de Cartera Dic Ajuste Jewel&quot;;Extended Properties=&quot;&quot;" command="SELECT * FROM [P de Cartera Dic Ajuste Jewel]"/>
  </connection>
  <connection id="3" xr16:uid="{7648FDDA-45BB-4C22-BFFA-BCB068D35285}" keepAlive="1" name="Consulta - Provision de Cartera  Mar-2023" description="Conexión a la consulta 'Provision de Cartera  Mar-2023' en el libro." type="5" refreshedVersion="0" background="1">
    <dbPr connection="Provider=Microsoft.Mashup.OleDb.1;Data Source=$Workbook$;Location=&quot;Provision de Cartera  Mar-2023&quot;;Extended Properties=&quot;&quot;" command="SELECT * FROM [Provision de Cartera  Mar-2023]"/>
  </connection>
  <connection id="4" xr16:uid="{DC7A78CA-27BB-4488-A676-1898487A7D40}" keepAlive="1" name="Consulta - Provision de Cartera Abr-2023" description="Conexión a la consulta 'Provision de Cartera Abr-2023' en el libro." type="5" refreshedVersion="0" background="1">
    <dbPr connection="Provider=Microsoft.Mashup.OleDb.1;Data Source=$Workbook$;Location=&quot;Provision de Cartera Abr-2023&quot;;Extended Properties=&quot;&quot;" command="SELECT * FROM [Provision de Cartera Abr-2023]"/>
  </connection>
  <connection id="5" xr16:uid="{AA675F3D-3CF9-46A8-9150-F6955DBF7C63}" keepAlive="1" name="Consulta - Provision de Cartera Abril-22" description="Conexión a la consulta 'Provision de Cartera Abril-22' en el libro." type="5" refreshedVersion="0" background="1">
    <dbPr connection="Provider=Microsoft.Mashup.OleDb.1;Data Source=$Workbook$;Location=&quot;Provision de Cartera Abril-22&quot;;Extended Properties=&quot;&quot;" command="SELECT * FROM [Provision de Cartera Abril-22]"/>
  </connection>
  <connection id="6" xr16:uid="{7412866B-5059-4EE5-8989-783B7E3A34BD}" keepAlive="1" name="Consulta - Provision de Cartera Agosto" description="Conexión a la consulta 'Provision de Cartera Agosto' en el libro." type="5" refreshedVersion="0" background="1">
    <dbPr connection="Provider=Microsoft.Mashup.OleDb.1;Data Source=$Workbook$;Location=&quot;Provision de Cartera Agosto&quot;;Extended Properties=&quot;&quot;" command="SELECT * FROM [Provision de Cartera Agosto]"/>
  </connection>
  <connection id="7" xr16:uid="{B8274A1A-4E89-4D0D-A5FA-5AB769EE8F94}" keepAlive="1" name="Consulta - Provision de Cartera Apr-2024" description="Conexión a la consulta 'Provision de Cartera Apr-2024' en el libro." type="5" refreshedVersion="0" background="1">
    <dbPr connection="Provider=Microsoft.Mashup.OleDb.1;Data Source=$Workbook$;Location=&quot;Provision de Cartera Apr-2024&quot;;Extended Properties=&quot;&quot;" command="SELECT * FROM [Provision de Cartera Apr-2024]"/>
  </connection>
  <connection id="8" xr16:uid="{870064F6-A661-40AF-91B5-28AFA6C353AE}" keepAlive="1" name="Consulta - Provision de Cartera Aug-2024" description="Conexión a la consulta 'Provision de Cartera Aug-2024' en el libro." type="5" refreshedVersion="0" background="1">
    <dbPr connection="Provider=Microsoft.Mashup.OleDb.1;Data Source=$Workbook$;Location=&quot;Provision de Cartera Aug-2024&quot;;Extended Properties=&quot;&quot;" command="SELECT * FROM [Provision de Cartera Aug-2024]"/>
  </connection>
  <connection id="9" xr16:uid="{B258A877-2A80-4272-B670-096763D18ADE}" keepAlive="1" name="Consulta - Provision de Cartera Aug-23" description="Conexión a la consulta 'Provision de Cartera Aug-23' en el libro." type="5" refreshedVersion="0" background="1">
    <dbPr connection="Provider=Microsoft.Mashup.OleDb.1;Data Source=$Workbook$;Location=&quot;Provision de Cartera Aug-23&quot;;Extended Properties=&quot;&quot;" command="SELECT * FROM [Provision de Cartera Aug-23]"/>
  </connection>
  <connection id="10" xr16:uid="{86ED49C7-6BFC-4DB7-B6FA-6A22BADC11AE}" keepAlive="1" name="Consulta - Provision de Cartera Dec-2023" description="Conexión a la consulta 'Provision de Cartera Dec-2023' en el libro." type="5" refreshedVersion="0" background="1">
    <dbPr connection="Provider=Microsoft.Mashup.OleDb.1;Data Source=$Workbook$;Location=&quot;Provision de Cartera Dec-2023&quot;;Extended Properties=&quot;&quot;" command="SELECT * FROM [Provision de Cartera Dec-2023]"/>
  </connection>
  <connection id="11" xr16:uid="{69EB503C-C253-41A1-9D37-EB494E664C85}" keepAlive="1" name="Consulta - Provision de Cartera Dic-21" description="Conexión a la consulta 'Provision de Cartera Dic-21' en el libro." type="5" refreshedVersion="0" background="1">
    <dbPr connection="Provider=Microsoft.Mashup.OleDb.1;Data Source=$Workbook$;Location=&quot;Provision de Cartera Dic-21&quot;;Extended Properties=&quot;&quot;" command="SELECT * FROM [Provision de Cartera Dic-21]"/>
  </connection>
  <connection id="12" xr16:uid="{BE96FA14-B0EA-4B9A-9074-C6777C78F640}" keepAlive="1" name="Consulta - Provision de Cartera Diciembre" description="Conexión a la consulta 'Provision de Cartera Diciembre' en el libro." type="5" refreshedVersion="0" background="1">
    <dbPr connection="Provider=Microsoft.Mashup.OleDb.1;Data Source=$Workbook$;Location=&quot;Provision de Cartera Diciembre&quot;;Extended Properties=&quot;&quot;" command="SELECT * FROM [Provision de Cartera Diciembre]"/>
  </connection>
  <connection id="13" xr16:uid="{293B9FA8-1F39-47CB-A761-4241C681B587}" keepAlive="1" name="Consulta - Provision de Cartera Enero-2023" description="Conexión a la consulta 'Provision de Cartera Enero-2023' en el libro." type="5" refreshedVersion="0" background="1">
    <dbPr connection="Provider=Microsoft.Mashup.OleDb.1;Data Source=$Workbook$;Location=&quot;Provision de Cartera Enero-2023&quot;;Extended Properties=&quot;&quot;" command="SELECT * FROM [Provision de Cartera Enero-2023]"/>
  </connection>
  <connection id="14" xr16:uid="{05F653CF-FCCD-4BD8-9B2D-FA92A3E0E54D}" keepAlive="1" name="Consulta - Provision de Cartera Feb-2023" description="Conexión a la consulta 'Provision de Cartera Feb-2023' en el libro." type="5" refreshedVersion="0" background="1">
    <dbPr connection="Provider=Microsoft.Mashup.OleDb.1;Data Source=$Workbook$;Location=&quot;Provision de Cartera Feb-2023&quot;;Extended Properties=&quot;&quot;" command="SELECT * FROM [Provision de Cartera Feb-2023]"/>
  </connection>
  <connection id="15" xr16:uid="{85AE02CA-6ADA-41A6-A769-2D1B36F90D2D}" keepAlive="1" name="Consulta - Provision de Cartera Feb-2024" description="Conexión a la consulta 'Provision de Cartera Feb-2024' en el libro." type="5" refreshedVersion="0" background="1">
    <dbPr connection="Provider=Microsoft.Mashup.OleDb.1;Data Source=$Workbook$;Location=&quot;Provision de Cartera Feb-2024&quot;;Extended Properties=&quot;&quot;" command="SELECT * FROM [Provision de Cartera Feb-2024]"/>
  </connection>
  <connection id="16" xr16:uid="{0137DCC7-4AFF-4C7F-9A12-35AA2535D1BF}" keepAlive="1" name="Consulta - Provision de Cartera Feb-22" description="Conexión a la consulta 'Provision de Cartera Feb-22' en el libro." type="5" refreshedVersion="0" background="1">
    <dbPr connection="Provider=Microsoft.Mashup.OleDb.1;Data Source=$Workbook$;Location=&quot;Provision de Cartera Feb-22&quot;;Extended Properties=&quot;&quot;" command="SELECT * FROM [Provision de Cartera Feb-22]"/>
  </connection>
  <connection id="17" xr16:uid="{EFAC63FD-1A8F-4969-910D-377619482B8E}" keepAlive="1" name="Consulta - Provision de Cartera Jan-2024" description="Conexión a la consulta 'Provision de Cartera Jan-2024' en el libro." type="5" refreshedVersion="0" background="1">
    <dbPr connection="Provider=Microsoft.Mashup.OleDb.1;Data Source=$Workbook$;Location=&quot;Provision de Cartera Jan-2024&quot;;Extended Properties=&quot;&quot;" command="SELECT * FROM [Provision de Cartera Jan-2024]"/>
  </connection>
  <connection id="18" xr16:uid="{1D962D37-D421-488A-BA63-0459FE653F43}" keepAlive="1" name="Consulta - Provision de Cartera Jan-22" description="Conexión a la consulta 'Provision de Cartera Jan-22' en el libro." type="5" refreshedVersion="0" background="1">
    <dbPr connection="Provider=Microsoft.Mashup.OleDb.1;Data Source=$Workbook$;Location=&quot;Provision de Cartera Jan-22&quot;;Extended Properties=&quot;&quot;" command="SELECT * FROM [Provision de Cartera Jan-22]"/>
  </connection>
  <connection id="19" xr16:uid="{16A1369F-9FE3-4AEE-B8B9-35DB93132DBC}" keepAlive="1" name="Consulta - Provision de Cartera Julio-22" description="Conexión a la consulta 'Provision de Cartera Julio-22' en el libro." type="5" refreshedVersion="0" background="1">
    <dbPr connection="Provider=Microsoft.Mashup.OleDb.1;Data Source=$Workbook$;Location=&quot;Provision de Cartera Julio-22&quot;;Extended Properties=&quot;&quot;" command="SELECT * FROM [Provision de Cartera Julio-22]"/>
  </connection>
  <connection id="20" xr16:uid="{51479786-876B-47C0-8904-EF2AAE7F9E1B}" keepAlive="1" name="Consulta - Provision de Cartera July-2024" description="Conexión a la consulta 'Provision de Cartera July-2024' en el libro." type="5" refreshedVersion="0" background="1">
    <dbPr connection="Provider=Microsoft.Mashup.OleDb.1;Data Source=$Workbook$;Location=&quot;Provision de Cartera July-2024&quot;;Extended Properties=&quot;&quot;" command="SELECT * FROM [Provision de Cartera July-2024]"/>
  </connection>
  <connection id="21" xr16:uid="{76FD6D5D-BF8A-4E41-905C-946BA43CA0E0}" keepAlive="1" name="Consulta - Provision de Cartera July-23" description="Conexión a la consulta 'Provision de Cartera July-23' en el libro." type="5" refreshedVersion="0" background="1">
    <dbPr connection="Provider=Microsoft.Mashup.OleDb.1;Data Source=$Workbook$;Location=&quot;Provision de Cartera July-23&quot;;Extended Properties=&quot;&quot;" command="SELECT * FROM [Provision de Cartera July-23]"/>
  </connection>
  <connection id="22" xr16:uid="{D44163A7-9E64-4A7A-AE9E-C292FF051DFC}" keepAlive="1" name="Consulta - Provision de Cartera Jun-2024" description="Conexión a la consulta 'Provision de Cartera Jun-2024' en el libro." type="5" refreshedVersion="0" background="1">
    <dbPr connection="Provider=Microsoft.Mashup.OleDb.1;Data Source=$Workbook$;Location=&quot;Provision de Cartera Jun-2024&quot;;Extended Properties=&quot;&quot;" command="SELECT * FROM [Provision de Cartera Jun-2024]"/>
  </connection>
  <connection id="23" xr16:uid="{56E96FA5-FEF4-4975-A69C-243679FF5FF2}" keepAlive="1" name="Consulta - Provision de Cartera June-2023" description="Conexión a la consulta 'Provision de Cartera June-2023' en el libro." type="5" refreshedVersion="0" background="1">
    <dbPr connection="Provider=Microsoft.Mashup.OleDb.1;Data Source=$Workbook$;Location=&quot;Provision de Cartera June-2023&quot;;Extended Properties=&quot;&quot;" command="SELECT * FROM [Provision de Cartera June-2023]"/>
  </connection>
  <connection id="24" xr16:uid="{D90FED39-8477-49B0-8B07-E7602BC6301D}" keepAlive="1" name="Consulta - Provision de Cartera Junio-22" description="Conexión a la consulta 'Provision de Cartera Junio-22' en el libro." type="5" refreshedVersion="0" background="1">
    <dbPr connection="Provider=Microsoft.Mashup.OleDb.1;Data Source=$Workbook$;Location=&quot;Provision de Cartera Junio-22&quot;;Extended Properties=&quot;&quot;" command="SELECT * FROM [Provision de Cartera Junio-22]"/>
  </connection>
  <connection id="25" xr16:uid="{C3393AB4-1443-4A18-9C54-94F3BDF83183}" keepAlive="1" name="Consulta - Provision de Cartera Mar-2024" description="Conexión a la consulta 'Provision de Cartera Mar-2024' en el libro." type="5" refreshedVersion="0" background="1">
    <dbPr connection="Provider=Microsoft.Mashup.OleDb.1;Data Source=$Workbook$;Location=&quot;Provision de Cartera Mar-2024&quot;;Extended Properties=&quot;&quot;" command="SELECT * FROM [Provision de Cartera Mar-2024]"/>
  </connection>
  <connection id="26" xr16:uid="{3DC3FF0C-5830-4FF3-9E26-92BCA8CFAFB8}" keepAlive="1" name="Consulta - Provision de Cartera Mar-22" description="Conexión a la consulta 'Provision de Cartera Mar-22' en el libro." type="5" refreshedVersion="0" background="1">
    <dbPr connection="Provider=Microsoft.Mashup.OleDb.1;Data Source=$Workbook$;Location=&quot;Provision de Cartera Mar-22&quot;;Extended Properties=&quot;&quot;" command="SELECT * FROM [Provision de Cartera Mar-22]"/>
  </connection>
  <connection id="27" xr16:uid="{0F088529-5F0D-4746-BCB2-0C07C49E192D}" keepAlive="1" name="Consulta - Provision de Cartera May-2023" description="Conexión a la consulta 'Provision de Cartera May-2023' en el libro." type="5" refreshedVersion="0" background="1">
    <dbPr connection="Provider=Microsoft.Mashup.OleDb.1;Data Source=$Workbook$;Location=&quot;Provision de Cartera May-2023&quot;;Extended Properties=&quot;&quot;" command="SELECT * FROM [Provision de Cartera May-2023]"/>
  </connection>
  <connection id="28" xr16:uid="{2D2D7753-6A70-40A5-B470-78C546A01DA6}" keepAlive="1" name="Consulta - Provision de Cartera May-2024" description="Conexión a la consulta 'Provision de Cartera May-2024' en el libro." type="5" refreshedVersion="0" background="1">
    <dbPr connection="Provider=Microsoft.Mashup.OleDb.1;Data Source=$Workbook$;Location=&quot;Provision de Cartera May-2024&quot;;Extended Properties=&quot;&quot;" command="SELECT * FROM [Provision de Cartera May-2024]"/>
  </connection>
  <connection id="29" xr16:uid="{2E72C50E-A0CA-4AA7-BF98-9FCDA1AC0AE4}" keepAlive="1" name="Consulta - Provision de Cartera Mayo-22" description="Conexión a la consulta 'Provision de Cartera Mayo-22' en el libro." type="5" refreshedVersion="0" background="1">
    <dbPr connection="Provider=Microsoft.Mashup.OleDb.1;Data Source=$Workbook$;Location=&quot;Provision de Cartera Mayo-22&quot;;Extended Properties=&quot;&quot;" command="SELECT * FROM [Provision de Cartera Mayo-22]"/>
  </connection>
  <connection id="30" xr16:uid="{78C41606-441A-4734-985C-A5856E3503EF}" keepAlive="1" name="Consulta - Provision de Cartera Nov-2023" description="Conexión a la consulta 'Provision de Cartera Nov-2023' en el libro." type="5" refreshedVersion="0" background="1">
    <dbPr connection="Provider=Microsoft.Mashup.OleDb.1;Data Source=$Workbook$;Location=&quot;Provision de Cartera Nov-2023&quot;;Extended Properties=&quot;&quot;" command="SELECT * FROM [Provision de Cartera Nov-2023]"/>
  </connection>
  <connection id="31" xr16:uid="{240E7BC9-E9DE-48AE-BD91-7ED6AE02E1DC}" keepAlive="1" name="Consulta - Provision de Cartera Noviembre" description="Conexión a la consulta 'Provision de Cartera Noviembre' en el libro." type="5" refreshedVersion="0" background="1">
    <dbPr connection="Provider=Microsoft.Mashup.OleDb.1;Data Source=$Workbook$;Location=&quot;Provision de Cartera Noviembre&quot;;Extended Properties=&quot;&quot;" command="SELECT * FROM [Provision de Cartera Noviembre]"/>
  </connection>
  <connection id="32" xr16:uid="{F253245F-AC72-42E8-B8CC-E75EA756A0D9}" keepAlive="1" name="Consulta - Provision de Cartera Oct - 2024" description="Conexión a la consulta 'Provision de Cartera Oct - 2024' en el libro." type="5" refreshedVersion="0" background="1">
    <dbPr connection="Provider=Microsoft.Mashup.OleDb.1;Data Source=$Workbook$;Location=&quot;Provision de Cartera Oct - 2024&quot;;Extended Properties=&quot;&quot;" command="SELECT * FROM [Provision de Cartera Oct - 2024]"/>
  </connection>
  <connection id="33" xr16:uid="{DADFFAD3-A80E-447B-AA75-FD110ACA87FB}" keepAlive="1" name="Consulta - Provision de Cartera Oct-23" description="Conexión a la consulta 'Provision de Cartera Oct-23' en el libro." type="5" refreshedVersion="0" background="1">
    <dbPr connection="Provider=Microsoft.Mashup.OleDb.1;Data Source=$Workbook$;Location=&quot;Provision de Cartera Oct-23&quot;;Extended Properties=&quot;&quot;" command="SELECT * FROM [Provision de Cartera Oct-23]"/>
  </connection>
  <connection id="34" xr16:uid="{9748F906-30C0-4721-A186-DCDCB8A0EB1A}" keepAlive="1" name="Consulta - Provision de Cartera Octubre" description="Conexión a la consulta 'Provision de Cartera Octubre' en el libro." type="5" refreshedVersion="0" background="1">
    <dbPr connection="Provider=Microsoft.Mashup.OleDb.1;Data Source=$Workbook$;Location=&quot;Provision de Cartera Octubre&quot;;Extended Properties=&quot;&quot;" command="SELECT * FROM [Provision de Cartera Octubre]"/>
  </connection>
  <connection id="35" xr16:uid="{DB5D904D-F83D-4325-8609-B755C92F8672}" keepAlive="1" name="Consulta - Provision de Cartera Sep-2024" description="Conexión a la consulta 'Provision de Cartera Sep-2024' en el libro." type="5" refreshedVersion="0" background="1">
    <dbPr connection="Provider=Microsoft.Mashup.OleDb.1;Data Source=$Workbook$;Location=&quot;Provision de Cartera Sep-2024&quot;;Extended Properties=&quot;&quot;" command="SELECT * FROM [Provision de Cartera Sep-2024]"/>
  </connection>
  <connection id="36" xr16:uid="{31737B50-0584-4866-B550-C3CE6E5DA9B7}" keepAlive="1" name="Consulta - Provision de Cartera Sept-23" description="Conexión a la consulta 'Provision de Cartera Sept-23' en el libro." type="5" refreshedVersion="0" background="1">
    <dbPr connection="Provider=Microsoft.Mashup.OleDb.1;Data Source=$Workbook$;Location=&quot;Provision de Cartera Sept-23&quot;;Extended Properties=&quot;&quot;" command="SELECT * FROM [Provision de Cartera Sept-23]"/>
  </connection>
  <connection id="37" xr16:uid="{5B1B3657-E092-4906-BF8B-EDC783769C57}" keepAlive="1" name="Consulta - Provision de Cartera Septiembre" description="Conexión a la consulta 'Provision de Cartera Septiembre' en el libro." type="5" refreshedVersion="0" background="1">
    <dbPr connection="Provider=Microsoft.Mashup.OleDb.1;Data Source=$Workbook$;Location=&quot;Provision de Cartera Septiembre&quot;;Extended Properties=&quot;&quot;" command="SELECT * FROM [Provision de Cartera Septiembre]"/>
  </connection>
</connections>
</file>

<file path=xl/sharedStrings.xml><?xml version="1.0" encoding="utf-8"?>
<sst xmlns="http://schemas.openxmlformats.org/spreadsheetml/2006/main" count="20474" uniqueCount="12508">
  <si>
    <t>Fecha</t>
  </si>
  <si>
    <t>Customer</t>
  </si>
  <si>
    <t>Current</t>
  </si>
  <si>
    <t>1 - 90</t>
  </si>
  <si>
    <t>91 - 180</t>
  </si>
  <si>
    <t>181 - 270</t>
  </si>
  <si>
    <t>271-360</t>
  </si>
  <si>
    <t>&gt; 360</t>
  </si>
  <si>
    <t>TOTAL</t>
  </si>
  <si>
    <t>UNFI</t>
  </si>
  <si>
    <t>1-800Flowers.com</t>
  </si>
  <si>
    <t>Ahold USA</t>
  </si>
  <si>
    <t>Albertsons</t>
  </si>
  <si>
    <t>Armstrong Garden Centers, Inc</t>
  </si>
  <si>
    <t>Battlefield</t>
  </si>
  <si>
    <t>BFG SUPPLY COMPANY</t>
  </si>
  <si>
    <t>BUNZL</t>
  </si>
  <si>
    <t>Burnaby Lake Greenhouses</t>
  </si>
  <si>
    <t>CHOATE NURSERY</t>
  </si>
  <si>
    <t>Colony Florist</t>
  </si>
  <si>
    <t>DWF Wholesale Florist-WA</t>
  </si>
  <si>
    <t>Fleurs et Passion Yasmina</t>
  </si>
  <si>
    <t>Flowers By Ruzen, Inc.</t>
  </si>
  <si>
    <t>Fresh Ideas Flower Co.</t>
  </si>
  <si>
    <t>Gelson's Markets</t>
  </si>
  <si>
    <t>Green Circle Growers</t>
  </si>
  <si>
    <t>Harster Greenhouses Inc.</t>
  </si>
  <si>
    <t>HEARTLAND GROWERS, INC.</t>
  </si>
  <si>
    <t>HUMMERT INTERNATIONAL</t>
  </si>
  <si>
    <t>Jewel Foods Stores</t>
  </si>
  <si>
    <t>Kroger</t>
  </si>
  <si>
    <t>MacArthur´s Quality Flowers &amp; Plant</t>
  </si>
  <si>
    <t>Market Street #</t>
  </si>
  <si>
    <t>MIZE FARM &amp; GARDEN SUPPLY, INC.</t>
  </si>
  <si>
    <t>Naturally Simple</t>
  </si>
  <si>
    <t>One Floral (Lakeshore Inc.)</t>
  </si>
  <si>
    <t>Rainbow Greenhouses Inc</t>
  </si>
  <si>
    <t>Reasor's</t>
  </si>
  <si>
    <t>Reasor's #07</t>
  </si>
  <si>
    <t>Reasor's #09</t>
  </si>
  <si>
    <t>Reasor's #14</t>
  </si>
  <si>
    <t>Reasor's #15</t>
  </si>
  <si>
    <t>Reasor's #18</t>
  </si>
  <si>
    <t>Reasor's #20</t>
  </si>
  <si>
    <t>Reasor's #21</t>
  </si>
  <si>
    <t>Reasor's #22</t>
  </si>
  <si>
    <t>ROCKET FARMS</t>
  </si>
  <si>
    <t>Royer's Flowers-</t>
  </si>
  <si>
    <t>Russ's Market</t>
  </si>
  <si>
    <t>Safeway</t>
  </si>
  <si>
    <t>Sam's Club-</t>
  </si>
  <si>
    <t>Savoir Fleur</t>
  </si>
  <si>
    <t>Super Saver #18</t>
  </si>
  <si>
    <t>Supervalu Inc.</t>
  </si>
  <si>
    <t>United Supermarkets</t>
  </si>
  <si>
    <t>Vanderveen Greenhouse</t>
  </si>
  <si>
    <t>Westland Floral Co</t>
  </si>
  <si>
    <t>WIZ OF OZ CORP DBA FLOWERAMA</t>
  </si>
  <si>
    <t>Young's Plant Farm, Inc</t>
  </si>
  <si>
    <t>A FLORAL FANTASIA</t>
  </si>
  <si>
    <t>Abigail Cuahquentzi (abigailc@festive...)</t>
  </si>
  <si>
    <t>Accent Interiorscapes</t>
  </si>
  <si>
    <t>ACORN FARMS</t>
  </si>
  <si>
    <t>Aerial Bouquets</t>
  </si>
  <si>
    <t>Aldershot Greenhouses</t>
  </si>
  <si>
    <t>All Seasons Garden</t>
  </si>
  <si>
    <t>Allen Floral &amp; Gift</t>
  </si>
  <si>
    <t>Allure Farms, Inc.</t>
  </si>
  <si>
    <t>Altman Plants</t>
  </si>
  <si>
    <t>Amanda's Flowers</t>
  </si>
  <si>
    <t>Americana Kingfisher co</t>
  </si>
  <si>
    <t>Amerigo Farms Inc.</t>
  </si>
  <si>
    <t>Amy Hughes (amy.lordslandscaping@yaho...)</t>
  </si>
  <si>
    <t>AMY SURBURG (surburg@mediacombb.net)</t>
  </si>
  <si>
    <t>Amye Jennings (almasflowers@yahoo.com)</t>
  </si>
  <si>
    <t>Andry Tovar de gamez (gbhflowersevent...)</t>
  </si>
  <si>
    <t>Andy Mast Greenhouses</t>
  </si>
  <si>
    <t>Anna Sheehy (annawiddess@gmail.com)</t>
  </si>
  <si>
    <t>ARIS HORTICULTURE-ALVA,FL</t>
  </si>
  <si>
    <t>Art of Flowers</t>
  </si>
  <si>
    <t>Askren &amp; Sons Inc</t>
  </si>
  <si>
    <t>Aurea Sanabria (hello@flowerbodega.com)</t>
  </si>
  <si>
    <t>B D K Marketing Inc</t>
  </si>
  <si>
    <t>BAISCH &amp; SKINNER WHOLESALE FLORAL</t>
  </si>
  <si>
    <t>Bandy Ranch Floral</t>
  </si>
  <si>
    <t>BAP Nursery, Inc.</t>
  </si>
  <si>
    <t>Bay State &amp; Johnson's</t>
  </si>
  <si>
    <t>Bayview Flowers</t>
  </si>
  <si>
    <t>Becky Foust (bfoust2204@gmail.com)</t>
  </si>
  <si>
    <t>Bloom Home and Garden</t>
  </si>
  <si>
    <t>Bloomstar Bouquet</t>
  </si>
  <si>
    <t>Blue Sky Florals, inc</t>
  </si>
  <si>
    <t>Bonnie Plants LLC</t>
  </si>
  <si>
    <t>Bottomley Evergreens Farms</t>
  </si>
  <si>
    <t>Bouquet Collection</t>
  </si>
  <si>
    <t>Brandy Adams (3abcadams@gmail.com)</t>
  </si>
  <si>
    <t>Brightland Farms, Inc.</t>
  </si>
  <si>
    <t>BROUWER'S FLOWERS</t>
  </si>
  <si>
    <t>Bryanna Lenan (bryannalenan@yahoo.com)</t>
  </si>
  <si>
    <t>Bud's Floral Importers, Inc</t>
  </si>
  <si>
    <t>Burton + Burton</t>
  </si>
  <si>
    <t>BWI COMPANIES</t>
  </si>
  <si>
    <t>C&amp;S Wholesale Grocers</t>
  </si>
  <si>
    <t>C.I.G Flowers, Inc</t>
  </si>
  <si>
    <t>Calia Kammer (ashley@sjcw.org)</t>
  </si>
  <si>
    <t>CARLIN SALES CORPORATION</t>
  </si>
  <si>
    <t>Catherine Khieu (catkhieu@gmail.com)</t>
  </si>
  <si>
    <t>Central Botanical Growers</t>
  </si>
  <si>
    <t>CENTRAL FLORIDA BERRIES</t>
  </si>
  <si>
    <t>chelsey wilson (addedtouch918@gmail.com)</t>
  </si>
  <si>
    <t>Chris Greenhouse + Garden Center LLC</t>
  </si>
  <si>
    <t>Christopher Owens (chris@lemontreeflo...)</t>
  </si>
  <si>
    <t>Chun's Nursery Inc.</t>
  </si>
  <si>
    <t>Claudia's Florist</t>
  </si>
  <si>
    <t>Clint Bishop Nursery</t>
  </si>
  <si>
    <t>Club Floral</t>
  </si>
  <si>
    <t>Colonial Florists LTD</t>
  </si>
  <si>
    <t>Color Orchids</t>
  </si>
  <si>
    <t>Colour Republic LLC.</t>
  </si>
  <si>
    <t>Continental Floral Greens</t>
  </si>
  <si>
    <t>Continental Flowers</t>
  </si>
  <si>
    <t>CosMic Plants</t>
  </si>
  <si>
    <t>Costa Farms</t>
  </si>
  <si>
    <t>COURTNEY JENSEN (fortingage@fortingag...)</t>
  </si>
  <si>
    <t>Coweta Greenhouses</t>
  </si>
  <si>
    <t>Cuthbert Greenhouse, Inc.</t>
  </si>
  <si>
    <t>Cynthia James (willisflowersatl@gmail...)</t>
  </si>
  <si>
    <t>Cypress Hill Farms</t>
  </si>
  <si>
    <t>Dan Schantz Greenhouses</t>
  </si>
  <si>
    <t>Debra Spinks (dflowersmore@aol.com)</t>
  </si>
  <si>
    <t>Decowraps Canada ULC</t>
  </si>
  <si>
    <t>Decowraps Colombia SAS</t>
  </si>
  <si>
    <t>Decowraps Comercial S.A.S</t>
  </si>
  <si>
    <t>DECOWRAPS ECUADOR CIA. LTDA</t>
  </si>
  <si>
    <t>Decowraps Europe BV</t>
  </si>
  <si>
    <t>Decowraps Europe Holdings BV</t>
  </si>
  <si>
    <t>Decowraps Inc</t>
  </si>
  <si>
    <t>Degoede Brothers</t>
  </si>
  <si>
    <t>Delaware Valley</t>
  </si>
  <si>
    <t>Delhi Flower &amp; Garden Center</t>
  </si>
  <si>
    <t>Designers Choice</t>
  </si>
  <si>
    <t>Devry Greenhouses Ltd.</t>
  </si>
  <si>
    <t>Dewar Nurseries</t>
  </si>
  <si>
    <t>DeZhenMei Packaging (Hangzhou) Co., Ltd.</t>
  </si>
  <si>
    <t>Diane Andrade (dbsa12@aol.com)</t>
  </si>
  <si>
    <t>DIXIE GREEN</t>
  </si>
  <si>
    <t>Dolly's Florist</t>
  </si>
  <si>
    <t>Dos Gringos</t>
  </si>
  <si>
    <t>Downs Wholesale*</t>
  </si>
  <si>
    <t>Dube's Flower Shop</t>
  </si>
  <si>
    <t>Dutchess Bouquet</t>
  </si>
  <si>
    <t>DW Test- Avalara</t>
  </si>
  <si>
    <t>DWF Wholesale Florist-Denver Corporate</t>
  </si>
  <si>
    <t>DWF Wholesale Florist-Toledo</t>
  </si>
  <si>
    <t>E-commerce Test US</t>
  </si>
  <si>
    <t>Elite Flower Services, Inc.</t>
  </si>
  <si>
    <t>Elizabeth &amp; Alexandra, LLC</t>
  </si>
  <si>
    <t>Ensign The Florist Inc</t>
  </si>
  <si>
    <t>EQR-EQUATOROSES S.A.S</t>
  </si>
  <si>
    <t>ESBENSHADE'S GREENHOUSES</t>
  </si>
  <si>
    <t>Everbloom Growers Inc.</t>
  </si>
  <si>
    <t>Everflora Chicago</t>
  </si>
  <si>
    <t>Evergrace, Inc.</t>
  </si>
  <si>
    <t>Fabulous Blooms</t>
  </si>
  <si>
    <t>Falcon Farms</t>
  </si>
  <si>
    <t>FAMILY FARE #3265</t>
  </si>
  <si>
    <t>fanny montes (fanny_flowersmiami@hotm...)</t>
  </si>
  <si>
    <t>Fantasy Farms</t>
  </si>
  <si>
    <t>Farm Fresh Flowers Inc.</t>
  </si>
  <si>
    <t>Field of Flowers</t>
  </si>
  <si>
    <t>Fifth Street Flower Shop</t>
  </si>
  <si>
    <t>Fleur Detroit</t>
  </si>
  <si>
    <t>Flora Pack</t>
  </si>
  <si>
    <t>FLORAL ACRES</t>
  </si>
  <si>
    <t>FLORAL EXPRESS</t>
  </si>
  <si>
    <t>Floral Sense LLC</t>
  </si>
  <si>
    <t>Floral Supply Syndicate</t>
  </si>
  <si>
    <t>Floranet Inc.</t>
  </si>
  <si>
    <t>Flori-Design Inc.</t>
  </si>
  <si>
    <t>Florist Distributing, Inc</t>
  </si>
  <si>
    <t>Florists Supply LTD</t>
  </si>
  <si>
    <t>Flower Farm Depot</t>
  </si>
  <si>
    <t>Flowers &amp; Festivities</t>
  </si>
  <si>
    <t>Flowers By Impulse-Must perf everthing</t>
  </si>
  <si>
    <t>Flowers Forever-Whitman</t>
  </si>
  <si>
    <t>FOREST LAKE GREENHOUSES</t>
  </si>
  <si>
    <t>Four Flowers (sales@4seasonsflowers.com)</t>
  </si>
  <si>
    <t>Fragrant Orquids of Maui</t>
  </si>
  <si>
    <t>Francis Biddle International, Inc</t>
  </si>
  <si>
    <t>Free State Growers, Inc.</t>
  </si>
  <si>
    <t>Fresca Farms</t>
  </si>
  <si>
    <t>From You Flowers</t>
  </si>
  <si>
    <t>FTD Inc.</t>
  </si>
  <si>
    <t>Galleria Farms</t>
  </si>
  <si>
    <t>GASSAFY WHOLESALE FLORIST</t>
  </si>
  <si>
    <t>Gems Global</t>
  </si>
  <si>
    <t>GEREMIA GREENHOUSE</t>
  </si>
  <si>
    <t>Gertens</t>
  </si>
  <si>
    <t>Giant Eagle</t>
  </si>
  <si>
    <t>Golden State Floral</t>
  </si>
  <si>
    <t>Green Earth Greenhouses</t>
  </si>
  <si>
    <t>Green Oak Florist</t>
  </si>
  <si>
    <t>GVH DISTRIBUTION</t>
  </si>
  <si>
    <t>haley vivenzi-sullivan (june.vvnzi@gm...)</t>
  </si>
  <si>
    <t>HARTMAN'S TOWNE &amp; COUNTRY GREENHOUSE INC</t>
  </si>
  <si>
    <t>HEB Floral</t>
  </si>
  <si>
    <t>Heimos Greenhouses</t>
  </si>
  <si>
    <t>Henry Mast Greenhouses Inc</t>
  </si>
  <si>
    <t>HILLTOP GREENHOUSES</t>
  </si>
  <si>
    <t>Holex USA</t>
  </si>
  <si>
    <t>Homestead Growers Niagara Inc.</t>
  </si>
  <si>
    <t>Hugo's Supermarket #04</t>
  </si>
  <si>
    <t>Hugo's Supermarket #08</t>
  </si>
  <si>
    <t>Hugo's Supermarket #13</t>
  </si>
  <si>
    <t>Hyacinth House Greenery</t>
  </si>
  <si>
    <t>Hy-Vee #1889</t>
  </si>
  <si>
    <t>I &amp; G FARMS</t>
  </si>
  <si>
    <t>In Bloom Flowers</t>
  </si>
  <si>
    <t>Irma Mayo (jorgebarbagdl@aol.com)</t>
  </si>
  <si>
    <t>ISLAND GROWER SUPPLIES</t>
  </si>
  <si>
    <t>Ismene Delgado (ismenedelgado@gmail.com)</t>
  </si>
  <si>
    <t>IVEY GARDENS</t>
  </si>
  <si>
    <t>Jacobson Floral Supply</t>
  </si>
  <si>
    <t>jeff collum (flower.shoppe@icloud.com)</t>
  </si>
  <si>
    <t>JetRam Inc - Online Orders</t>
  </si>
  <si>
    <t>Jetram Products LLC, DBA Flopak</t>
  </si>
  <si>
    <t>Johnston's Quality Flowers</t>
  </si>
  <si>
    <t>Jolo Farms</t>
  </si>
  <si>
    <t>Joseph Davino &amp; Sons</t>
  </si>
  <si>
    <t>Joseph's Nursery</t>
  </si>
  <si>
    <t>Julie Kraus (julie@jewelsfloralstudio...)</t>
  </si>
  <si>
    <t>Kaleidoscope Florist &amp; Designs</t>
  </si>
  <si>
    <t>Karen (karensfloralartistry@gmail.com)</t>
  </si>
  <si>
    <t>Karthauser &amp; Sons, Inc</t>
  </si>
  <si>
    <t>Kathryn Bolhofner (northcreekpres@gma...)</t>
  </si>
  <si>
    <t>Kellen's Florist</t>
  </si>
  <si>
    <t>Kendal North</t>
  </si>
  <si>
    <t>Kenly Lau (invoicing@order.co)</t>
  </si>
  <si>
    <t>Kennicott Brothers Company</t>
  </si>
  <si>
    <t>Key Floral</t>
  </si>
  <si>
    <t>Kim Smith (sugargirls07@sbcglobal.net)</t>
  </si>
  <si>
    <t>KINNEY BONDED WAREHOUSE</t>
  </si>
  <si>
    <t>Kirkwood Florist</t>
  </si>
  <si>
    <t>Klepac Greenhouses, Inc</t>
  </si>
  <si>
    <t>Kurt Weiss Greenhouse</t>
  </si>
  <si>
    <t>LeAnn Robertson (bullymom414@gmail.com)</t>
  </si>
  <si>
    <t>Lee's Flower &amp; Card Shop Inc.</t>
  </si>
  <si>
    <t>LEGACY FLOWERS LLC</t>
  </si>
  <si>
    <t>Len Busch Roses, Inc.</t>
  </si>
  <si>
    <t>Leticia Delgado (leticiadelgado1971@y...)</t>
  </si>
  <si>
    <t>Lifetime Vending</t>
  </si>
  <si>
    <t>Live Trends Design Group, LLC</t>
  </si>
  <si>
    <t>Lynn Eggett &amp; Ass. DBA floralsupply.com</t>
  </si>
  <si>
    <t>MacBeth Farm Interiorscapes NNJ</t>
  </si>
  <si>
    <t>Maciel's Flowers Inc</t>
  </si>
  <si>
    <t>Main Street Florist &amp; Gift - Ridgefield</t>
  </si>
  <si>
    <t>Make Scents Floral Distributors Inc.</t>
  </si>
  <si>
    <t>Maria Flowers</t>
  </si>
  <si>
    <t>Mark Knox Flowers</t>
  </si>
  <si>
    <t>Mary Tuttles Flowers</t>
  </si>
  <si>
    <t>Maxpack</t>
  </si>
  <si>
    <t>mayelin alfonso (maycrazybloom@gmail.com)</t>
  </si>
  <si>
    <t>Mellano &amp; Company-LA</t>
  </si>
  <si>
    <t>Mex y Can</t>
  </si>
  <si>
    <t>Mexican Flower Trading</t>
  </si>
  <si>
    <t>Meyers Fruit Farms Inc.</t>
  </si>
  <si>
    <t>Michele Yang</t>
  </si>
  <si>
    <t>Michelle Hooper (hello@pattiannsflowe...)</t>
  </si>
  <si>
    <t>Mino's Floral Supplies*</t>
  </si>
  <si>
    <t>MITCHELL'S NURSERY &amp; GREENHOUSE</t>
  </si>
  <si>
    <t>Mobi's</t>
  </si>
  <si>
    <t>Mountain States Plants</t>
  </si>
  <si>
    <t>N G Heimos Greenhouse</t>
  </si>
  <si>
    <t>Native Floral Atlanta</t>
  </si>
  <si>
    <t>Native Floral Denver</t>
  </si>
  <si>
    <t>Native Floral Maryland</t>
  </si>
  <si>
    <t>Native Wholesale Detroit</t>
  </si>
  <si>
    <t>NAVY EXCHANGE SERVICE COMMAND</t>
  </si>
  <si>
    <t>Neal Mast &amp; Son Greenhouses</t>
  </si>
  <si>
    <t>NEW PRO CORP</t>
  </si>
  <si>
    <t>Northland Floral Inc</t>
  </si>
  <si>
    <t>Norton's Flowers &amp; Gifts</t>
  </si>
  <si>
    <t>Oliver's Market</t>
  </si>
  <si>
    <t>Orchid Greens</t>
  </si>
  <si>
    <t>Passion Growers</t>
  </si>
  <si>
    <t>Passion Growers West LLC</t>
  </si>
  <si>
    <t>Paulina Lopez (paulpzch@gmail.com)</t>
  </si>
  <si>
    <t>Penn Jersey Paper Co.*</t>
  </si>
  <si>
    <t>PEPPER GREENHOUSES</t>
  </si>
  <si>
    <t>Petals West</t>
  </si>
  <si>
    <t>Pineae Greenhouses, Inc.</t>
  </si>
  <si>
    <t>Pioneer Flower Farms</t>
  </si>
  <si>
    <t>Plant Source, Inc.</t>
  </si>
  <si>
    <t>PLANTAS Y FLORES ORNAMENTALES CABH S.A</t>
  </si>
  <si>
    <t>Pollyanna Brown (fantasticflowersja@g...)</t>
  </si>
  <si>
    <t>Por La Mar Nursery</t>
  </si>
  <si>
    <t>PORTER NURSERIES</t>
  </si>
  <si>
    <t>Potter Inc</t>
  </si>
  <si>
    <t>Prime Source Floral Distributors</t>
  </si>
  <si>
    <t>Priority Flower Express LTD</t>
  </si>
  <si>
    <t>Publix Super Markets, Inc.</t>
  </si>
  <si>
    <t>Pyramid Flowers</t>
  </si>
  <si>
    <t>Quiks Farm Ltd.</t>
  </si>
  <si>
    <t>Rambo Nursery</t>
  </si>
  <si>
    <t>Reasor's #04</t>
  </si>
  <si>
    <t>Reasor's #13</t>
  </si>
  <si>
    <t>Reasor's #19</t>
  </si>
  <si>
    <t>Reasor's #25</t>
  </si>
  <si>
    <t>Red Oak Greenhouse</t>
  </si>
  <si>
    <t>Roxanna Coleman (colemancrew92@yahoo.com)</t>
  </si>
  <si>
    <t>Rufino Hernandez (ggnursery1@aol.com)</t>
  </si>
  <si>
    <t>Russell Florist</t>
  </si>
  <si>
    <t>Russ's Market #07</t>
  </si>
  <si>
    <t>Ruth Hempel (hempel@charter.net)</t>
  </si>
  <si>
    <t>Ryco Packaging</t>
  </si>
  <si>
    <t>S Arthur Peterson, Inc.</t>
  </si>
  <si>
    <t>SANDIA ENTERPRISES</t>
  </si>
  <si>
    <t>Schilling Greenhouses, Inc</t>
  </si>
  <si>
    <t>Schnucks Markets, Inc.</t>
  </si>
  <si>
    <t>Sebrell Smith (sebrell@sebrellsmith.com)</t>
  </si>
  <si>
    <t>Sharon Rooker (irmamathisglenn@gmail.com)</t>
  </si>
  <si>
    <t>Silk &amp; Morgan Blossoms</t>
  </si>
  <si>
    <t>Simply Fresh Flowers, COPR</t>
  </si>
  <si>
    <t>SIM'S POTTERY</t>
  </si>
  <si>
    <t>SMITH PLANT FACTORY INC.</t>
  </si>
  <si>
    <t>South Central Growers</t>
  </si>
  <si>
    <t>Speedling, Inc</t>
  </si>
  <si>
    <t>Spring Valley Gardens Niagara INC</t>
  </si>
  <si>
    <t>STB Properties, LLC</t>
  </si>
  <si>
    <t>stephen Forte (hamptonnursery1@optonl...)</t>
  </si>
  <si>
    <t>Summerhill Market</t>
  </si>
  <si>
    <t>Sun Valley Floral Farms</t>
  </si>
  <si>
    <t>Sunshine Bouquet</t>
  </si>
  <si>
    <t>Super Saver #04</t>
  </si>
  <si>
    <t>Super Saver #28</t>
  </si>
  <si>
    <t>Suplidora de Viveros</t>
  </si>
  <si>
    <t>Susan Appling (appling.susan@yahoo.com)</t>
  </si>
  <si>
    <t>Sutton Ferneries</t>
  </si>
  <si>
    <t>System Corrections</t>
  </si>
  <si>
    <t>Tania Pennaneach (pennaneacht@gmail.com)</t>
  </si>
  <si>
    <t>Terra Greenhouses LTD</t>
  </si>
  <si>
    <t>The Flower Market</t>
  </si>
  <si>
    <t>The Giant Company</t>
  </si>
  <si>
    <t>THE PLANT RANCH</t>
  </si>
  <si>
    <t>The Sill</t>
  </si>
  <si>
    <t>The USA Bouquet Co</t>
  </si>
  <si>
    <t>Threesha Lawrence Nation (unforgettab...)</t>
  </si>
  <si>
    <t>Tin Pack INC</t>
  </si>
  <si>
    <t>Town &amp; Country Markets Inc</t>
  </si>
  <si>
    <t>United Floral Distributors</t>
  </si>
  <si>
    <t>United Floral Inc.</t>
  </si>
  <si>
    <t>Van Hoekelen Greenhouse Inc.</t>
  </si>
  <si>
    <t>Van Wingerden International</t>
  </si>
  <si>
    <t>Vandermeer Greenhouses</t>
  </si>
  <si>
    <t>Varner's Greenhouse, Inc</t>
  </si>
  <si>
    <t>Victoria Nursery Inc.</t>
  </si>
  <si>
    <t>Village Florist</t>
  </si>
  <si>
    <t>Vistaflor E-Commerce USA LLC</t>
  </si>
  <si>
    <t>VIVEROS EL VOLCAN, S.A. DE C.V.</t>
  </si>
  <si>
    <t>Wakefern Food Corp.</t>
  </si>
  <si>
    <t>Walter Knoll Florist</t>
  </si>
  <si>
    <t>WATER LILY CITY AND GIFTS</t>
  </si>
  <si>
    <t>Waterview Farms</t>
  </si>
  <si>
    <t>We Take The Cake</t>
  </si>
  <si>
    <t>Wegmans Food Market</t>
  </si>
  <si>
    <t>Whole Foods Market</t>
  </si>
  <si>
    <t>Wickman's Garden Village</t>
  </si>
  <si>
    <t>Willy's Greenhouses LTD</t>
  </si>
  <si>
    <t>Woodburn Nursery &amp; Azaleas</t>
  </si>
  <si>
    <t>Woodland Nurseries Ltd</t>
  </si>
  <si>
    <t>World Class Flowers</t>
  </si>
  <si>
    <t>Wynn Herndon (dtherndon@cox.net)</t>
  </si>
  <si>
    <t>Yaira Gaspar (edithzarate1926@gmail.com)</t>
  </si>
  <si>
    <t>Zeidler Floral Company Inc</t>
  </si>
  <si>
    <t>Zengel Flowers &amp; Gifts</t>
  </si>
  <si>
    <t>Adrienes Flowers</t>
  </si>
  <si>
    <t>ALEXANDER HAY GREENHOUSES</t>
  </si>
  <si>
    <t>Alight Flower Farm LLC</t>
  </si>
  <si>
    <t>Alissa Futhey (alissa.futhey@gmail.com)</t>
  </si>
  <si>
    <t>Allison Miller (aligator76@yahoo.com)</t>
  </si>
  <si>
    <t>Amy Wasserman (comedyamy@yahoo.com)</t>
  </si>
  <si>
    <t>Ariemma's Garden Center</t>
  </si>
  <si>
    <t>Bergen's Greenhouses, Inc.</t>
  </si>
  <si>
    <t>Blanche Hanohano (teraiefataie@yahoo.fr)</t>
  </si>
  <si>
    <t>Blossoming Creations</t>
  </si>
  <si>
    <t>BLUE MOUNTAIN FARMS</t>
  </si>
  <si>
    <t>Brandiann Garcia Salinas (greetings@e...)</t>
  </si>
  <si>
    <t>Brandon Bougard (bbougard@adaisyaday.biz)</t>
  </si>
  <si>
    <t>California Camellia Gardens</t>
  </si>
  <si>
    <t>Chris Armstrong (chrisdarmstrong77@gm...)</t>
  </si>
  <si>
    <t>Cottage Flowers, Inc</t>
  </si>
  <si>
    <t>David Morris (fiawol@aol.com)</t>
  </si>
  <si>
    <t>Diana Villarmarzo (missdianalv@gmail.com)</t>
  </si>
  <si>
    <t>Eliya Ushkevich (eliyaushkevichhh@gma...)</t>
  </si>
  <si>
    <t>FAMILY FARE #3253</t>
  </si>
  <si>
    <t>FAMILY TREE NURSERY-OVERLAND</t>
  </si>
  <si>
    <t>Flowers by Cindy Inc.</t>
  </si>
  <si>
    <t>Freeman Herbs</t>
  </si>
  <si>
    <t>Fresh Direct Limiited</t>
  </si>
  <si>
    <t>GOODE GREENHOUSES</t>
  </si>
  <si>
    <t>Green Valley Greenhouse, Inc.</t>
  </si>
  <si>
    <t>Hugo's Supermarket #10</t>
  </si>
  <si>
    <t>Jaclyn Edds Konczal (jaclyn@fpfarm.com)</t>
  </si>
  <si>
    <t>Janice Horne (acura89@aol.com)</t>
  </si>
  <si>
    <t>Judith Van Kuren (jpv5323@psu.edu)</t>
  </si>
  <si>
    <t>JULIUS ROEHRS COMPANY</t>
  </si>
  <si>
    <t>lindsay freenomethree (2d@twofurnish.com)</t>
  </si>
  <si>
    <t>Lou Davino Greenhouses</t>
  </si>
  <si>
    <t>Maumee Valley Wholesale.</t>
  </si>
  <si>
    <t>Meyer Nurseries</t>
  </si>
  <si>
    <t>MILMONT GREENHOUSES</t>
  </si>
  <si>
    <t>Missouri Botanical Garden</t>
  </si>
  <si>
    <t>Neya Saucha (n.sauchafloraldesigns@gm...)</t>
  </si>
  <si>
    <t>Nigora Iznurov (dflorals2024@gmail.com)</t>
  </si>
  <si>
    <t>Nina Brahman (ninabrahman@gmail.com)</t>
  </si>
  <si>
    <t>OBRIENS MARKET (bill@obriensmarket.com)</t>
  </si>
  <si>
    <t>Palm Tree Packaging, Inc.</t>
  </si>
  <si>
    <t>Park Greenhouse</t>
  </si>
  <si>
    <t>PINE HILLS NURSERY</t>
  </si>
  <si>
    <t>QUALITY GARDENS</t>
  </si>
  <si>
    <t>Quyen Tran (tvquyen77@gmail.com)</t>
  </si>
  <si>
    <t>Rebecca Priester (becca1607@yahoo.com)</t>
  </si>
  <si>
    <t>Schenck Farm &amp; Greenhouses</t>
  </si>
  <si>
    <t>Southland Greenhouses, Inc</t>
  </si>
  <si>
    <t>Stadium Flowers DBA Cascade Wholesale</t>
  </si>
  <si>
    <t>stefhanie Aleman (stefhanie.aleman@ic...)</t>
  </si>
  <si>
    <t>Sun Bulb Co., Inc.</t>
  </si>
  <si>
    <t>SUNLET NURSERY, INC.</t>
  </si>
  <si>
    <t>Sunshine Grower</t>
  </si>
  <si>
    <t>Susan Park (fancifullgifts@gmail.com)</t>
  </si>
  <si>
    <t>Tami Seaver (bnoirot@faddegons.com)</t>
  </si>
  <si>
    <t>Waldan Gardens</t>
  </si>
  <si>
    <t>Wasserstrom Co.*</t>
  </si>
  <si>
    <t>Westbrook Greenhouses Limited</t>
  </si>
  <si>
    <t>Will Craig (will@thesidewalkgarden.com)</t>
  </si>
  <si>
    <t>4 Seasons Growers Inc.</t>
  </si>
  <si>
    <t>alex colovic (alex@plantasia.com)</t>
  </si>
  <si>
    <t>Alfred Arroyo Ochoa (specialtouchflow...)</t>
  </si>
  <si>
    <t>April Hatchell (help@boonmail.com)</t>
  </si>
  <si>
    <t>Asae Takahashi (asaetakahashi@gmail.com)</t>
  </si>
  <si>
    <t>Berner Farms</t>
  </si>
  <si>
    <t>Bevo Farms, Ltd</t>
  </si>
  <si>
    <t>cathy harrigan (harrigan@maine.rr.com)</t>
  </si>
  <si>
    <t>Devin Johnston (devin@nyffevents.com)</t>
  </si>
  <si>
    <t>DWF Wholesale Florist - Dallas</t>
  </si>
  <si>
    <t>DWF Wholesale Florist - Kansas City</t>
  </si>
  <si>
    <t>DWF Wholesale Florist - Omaha</t>
  </si>
  <si>
    <t>DWF Wholesale Florist - Phoenix</t>
  </si>
  <si>
    <t>DWF Wholesale Florist - Salt Lake City</t>
  </si>
  <si>
    <t>DWF Wholesale Florist - St. Louis</t>
  </si>
  <si>
    <t>DWF Wholesale Florist-Albuquerque</t>
  </si>
  <si>
    <t>DWF Wholesale Florist-Cincinnati</t>
  </si>
  <si>
    <t>DWF Wholesale Florist-Flint</t>
  </si>
  <si>
    <t>DWF Wholesale Florist-Nashville</t>
  </si>
  <si>
    <t>E. S. Sanders (quasinonnaroma@yahoo.com)</t>
  </si>
  <si>
    <t>GARDEN ACRE GROWERS INC</t>
  </si>
  <si>
    <t>Gregor Farm &amp; Greenhouse, Inc.</t>
  </si>
  <si>
    <t>IRWIN GREENHOUSES, INC.</t>
  </si>
  <si>
    <t>J and J Nusery and Garden Center</t>
  </si>
  <si>
    <t>Janet Xique (janetxique@yahoo.com)</t>
  </si>
  <si>
    <t>Jeffery's Greenhouses Inc</t>
  </si>
  <si>
    <t>Jeffery's Greenhouses Plant II Limited</t>
  </si>
  <si>
    <t>KATE MCNAMEE (kcoc178@gmail.com)</t>
  </si>
  <si>
    <t>Kendall Farms</t>
  </si>
  <si>
    <t>KURTZ FARMS, LLC</t>
  </si>
  <si>
    <t>LEXIFLOR INC</t>
  </si>
  <si>
    <t>Maggie Crawford (maggiekyleflorals@gm...)</t>
  </si>
  <si>
    <t>Mary Dore (mayreesflowersandgifts@gma...)</t>
  </si>
  <si>
    <t>Maryland Plants &amp; Supplies, Inc.</t>
  </si>
  <si>
    <t>Michelle Guentner (g.gardens@icloud.com)</t>
  </si>
  <si>
    <t>Mountain View Nursery</t>
  </si>
  <si>
    <t>Oakland Flower Market</t>
  </si>
  <si>
    <t>Orchard Park Growers Ltd</t>
  </si>
  <si>
    <t>PACIFIC PLANT GROWERS</t>
  </si>
  <si>
    <t>Penrods Greenhouse</t>
  </si>
  <si>
    <t>PEPPER CREEK</t>
  </si>
  <si>
    <t>Plantsmart</t>
  </si>
  <si>
    <t>Shannon Gittinger (shannon@whiteoakga...)</t>
  </si>
  <si>
    <t>SUNNY GARDENS, INC.</t>
  </si>
  <si>
    <t>The Garden Factory</t>
  </si>
  <si>
    <t>The Rhoads Garden</t>
  </si>
  <si>
    <t>Underhill Ferneries, Inc</t>
  </si>
  <si>
    <t>Walter's Flowers</t>
  </si>
  <si>
    <t>WYATT QUARLES SEED COMPANY</t>
  </si>
  <si>
    <t>Aleah Edwards (aleah@stjohns-annandal...)</t>
  </si>
  <si>
    <t>Alexa Startz (alexastartz@gmail.com)</t>
  </si>
  <si>
    <t>Anne Winnett (winnettannie@gmail.com)</t>
  </si>
  <si>
    <t>C Boyd (cbtboyd@icloud.com)</t>
  </si>
  <si>
    <t>Cal Coast Orchids</t>
  </si>
  <si>
    <t>Carrie Bunch (wbblossoms@gmail.com)</t>
  </si>
  <si>
    <t>Celeste Stob (celestestob@aol.com)</t>
  </si>
  <si>
    <t>Cherie Weisse (cweisse@searchaba.com)</t>
  </si>
  <si>
    <t>Christina Erwin (cwissner@gmail.com)</t>
  </si>
  <si>
    <t>Debono Greenhouses Limited</t>
  </si>
  <si>
    <t>DWF Wholesale Florist - Boise</t>
  </si>
  <si>
    <t>Ellen Keim (ellenmkeim@gmail.com)</t>
  </si>
  <si>
    <t>Evergreen Plant Company</t>
  </si>
  <si>
    <t>Flores y Diseños</t>
  </si>
  <si>
    <t>Flowers of Charlotte</t>
  </si>
  <si>
    <t>Forget Me Not Flower Shop Inc</t>
  </si>
  <si>
    <t>Giordano's Floral Creations</t>
  </si>
  <si>
    <t>Irenes Floral Design</t>
  </si>
  <si>
    <t>JACKSONVILLE FLOWER MARKET</t>
  </si>
  <si>
    <t>Jill Mead (jillmead2018@gmail.com)</t>
  </si>
  <si>
    <t>Jocelyn Howard (info@limitlessballoon...)</t>
  </si>
  <si>
    <t>Jose A Beltran</t>
  </si>
  <si>
    <t>Kathy B (kathys2ndchance@gmail.com)</t>
  </si>
  <si>
    <t>Kaylee espinoza (espisflowers@outlook...)</t>
  </si>
  <si>
    <t>Kris Bilyeu (kris@tabco.com)</t>
  </si>
  <si>
    <t>Laney Vivo (laneyvivo@yahoo.com)</t>
  </si>
  <si>
    <t>Lauren Clifton (hello@aurorameadowsfa...)</t>
  </si>
  <si>
    <t>Lawren Todd (info@bxcproduce.com)</t>
  </si>
  <si>
    <t>Markita Allen (mariadenise6605@gmail.com)</t>
  </si>
  <si>
    <t>May Crazy Bloom Inc</t>
  </si>
  <si>
    <t>Mayesh Wholesale Florist</t>
  </si>
  <si>
    <t>McCahon Floral</t>
  </si>
  <si>
    <t>Natural Flowers</t>
  </si>
  <si>
    <t>Osbelia Flores (rodrozbel@gmail.com)</t>
  </si>
  <si>
    <t>Plantpeddler</t>
  </si>
  <si>
    <t>Pure Beauty Farms</t>
  </si>
  <si>
    <t>Queens Flowers</t>
  </si>
  <si>
    <t>Rita O'Brien (rrsecretflowers@gmail.com)</t>
  </si>
  <si>
    <t>Sabrina Southerly (sabrina@solowholes...)</t>
  </si>
  <si>
    <t>Sherry Sutton (sherry@chickadeehillsh...)</t>
  </si>
  <si>
    <t>Spectrum Production LLC</t>
  </si>
  <si>
    <t>Sunbelt Greenhouses</t>
  </si>
  <si>
    <t>Super Saver #11</t>
  </si>
  <si>
    <t>Sylvia Leslie (butterflyplace@comcast...)</t>
  </si>
  <si>
    <t>Taylor Bale (taylor.bale@thebouqs.com)</t>
  </si>
  <si>
    <t>TD Greenhouses Ltd.</t>
  </si>
  <si>
    <t>The Bouqs Co</t>
  </si>
  <si>
    <t>Tiger Lily Florist</t>
  </si>
  <si>
    <t>Van Wingerden Greenhouses</t>
  </si>
  <si>
    <t>Vermeer Greenhouses (Welland) Inc.</t>
  </si>
  <si>
    <t>Westerlay Orchids</t>
  </si>
  <si>
    <t>Westland Greenhouses GB</t>
  </si>
  <si>
    <t>YODER'S PRODUCE LTD.</t>
  </si>
  <si>
    <t>Zach Jones (bearded.bouquet@gmail.com)</t>
  </si>
  <si>
    <t>DWF Wholesale Florist</t>
  </si>
  <si>
    <t>Hy-vee</t>
  </si>
  <si>
    <t>Super Saver</t>
  </si>
  <si>
    <t>BELLS NURSERY-AK</t>
  </si>
  <si>
    <t>Christine Conrad (jeffchristineconrad...)</t>
  </si>
  <si>
    <t>Classy Design Florist</t>
  </si>
  <si>
    <t>Dahlias R US</t>
  </si>
  <si>
    <t>Davis Wholesale Florist - Huntsville</t>
  </si>
  <si>
    <t>debbie ellison (thelavfox@gmail.com)</t>
  </si>
  <si>
    <t>Deborah Corrao (hoorays@aol.com)</t>
  </si>
  <si>
    <t>Debra Farquharson (farqwade@msn.com)</t>
  </si>
  <si>
    <t>Der Flower</t>
  </si>
  <si>
    <t>Doug Glomb (chaletfloral@yahoo.com)</t>
  </si>
  <si>
    <t>FAMILY FARE</t>
  </si>
  <si>
    <t>Floral Design LTD</t>
  </si>
  <si>
    <t>Fonotele Sausau (fmyrras@gmail.com)</t>
  </si>
  <si>
    <t>Gregory Floral Inc.</t>
  </si>
  <si>
    <t>Gregory Greenhouses Inc</t>
  </si>
  <si>
    <t>Hilary Hartnett-Wilson (executivedire...)</t>
  </si>
  <si>
    <t>Jacqueline Secor (jackie@secorfarm.com)</t>
  </si>
  <si>
    <t>Janet Woloszyk (mcflower4u@yahoo.com)</t>
  </si>
  <si>
    <t>Jennifer McCann (peeblesflowershop@gm...)</t>
  </si>
  <si>
    <t>KCK Farms LLC</t>
  </si>
  <si>
    <t>Kendal</t>
  </si>
  <si>
    <t>Lisa Hansen (lisahansen1972@gmail.com)</t>
  </si>
  <si>
    <t>Meta Platforms, Inc.</t>
  </si>
  <si>
    <t>Michelle Armbruster (michelle780@msn.com)</t>
  </si>
  <si>
    <t>Milgro</t>
  </si>
  <si>
    <t>Norman Florist</t>
  </si>
  <si>
    <t>P.H. Kuivenhoven Greenhouses Inc.</t>
  </si>
  <si>
    <t>Paradise Flowers Distribution, LLC</t>
  </si>
  <si>
    <t>Pike Nurseries Acquisition, LLC</t>
  </si>
  <si>
    <t>Rachel Bakker (coventrygardensflowers...)</t>
  </si>
  <si>
    <t>Raley's.</t>
  </si>
  <si>
    <t>Tanima Gupta (tanima@gmail.com)</t>
  </si>
  <si>
    <t>Tara Gupton (thefarmersdaughter@thefa...)</t>
  </si>
  <si>
    <t>The Flower Factory*</t>
  </si>
  <si>
    <t>Tony's Wholesale Flowers USD</t>
  </si>
  <si>
    <t>Willow Run Greenhouse</t>
  </si>
  <si>
    <t>Apple Markets #26</t>
  </si>
  <si>
    <t>Barbara Munoz (bmunoz1596@gmail.com)</t>
  </si>
  <si>
    <t>Breigh Jones-Coplin (blackandblossome...)</t>
  </si>
  <si>
    <t>C. Pat Phillips (phillipspat417@gmail...)</t>
  </si>
  <si>
    <t>Ecker's Flowers &amp; Greenhouse</t>
  </si>
  <si>
    <t>Gitaben Patel (scanplayer99@yahoo.com)</t>
  </si>
  <si>
    <t>Juana Adoberg (juana_jalandoni@hotmai...)</t>
  </si>
  <si>
    <t>Kelly Fleming (kfleming@eagleswings.org)</t>
  </si>
  <si>
    <t>Lauren Clarke (lauren@clarkeclan.org)</t>
  </si>
  <si>
    <t>Mainland Floral Distributors</t>
  </si>
  <si>
    <t>mariana lautaru (nicolaslautaru554@gm...)</t>
  </si>
  <si>
    <t>Orange Flower Connect</t>
  </si>
  <si>
    <t>PRIMESCAPE PRODUCTS</t>
  </si>
  <si>
    <t>Rosa Flora Limited</t>
  </si>
  <si>
    <t>Rose Kauffman (crkauffman82@gmail.com)</t>
  </si>
  <si>
    <t>TELLY'S GREENHOUSE</t>
  </si>
  <si>
    <t>WHOLESALE FLOWERS AND SUPPLIES</t>
  </si>
  <si>
    <t>Williams Florist &amp; Gift House</t>
  </si>
  <si>
    <t>Centro Cuesta Nacional, S.A.S.</t>
  </si>
  <si>
    <t>katie wohn (kwohn1010@gmail.com)</t>
  </si>
  <si>
    <t>Kyle Hodges (info@uprootedrose.com)</t>
  </si>
  <si>
    <t>Lauren Shipp (cedarpkflorist@gmail.com)</t>
  </si>
  <si>
    <t>Maui Floral, Inc.</t>
  </si>
  <si>
    <t>Michael Kelly (mike@kbfinancialinc.com)</t>
  </si>
  <si>
    <t>Pam Holley (pamholley@comcast.net)</t>
  </si>
  <si>
    <t>Perry Kesler (perry@newmexico.com)</t>
  </si>
  <si>
    <t>Plainview Growers, Inc.</t>
  </si>
  <si>
    <t>Randy Ouzts (ctwrto1@gmail.com)</t>
  </si>
  <si>
    <t>Samantha Paulson (samantha.paulson@xt...)</t>
  </si>
  <si>
    <t>Silver Vase, Inc.</t>
  </si>
  <si>
    <t>STUTZMAN GREENHOUSE, INC.</t>
  </si>
  <si>
    <t>Vicki Spade (office@planttrolley.com)</t>
  </si>
  <si>
    <t>Viviano Flower Shop</t>
  </si>
  <si>
    <t>Washington Bulb Co., Inc.</t>
  </si>
  <si>
    <t>Woodlane Flowers, Inc.</t>
  </si>
  <si>
    <t>Araceli's Flower Shop</t>
  </si>
  <si>
    <t>Chanthavy Keovilay Abrams (bloomfield...)</t>
  </si>
  <si>
    <t>CK Greenhouses</t>
  </si>
  <si>
    <t>Emily Cook (emmiejcook@gmail.com)</t>
  </si>
  <si>
    <t>Emma's Garden Grower</t>
  </si>
  <si>
    <t>Farm Direct Corporation</t>
  </si>
  <si>
    <t>Fort Myers Express Floral</t>
  </si>
  <si>
    <t>Fred Biser (fbiserjtm@gmail.com)</t>
  </si>
  <si>
    <t>GALEMAS GREENHOUSE INC</t>
  </si>
  <si>
    <t>Helena Perry (perrymaysboyd@gmail.com)</t>
  </si>
  <si>
    <t>K &amp; V Florist</t>
  </si>
  <si>
    <t>Kara Brown (icbaflorist@gmail.com)</t>
  </si>
  <si>
    <t>Kawahara Nurseries; Inc</t>
  </si>
  <si>
    <t>Keith Cook (keith@zerbos.com)</t>
  </si>
  <si>
    <t>Kimberly Gutowsky (kimberly.melton@gm...)</t>
  </si>
  <si>
    <t>KYUSUNG KANG (divinepure@gmail.com)</t>
  </si>
  <si>
    <t>Lucas Greenhouses</t>
  </si>
  <si>
    <t>Lydia Foree (lydia@ksnyradio.com)</t>
  </si>
  <si>
    <t>Marie Amerson (marie_amerson@hotmail.com)</t>
  </si>
  <si>
    <t>Market Square of Birmingham, Inc</t>
  </si>
  <si>
    <t>Metrolina Greenhouses, Inc.</t>
  </si>
  <si>
    <t>MICHAEL'S GREENHOUSES, INC</t>
  </si>
  <si>
    <t>Nancy Lamont (nancyslittleark@gmail.com)</t>
  </si>
  <si>
    <t>Olga Rodriguez (olgalopez2288@icloud.com)</t>
  </si>
  <si>
    <t>Olson's Greenhouse of Colorado</t>
  </si>
  <si>
    <t>Paula Stallard (pstallard@christchurc...)</t>
  </si>
  <si>
    <t>pedro sengsone (thecbdplusstore@outlo...)</t>
  </si>
  <si>
    <t>Qualitree Propagators Inc.</t>
  </si>
  <si>
    <t>Quality Florist Supply Co</t>
  </si>
  <si>
    <t>Raeann Moore (raeann@jpparkerco.com)</t>
  </si>
  <si>
    <t>Sasha Kanno (sasha@farmlot59.org)</t>
  </si>
  <si>
    <t>Tami Abernathy (tami@thebloomingbride...)</t>
  </si>
  <si>
    <t>tara korjeski (tarak821@gmail.com)</t>
  </si>
  <si>
    <t>The Pinery LLC</t>
  </si>
  <si>
    <t>Therese knabb (tknabb411@gmail.com)</t>
  </si>
  <si>
    <t>Van Vugt Green Houses, Inc</t>
  </si>
  <si>
    <t>Alyssa Swartz brighterdaysfloralco@gmail.com</t>
  </si>
  <si>
    <t>Anissa Creque anissa@houstonhardware.net</t>
  </si>
  <si>
    <t>Bermudez Neris isabermudez1@yahoo.com</t>
  </si>
  <si>
    <t>BH Flower  Whole Sale Ltd</t>
  </si>
  <si>
    <t>Bill Hildebrandt whildebrandt@zoominternet.net</t>
  </si>
  <si>
    <t>Catoctin Mtn Growers Inc</t>
  </si>
  <si>
    <t>Chad Clark (theflowercoba@gmail.com)</t>
  </si>
  <si>
    <t>Chrissy Ashcraft (tfgblairsville@gmai...)</t>
  </si>
  <si>
    <t>CORTNEY PFEIFFER service@shelbysfloral.com</t>
  </si>
  <si>
    <t>Cynthia Ebanks cgebanks@me.com</t>
  </si>
  <si>
    <t>Decowraps Holdings, LLC</t>
  </si>
  <si>
    <t>Decowraps Samples</t>
  </si>
  <si>
    <t>Duarte Nursery</t>
  </si>
  <si>
    <t>Eileen OWEN ptadult274@gmail.com</t>
  </si>
  <si>
    <t>Emma Espey (wildrootsplants@gmail.com)</t>
  </si>
  <si>
    <t>Family Fare</t>
  </si>
  <si>
    <t>GALLUP &amp; STRIBLING ORCHIDS, LLC</t>
  </si>
  <si>
    <t>Gregory Byrum byrumsflorist@msn.com</t>
  </si>
  <si>
    <t>Guy Stamm stammhouse@gmail.com</t>
  </si>
  <si>
    <t>Hendriks Greenhouses</t>
  </si>
  <si>
    <t>Hugo´s Supermarket</t>
  </si>
  <si>
    <t>HYDRA-POINT GROWERS INC</t>
  </si>
  <si>
    <t>IWASAKI BROS., INC.</t>
  </si>
  <si>
    <t>Jacob Gulbransen jacob.gulbransen@gmail.com</t>
  </si>
  <si>
    <t>Jennifer Layne Mann (lamppostco@gmail...)</t>
  </si>
  <si>
    <t>Johnson's Floral Company</t>
  </si>
  <si>
    <t>Joy Gregory (chloescollections@gmail.com)</t>
  </si>
  <si>
    <t>Juliet Kennedy juliet@roseshacklasvegas.com</t>
  </si>
  <si>
    <t>KALAMAZOO FLOWER GROUP</t>
  </si>
  <si>
    <t>Kim Stevens kim@howsweetgarden.com</t>
  </si>
  <si>
    <t>Laurie Francis lauriewfrancis@gmail.com</t>
  </si>
  <si>
    <t>Leider Greenhouses</t>
  </si>
  <si>
    <t>Lin Lo zyraflorist@gmail.com</t>
  </si>
  <si>
    <t>Linda Oliver linda@harbourbayflorist.com</t>
  </si>
  <si>
    <t>Lisa macleod scituateflowers@comcast.net</t>
  </si>
  <si>
    <t>Lynch Group Australia</t>
  </si>
  <si>
    <t>Mai &amp; Pa's Flowers</t>
  </si>
  <si>
    <t>Mao Thao</t>
  </si>
  <si>
    <t>Maria Blum Sullivan maria@blumsulli.com</t>
  </si>
  <si>
    <t>Metro Richelieu Inc</t>
  </si>
  <si>
    <t>Michele Parente info@thegardentable.com</t>
  </si>
  <si>
    <t>Midwest GroundcoversLLC</t>
  </si>
  <si>
    <t>Miranda Bergeron (mirandashawaryn@yah...)</t>
  </si>
  <si>
    <t>mishell thielen mishellct@gmail.com</t>
  </si>
  <si>
    <t>Mountain Bloom</t>
  </si>
  <si>
    <t>Native Wholesale Inc</t>
  </si>
  <si>
    <t>Norman Keil Nurseries Inc.</t>
  </si>
  <si>
    <t>PARKS BROTHERS FARMS, INC.</t>
  </si>
  <si>
    <t>Roland Chaplin oakandivyrental@gmail.com</t>
  </si>
  <si>
    <t>Royer's Flowers</t>
  </si>
  <si>
    <t>Sharon Rooker(irmamathisglenn@gmail.com)</t>
  </si>
  <si>
    <t>Shawn Turner (shawnlturner@gmail.com)</t>
  </si>
  <si>
    <t>SMITH GARDENS</t>
  </si>
  <si>
    <t>Spring Creek Growers, Inc.</t>
  </si>
  <si>
    <t>Stephanie Hamilton esample0@gmail.com</t>
  </si>
  <si>
    <t>Sunshine Growers Nursery</t>
  </si>
  <si>
    <t>Tagawa Greenhouse Enterprises, LLC</t>
  </si>
  <si>
    <t>Terrence Mack maclamara@gmail.com</t>
  </si>
  <si>
    <t>United Nursery, LLC SW</t>
  </si>
  <si>
    <t>Alex Ruiz jaycalhounevents@gmail.com</t>
  </si>
  <si>
    <t>Amy Morgan (amy@lefleurfloraldesign.com)</t>
  </si>
  <si>
    <t>anaa.hrdz92@gmail.com</t>
  </si>
  <si>
    <t>Betsy Scott (bscott@mpumc.org)</t>
  </si>
  <si>
    <t>Brian Musser winklergallery@gmail.com</t>
  </si>
  <si>
    <t>Brian Owen (bgowen13@gmail.com)</t>
  </si>
  <si>
    <t>BUD'S &amp; BLOOMS, LLC</t>
  </si>
  <si>
    <t>Cara LaBrozzi shopthepapergarden@gmail.com</t>
  </si>
  <si>
    <t>Chelsea Hoehn lacysfloristorange@gmail.com</t>
  </si>
  <si>
    <t>CLAUSSEN'S FLORIST &amp; GARDEN CENTER</t>
  </si>
  <si>
    <t>cooper@hcinc.org</t>
  </si>
  <si>
    <t>Deneil Boyd kennewicksoccer@hotmail.com</t>
  </si>
  <si>
    <t>Elizabeth jones bossladielashes@yahoo.com</t>
  </si>
  <si>
    <t>Evan Pearson evanp@moananursery.com</t>
  </si>
  <si>
    <t>Flynne Olivarez mariquita.medicinals@gmail.com</t>
  </si>
  <si>
    <t>Fowler's Nursery</t>
  </si>
  <si>
    <t>Fry Family Farm</t>
  </si>
  <si>
    <t>Gail Stevens parkplaceboutique75@gmail.com</t>
  </si>
  <si>
    <t>GROWER DIRECT FARMS, INC</t>
  </si>
  <si>
    <t>Gwen Midyette gwen@biscaynebayyachtclub.com.com</t>
  </si>
  <si>
    <t>HARRY'S GREENHOUSE, INC.</t>
  </si>
  <si>
    <t>Hionis Greenhouse</t>
  </si>
  <si>
    <t>Irina Zakachura (scentfloristva@gmail...)</t>
  </si>
  <si>
    <t>jamie.waddingham@northpolk.org (jamie...)</t>
  </si>
  <si>
    <t>Jaqueline Cruz (jaquiflamenco@gmail.com)</t>
  </si>
  <si>
    <t>Jay Thompson triplethreatbball67@gmail.com</t>
  </si>
  <si>
    <t>Jeanne Ha (jeanne@parkflorist.us)</t>
  </si>
  <si>
    <t>Jo-Dee Olds cherryblossomfloristinc@gmail.com</t>
  </si>
  <si>
    <t>Juana Martinez (joannas.corner@yahoo.com)</t>
  </si>
  <si>
    <t>Katherine Richmond kmrkrafty1@sbcglobal.net</t>
  </si>
  <si>
    <t>Keith Jackson (kajaxon@gmail.com)</t>
  </si>
  <si>
    <t>Kelly Boland kmsboland@yahoo.com</t>
  </si>
  <si>
    <t>Kim Goldstone kdgstl@gmail.com</t>
  </si>
  <si>
    <t>kim rollinson rolli2301@aol.com</t>
  </si>
  <si>
    <t>Lihmil Wholesale Flowers</t>
  </si>
  <si>
    <t>Linnea McCurdy Linnea@flowerworldusa.com</t>
  </si>
  <si>
    <t>Liza Rodriguez lizascianca@hotmail.com</t>
  </si>
  <si>
    <t>Martha Zuck prtalsandvinesflowers@gmail.com</t>
  </si>
  <si>
    <t>Melissa Mills mel.demaio@gmail.com</t>
  </si>
  <si>
    <t>Michelle Turner v.s.flowers@hotmail.com</t>
  </si>
  <si>
    <t>Milford Florist villageflorist@comcast.net</t>
  </si>
  <si>
    <t>Nikita Age-Oneal info.nxtlevelevents@gmail.com</t>
  </si>
  <si>
    <t>Nolt's Garden Center</t>
  </si>
  <si>
    <t>Olga Zuyeva bb.olgasz@gmail.com</t>
  </si>
  <si>
    <t>Olsons Greenhouses</t>
  </si>
  <si>
    <t>Pam Hudson pambhudson@gmail.com</t>
  </si>
  <si>
    <t>PARKVIEW GARDENS</t>
  </si>
  <si>
    <t>Patricia Westgate (patricia@betweenth...)</t>
  </si>
  <si>
    <t>Patrick Russell Russellswoodenroses@gmail.com</t>
  </si>
  <si>
    <t>PHALLY NEAK (psneak@mseaudio.com)</t>
  </si>
  <si>
    <t>Plants In Design Inc.</t>
  </si>
  <si>
    <t>Pollyanna Brown (tourismsolutionsltd@...)</t>
  </si>
  <si>
    <t>POPE'S PLANT FARM, INC.</t>
  </si>
  <si>
    <t>Robin Jordan robinsflowerpot@gmail.com</t>
  </si>
  <si>
    <t>Roger Roa rogersr1@bellsouth.net</t>
  </si>
  <si>
    <t>Ronna Ball balltrucking@aol.com</t>
  </si>
  <si>
    <t>Sam Rao Florist Inc.</t>
  </si>
  <si>
    <t>Sarah Brinker sarah@buildingshalom.org</t>
  </si>
  <si>
    <t>Sarah Ruuska (luteysflowers@gmail.com)</t>
  </si>
  <si>
    <t>Scott Mateer giftse@hotmail.com</t>
  </si>
  <si>
    <t>Suplidora de Viveros RP, SRL</t>
  </si>
  <si>
    <t>Thomas Dayton info@daytonnursery.com</t>
  </si>
  <si>
    <t>Thorsens Greenhouse , LLC</t>
  </si>
  <si>
    <t>Tina Fratus tinafratus@icloud.com</t>
  </si>
  <si>
    <t>Vicki Trimble thehardygeranium@gmail.com</t>
  </si>
  <si>
    <t>Vivo Floral LLC</t>
  </si>
  <si>
    <t>WEBER'S GREENHOUSE &amp; FARMS LLC</t>
  </si>
  <si>
    <t>Westwood Gardens</t>
  </si>
  <si>
    <t>Sunrise Greenhouses</t>
  </si>
  <si>
    <t>ANDERSON HOME AND GARDEN</t>
  </si>
  <si>
    <t>Blooms USA</t>
  </si>
  <si>
    <t>Dreisbach Wholesale Florists</t>
  </si>
  <si>
    <t>GARDEN WORLD</t>
  </si>
  <si>
    <t>INTERIORSCAPES-MO</t>
  </si>
  <si>
    <t>LOUISIANA NURSERY</t>
  </si>
  <si>
    <t>McKenzie Floral INC</t>
  </si>
  <si>
    <t>MRS. BLOOM'S DIRECT, INC.</t>
  </si>
  <si>
    <t>Novelty Greens</t>
  </si>
  <si>
    <t>O'Brien's Florist</t>
  </si>
  <si>
    <t>RIVER'S GREENHOUSE GARDEN</t>
  </si>
  <si>
    <t>Riverdale Farms</t>
  </si>
  <si>
    <t>SWEET BLOSSOM</t>
  </si>
  <si>
    <t>Washington Floral Services Inc.</t>
  </si>
  <si>
    <t>Wojo's Greenhouses-</t>
  </si>
  <si>
    <t>Marion Development LLC</t>
  </si>
  <si>
    <t>Alpha Botanical, Inc</t>
  </si>
  <si>
    <t>Linda Oliver ( linda@harbourbayflorist.com)</t>
  </si>
  <si>
    <t>Rosalea Potter riley.buffalocreekbeef@gmail.com</t>
  </si>
  <si>
    <t>Garrett Robertson grobertson86@gmail.com</t>
  </si>
  <si>
    <t>Ning Ta Hsu (ningtahsu@gmail.com)</t>
  </si>
  <si>
    <t>Alfred Welch alfredwelchjr@hotmail.com</t>
  </si>
  <si>
    <t>Richard Strack dicksflowersalton@gmail.com</t>
  </si>
  <si>
    <t>Griselle Pacheco griselle.pacheco@gmail.com</t>
  </si>
  <si>
    <t>Maria A Moreno mariaamorenomm@gmail.com</t>
  </si>
  <si>
    <t>Rebecca Berman rberman@gmail.com</t>
  </si>
  <si>
    <t>Marty Fleischacker promenadeventures23@gmail.com</t>
  </si>
  <si>
    <t>KAREN GALLO flowershoppe@hotmail.com</t>
  </si>
  <si>
    <t>Jennie Chamberlain jenniechamberlain@icloud.com</t>
  </si>
  <si>
    <t>Amye Jennings almasflowers@yahoo.com</t>
  </si>
  <si>
    <t>Christa L Burke burkeridgefarmsct@gmail.com</t>
  </si>
  <si>
    <t>Kelly Glover armfulflowers@gmail.com</t>
  </si>
  <si>
    <t>Joseph Dunsire j.dunsire@smpschool.org</t>
  </si>
  <si>
    <t>Emma Griffin emma.griffin@indianhills.edu</t>
  </si>
  <si>
    <t>Erin Blake erin.blake@peachtreeplants.com</t>
  </si>
  <si>
    <t>Jason Griffith tmiller@ioniaisd.org</t>
  </si>
  <si>
    <t>Interior Plantscapes admin@interiorplantscapes.com</t>
  </si>
  <si>
    <t>Donna Covell dcovell@powellgardens.org</t>
  </si>
  <si>
    <t>Kim Gill kgill.7061design@gmail.com</t>
  </si>
  <si>
    <t>Jane Gelb tiffany@byovernight.com</t>
  </si>
  <si>
    <t>Lori Ros lorikros@gmail.com</t>
  </si>
  <si>
    <t>Malinda McMillian malinda.mcmillian@corecivic.com</t>
  </si>
  <si>
    <t>Celia Williamson gooddaygourmetcw@aol.com</t>
  </si>
  <si>
    <t>VINITA JONES tusky1959@gmail.com</t>
  </si>
  <si>
    <t>Briceida Lauriano brizeidamorales90@gmail.com</t>
  </si>
  <si>
    <t>Farrah Delano trid1197@aol.com</t>
  </si>
  <si>
    <t>Carlos Torres vlaadbrain@gmail.com</t>
  </si>
  <si>
    <t>Michele Poorman michelepoorman0680@gmail.com</t>
  </si>
  <si>
    <t>April Hatchell help@boonmail.com</t>
  </si>
  <si>
    <t>April Hatchell algsunflower87@aol.com</t>
  </si>
  <si>
    <t>Rebecca Snell jessica@drsnellnursery.com</t>
  </si>
  <si>
    <t>Gayla Buboltz buboltzgayla64@gmail.com</t>
  </si>
  <si>
    <t>Laurel Prince everettsnursery@hotmail.com</t>
  </si>
  <si>
    <t>r kent arblaster rkenta@netzero.net</t>
  </si>
  <si>
    <t>Susan Bachert floristaifd@gmail.com</t>
  </si>
  <si>
    <t>Justine Ocelus ocelusjustine@gmail.com</t>
  </si>
  <si>
    <t>Paul Levine pauley1@optonline.net</t>
  </si>
  <si>
    <t>Joe DiPietro chubbyshardware@yahoo.com</t>
  </si>
  <si>
    <t>María Cortez dmaria80@hotmail.com</t>
  </si>
  <si>
    <t>Gwen Walsh gwalshlc@hotmail.com</t>
  </si>
  <si>
    <t>Dana Monk dmonk@prvepa.com</t>
  </si>
  <si>
    <t>Angie McClure angiemmcclure@gmail.com</t>
  </si>
  <si>
    <t>Sheree Wanner office@camelotgardens.com</t>
  </si>
  <si>
    <t>Banda de envejecimiento de pérdida esperada VIP</t>
  </si>
  <si>
    <t>Rangos de Maduracion</t>
  </si>
  <si>
    <t>Sin vencer-30</t>
  </si>
  <si>
    <t>31-90</t>
  </si>
  <si>
    <t>91-150</t>
  </si>
  <si>
    <t>151-240</t>
  </si>
  <si>
    <t>241+</t>
  </si>
  <si>
    <t>Saldos pendientes</t>
  </si>
  <si>
    <t>Pérdidas a crédito</t>
  </si>
  <si>
    <t>Total pérdida esperada</t>
  </si>
  <si>
    <t>Tasa de incremento de 3.5%</t>
  </si>
  <si>
    <t>Nueva tasa</t>
  </si>
  <si>
    <t>Banda de envejecimiento de pérdida esperada OTROS</t>
  </si>
  <si>
    <t>VIP</t>
  </si>
  <si>
    <t>Metro</t>
  </si>
  <si>
    <t>Publix Super Markets, Inc.</t>
  </si>
  <si>
    <t>Supervalue</t>
  </si>
  <si>
    <t>Interco</t>
  </si>
  <si>
    <t>*Kelly Glover armfulflowers@gmail.com*</t>
  </si>
  <si>
    <t>Jacqui Wandling jwandling14@gmail.com</t>
  </si>
  <si>
    <t>Sara Bordeleau sassybord88@gmail.com</t>
  </si>
  <si>
    <t>Susan Santiago floridagigi17@gmail.com</t>
  </si>
  <si>
    <t>Susie Pratt pratt5551@aol.com</t>
  </si>
  <si>
    <t>Teresa Antonio teresa_antonio@stdominics.org</t>
  </si>
  <si>
    <t>Tracy Cowles pollennationllc@gmail.com</t>
  </si>
  <si>
    <t>ALIANZA GLOBAL SERVICES SA DE CV</t>
  </si>
  <si>
    <t>Alissa Futhey alissa.futhey@gmail.com</t>
  </si>
  <si>
    <t>Amazon.com, Inc</t>
  </si>
  <si>
    <t>Amelia Iliohan amelia.h.iliohan@gmail.com</t>
  </si>
  <si>
    <t>April Pietsch april@pietschs.net</t>
  </si>
  <si>
    <t>Bree Ellis breeellis218@gmail.com</t>
  </si>
  <si>
    <t>Carole Cook rcook@nancysfloral.com</t>
  </si>
  <si>
    <t>Cece Otto lazydogranchtonasket@gmail.com</t>
  </si>
  <si>
    <t>Damaris Oliveras damabella0709@gmail.com</t>
  </si>
  <si>
    <t>Eric Gonzalez ldominguez@yellowstonelandscape.com</t>
  </si>
  <si>
    <t>Faith in Flowers LLC</t>
  </si>
  <si>
    <t>Fisher Nursery Inc</t>
  </si>
  <si>
    <t>Golden Flowers</t>
  </si>
  <si>
    <t>Jeanne Robichaux jeannerobichaux@outlook.com</t>
  </si>
  <si>
    <t>Keith Rockcastle krockcastle@rockcastle.com</t>
  </si>
  <si>
    <t>Krueger Maddux Greenhouses</t>
  </si>
  <si>
    <t>Lee Moua</t>
  </si>
  <si>
    <t>Marc Granovitz marc@blvdflst.com</t>
  </si>
  <si>
    <t>Masterpiece Flower</t>
  </si>
  <si>
    <t>Matthew Strickland matthewcstrickland@gmail.com</t>
  </si>
  <si>
    <t>Mayfield Florist &amp; Plant Shop</t>
  </si>
  <si>
    <t>Pepper Sweeney jsweeney@sweeneymediagroup.com</t>
  </si>
  <si>
    <t>Shawn Turner shawnlturner@gmail.com</t>
  </si>
  <si>
    <t>Victor Alarcon info.anniez@gmail.com</t>
  </si>
  <si>
    <t>Zoolarity</t>
  </si>
  <si>
    <t>Amber Kristek amber.kristek@gmail.com</t>
  </si>
  <si>
    <t>Arizona Family Florist</t>
  </si>
  <si>
    <t>BERT WILLIAMS bw@deerwoodflorist.comcastbiz.net</t>
  </si>
  <si>
    <t>Blooming Fresh Flowers</t>
  </si>
  <si>
    <t>Blue Water Growers</t>
  </si>
  <si>
    <t>Bountiful Blooms</t>
  </si>
  <si>
    <t>Carie L MacDonald carie.anemonefloraldesign@gmail.com</t>
  </si>
  <si>
    <t>Celeste Stob celeste@loveknotsfloral.com</t>
  </si>
  <si>
    <t>Cheryl Brickman cbrickman@wi.rr.com</t>
  </si>
  <si>
    <t>Christine Nelson cunelson13@yahoo.com</t>
  </si>
  <si>
    <t>Clarissa Cordova clarissacordova2@gmail.com</t>
  </si>
  <si>
    <t>cleo's flower shop cleosfloral@yahoo.com</t>
  </si>
  <si>
    <t>Danielle Myers danielle.myers@gaylordhotels.com</t>
  </si>
  <si>
    <t>Darci Clark darci.valleyviolets25@gmail.com</t>
  </si>
  <si>
    <t>Deanna Iacovelli iaco4@charter.net</t>
  </si>
  <si>
    <t>deb ellison debellison2@gmail.com</t>
  </si>
  <si>
    <t>Deborah Corrao deborah@tybroevents.com</t>
  </si>
  <si>
    <t>Diane Marquardt dianemqt@icloud.com</t>
  </si>
  <si>
    <t>Eco Plants</t>
  </si>
  <si>
    <t>Elizabeth Zawislak info@bluegreengardensflowers.com</t>
  </si>
  <si>
    <t>Ella Orsatti lisa.letch@shaws.com</t>
  </si>
  <si>
    <t>Emily Moth emily@flowersbygilandcurt.com</t>
  </si>
  <si>
    <t>Emily Terrebonne westbankflorist@gmail.com</t>
  </si>
  <si>
    <t>Exclusively Roses</t>
  </si>
  <si>
    <t>Florist Florist hailey@greenoakms.com</t>
  </si>
  <si>
    <t>Flowers2Give Llc</t>
  </si>
  <si>
    <t>Fragrant Orchids of Maui</t>
  </si>
  <si>
    <t>Frank Caldwell secretay@cureofarschurch.org</t>
  </si>
  <si>
    <t>Fresh Farms Market</t>
  </si>
  <si>
    <t>Gabrielle Meagher jingsam@bellsouth.net</t>
  </si>
  <si>
    <t>Gainan's</t>
  </si>
  <si>
    <t>Georgeanne Wayman georgeanne@comcast.net</t>
  </si>
  <si>
    <t>Growers To Home Corporation</t>
  </si>
  <si>
    <t>Gwen Lowe flowerfanasee@hotmail.com</t>
  </si>
  <si>
    <t>Hawaiian Sunshine Nursery</t>
  </si>
  <si>
    <t>Ignacio garcia garcianachoaveliz5@gmail.com</t>
  </si>
  <si>
    <t>james mcmillan mcmillanjames@att.net</t>
  </si>
  <si>
    <t>JASMINE WELTER buildabouquet1ocala@gmail.com</t>
  </si>
  <si>
    <t>Jessica Trujillo jesstrujillo821@live.com</t>
  </si>
  <si>
    <t>Jill Anstett jill_anstett@msn.com</t>
  </si>
  <si>
    <t>Joanna Kania joannaburgos04@gmail.com</t>
  </si>
  <si>
    <t>Jodelle Gefroh gefrohs@daktel.com</t>
  </si>
  <si>
    <t>Justin Barkley dhsdazzlerboosters@gmail.com</t>
  </si>
  <si>
    <t>Kathleen Okeefe kathleen@uptopacres.com</t>
  </si>
  <si>
    <t>Kayla Bruce klabruce@yahoo.com</t>
  </si>
  <si>
    <t>Kennedy Schumacher kennedy@presleyflowers.com</t>
  </si>
  <si>
    <t>Kimberly Kesner liv_10_cutie@gmail.com</t>
  </si>
  <si>
    <t>Kimberly Malouf pkmalouf@gmail.com</t>
  </si>
  <si>
    <t>Kyle Hodges info@uprootedrose.com</t>
  </si>
  <si>
    <t>Lana King lanaking@aol.com</t>
  </si>
  <si>
    <t>Lance Hoopai higdon.florist@higdonflorist.com</t>
  </si>
  <si>
    <t>Laura Crow sdlacrow@ymail.com</t>
  </si>
  <si>
    <t>Leigh Anne Jewison jewisonla@gmail.com</t>
  </si>
  <si>
    <t>Leslie Nelson lnelson@visualconcepts.tv</t>
  </si>
  <si>
    <t>Linda Oliver loliver123@aol.com</t>
  </si>
  <si>
    <t>Lisa Suarez lisa@whatstheoccasion.com</t>
  </si>
  <si>
    <t>lurdis contreras flowerlandnursery@yahoo.com</t>
  </si>
  <si>
    <t>Margaret Sturgill mesturgill@outlook.com</t>
  </si>
  <si>
    <t>Mark Montoya markmontoya619@yahoo.com</t>
  </si>
  <si>
    <t>Miriam Juarez mirisj9802@gmail.com</t>
  </si>
  <si>
    <t>Monica Frick monica.frick@centraltech.edu</t>
  </si>
  <si>
    <t>Nacole Stacey nacolestacey@yahoo.com</t>
  </si>
  <si>
    <t>Nicole Scarlett plantmebabyatl@gmail.com</t>
  </si>
  <si>
    <t>Patricia Hutchins rainbowsendfloral@gmail.com</t>
  </si>
  <si>
    <t>Patricia Westgate patricia@betweentherosesflorist.com</t>
  </si>
  <si>
    <t>Paul Matalon paul@solomonequities.com</t>
  </si>
  <si>
    <t>Rachel Heaney celebrationsfl@gmail.com</t>
  </si>
  <si>
    <t>Rebecca Priester becca1607@yahoo.com</t>
  </si>
  <si>
    <t>Rebecca Raybin rraybin@gmail.com</t>
  </si>
  <si>
    <t>Richard Westin rwestin76@gmail.com</t>
  </si>
  <si>
    <t>Richelle Carino rccarino@hotmail.com</t>
  </si>
  <si>
    <t>Rosanna Erickson riroerick801@aol.com</t>
  </si>
  <si>
    <t>Rose Flowers Distributors Inc</t>
  </si>
  <si>
    <t>Rosemeen Fidai theoneroses@yahoo.com</t>
  </si>
  <si>
    <t>Scherry johnson scherrymarie@gmail.com</t>
  </si>
  <si>
    <t>Shelly Hagan shelly@jacksonvilleflowermarket.com</t>
  </si>
  <si>
    <t>Sonya Thomas sonyalthomasmd@gmail.com</t>
  </si>
  <si>
    <t>Sophy Kohler alex@parkcitynursery.com</t>
  </si>
  <si>
    <t>Starla Walker starla.goldsmith@gmail.com</t>
  </si>
  <si>
    <t>stephanie keller alpinefloral@gmail.com</t>
  </si>
  <si>
    <t>Tammy Weissmann jtweissmann6@gmail.com</t>
  </si>
  <si>
    <t>Tony Bradley anthony.bradley@mindspring.com</t>
  </si>
  <si>
    <t>Vince Herbert veherbet@gmail.com</t>
  </si>
  <si>
    <t>Wendy McCorvey wendymc75@earthlink.net</t>
  </si>
  <si>
    <t>Western Cactus Enterprises</t>
  </si>
  <si>
    <t>Wong Whole Sale, Inc.</t>
  </si>
  <si>
    <t>THE GEMS GROUP MI</t>
  </si>
  <si>
    <t>CAN0001</t>
  </si>
  <si>
    <t>CAN0002</t>
  </si>
  <si>
    <t>CAN0003</t>
  </si>
  <si>
    <t>CAN0004</t>
  </si>
  <si>
    <t>CAN0005</t>
  </si>
  <si>
    <t>CAN0006</t>
  </si>
  <si>
    <t>CAN0007</t>
  </si>
  <si>
    <t>CAN0008</t>
  </si>
  <si>
    <t>CAN0009</t>
  </si>
  <si>
    <t>CAN0010</t>
  </si>
  <si>
    <t>Comtois Fleurs Inc.</t>
  </si>
  <si>
    <t>CAN0011</t>
  </si>
  <si>
    <t>CAN0012</t>
  </si>
  <si>
    <t>Costco Regional Office</t>
  </si>
  <si>
    <t>CAN0013</t>
  </si>
  <si>
    <t>CAN0014</t>
  </si>
  <si>
    <t>CAN0015</t>
  </si>
  <si>
    <t>FERNLEA FLOWERS LIMITED</t>
  </si>
  <si>
    <t>CAN0016</t>
  </si>
  <si>
    <t>Fleurigros Inc.</t>
  </si>
  <si>
    <t>CAN0017</t>
  </si>
  <si>
    <t>Fleurs du monde</t>
  </si>
  <si>
    <t>CAN0018</t>
  </si>
  <si>
    <t>CAN0019</t>
  </si>
  <si>
    <t>CAN0020</t>
  </si>
  <si>
    <t>CAN0021</t>
  </si>
  <si>
    <t>CAN0022</t>
  </si>
  <si>
    <t>CAN0023</t>
  </si>
  <si>
    <t>CAN0024</t>
  </si>
  <si>
    <t>GTA FLORIST</t>
  </si>
  <si>
    <t>CAN0025</t>
  </si>
  <si>
    <t>CAN0026</t>
  </si>
  <si>
    <t>Helianthus Holdings Inc.</t>
  </si>
  <si>
    <t>CAN0027</t>
  </si>
  <si>
    <t>CAN0028</t>
  </si>
  <si>
    <t>CAN0029</t>
  </si>
  <si>
    <t>Hollandia Greenhouses Ltd</t>
  </si>
  <si>
    <t>CAN0030</t>
  </si>
  <si>
    <t>CAN0031</t>
  </si>
  <si>
    <t>CAN0032</t>
  </si>
  <si>
    <t>CAN0033</t>
  </si>
  <si>
    <t>Keepsake Plants LTD.</t>
  </si>
  <si>
    <t>CAN0034</t>
  </si>
  <si>
    <t>Les Entreprises Marsolais Inc</t>
  </si>
  <si>
    <t>CAN0035</t>
  </si>
  <si>
    <t>CAN0036</t>
  </si>
  <si>
    <t>CAN0037</t>
  </si>
  <si>
    <t>CAN0038</t>
  </si>
  <si>
    <t>CAN0039</t>
  </si>
  <si>
    <t>CAN0040</t>
  </si>
  <si>
    <t>Morgan Creek Tropicals</t>
  </si>
  <si>
    <t>CAN0041</t>
  </si>
  <si>
    <t>MT. Newton Floral</t>
  </si>
  <si>
    <t>CAN0042</t>
  </si>
  <si>
    <t>Niagara Tulips LTD</t>
  </si>
  <si>
    <t>CAN0043</t>
  </si>
  <si>
    <t>CAN0044</t>
  </si>
  <si>
    <t>CAN0045</t>
  </si>
  <si>
    <t>CAN0046</t>
  </si>
  <si>
    <t>CAN0047</t>
  </si>
  <si>
    <t>P. Ravensbergen &amp; Sons</t>
  </si>
  <si>
    <t>CAN0048</t>
  </si>
  <si>
    <t>CAN0049</t>
  </si>
  <si>
    <t>CAN0050</t>
  </si>
  <si>
    <t>CAN0051</t>
  </si>
  <si>
    <t>CAN0052</t>
  </si>
  <si>
    <t>CAN0053</t>
  </si>
  <si>
    <t>CAN0054</t>
  </si>
  <si>
    <t>CAN0055</t>
  </si>
  <si>
    <t>Regal Greenhouses Inc</t>
  </si>
  <si>
    <t>CAN0056</t>
  </si>
  <si>
    <t>CAN0057</t>
  </si>
  <si>
    <t>Safeway Canada</t>
  </si>
  <si>
    <t>CAN0058</t>
  </si>
  <si>
    <t>SaleStream Inc.</t>
  </si>
  <si>
    <t>CAN0059</t>
  </si>
  <si>
    <t>CAN0060</t>
  </si>
  <si>
    <t>CAN0061</t>
  </si>
  <si>
    <t>Seaway Farms &amp; Garden Centre</t>
  </si>
  <si>
    <t>CAN0062</t>
  </si>
  <si>
    <t>Second Nature Designs Limited</t>
  </si>
  <si>
    <t>CAN0063</t>
  </si>
  <si>
    <t>Skip the dishes</t>
  </si>
  <si>
    <t>CAN0064</t>
  </si>
  <si>
    <t>Sol farms</t>
  </si>
  <si>
    <t>CAN0065</t>
  </si>
  <si>
    <t>CAN0066</t>
  </si>
  <si>
    <t>CAN0067</t>
  </si>
  <si>
    <t>CAN0068</t>
  </si>
  <si>
    <t>CAN0069</t>
  </si>
  <si>
    <t>CAN0070</t>
  </si>
  <si>
    <t>The Flower Factory Winnipeg</t>
  </si>
  <si>
    <t>CAN0071</t>
  </si>
  <si>
    <t>CAN0072</t>
  </si>
  <si>
    <t>Trillium Hill Greenhouses</t>
  </si>
  <si>
    <t>CAN0073</t>
  </si>
  <si>
    <t>CAN0074</t>
  </si>
  <si>
    <t>CAN0075</t>
  </si>
  <si>
    <t>Valley Flowers Inc.-CN</t>
  </si>
  <si>
    <t>CAN0076</t>
  </si>
  <si>
    <t>Van Geest Bros. Limited</t>
  </si>
  <si>
    <t>CAN0077</t>
  </si>
  <si>
    <t>CAN0078</t>
  </si>
  <si>
    <t>CAN0079</t>
  </si>
  <si>
    <t>Vankampens Greenhouse</t>
  </si>
  <si>
    <t>CAN0080</t>
  </si>
  <si>
    <t>CAN0081</t>
  </si>
  <si>
    <t>CAN0082</t>
  </si>
  <si>
    <t>CAN0083</t>
  </si>
  <si>
    <t>CAN0084</t>
  </si>
  <si>
    <t>CAN0085</t>
  </si>
  <si>
    <t>Whole Foods Canada 2</t>
  </si>
  <si>
    <t>CAN0086</t>
  </si>
  <si>
    <t>Wild Stone Trading Co</t>
  </si>
  <si>
    <t>CAN0087</t>
  </si>
  <si>
    <t>Willy s Greenhouses LTD</t>
  </si>
  <si>
    <t>CAN0088</t>
  </si>
  <si>
    <t>CAN0089</t>
  </si>
  <si>
    <t>Bloomstar Bouquet Vancouver</t>
  </si>
  <si>
    <t>CAN0090</t>
  </si>
  <si>
    <t>CAN0091</t>
  </si>
  <si>
    <t>CAN0092</t>
  </si>
  <si>
    <t>CAN0093</t>
  </si>
  <si>
    <t>Anna´s Garden, Home &amp; Wellness</t>
  </si>
  <si>
    <t>CAN0094</t>
  </si>
  <si>
    <t>Global Horticultural Inc.</t>
  </si>
  <si>
    <t>CAN0095</t>
  </si>
  <si>
    <t>Farm to Canada</t>
  </si>
  <si>
    <t>CAN0096</t>
  </si>
  <si>
    <t>Scott Street Greenhouses Ltd</t>
  </si>
  <si>
    <t>CAN0097</t>
  </si>
  <si>
    <t>Dutch Mill Gardens Inc</t>
  </si>
  <si>
    <t>FOC0001</t>
  </si>
  <si>
    <t>Legacy Flowers LLC</t>
  </si>
  <si>
    <t>FOC0022</t>
  </si>
  <si>
    <t>Dracaena Farms Supply</t>
  </si>
  <si>
    <t>FOC0023</t>
  </si>
  <si>
    <t>INT0001</t>
  </si>
  <si>
    <t>INT0002</t>
  </si>
  <si>
    <t>INT0006</t>
  </si>
  <si>
    <t>INT0007</t>
  </si>
  <si>
    <t>INT0009</t>
  </si>
  <si>
    <t>INT0052</t>
  </si>
  <si>
    <t>INT0059</t>
  </si>
  <si>
    <t>Decowraps In Store</t>
  </si>
  <si>
    <t>INT0060</t>
  </si>
  <si>
    <t>INT0061</t>
  </si>
  <si>
    <t>Decowraps Inventory Dump</t>
  </si>
  <si>
    <t>INT0062</t>
  </si>
  <si>
    <t>Decowraps S.A.</t>
  </si>
  <si>
    <t>INT0063</t>
  </si>
  <si>
    <t>Decowraps SA</t>
  </si>
  <si>
    <t>INT0064</t>
  </si>
  <si>
    <t>INT0065</t>
  </si>
  <si>
    <t>NAC0412</t>
  </si>
  <si>
    <t>Decowraps Mantenimiento</t>
  </si>
  <si>
    <t>NAC0456</t>
  </si>
  <si>
    <t>NAC0457</t>
  </si>
  <si>
    <t>Bloomnet</t>
  </si>
  <si>
    <t>NAC0458</t>
  </si>
  <si>
    <t>4 All Seasons Floral</t>
  </si>
  <si>
    <t>NAC0459</t>
  </si>
  <si>
    <t>NAC0460</t>
  </si>
  <si>
    <t>88 Nursery LLC</t>
  </si>
  <si>
    <t>NAC0461</t>
  </si>
  <si>
    <t>NAC0462</t>
  </si>
  <si>
    <t>A Royal Bloom</t>
  </si>
  <si>
    <t>NAC0463</t>
  </si>
  <si>
    <t>A Wildflower Shop</t>
  </si>
  <si>
    <t>NAC0464</t>
  </si>
  <si>
    <t>A-ROO COMPANY LLC</t>
  </si>
  <si>
    <t>NAC0465</t>
  </si>
  <si>
    <t>A. VISCONTI, INC</t>
  </si>
  <si>
    <t>NAC0466</t>
  </si>
  <si>
    <t>ABC Event Flowers Inc</t>
  </si>
  <si>
    <t>NAC0467</t>
  </si>
  <si>
    <t>Abele Greenhouse Inc</t>
  </si>
  <si>
    <t>NAC0468</t>
  </si>
  <si>
    <t>NAC0469</t>
  </si>
  <si>
    <t>Ace Florist of Syosset Inc</t>
  </si>
  <si>
    <t>NAC0470</t>
  </si>
  <si>
    <t>NAC0471</t>
  </si>
  <si>
    <t>Acosta Farms Inc</t>
  </si>
  <si>
    <t>NAC0472</t>
  </si>
  <si>
    <t>Acosta Nursery of Dade Inc</t>
  </si>
  <si>
    <t>NAC0473</t>
  </si>
  <si>
    <t>ADELAYSA S.A.</t>
  </si>
  <si>
    <t>NAC0474</t>
  </si>
  <si>
    <t>NAC0475</t>
  </si>
  <si>
    <t>NAC0476</t>
  </si>
  <si>
    <t>NAC0477</t>
  </si>
  <si>
    <t>BUNZL YORK</t>
  </si>
  <si>
    <t>NAC0478</t>
  </si>
  <si>
    <t>BUNZL BALTIMORE</t>
  </si>
  <si>
    <t>NAC0479</t>
  </si>
  <si>
    <t>Bunzl Schwarz</t>
  </si>
  <si>
    <t>NAC0480</t>
  </si>
  <si>
    <t>BUNZL R3 NEW ENGLAND</t>
  </si>
  <si>
    <t>NAC0481</t>
  </si>
  <si>
    <t>AJ FLORAL LTD</t>
  </si>
  <si>
    <t>NAC0482</t>
  </si>
  <si>
    <t>Al's Florist and Gifts, 212 N FEDERAL HIG</t>
  </si>
  <si>
    <t>NAC0483</t>
  </si>
  <si>
    <t>NAC0484</t>
  </si>
  <si>
    <t>Albertsons #676</t>
  </si>
  <si>
    <t>NAC0485</t>
  </si>
  <si>
    <t>Albertsons #680</t>
  </si>
  <si>
    <t>NAC0486</t>
  </si>
  <si>
    <t>ALBERTSONS #938</t>
  </si>
  <si>
    <t>NAC0487</t>
  </si>
  <si>
    <t>Albertsons #678</t>
  </si>
  <si>
    <t>NAC0488</t>
  </si>
  <si>
    <t>Albertson's #915</t>
  </si>
  <si>
    <t>NAC0489</t>
  </si>
  <si>
    <t>Albertson's #986</t>
  </si>
  <si>
    <t>NAC0490</t>
  </si>
  <si>
    <t>Albertsons #690</t>
  </si>
  <si>
    <t>NAC0491</t>
  </si>
  <si>
    <t>Albertsons #665</t>
  </si>
  <si>
    <t>NAC0492</t>
  </si>
  <si>
    <t>Albertsons #671</t>
  </si>
  <si>
    <t>NAC0493</t>
  </si>
  <si>
    <t>ALBERTSONS #923</t>
  </si>
  <si>
    <t>NAC0494</t>
  </si>
  <si>
    <t>Albertson's #987</t>
  </si>
  <si>
    <t>NAC0495</t>
  </si>
  <si>
    <t>Albertson's #937</t>
  </si>
  <si>
    <t>NAC0496</t>
  </si>
  <si>
    <t>Albertsons #917</t>
  </si>
  <si>
    <t>NAC0497</t>
  </si>
  <si>
    <t>Albertson's #928</t>
  </si>
  <si>
    <t>NAC0498</t>
  </si>
  <si>
    <t>Albertsons #672</t>
  </si>
  <si>
    <t>NAC0499</t>
  </si>
  <si>
    <t>Albertsons #686</t>
  </si>
  <si>
    <t>NAC0500</t>
  </si>
  <si>
    <t>Albertsons #681</t>
  </si>
  <si>
    <t>NAC0501</t>
  </si>
  <si>
    <t>Albertson's #919</t>
  </si>
  <si>
    <t>NAC0502</t>
  </si>
  <si>
    <t>Albertson's #904</t>
  </si>
  <si>
    <t>NAC0503</t>
  </si>
  <si>
    <t>ALBERTSONS MARKET #903</t>
  </si>
  <si>
    <t>NAC0504</t>
  </si>
  <si>
    <t>Albertson's #911</t>
  </si>
  <si>
    <t>NAC0505</t>
  </si>
  <si>
    <t>Albertsons #691</t>
  </si>
  <si>
    <t>NAC0506</t>
  </si>
  <si>
    <t>Albertson's #905</t>
  </si>
  <si>
    <t>NAC0507</t>
  </si>
  <si>
    <t>Albertson's #682</t>
  </si>
  <si>
    <t>NAC0508</t>
  </si>
  <si>
    <t>Albertsons #920</t>
  </si>
  <si>
    <t>NAC0509</t>
  </si>
  <si>
    <t>ALBERTSONS #924</t>
  </si>
  <si>
    <t>NAC0510</t>
  </si>
  <si>
    <t>Albertson's #939</t>
  </si>
  <si>
    <t>NAC0511</t>
  </si>
  <si>
    <t>Albertson's #927</t>
  </si>
  <si>
    <t>NAC0512</t>
  </si>
  <si>
    <t>NAC0513</t>
  </si>
  <si>
    <t>NAC0514</t>
  </si>
  <si>
    <t>NAC0515</t>
  </si>
  <si>
    <t>NAC0516</t>
  </si>
  <si>
    <t>NAC0517</t>
  </si>
  <si>
    <t>ALMACENES ELBA, CxA</t>
  </si>
  <si>
    <t>NAC0518</t>
  </si>
  <si>
    <t>ALPAFRUIT COMERCIALIZADORA DE FRUTAS</t>
  </si>
  <si>
    <t>NAC0519</t>
  </si>
  <si>
    <t>ALSIP HOME &amp; NURSERY</t>
  </si>
  <si>
    <t>NAC0520</t>
  </si>
  <si>
    <t>NAC0521</t>
  </si>
  <si>
    <t>NAC0522</t>
  </si>
  <si>
    <t>American Color Inc.</t>
  </si>
  <si>
    <t>NAC0523</t>
  </si>
  <si>
    <t>American Institute of Floral designes Inc</t>
  </si>
  <si>
    <t>NAC0524</t>
  </si>
  <si>
    <t>American Plant</t>
  </si>
  <si>
    <t>NAC0525</t>
  </si>
  <si>
    <t>NAC0526</t>
  </si>
  <si>
    <t>Andersen Farms Inc.</t>
  </si>
  <si>
    <t>NAC0527</t>
  </si>
  <si>
    <t>NAC0528</t>
  </si>
  <si>
    <t>NAC0529</t>
  </si>
  <si>
    <t>Apenberry's Gardens</t>
  </si>
  <si>
    <t>NAC0530</t>
  </si>
  <si>
    <t>NAC0531</t>
  </si>
  <si>
    <t>Aqua Floral LLC DBA Bouquet For You</t>
  </si>
  <si>
    <t>NAC0532</t>
  </si>
  <si>
    <t>NAC0533</t>
  </si>
  <si>
    <t>NAC0534</t>
  </si>
  <si>
    <t>NAC0535</t>
  </si>
  <si>
    <t>NAC0536</t>
  </si>
  <si>
    <t>Armstrong Flowers</t>
  </si>
  <si>
    <t>NAC0537</t>
  </si>
  <si>
    <t>NAC0538</t>
  </si>
  <si>
    <t>NAC0539</t>
  </si>
  <si>
    <t>NAC0540</t>
  </si>
  <si>
    <t>Association Floral Importers of Florida</t>
  </si>
  <si>
    <t>NAC0541</t>
  </si>
  <si>
    <t>Atascocita Lake Houston Florist</t>
  </si>
  <si>
    <t>NAC0542</t>
  </si>
  <si>
    <t>Avas Flowers</t>
  </si>
  <si>
    <t>NAC0543</t>
  </si>
  <si>
    <t>B &amp; R Supermarket, Inc/ Milam's Market</t>
  </si>
  <si>
    <t>NAC0544</t>
  </si>
  <si>
    <t>NAC0545</t>
  </si>
  <si>
    <t>BADDING BROS FARM LLC</t>
  </si>
  <si>
    <t>NAC0546</t>
  </si>
  <si>
    <t>NAC0547</t>
  </si>
  <si>
    <t>Ball Tagawa Growers</t>
  </si>
  <si>
    <t>NAC0548</t>
  </si>
  <si>
    <t>Ballard's Flowers, Inc.</t>
  </si>
  <si>
    <t>NAC0549</t>
  </si>
  <si>
    <t>Banabox</t>
  </si>
  <si>
    <t>NAC0550</t>
  </si>
  <si>
    <t>NAC0551</t>
  </si>
  <si>
    <t>NAC0552</t>
  </si>
  <si>
    <t>Bard Flowers</t>
  </si>
  <si>
    <t>NAC0553</t>
  </si>
  <si>
    <t>Barlow's</t>
  </si>
  <si>
    <t>NAC0554</t>
  </si>
  <si>
    <t>BARLOW'S FLOWER FARM</t>
  </si>
  <si>
    <t>NAC0555</t>
  </si>
  <si>
    <t>Barrett's Garden Center, LLC</t>
  </si>
  <si>
    <t>NAC0556</t>
  </si>
  <si>
    <t>NAC0557</t>
  </si>
  <si>
    <t>Bay City Flowers</t>
  </si>
  <si>
    <t>NAC0558</t>
  </si>
  <si>
    <t>NAC0559</t>
  </si>
  <si>
    <t>Beautiful Roses, Inc.</t>
  </si>
  <si>
    <t>NAC0560</t>
  </si>
  <si>
    <t>Bedford Florist-Retailer</t>
  </si>
  <si>
    <t>NAC0561</t>
  </si>
  <si>
    <t>Bee Xiong Farmer's Market</t>
  </si>
  <si>
    <t>NAC0562</t>
  </si>
  <si>
    <t>Bela Flor Nurseries</t>
  </si>
  <si>
    <t>NAC0563</t>
  </si>
  <si>
    <t>Belak Flowers, Inc.</t>
  </si>
  <si>
    <t>NAC0564</t>
  </si>
  <si>
    <t>Bella Rosa International</t>
  </si>
  <si>
    <t>NAC0565</t>
  </si>
  <si>
    <t>Bella's Blossoms</t>
  </si>
  <si>
    <t>NAC0566</t>
  </si>
  <si>
    <t>Belle Fleur Inc.</t>
  </si>
  <si>
    <t>NAC0567</t>
  </si>
  <si>
    <t>NAC0568</t>
  </si>
  <si>
    <t>Bennett Plants</t>
  </si>
  <si>
    <t>NAC0569</t>
  </si>
  <si>
    <t>NAC0570</t>
  </si>
  <si>
    <t>Berkeley Florist Supply Co.</t>
  </si>
  <si>
    <t>NAC0571</t>
  </si>
  <si>
    <t>NAC0572</t>
  </si>
  <si>
    <t>Between Flowers</t>
  </si>
  <si>
    <t>NAC0573</t>
  </si>
  <si>
    <t>NAC0574</t>
  </si>
  <si>
    <t>Bill Doran Company</t>
  </si>
  <si>
    <t>NAC0575</t>
  </si>
  <si>
    <t>Billy Heroman's Flowers &amp; Gifts</t>
  </si>
  <si>
    <t>NAC0576</t>
  </si>
  <si>
    <t>Bliss Floral &amp; Gifts</t>
  </si>
  <si>
    <t>NAC0577</t>
  </si>
  <si>
    <t>NAC0578</t>
  </si>
  <si>
    <t>NAC0579</t>
  </si>
  <si>
    <t>BloomsyBox.comLLC</t>
  </si>
  <si>
    <t>NAC0580</t>
  </si>
  <si>
    <t>Blossom Vang</t>
  </si>
  <si>
    <t>NAC0581</t>
  </si>
  <si>
    <t>NAC0582</t>
  </si>
  <si>
    <t>Blossoms &amp; Bloom Wholesale</t>
  </si>
  <si>
    <t>NAC0583</t>
  </si>
  <si>
    <t>NAC0584</t>
  </si>
  <si>
    <t>NAC0585</t>
  </si>
  <si>
    <t>BLUE SKY NURSERY</t>
  </si>
  <si>
    <t>NAC0586</t>
  </si>
  <si>
    <t>NAC0587</t>
  </si>
  <si>
    <t>BND Farm</t>
  </si>
  <si>
    <t>NAC0588</t>
  </si>
  <si>
    <t>BOB'S FLOWERS</t>
  </si>
  <si>
    <t>NAC0589</t>
  </si>
  <si>
    <t>NAC0590</t>
  </si>
  <si>
    <t>Boonstle</t>
  </si>
  <si>
    <t>NAC0591</t>
  </si>
  <si>
    <t>Bordine Nursery</t>
  </si>
  <si>
    <t>NAC0592</t>
  </si>
  <si>
    <t>NAC0593</t>
  </si>
  <si>
    <t>NAC0594</t>
  </si>
  <si>
    <t>NAC0595</t>
  </si>
  <si>
    <t>BowKay.com</t>
  </si>
  <si>
    <t>NAC0596</t>
  </si>
  <si>
    <t>Breen's Florist</t>
  </si>
  <si>
    <t>NAC0597</t>
  </si>
  <si>
    <t>The Brenmar Inc.</t>
  </si>
  <si>
    <t>NAC0598</t>
  </si>
  <si>
    <t>Briar Rose Greenhouse LLC</t>
  </si>
  <si>
    <t>NAC0599</t>
  </si>
  <si>
    <t>Bright Hopewell Missionary Baptist Church</t>
  </si>
  <si>
    <t>NAC0600</t>
  </si>
  <si>
    <t>NAC0601</t>
  </si>
  <si>
    <t>Brightway Farm</t>
  </si>
  <si>
    <t>NAC0602</t>
  </si>
  <si>
    <t>Brisa's Flowers LLC</t>
  </si>
  <si>
    <t>NAC0603</t>
  </si>
  <si>
    <t>Brooks Nursery</t>
  </si>
  <si>
    <t>NAC0604</t>
  </si>
  <si>
    <t>NAC0605</t>
  </si>
  <si>
    <t>Bruce's Greenhouses, Inc</t>
  </si>
  <si>
    <t>NAC0606</t>
  </si>
  <si>
    <t>NAC0607</t>
  </si>
  <si>
    <t>NAC0608</t>
  </si>
  <si>
    <t>Bouquet &amp; More</t>
  </si>
  <si>
    <t>NAC0609</t>
  </si>
  <si>
    <t>BUNZL BUFFALO</t>
  </si>
  <si>
    <t>NAC0610</t>
  </si>
  <si>
    <t>NAC0611</t>
  </si>
  <si>
    <t>Burge Flower Shop</t>
  </si>
  <si>
    <t>NAC0612</t>
  </si>
  <si>
    <t>NAC0613</t>
  </si>
  <si>
    <t>NAC0614</t>
  </si>
  <si>
    <t>NAC0615</t>
  </si>
  <si>
    <t>C.I. AMANCAY S.A.S.</t>
  </si>
  <si>
    <t>NAC0616</t>
  </si>
  <si>
    <t>NAC0617</t>
  </si>
  <si>
    <t>Caan Floral and Greenhouses</t>
  </si>
  <si>
    <t>NAC0618</t>
  </si>
  <si>
    <t>NAC0619</t>
  </si>
  <si>
    <t>Calabrese Greenhouse</t>
  </si>
  <si>
    <t>NAC0620</t>
  </si>
  <si>
    <t>NAC0621</t>
  </si>
  <si>
    <t>California Plant Company, LLC</t>
  </si>
  <si>
    <t>NAC0622</t>
  </si>
  <si>
    <t>Camflor, Inc.</t>
  </si>
  <si>
    <t>NAC0623</t>
  </si>
  <si>
    <t>Carcon Floral LLC</t>
  </si>
  <si>
    <t>NAC0624</t>
  </si>
  <si>
    <t>NAC0625</t>
  </si>
  <si>
    <t>Carlson's Greenhouse</t>
  </si>
  <si>
    <t>NAC0626</t>
  </si>
  <si>
    <t>Carmen Davila</t>
  </si>
  <si>
    <t>NAC0627</t>
  </si>
  <si>
    <t>CAROLINA GREENERY</t>
  </si>
  <si>
    <t>NAC0628</t>
  </si>
  <si>
    <t>Casa Flora</t>
  </si>
  <si>
    <t>NAC0629</t>
  </si>
  <si>
    <t>Casa Verde Del Valle S.A. De CV</t>
  </si>
  <si>
    <t>NAC0630</t>
  </si>
  <si>
    <t>NAC0631</t>
  </si>
  <si>
    <t>Cedar Park Florist</t>
  </si>
  <si>
    <t>NAC0632</t>
  </si>
  <si>
    <t>NAC0633</t>
  </si>
  <si>
    <t>NAC0634</t>
  </si>
  <si>
    <t>Cerro Punta, S. A.</t>
  </si>
  <si>
    <t>NAC0635</t>
  </si>
  <si>
    <t>Chalifours Flowers and Gifts</t>
  </si>
  <si>
    <t>NAC0636</t>
  </si>
  <si>
    <t>CHARME FLOWERS INC</t>
  </si>
  <si>
    <t>NAC0637</t>
  </si>
  <si>
    <t>Chase's Greenhouse</t>
  </si>
  <si>
    <t>NAC0638</t>
  </si>
  <si>
    <t>Chattanooga Flower Market</t>
  </si>
  <si>
    <t>NAC0639</t>
  </si>
  <si>
    <t>Cheryl&amp;Co.</t>
  </si>
  <si>
    <t>NAC0640</t>
  </si>
  <si>
    <t>Chloe's Collections Florist</t>
  </si>
  <si>
    <t>NAC0641</t>
  </si>
  <si>
    <t>NAC0642</t>
  </si>
  <si>
    <t>Chocolate Thunder Chocolate Thunder</t>
  </si>
  <si>
    <t>NAC0643</t>
  </si>
  <si>
    <t>Chong Yang</t>
  </si>
  <si>
    <t>NAC0644</t>
  </si>
  <si>
    <t>Chong's Garden</t>
  </si>
  <si>
    <t>NAC0645</t>
  </si>
  <si>
    <t>NAC0646</t>
  </si>
  <si>
    <t>NAC0647</t>
  </si>
  <si>
    <t>Cifarelli's Nursery, Inc</t>
  </si>
  <si>
    <t>NAC0648</t>
  </si>
  <si>
    <t>CK</t>
  </si>
  <si>
    <t>NAC0649</t>
  </si>
  <si>
    <t>NAC0650</t>
  </si>
  <si>
    <t>Classic Floral Inc.</t>
  </si>
  <si>
    <t>NAC0651</t>
  </si>
  <si>
    <t>NAC0652</t>
  </si>
  <si>
    <t>NAC0653</t>
  </si>
  <si>
    <t>Claudia's Flowers, LLC</t>
  </si>
  <si>
    <t>NAC0654</t>
  </si>
  <si>
    <t>NAC0655</t>
  </si>
  <si>
    <t>CLESEN BROTHERS, INC.</t>
  </si>
  <si>
    <t>NAC0656</t>
  </si>
  <si>
    <t>CLESEN WHOLESALE</t>
  </si>
  <si>
    <t>NAC0657</t>
  </si>
  <si>
    <t>NAC0658</t>
  </si>
  <si>
    <t>Coleman Florist</t>
  </si>
  <si>
    <t>NAC0659</t>
  </si>
  <si>
    <t>COLOMBIAN PARADISE FLOWERS SAS</t>
  </si>
  <si>
    <t>NAC0660</t>
  </si>
  <si>
    <t>COLONIAL GARDENS</t>
  </si>
  <si>
    <t>NAC0661</t>
  </si>
  <si>
    <t>Colonial Gardens, LLC</t>
  </si>
  <si>
    <t>NAC0662</t>
  </si>
  <si>
    <t>NAC0663</t>
  </si>
  <si>
    <t>Color Inc Corrporation</t>
  </si>
  <si>
    <t>NAC0664</t>
  </si>
  <si>
    <t>Color Life Joint Stock Company</t>
  </si>
  <si>
    <t>NAC0665</t>
  </si>
  <si>
    <t>NAC0666</t>
  </si>
  <si>
    <t>NAC0667</t>
  </si>
  <si>
    <t>Connectaflor LLC</t>
  </si>
  <si>
    <t>NAC0668</t>
  </si>
  <si>
    <t>Continental Farms LLC</t>
  </si>
  <si>
    <t>NAC0669</t>
  </si>
  <si>
    <t>NAC0670</t>
  </si>
  <si>
    <t>NAC0671</t>
  </si>
  <si>
    <t>Cooper Creek Growers</t>
  </si>
  <si>
    <t>NAC0672</t>
  </si>
  <si>
    <t>NAC0673</t>
  </si>
  <si>
    <t>NAC0674</t>
  </si>
  <si>
    <t>Country Place Greenhouse</t>
  </si>
  <si>
    <t>NAC0675</t>
  </si>
  <si>
    <t>NAC0676</t>
  </si>
  <si>
    <t>Created By Mechel</t>
  </si>
  <si>
    <t>NAC0677</t>
  </si>
  <si>
    <t>Creative Floral Supply Corp.</t>
  </si>
  <si>
    <t>NAC0678</t>
  </si>
  <si>
    <t>CULLMAN FLORIST</t>
  </si>
  <si>
    <t>NAC0679</t>
  </si>
  <si>
    <t>Cupp &amp; Cupp Corp.</t>
  </si>
  <si>
    <t>NAC0680</t>
  </si>
  <si>
    <t>NAC0681</t>
  </si>
  <si>
    <t>Cyn-Mar</t>
  </si>
  <si>
    <t>NAC0682</t>
  </si>
  <si>
    <t>NAC0683</t>
  </si>
  <si>
    <t>D'Rose</t>
  </si>
  <si>
    <t>NAC0684</t>
  </si>
  <si>
    <t>Da's Fresh Cut Flowers</t>
  </si>
  <si>
    <t>NAC0685</t>
  </si>
  <si>
    <t>NAC0686</t>
  </si>
  <si>
    <t>Dahlstrom &amp; Watt</t>
  </si>
  <si>
    <t>NAC0687</t>
  </si>
  <si>
    <t>NAC0688</t>
  </si>
  <si>
    <t>Dash Dream Plant Inc</t>
  </si>
  <si>
    <t>NAC0689</t>
  </si>
  <si>
    <t>Davis &amp; Sawin Florist</t>
  </si>
  <si>
    <t>NAC0690</t>
  </si>
  <si>
    <t>Davis Farms</t>
  </si>
  <si>
    <t>NAC0691</t>
  </si>
  <si>
    <t>Davis Floral</t>
  </si>
  <si>
    <t>NAC0692</t>
  </si>
  <si>
    <t>Davis Wholesale Florist - Birmingham</t>
  </si>
  <si>
    <t>NAC0693</t>
  </si>
  <si>
    <t>NAC0694</t>
  </si>
  <si>
    <t>Dawns Nursery-</t>
  </si>
  <si>
    <t>NAC0695</t>
  </si>
  <si>
    <t>Daydream Bokay Jonesborough LLC Michael A</t>
  </si>
  <si>
    <t>NAC0696</t>
  </si>
  <si>
    <t>Decker's Floral &amp; Gift</t>
  </si>
  <si>
    <t>NAC0697</t>
  </si>
  <si>
    <t>DecoBusiness INC</t>
  </si>
  <si>
    <t>NAC0698</t>
  </si>
  <si>
    <t>Decowraps Test Customer</t>
  </si>
  <si>
    <t>NAC0699</t>
  </si>
  <si>
    <t>Decowraps West Coast</t>
  </si>
  <si>
    <t>NAC0700</t>
  </si>
  <si>
    <t>NAC0701</t>
  </si>
  <si>
    <t>DeGoede Bulb Farms inc</t>
  </si>
  <si>
    <t>NAC0702</t>
  </si>
  <si>
    <t>DeJong Greenhouses</t>
  </si>
  <si>
    <t>NAC0703</t>
  </si>
  <si>
    <t>Del Tropico Farms NYC Corp</t>
  </si>
  <si>
    <t>NAC0704</t>
  </si>
  <si>
    <t>NAC0705</t>
  </si>
  <si>
    <t>DeLeon's Bromeliads</t>
  </si>
  <si>
    <t>NAC0706</t>
  </si>
  <si>
    <t>NAC0707</t>
  </si>
  <si>
    <t>Delta Floral Distributors</t>
  </si>
  <si>
    <t>NAC0708</t>
  </si>
  <si>
    <t>NAC0709</t>
  </si>
  <si>
    <t>Design Worl BDA Inside Accents</t>
  </si>
  <si>
    <t>NAC0710</t>
  </si>
  <si>
    <t>NAC0711</t>
  </si>
  <si>
    <t>Devin Designs</t>
  </si>
  <si>
    <t>NAC0712</t>
  </si>
  <si>
    <t>NAC0713</t>
  </si>
  <si>
    <t>DFW Floral Supply</t>
  </si>
  <si>
    <t>NAC0714</t>
  </si>
  <si>
    <t>Dick's Flower Shop</t>
  </si>
  <si>
    <t>NAC0715</t>
  </si>
  <si>
    <t>Dickerson Growers, LLC</t>
  </si>
  <si>
    <t>NAC0716</t>
  </si>
  <si>
    <t>Dickerson's Flowers Shop</t>
  </si>
  <si>
    <t>NAC0717</t>
  </si>
  <si>
    <t>Dickman Farms</t>
  </si>
  <si>
    <t>NAC0718</t>
  </si>
  <si>
    <t>Dillon Floral</t>
  </si>
  <si>
    <t>NAC0719</t>
  </si>
  <si>
    <t>Direct Flowers</t>
  </si>
  <si>
    <t>NAC0720</t>
  </si>
  <si>
    <t>NAC0721</t>
  </si>
  <si>
    <t>Dobie's Flowers and Produce</t>
  </si>
  <si>
    <t>NAC0722</t>
  </si>
  <si>
    <t>Dodson's Floral</t>
  </si>
  <si>
    <t>NAC0723</t>
  </si>
  <si>
    <t>NAC0724</t>
  </si>
  <si>
    <t>Donya's Florals</t>
  </si>
  <si>
    <t>NAC0725</t>
  </si>
  <si>
    <t>Dooley's Florist, Inc.</t>
  </si>
  <si>
    <t>NAC0726</t>
  </si>
  <si>
    <t>NAC0727</t>
  </si>
  <si>
    <t>Dothan Nurseries</t>
  </si>
  <si>
    <t>NAC0728</t>
  </si>
  <si>
    <t>Dougherty Flowers Inc</t>
  </si>
  <si>
    <t>NAC0729</t>
  </si>
  <si>
    <t>NAC0730</t>
  </si>
  <si>
    <t>Dream With Colors, Inc.</t>
  </si>
  <si>
    <t>NAC0731</t>
  </si>
  <si>
    <t>Dreamy Diaper Creations</t>
  </si>
  <si>
    <t>NAC0732</t>
  </si>
  <si>
    <t>NAC0733</t>
  </si>
  <si>
    <t>NAC0734</t>
  </si>
  <si>
    <t>NAC0735</t>
  </si>
  <si>
    <t>DUDEK FLORIST SUPPLY</t>
  </si>
  <si>
    <t>NAC0736</t>
  </si>
  <si>
    <t>Dutch Heritage Gardens</t>
  </si>
  <si>
    <t>NAC0737</t>
  </si>
  <si>
    <t>Dutch Petals</t>
  </si>
  <si>
    <t>NAC0738</t>
  </si>
  <si>
    <t>NAC0739</t>
  </si>
  <si>
    <t>Dutchman Tree Farms LLC</t>
  </si>
  <si>
    <t>NAC0740</t>
  </si>
  <si>
    <t>NAC0741</t>
  </si>
  <si>
    <t>NAC0742</t>
  </si>
  <si>
    <t>NAC0743</t>
  </si>
  <si>
    <t>DWF Wholesale Florist-Milwaukee</t>
  </si>
  <si>
    <t>NAC0744</t>
  </si>
  <si>
    <t>NAC0745</t>
  </si>
  <si>
    <t>NAC0746</t>
  </si>
  <si>
    <t>NAC0747</t>
  </si>
  <si>
    <t>NAC0748</t>
  </si>
  <si>
    <t>NAC0749</t>
  </si>
  <si>
    <t>DWF Wholesale Florist-Sea Trac</t>
  </si>
  <si>
    <t>NAC0750</t>
  </si>
  <si>
    <t>NAC0751</t>
  </si>
  <si>
    <t>NAC0752</t>
  </si>
  <si>
    <t>NAC0753</t>
  </si>
  <si>
    <t>NAC0754</t>
  </si>
  <si>
    <t>NAC0755</t>
  </si>
  <si>
    <t>NAC0756</t>
  </si>
  <si>
    <t>NAC0757</t>
  </si>
  <si>
    <t>Earl J. Doescher Co., Inc.</t>
  </si>
  <si>
    <t>NAC0758</t>
  </si>
  <si>
    <t>ECHTER'S GREENHOUSES, INC.</t>
  </si>
  <si>
    <t>NAC0759</t>
  </si>
  <si>
    <t>NAC0760</t>
  </si>
  <si>
    <t>NAC0761</t>
  </si>
  <si>
    <t>Ecuador´s Origin Products</t>
  </si>
  <si>
    <t>NAC0762</t>
  </si>
  <si>
    <t>EDGEWOOD GREENHOUSES</t>
  </si>
  <si>
    <t>NAC0763</t>
  </si>
  <si>
    <t>Edible</t>
  </si>
  <si>
    <t>NAC0764</t>
  </si>
  <si>
    <t>EGAN GARDENS, INC.</t>
  </si>
  <si>
    <t>NAC0765</t>
  </si>
  <si>
    <t>El Camino Florist</t>
  </si>
  <si>
    <t>NAC0766</t>
  </si>
  <si>
    <t>EL CHANGARRO</t>
  </si>
  <si>
    <t>NAC0767</t>
  </si>
  <si>
    <t>NAC0768</t>
  </si>
  <si>
    <t>ELIZ FLOWERS INC</t>
  </si>
  <si>
    <t>NAC0769</t>
  </si>
  <si>
    <t>NAC0770</t>
  </si>
  <si>
    <t>NAC0771</t>
  </si>
  <si>
    <t>Encore Floral Marketing Inc.</t>
  </si>
  <si>
    <t>NAC0772</t>
  </si>
  <si>
    <t>English Gardens</t>
  </si>
  <si>
    <t>NAC0773</t>
  </si>
  <si>
    <t>NAC0774</t>
  </si>
  <si>
    <t>Epoxytec International, Inc.</t>
  </si>
  <si>
    <t>NAC0775</t>
  </si>
  <si>
    <t>NAC0776</t>
  </si>
  <si>
    <t>Equiflor Corporation</t>
  </si>
  <si>
    <t>NAC0777</t>
  </si>
  <si>
    <t>Erzenmyne Garden LLC</t>
  </si>
  <si>
    <t>NAC0778</t>
  </si>
  <si>
    <t>NAC0779</t>
  </si>
  <si>
    <t>NAC0780</t>
  </si>
  <si>
    <t>NAC0781</t>
  </si>
  <si>
    <t>NAC0782</t>
  </si>
  <si>
    <t>NAC0783</t>
  </si>
  <si>
    <t>Excel Farms Inc</t>
  </si>
  <si>
    <t>NAC0784</t>
  </si>
  <si>
    <t>NAC0785</t>
  </si>
  <si>
    <t>EXPORTADORA DE FLORES DE CORTE,S.A.</t>
  </si>
  <si>
    <t>NAC0786</t>
  </si>
  <si>
    <t>Expressions Flowers LLC</t>
  </si>
  <si>
    <t>NAC0787</t>
  </si>
  <si>
    <t>Expressions Unlimited Inc.</t>
  </si>
  <si>
    <t>NAC0788</t>
  </si>
  <si>
    <t>NAC0789</t>
  </si>
  <si>
    <t>Fabulous Flowers &amp; Gifts</t>
  </si>
  <si>
    <t>NAC0790</t>
  </si>
  <si>
    <t>FAHR GREENHOUSES, INC.</t>
  </si>
  <si>
    <t>NAC0791</t>
  </si>
  <si>
    <t>NAC0792</t>
  </si>
  <si>
    <t>NAC0793</t>
  </si>
  <si>
    <t>NAC0794</t>
  </si>
  <si>
    <t>NAC0795</t>
  </si>
  <si>
    <t>Family Farmer's Market</t>
  </si>
  <si>
    <t>NAC0796</t>
  </si>
  <si>
    <t>NAC0797</t>
  </si>
  <si>
    <t>FANTASTIC GARDENS</t>
  </si>
  <si>
    <t>NAC0798</t>
  </si>
  <si>
    <t>NAC0799</t>
  </si>
  <si>
    <t>Fantasy Foliage</t>
  </si>
  <si>
    <t>NAC0800</t>
  </si>
  <si>
    <t>NAC0801</t>
  </si>
  <si>
    <t>NAC0802</t>
  </si>
  <si>
    <t>Farmhaus Flower Co</t>
  </si>
  <si>
    <t>NAC0803</t>
  </si>
  <si>
    <t>FernTrust Inc</t>
  </si>
  <si>
    <t>NAC0804</t>
  </si>
  <si>
    <t>NAC0805</t>
  </si>
  <si>
    <t>NAC0806</t>
  </si>
  <si>
    <t>Fiore Farms</t>
  </si>
  <si>
    <t>NAC0807</t>
  </si>
  <si>
    <t>NAC0808</t>
  </si>
  <si>
    <t>FLAMENCO FLOWERS</t>
  </si>
  <si>
    <t>NAC0809</t>
  </si>
  <si>
    <t>NAC0810</t>
  </si>
  <si>
    <t>Flora West Inc.</t>
  </si>
  <si>
    <t>NAC0811</t>
  </si>
  <si>
    <t>NAC0812</t>
  </si>
  <si>
    <t>Jute + Jade</t>
  </si>
  <si>
    <t>NAC0813</t>
  </si>
  <si>
    <t>Floral Group, Inc.</t>
  </si>
  <si>
    <t>NAC0814</t>
  </si>
  <si>
    <t>NAC0815</t>
  </si>
  <si>
    <t>Floral Services</t>
  </si>
  <si>
    <t>NAC0816</t>
  </si>
  <si>
    <t>NAC0817</t>
  </si>
  <si>
    <t>Floral Union Farms</t>
  </si>
  <si>
    <t>NAC0818</t>
  </si>
  <si>
    <t>NAC0819</t>
  </si>
  <si>
    <t>Florecer LLC</t>
  </si>
  <si>
    <t>NAC0820</t>
  </si>
  <si>
    <t>Flores de Chiltepec, S.A. de C.V.</t>
  </si>
  <si>
    <t>NAC0821</t>
  </si>
  <si>
    <t>Flores Ecológicas la Carpintera  S.A.</t>
  </si>
  <si>
    <t>NAC0822</t>
  </si>
  <si>
    <t>FLORES IPANEMA S.A.S</t>
  </si>
  <si>
    <t>NAC0823</t>
  </si>
  <si>
    <t>NAC0824</t>
  </si>
  <si>
    <t>NAC0825</t>
  </si>
  <si>
    <t>NAC0826</t>
  </si>
  <si>
    <t>Flower Bed</t>
  </si>
  <si>
    <t>NAC0827</t>
  </si>
  <si>
    <t>NAC0828</t>
  </si>
  <si>
    <t>FLOWER GALLERY LTD</t>
  </si>
  <si>
    <t>NAC0829</t>
  </si>
  <si>
    <t>Flower Man</t>
  </si>
  <si>
    <t>NAC0830</t>
  </si>
  <si>
    <t>Flower Pak, Inc.</t>
  </si>
  <si>
    <t>NAC0831</t>
  </si>
  <si>
    <t>Flower Power Wholesale</t>
  </si>
  <si>
    <t>NAC0832</t>
  </si>
  <si>
    <t>Flowerama of Gulf Breeze</t>
  </si>
  <si>
    <t>NAC0833</t>
  </si>
  <si>
    <t>Flowerfields Florist</t>
  </si>
  <si>
    <t>NAC0834</t>
  </si>
  <si>
    <t>FLOWERLAND.</t>
  </si>
  <si>
    <t>NAC0835</t>
  </si>
  <si>
    <t>NAC0836</t>
  </si>
  <si>
    <t>Flowers &amp; Services</t>
  </si>
  <si>
    <t>NAC0837</t>
  </si>
  <si>
    <t>Flowers and Candles HRC</t>
  </si>
  <si>
    <t>NAC0838</t>
  </si>
  <si>
    <t>NAC0839</t>
  </si>
  <si>
    <t>Flowers by Faby Inc</t>
  </si>
  <si>
    <t>NAC0840</t>
  </si>
  <si>
    <t>Flowers By George, Inc.</t>
  </si>
  <si>
    <t>NAC0841</t>
  </si>
  <si>
    <t>NAC0842</t>
  </si>
  <si>
    <t>Flowers By Julia</t>
  </si>
  <si>
    <t>NAC0843</t>
  </si>
  <si>
    <t>Flowers By Mary Lou</t>
  </si>
  <si>
    <t>NAC0844</t>
  </si>
  <si>
    <t>NAC0845</t>
  </si>
  <si>
    <t>Flowers by Steve, Inc.</t>
  </si>
  <si>
    <t>NAC0846</t>
  </si>
  <si>
    <t>Flowers by Susan</t>
  </si>
  <si>
    <t>NAC0847</t>
  </si>
  <si>
    <t>NAC0848</t>
  </si>
  <si>
    <t>NAC0849</t>
  </si>
  <si>
    <t>NAC0850</t>
  </si>
  <si>
    <t>Foertmeyer &amp; Sons Greenhouse</t>
  </si>
  <si>
    <t>NAC0851</t>
  </si>
  <si>
    <t>NAC0852</t>
  </si>
  <si>
    <t>NAC0853</t>
  </si>
  <si>
    <t>Forget Me not Flowers &amp; Event Inc</t>
  </si>
  <si>
    <t>NAC0854</t>
  </si>
  <si>
    <t>FORT COLLINS NURSERY INC</t>
  </si>
  <si>
    <t>NAC0855</t>
  </si>
  <si>
    <t>NAC0856</t>
  </si>
  <si>
    <t>NAC0857</t>
  </si>
  <si>
    <t>NAC0858</t>
  </si>
  <si>
    <t>NAC0859</t>
  </si>
  <si>
    <t>Fred C. Gloeckner &amp; Company, Inc.</t>
  </si>
  <si>
    <t>NAC0860</t>
  </si>
  <si>
    <t>Fred Meyer's</t>
  </si>
  <si>
    <t>NAC0861</t>
  </si>
  <si>
    <t>NAC0862</t>
  </si>
  <si>
    <t>NAC0863</t>
  </si>
  <si>
    <t>NAC0864</t>
  </si>
  <si>
    <t>NAC0865</t>
  </si>
  <si>
    <t>NAC0866</t>
  </si>
  <si>
    <t>NAC0867</t>
  </si>
  <si>
    <t>NAC0868</t>
  </si>
  <si>
    <t>FST Wholesale</t>
  </si>
  <si>
    <t>NAC0869</t>
  </si>
  <si>
    <t>NAC0870</t>
  </si>
  <si>
    <t>NAC0871</t>
  </si>
  <si>
    <t>NAC0872</t>
  </si>
  <si>
    <t>NAC0873</t>
  </si>
  <si>
    <t>NAC0874</t>
  </si>
  <si>
    <t>Garden City Floral</t>
  </si>
  <si>
    <t>NAC0875</t>
  </si>
  <si>
    <t>GARDEN STATE GROWERS, LLC</t>
  </si>
  <si>
    <t>NAC0876</t>
  </si>
  <si>
    <t>NAC0877</t>
  </si>
  <si>
    <t>Garnett Flowers &amp; Gifts</t>
  </si>
  <si>
    <t>NAC0878</t>
  </si>
  <si>
    <t>Garrison Hill Florist</t>
  </si>
  <si>
    <t>NAC0879</t>
  </si>
  <si>
    <t>NAC0880</t>
  </si>
  <si>
    <t>NAC0881</t>
  </si>
  <si>
    <t>NAC0882</t>
  </si>
  <si>
    <t>Georgetown Flowers &amp; Gifts</t>
  </si>
  <si>
    <t>NAC0883</t>
  </si>
  <si>
    <t>Georgewood Florist</t>
  </si>
  <si>
    <t>NAC0884</t>
  </si>
  <si>
    <t>Georgia Interior Wholesale</t>
  </si>
  <si>
    <t>NAC0885</t>
  </si>
  <si>
    <t>Georgia State Floral Distributor</t>
  </si>
  <si>
    <t>NAC0886</t>
  </si>
  <si>
    <t>NAC0887</t>
  </si>
  <si>
    <t>NAC0888</t>
  </si>
  <si>
    <t>NAC0889</t>
  </si>
  <si>
    <t>GKG FULFILLMENT LLC.</t>
  </si>
  <si>
    <t>NAC0890</t>
  </si>
  <si>
    <t>Global Bouquet</t>
  </si>
  <si>
    <t>NAC0891</t>
  </si>
  <si>
    <t>GLOBAL INNOVATIONS CONCEPTS, INC</t>
  </si>
  <si>
    <t>NAC0892</t>
  </si>
  <si>
    <t>Goldbelly Inc.</t>
  </si>
  <si>
    <t>NAC0893</t>
  </si>
  <si>
    <t>NAC0894</t>
  </si>
  <si>
    <t>NAC0895</t>
  </si>
  <si>
    <t>Golden's Flowers</t>
  </si>
  <si>
    <t>NAC0896</t>
  </si>
  <si>
    <t>NAC0897</t>
  </si>
  <si>
    <t>NAC0898</t>
  </si>
  <si>
    <t>NAC0899</t>
  </si>
  <si>
    <t>Green Gable Farms</t>
  </si>
  <si>
    <t>NAC0900</t>
  </si>
  <si>
    <t>NAC0901</t>
  </si>
  <si>
    <t>GREEN THINGS</t>
  </si>
  <si>
    <t>NAC0902</t>
  </si>
  <si>
    <t>Green Thumb Interior</t>
  </si>
  <si>
    <t>NAC0903</t>
  </si>
  <si>
    <t>Green Valley Floral</t>
  </si>
  <si>
    <t>NAC0904</t>
  </si>
  <si>
    <t>NAC0905</t>
  </si>
  <si>
    <t>Greenleaf Nursery Company</t>
  </si>
  <si>
    <t>NAC0906</t>
  </si>
  <si>
    <t>NAC0907</t>
  </si>
  <si>
    <t>Gritt's Midway Greenhouse</t>
  </si>
  <si>
    <t>NAC0908</t>
  </si>
  <si>
    <t>NAC0909</t>
  </si>
  <si>
    <t>NAC0910</t>
  </si>
  <si>
    <t>Growers Transplanting, Inc</t>
  </si>
  <si>
    <t>NAC0911</t>
  </si>
  <si>
    <t>Growing Company, The</t>
  </si>
  <si>
    <t>NAC0912</t>
  </si>
  <si>
    <t>Grupo Americano de Comercio SAC</t>
  </si>
  <si>
    <t>NAC0913</t>
  </si>
  <si>
    <t>Grupo Viverista Torenias SRL</t>
  </si>
  <si>
    <t>NAC0914</t>
  </si>
  <si>
    <t>NAC0915</t>
  </si>
  <si>
    <t>H&amp;M Greenhouse &amp; Farm Market</t>
  </si>
  <si>
    <t>NAC0916</t>
  </si>
  <si>
    <t>H. Eunice Nursery Inc</t>
  </si>
  <si>
    <t>NAC0917</t>
  </si>
  <si>
    <t>H.J. Benken Florist &amp; Greenhouse</t>
  </si>
  <si>
    <t>NAC0918</t>
  </si>
  <si>
    <t>HACIENDA FLORES Y FRUTOS DE TECPAN S.A.</t>
  </si>
  <si>
    <t>NAC0919</t>
  </si>
  <si>
    <t>NAC0920</t>
  </si>
  <si>
    <t>NAC0921</t>
  </si>
  <si>
    <t>NAC0922</t>
  </si>
  <si>
    <t>NAC0923</t>
  </si>
  <si>
    <t>Heavenly Orchids Inc.</t>
  </si>
  <si>
    <t>NAC0924</t>
  </si>
  <si>
    <t>NAC0925</t>
  </si>
  <si>
    <t>HEIDENREICH GREENHOUSES</t>
  </si>
  <si>
    <t>NAC0926</t>
  </si>
  <si>
    <t>NAC0927</t>
  </si>
  <si>
    <t>Heinens Inc.</t>
  </si>
  <si>
    <t>NAC0928</t>
  </si>
  <si>
    <t>Helens Flowers of Farmingdale, Inc</t>
  </si>
  <si>
    <t>NAC0929</t>
  </si>
  <si>
    <t>NAC0930</t>
  </si>
  <si>
    <t>HENRY W. AGLE &amp; SONS, INC.</t>
  </si>
  <si>
    <t>NAC0931</t>
  </si>
  <si>
    <t>HFT International, Inc</t>
  </si>
  <si>
    <t>NAC0932</t>
  </si>
  <si>
    <t>Hillermann Nursery And Florist</t>
  </si>
  <si>
    <t>NAC0933</t>
  </si>
  <si>
    <t>NAC0934</t>
  </si>
  <si>
    <t>NAC0935</t>
  </si>
  <si>
    <t>Holland America Flowers LLC</t>
  </si>
  <si>
    <t>NAC0936</t>
  </si>
  <si>
    <t>Holland Flower Market, Inc</t>
  </si>
  <si>
    <t>NAC0937</t>
  </si>
  <si>
    <t>Holland Greenhouses Inc.</t>
  </si>
  <si>
    <t>NAC0938</t>
  </si>
  <si>
    <t>HONEYMOON ACRES</t>
  </si>
  <si>
    <t>NAC0939</t>
  </si>
  <si>
    <t>Horta USA, LLC</t>
  </si>
  <si>
    <t>NAC0940</t>
  </si>
  <si>
    <t>Houa Xiong</t>
  </si>
  <si>
    <t>NAC0941</t>
  </si>
  <si>
    <t>House of Blooms</t>
  </si>
  <si>
    <t>NAC0942</t>
  </si>
  <si>
    <t>House of Flora</t>
  </si>
  <si>
    <t>NAC0943</t>
  </si>
  <si>
    <t>Howard's Nurseries, Inc.</t>
  </si>
  <si>
    <t>NAC0944</t>
  </si>
  <si>
    <t>Hubert Company LLC**</t>
  </si>
  <si>
    <t>NAC0945</t>
  </si>
  <si>
    <t>NAC0946</t>
  </si>
  <si>
    <t>Hugo's Supermarket #06</t>
  </si>
  <si>
    <t>NAC0947</t>
  </si>
  <si>
    <t>NAC0948</t>
  </si>
  <si>
    <t>NAC0949</t>
  </si>
  <si>
    <t>Hugo's Supermarket #05</t>
  </si>
  <si>
    <t>NAC0950</t>
  </si>
  <si>
    <t>Hugo's Supermarket #02</t>
  </si>
  <si>
    <t>NAC0951</t>
  </si>
  <si>
    <t>NAC0952</t>
  </si>
  <si>
    <t>Humble Flowers</t>
  </si>
  <si>
    <t>NAC0953</t>
  </si>
  <si>
    <t>NAC0954</t>
  </si>
  <si>
    <t>Humphrey's Flowers</t>
  </si>
  <si>
    <t>NAC0955</t>
  </si>
  <si>
    <t>NAC0956</t>
  </si>
  <si>
    <t>Hy-vee #1887</t>
  </si>
  <si>
    <t>NAC0957</t>
  </si>
  <si>
    <t>NAC0958</t>
  </si>
  <si>
    <t>NAC0959</t>
  </si>
  <si>
    <t>NAC0960</t>
  </si>
  <si>
    <t>NAC0961</t>
  </si>
  <si>
    <t>ICE CREAM WORLD LLC</t>
  </si>
  <si>
    <t>NAC0962</t>
  </si>
  <si>
    <t>Imperial Freight Brokers</t>
  </si>
  <si>
    <t>NAC0963</t>
  </si>
  <si>
    <t>NAC0964</t>
  </si>
  <si>
    <t>Infinite Herbs LLC</t>
  </si>
  <si>
    <t>NAC0965</t>
  </si>
  <si>
    <t>INTERFLOR LLC</t>
  </si>
  <si>
    <t>NAC0966</t>
  </si>
  <si>
    <t>INTERIORSCAPES-MEMPHIS</t>
  </si>
  <si>
    <t>NAC0967</t>
  </si>
  <si>
    <t>NAC0968</t>
  </si>
  <si>
    <t>NAC0969</t>
  </si>
  <si>
    <t>Irving Sanchez Angeles</t>
  </si>
  <si>
    <t>NAC0970</t>
  </si>
  <si>
    <t>NAC0971</t>
  </si>
  <si>
    <t>NAC0972</t>
  </si>
  <si>
    <t>NAC0973</t>
  </si>
  <si>
    <t>Ivy Acres, Inc</t>
  </si>
  <si>
    <t>NAC0974</t>
  </si>
  <si>
    <t>NAC0975</t>
  </si>
  <si>
    <t>NAC0976</t>
  </si>
  <si>
    <t>J. Bacon Farms, LLC.</t>
  </si>
  <si>
    <t>NAC0977</t>
  </si>
  <si>
    <t>J.J. Flowers Inc</t>
  </si>
  <si>
    <t>NAC0978</t>
  </si>
  <si>
    <t>NAC0979</t>
  </si>
  <si>
    <t>NAC0980</t>
  </si>
  <si>
    <t>Jardin Constanza</t>
  </si>
  <si>
    <t>NAC0981</t>
  </si>
  <si>
    <t>Jardin Luriam</t>
  </si>
  <si>
    <t>NAC0982</t>
  </si>
  <si>
    <t>Jardines Asomante</t>
  </si>
  <si>
    <t>NAC0983</t>
  </si>
  <si>
    <t>Jeffrey's Flowers by Design</t>
  </si>
  <si>
    <t>NAC0984</t>
  </si>
  <si>
    <t>Jeffrey's Greenworld &amp; Florist Inc</t>
  </si>
  <si>
    <t>NAC0985</t>
  </si>
  <si>
    <t>Jet Fresh Flower Distributor</t>
  </si>
  <si>
    <t>NAC0986</t>
  </si>
  <si>
    <t>NAC0987</t>
  </si>
  <si>
    <t>NAC0988</t>
  </si>
  <si>
    <t>NAC0989</t>
  </si>
  <si>
    <t>Jimbo´s</t>
  </si>
  <si>
    <t>NAC0990</t>
  </si>
  <si>
    <t>JOHN H RADEBAUGH</t>
  </si>
  <si>
    <t>NAC0991</t>
  </si>
  <si>
    <t>John W. Cox, Inc. Wholesale Florist</t>
  </si>
  <si>
    <t>NAC0992</t>
  </si>
  <si>
    <t>Johnson Nursery Inc.</t>
  </si>
  <si>
    <t>NAC0993</t>
  </si>
  <si>
    <t>NAC0994</t>
  </si>
  <si>
    <t>NAC0995</t>
  </si>
  <si>
    <t>NAC0996</t>
  </si>
  <si>
    <t>NAC0997</t>
  </si>
  <si>
    <t>NAC0998</t>
  </si>
  <si>
    <t>NAC0999</t>
  </si>
  <si>
    <t>Joyce Merck Florist</t>
  </si>
  <si>
    <t>NAC1000</t>
  </si>
  <si>
    <t>NAC1001</t>
  </si>
  <si>
    <t>JZ Flowers USA</t>
  </si>
  <si>
    <t>NAC1002</t>
  </si>
  <si>
    <t>NAC1003</t>
  </si>
  <si>
    <t>Kahala Flowers LLC</t>
  </si>
  <si>
    <t>NAC1004</t>
  </si>
  <si>
    <t>NAC1005</t>
  </si>
  <si>
    <t>NAC1006</t>
  </si>
  <si>
    <t>Karen's Flower Shop</t>
  </si>
  <si>
    <t>NAC1007</t>
  </si>
  <si>
    <t>NAC1008</t>
  </si>
  <si>
    <t>Kathy's 2nd Chance Plants</t>
  </si>
  <si>
    <t>NAC1009</t>
  </si>
  <si>
    <t>NAC1010</t>
  </si>
  <si>
    <t>Kazumi Garden, LLC</t>
  </si>
  <si>
    <t>NAC1011</t>
  </si>
  <si>
    <t>NAC1012</t>
  </si>
  <si>
    <t>Kelle's Flower &amp; Gifts</t>
  </si>
  <si>
    <t>NAC1013</t>
  </si>
  <si>
    <t>NAC1014</t>
  </si>
  <si>
    <t>Ken Chang</t>
  </si>
  <si>
    <t>NAC1015</t>
  </si>
  <si>
    <t>NAC1016</t>
  </si>
  <si>
    <t>Monterey Bay Bouquet</t>
  </si>
  <si>
    <t>NAC1017</t>
  </si>
  <si>
    <t>Kendal Floral Supply Inc.</t>
  </si>
  <si>
    <t>NAC1018</t>
  </si>
  <si>
    <t>NAC1019</t>
  </si>
  <si>
    <t>NAC1020</t>
  </si>
  <si>
    <t>Kenyon Avenue Floral Co.</t>
  </si>
  <si>
    <t>NAC1021</t>
  </si>
  <si>
    <t>NAC1022</t>
  </si>
  <si>
    <t>Integrated Floral Services, LLC (IFS)</t>
  </si>
  <si>
    <t>NAC1023</t>
  </si>
  <si>
    <t>King Wholesale Flowers Co</t>
  </si>
  <si>
    <t>NAC1024</t>
  </si>
  <si>
    <t>NAC1025</t>
  </si>
  <si>
    <t>NAC1026</t>
  </si>
  <si>
    <t>Kitayama Bros Inc.</t>
  </si>
  <si>
    <t>NAC1027</t>
  </si>
  <si>
    <t>NAC1028</t>
  </si>
  <si>
    <t>KM Handling</t>
  </si>
  <si>
    <t>NAC1029</t>
  </si>
  <si>
    <t>Kraatz Florist</t>
  </si>
  <si>
    <t>NAC1030</t>
  </si>
  <si>
    <t>KREHER ENTERPRISES LLC</t>
  </si>
  <si>
    <t>NAC1031</t>
  </si>
  <si>
    <t>Kroger Ralph's Riverside</t>
  </si>
  <si>
    <t>NAC1032</t>
  </si>
  <si>
    <t>Kroger Fred Meyer-Clackamas</t>
  </si>
  <si>
    <t>NAC1033</t>
  </si>
  <si>
    <t>Roundys 093</t>
  </si>
  <si>
    <t>NAC1034</t>
  </si>
  <si>
    <t>Kroger Ralphs Compton</t>
  </si>
  <si>
    <t>NAC1035</t>
  </si>
  <si>
    <t>Kroger Peyton's Mid South</t>
  </si>
  <si>
    <t>NAC1036</t>
  </si>
  <si>
    <t>Kroger Fort Gillem GA</t>
  </si>
  <si>
    <t>NAC1037</t>
  </si>
  <si>
    <t>Kroger NFC Whs</t>
  </si>
  <si>
    <t>NAC1038</t>
  </si>
  <si>
    <t>Kroger Peyton's Fountain</t>
  </si>
  <si>
    <t>NAC1039</t>
  </si>
  <si>
    <t>Kroger Peyton's Phoenix</t>
  </si>
  <si>
    <t>NAC1040</t>
  </si>
  <si>
    <t>NAC1041</t>
  </si>
  <si>
    <t>NAC1042</t>
  </si>
  <si>
    <t>NAC1043</t>
  </si>
  <si>
    <t>NAC1044</t>
  </si>
  <si>
    <t>L y E Decoración yDiseño Spa</t>
  </si>
  <si>
    <t>NAC1045</t>
  </si>
  <si>
    <t>Lake Ozark Christian Church Manager</t>
  </si>
  <si>
    <t>NAC1046</t>
  </si>
  <si>
    <t>Lao Pao Xiong</t>
  </si>
  <si>
    <t>NAC1047</t>
  </si>
  <si>
    <t>Lawrence J. Lapide, Inc.</t>
  </si>
  <si>
    <t>NAC1048</t>
  </si>
  <si>
    <t>Lee Family Farm</t>
  </si>
  <si>
    <t>NAC1049</t>
  </si>
  <si>
    <t>Lee Family Farm &amp; Gardens</t>
  </si>
  <si>
    <t>NAC1050</t>
  </si>
  <si>
    <t>NAC1051</t>
  </si>
  <si>
    <t>NAC1052</t>
  </si>
  <si>
    <t>NAC1053</t>
  </si>
  <si>
    <t>NAC1054</t>
  </si>
  <si>
    <t>NAC1055</t>
  </si>
  <si>
    <t>LENNON FARM  GREENHOUSES</t>
  </si>
  <si>
    <t>NAC1056</t>
  </si>
  <si>
    <t>NAC1057</t>
  </si>
  <si>
    <t>NAC1058</t>
  </si>
  <si>
    <t>NAC1059</t>
  </si>
  <si>
    <t>Lily's Fresh Produce</t>
  </si>
  <si>
    <t>NAC1060</t>
  </si>
  <si>
    <t>Linda's Flower Shop</t>
  </si>
  <si>
    <t>NAC1061</t>
  </si>
  <si>
    <t>NAC1062</t>
  </si>
  <si>
    <t>Lively Root Technologies Inc</t>
  </si>
  <si>
    <t>NAC1063</t>
  </si>
  <si>
    <t>Lo FLorist Supplies, LLC</t>
  </si>
  <si>
    <t>NAC1064</t>
  </si>
  <si>
    <t>Loop's Nursery</t>
  </si>
  <si>
    <t>NAC1065</t>
  </si>
  <si>
    <t>Lor Generation Garden</t>
  </si>
  <si>
    <t>NAC1066</t>
  </si>
  <si>
    <t>NAC1067</t>
  </si>
  <si>
    <t>NAC1068</t>
  </si>
  <si>
    <t>Lowe's Flowers</t>
  </si>
  <si>
    <t>NAC1069</t>
  </si>
  <si>
    <t>NAC1070</t>
  </si>
  <si>
    <t>Lucia´s Lilies S.A.</t>
  </si>
  <si>
    <t>NAC1071</t>
  </si>
  <si>
    <t>Lucky's Market</t>
  </si>
  <si>
    <t>NAC1072</t>
  </si>
  <si>
    <t>Lucy's Floral</t>
  </si>
  <si>
    <t>NAC1073</t>
  </si>
  <si>
    <t>NAC1074</t>
  </si>
  <si>
    <t>NAC1075</t>
  </si>
  <si>
    <t>Lynn Mayer's Great Lakes Glads, Inc.</t>
  </si>
  <si>
    <t>NAC1076</t>
  </si>
  <si>
    <t>NAC1077</t>
  </si>
  <si>
    <t>NAC1078</t>
  </si>
  <si>
    <t>Macroflora</t>
  </si>
  <si>
    <t>NAC1079</t>
  </si>
  <si>
    <t>Made For Your Soul</t>
  </si>
  <si>
    <t>NAC1080</t>
  </si>
  <si>
    <t>NAC1081</t>
  </si>
  <si>
    <t>NAC1082</t>
  </si>
  <si>
    <t>Main Street Wholesale</t>
  </si>
  <si>
    <t>NAC1083</t>
  </si>
  <si>
    <t>NAC1084</t>
  </si>
  <si>
    <t>NAC1085</t>
  </si>
  <si>
    <t>MARION FLOWER SHOP</t>
  </si>
  <si>
    <t>NAC1086</t>
  </si>
  <si>
    <t>NAC1087</t>
  </si>
  <si>
    <t>NAC1088</t>
  </si>
  <si>
    <t>Market Street #562</t>
  </si>
  <si>
    <t>NAC1089</t>
  </si>
  <si>
    <t>Market Street #502</t>
  </si>
  <si>
    <t>NAC1090</t>
  </si>
  <si>
    <t>Market Street #526</t>
  </si>
  <si>
    <t>NAC1091</t>
  </si>
  <si>
    <t>Market Street #675</t>
  </si>
  <si>
    <t>NAC1092</t>
  </si>
  <si>
    <t>Market Street #561</t>
  </si>
  <si>
    <t>NAC1093</t>
  </si>
  <si>
    <t>Market Street #563</t>
  </si>
  <si>
    <t>NAC1094</t>
  </si>
  <si>
    <t>Market Street #553</t>
  </si>
  <si>
    <t>NAC1095</t>
  </si>
  <si>
    <t>Market Street #696</t>
  </si>
  <si>
    <t>NAC1096</t>
  </si>
  <si>
    <t>Market Street #543</t>
  </si>
  <si>
    <t>NAC1097</t>
  </si>
  <si>
    <t>Market Street #517</t>
  </si>
  <si>
    <t>NAC1098</t>
  </si>
  <si>
    <t>Market Street #565</t>
  </si>
  <si>
    <t>NAC1099</t>
  </si>
  <si>
    <t>Market Street #566</t>
  </si>
  <si>
    <t>NAC1100</t>
  </si>
  <si>
    <t>Market Street #685</t>
  </si>
  <si>
    <t>NAC1101</t>
  </si>
  <si>
    <t>Market Street #674</t>
  </si>
  <si>
    <t>NAC1102</t>
  </si>
  <si>
    <t>Market Street #564</t>
  </si>
  <si>
    <t>NAC1103</t>
  </si>
  <si>
    <t>Market Street #679</t>
  </si>
  <si>
    <t>NAC1104</t>
  </si>
  <si>
    <t>Market Street #560</t>
  </si>
  <si>
    <t>NAC1105</t>
  </si>
  <si>
    <t>NAC1106</t>
  </si>
  <si>
    <t>NAC1107</t>
  </si>
  <si>
    <t>Mary's Greenhouse</t>
  </si>
  <si>
    <t>NAC1108</t>
  </si>
  <si>
    <t>NAC1109</t>
  </si>
  <si>
    <t>Masson Farms of NM, Inc.</t>
  </si>
  <si>
    <t>NAC1110</t>
  </si>
  <si>
    <t>NAC1111</t>
  </si>
  <si>
    <t>Matsui Nursery</t>
  </si>
  <si>
    <t>NAC1112</t>
  </si>
  <si>
    <t>Matsumoto Family Floral</t>
  </si>
  <si>
    <t>NAC1113</t>
  </si>
  <si>
    <t>NAC1114</t>
  </si>
  <si>
    <t>NAC1115</t>
  </si>
  <si>
    <t>Mavrode Farms</t>
  </si>
  <si>
    <t>NAC1116</t>
  </si>
  <si>
    <t>NAC1117</t>
  </si>
  <si>
    <t>NAC1118</t>
  </si>
  <si>
    <t>May Greenhouses</t>
  </si>
  <si>
    <t>NAC1119</t>
  </si>
  <si>
    <t>NAC1120</t>
  </si>
  <si>
    <t>NAC1121</t>
  </si>
  <si>
    <t>MC Commerce DBA Bluumii</t>
  </si>
  <si>
    <t>NAC1122</t>
  </si>
  <si>
    <t>NAC1123</t>
  </si>
  <si>
    <t>NAC1124</t>
  </si>
  <si>
    <t>McLellan Botanicals</t>
  </si>
  <si>
    <t>NAC1125</t>
  </si>
  <si>
    <t>NAC1126</t>
  </si>
  <si>
    <t>Mellano &amp; Company-SLR</t>
  </si>
  <si>
    <t>NAC1127</t>
  </si>
  <si>
    <t>NAC1128</t>
  </si>
  <si>
    <t>NAC1129</t>
  </si>
  <si>
    <t>Mexico Road Florist</t>
  </si>
  <si>
    <t>NAC1130</t>
  </si>
  <si>
    <t>Mexiflower LLC</t>
  </si>
  <si>
    <t>NAC1131</t>
  </si>
  <si>
    <t>NAC1132</t>
  </si>
  <si>
    <t>Mi Casa Jardin</t>
  </si>
  <si>
    <t>NAC1133</t>
  </si>
  <si>
    <t>NAC1134</t>
  </si>
  <si>
    <t>NAC1135</t>
  </si>
  <si>
    <t>NAC1136</t>
  </si>
  <si>
    <t>Milad Brands, L.L.C</t>
  </si>
  <si>
    <t>NAC1137</t>
  </si>
  <si>
    <t>Mildred's Florist</t>
  </si>
  <si>
    <t>NAC1138</t>
  </si>
  <si>
    <t>Milgro Newcastle</t>
  </si>
  <si>
    <t>NAC1139</t>
  </si>
  <si>
    <t>Milgro Home, LLC</t>
  </si>
  <si>
    <t>NAC1140</t>
  </si>
  <si>
    <t>NAC1141</t>
  </si>
  <si>
    <t>Mill Lane Nursery Inc.</t>
  </si>
  <si>
    <t>NAC1142</t>
  </si>
  <si>
    <t>NAC1143</t>
  </si>
  <si>
    <t>NAC1144</t>
  </si>
  <si>
    <t>NAC1145</t>
  </si>
  <si>
    <t>NAC1146</t>
  </si>
  <si>
    <t>NAC1147</t>
  </si>
  <si>
    <t>MMXII FLOWERS EXPRESS</t>
  </si>
  <si>
    <t>NAC1148</t>
  </si>
  <si>
    <t>NAC1149</t>
  </si>
  <si>
    <t>MOLENAAR GREENHOUSES</t>
  </si>
  <si>
    <t>NAC1150</t>
  </si>
  <si>
    <t>NAC1151</t>
  </si>
  <si>
    <t>NAC1152</t>
  </si>
  <si>
    <t>NAC1153</t>
  </si>
  <si>
    <t>MRS BLOOMS LICENSE CORP</t>
  </si>
  <si>
    <t>NAC1154</t>
  </si>
  <si>
    <t>NAC1155</t>
  </si>
  <si>
    <t>Mueller's Greenhouses, Inc</t>
  </si>
  <si>
    <t>NAC1156</t>
  </si>
  <si>
    <t>Mulberry Bush, The</t>
  </si>
  <si>
    <t>NAC1157</t>
  </si>
  <si>
    <t>Multiflora Corporation</t>
  </si>
  <si>
    <t>NAC1158</t>
  </si>
  <si>
    <t>NAC1159</t>
  </si>
  <si>
    <t>Nalani Plant Service, LLC</t>
  </si>
  <si>
    <t>NAC1160</t>
  </si>
  <si>
    <t>Naples Botanical Gardens</t>
  </si>
  <si>
    <t>NAC1161</t>
  </si>
  <si>
    <t>NAC1162</t>
  </si>
  <si>
    <t>NAC1163</t>
  </si>
  <si>
    <t>Native Wholesale (Chicago)</t>
  </si>
  <si>
    <t>NAC1164</t>
  </si>
  <si>
    <t>NAC1165</t>
  </si>
  <si>
    <t>NAC1166</t>
  </si>
  <si>
    <t>NAC1167</t>
  </si>
  <si>
    <t>NAC1168</t>
  </si>
  <si>
    <t>NAC1169</t>
  </si>
  <si>
    <t>NEXCOM WEST COAST</t>
  </si>
  <si>
    <t>NAC1170</t>
  </si>
  <si>
    <t>NAC1171</t>
  </si>
  <si>
    <t>Nelson And Holmberg</t>
  </si>
  <si>
    <t>NAC1172</t>
  </si>
  <si>
    <t>Neosho Gardens</t>
  </si>
  <si>
    <t>NAC1173</t>
  </si>
  <si>
    <t>New Generation Farms</t>
  </si>
  <si>
    <t>NAC1174</t>
  </si>
  <si>
    <t>NAC1175</t>
  </si>
  <si>
    <t>New Seasons Market</t>
  </si>
  <si>
    <t>NAC1176</t>
  </si>
  <si>
    <t>NAC1177</t>
  </si>
  <si>
    <t>NAC1178</t>
  </si>
  <si>
    <t>NAC1179</t>
  </si>
  <si>
    <t>Northern Virginia Whosale Growers</t>
  </si>
  <si>
    <t>NAC1180</t>
  </si>
  <si>
    <t>NORTHGATE GREENHOUSE</t>
  </si>
  <si>
    <t>NAC1181</t>
  </si>
  <si>
    <t>Northlake Gardens</t>
  </si>
  <si>
    <t>NAC1182</t>
  </si>
  <si>
    <t>Northside Greenhouses KL Inc.</t>
  </si>
  <si>
    <t>NAC1183</t>
  </si>
  <si>
    <t>NAC1184</t>
  </si>
  <si>
    <t>NAC1185</t>
  </si>
  <si>
    <t>NAC1186</t>
  </si>
  <si>
    <t>O'CONNOR FAMILY NURSERY</t>
  </si>
  <si>
    <t>NAC1187</t>
  </si>
  <si>
    <t>NAC1188</t>
  </si>
  <si>
    <t>Ocean View Flowers</t>
  </si>
  <si>
    <t>NAC1189</t>
  </si>
  <si>
    <t>NAC1190</t>
  </si>
  <si>
    <t>NAC1191</t>
  </si>
  <si>
    <t>NAC1192</t>
  </si>
  <si>
    <t>NAC1193</t>
  </si>
  <si>
    <t>Orban's Nursery Inc</t>
  </si>
  <si>
    <t>NAC1194</t>
  </si>
  <si>
    <t>ORIGINALS INC</t>
  </si>
  <si>
    <t>NAC1195</t>
  </si>
  <si>
    <t>Owen Nursery and Florist</t>
  </si>
  <si>
    <t>NAC1196</t>
  </si>
  <si>
    <t>P&amp;S Flowers, Inc.</t>
  </si>
  <si>
    <t>NAC1197</t>
  </si>
  <si>
    <t>P.R. FLORAL MARKETING</t>
  </si>
  <si>
    <t>NAC1198</t>
  </si>
  <si>
    <t>Pa Houa Vang</t>
  </si>
  <si>
    <t>NAC1199</t>
  </si>
  <si>
    <t>Pacific Growers Inc.</t>
  </si>
  <si>
    <t>NAC1200</t>
  </si>
  <si>
    <t>NAC1201</t>
  </si>
  <si>
    <t>Palm Beach Wholesale Flowers, Inc.</t>
  </si>
  <si>
    <t>NAC1202</t>
  </si>
  <si>
    <t>NAC1203</t>
  </si>
  <si>
    <t>Panzer Nursery</t>
  </si>
  <si>
    <t>NAC1204</t>
  </si>
  <si>
    <t>Paperlot Guatemala</t>
  </si>
  <si>
    <t>NAC1205</t>
  </si>
  <si>
    <t>NAC1206</t>
  </si>
  <si>
    <t>Paraiso Plant Studio</t>
  </si>
  <si>
    <t>NAC1207</t>
  </si>
  <si>
    <t>NAC1208</t>
  </si>
  <si>
    <t>NAC1209</t>
  </si>
  <si>
    <t>NAC1210</t>
  </si>
  <si>
    <t>Parkway Florist</t>
  </si>
  <si>
    <t>NAC1211</t>
  </si>
  <si>
    <t>NAC1212</t>
  </si>
  <si>
    <t>NAC1213</t>
  </si>
  <si>
    <t>Pawoua Xiong</t>
  </si>
  <si>
    <t>NAC1214</t>
  </si>
  <si>
    <t>PEMBERTON'S GREENHOUSES</t>
  </si>
  <si>
    <t>NAC1215</t>
  </si>
  <si>
    <t>Penang Nursery</t>
  </si>
  <si>
    <t>NAC1216</t>
  </si>
  <si>
    <t>NAC1217</t>
  </si>
  <si>
    <t>Pennock Company Miami</t>
  </si>
  <si>
    <t>NAC1218</t>
  </si>
  <si>
    <t>NAC1219</t>
  </si>
  <si>
    <t>NAC1220</t>
  </si>
  <si>
    <t>NAC1221</t>
  </si>
  <si>
    <t>Perfect Choice Nursery Corp</t>
  </si>
  <si>
    <t>NAC1222</t>
  </si>
  <si>
    <t>Petals &amp; Plants - Sullivan</t>
  </si>
  <si>
    <t>NAC1223</t>
  </si>
  <si>
    <t>Petals and Stems Market / Plant Place</t>
  </si>
  <si>
    <t>NAC1224</t>
  </si>
  <si>
    <t>Petals Custom Floral Designs</t>
  </si>
  <si>
    <t>NAC1225</t>
  </si>
  <si>
    <t>Petals of Charlevoix, LLC</t>
  </si>
  <si>
    <t>NAC1226</t>
  </si>
  <si>
    <t>Pettle's Flowers</t>
  </si>
  <si>
    <t>NAC1227</t>
  </si>
  <si>
    <t>PETUNIA FACTORY</t>
  </si>
  <si>
    <t>NAC1228</t>
  </si>
  <si>
    <t>NAC1229</t>
  </si>
  <si>
    <t>NAC1230</t>
  </si>
  <si>
    <t>Pine Valley QLD PTY.LTD.</t>
  </si>
  <si>
    <t>NAC1231</t>
  </si>
  <si>
    <t>NAC1232</t>
  </si>
  <si>
    <t>NAC1233</t>
  </si>
  <si>
    <t>NAC1234</t>
  </si>
  <si>
    <t>NAC1235</t>
  </si>
  <si>
    <t>PLANTERRA.</t>
  </si>
  <si>
    <t>NAC1236</t>
  </si>
  <si>
    <t>NAC1237</t>
  </si>
  <si>
    <t>NAC1238</t>
  </si>
  <si>
    <t>NAC1239</t>
  </si>
  <si>
    <t>Pollen Flowers LLC</t>
  </si>
  <si>
    <t>NAC1240</t>
  </si>
  <si>
    <t>NAC1241</t>
  </si>
  <si>
    <t>NAC1242</t>
  </si>
  <si>
    <t>NAC1243</t>
  </si>
  <si>
    <t>NAC1244</t>
  </si>
  <si>
    <t>Prairie Gardens</t>
  </si>
  <si>
    <t>NAC1245</t>
  </si>
  <si>
    <t>PRESIDENTIAL PEONY'S</t>
  </si>
  <si>
    <t>NAC1246</t>
  </si>
  <si>
    <t>Primarossa SA</t>
  </si>
  <si>
    <t>NAC1247</t>
  </si>
  <si>
    <t>NAC1248</t>
  </si>
  <si>
    <t>NAC1249</t>
  </si>
  <si>
    <t>NAC1250</t>
  </si>
  <si>
    <t>Puerto Rico Flora Growers. Inc</t>
  </si>
  <si>
    <t>NAC1251</t>
  </si>
  <si>
    <t>NAC1252</t>
  </si>
  <si>
    <t>NAC1253</t>
  </si>
  <si>
    <t>Qaib Farm Produce</t>
  </si>
  <si>
    <t>NAC1254</t>
  </si>
  <si>
    <t>NAC1255</t>
  </si>
  <si>
    <t>NAC1256</t>
  </si>
  <si>
    <t>Raimondi Horticultural Group, Inc.</t>
  </si>
  <si>
    <t>NAC1257</t>
  </si>
  <si>
    <t>Rain City Ventures, LLC-Wild Canary Farm</t>
  </si>
  <si>
    <t>NAC1258</t>
  </si>
  <si>
    <t>Rain Forest Farms &amp; Bouquets USA Inc.</t>
  </si>
  <si>
    <t>NAC1259</t>
  </si>
  <si>
    <t>Rainbow's End Floral</t>
  </si>
  <si>
    <t>NAC1260</t>
  </si>
  <si>
    <t>NAC1261</t>
  </si>
  <si>
    <t>NAC1262</t>
  </si>
  <si>
    <t>Randy McManus Designs, Inc</t>
  </si>
  <si>
    <t>NAC1263</t>
  </si>
  <si>
    <t>Raul Cordova</t>
  </si>
  <si>
    <t>NAC1264</t>
  </si>
  <si>
    <t>Reality Plants LLC</t>
  </si>
  <si>
    <t>NAC1265</t>
  </si>
  <si>
    <t>NAC1266</t>
  </si>
  <si>
    <t>NAC1267</t>
  </si>
  <si>
    <t>NAC1268</t>
  </si>
  <si>
    <t>NAC1269</t>
  </si>
  <si>
    <t>NAC1270</t>
  </si>
  <si>
    <t>NAC1271</t>
  </si>
  <si>
    <t>NAC1272</t>
  </si>
  <si>
    <t>Reasor's #17</t>
  </si>
  <si>
    <t>NAC1273</t>
  </si>
  <si>
    <t>NAC1274</t>
  </si>
  <si>
    <t>NAC1275</t>
  </si>
  <si>
    <t>Reasor's #16</t>
  </si>
  <si>
    <t>NAC1276</t>
  </si>
  <si>
    <t>Reasor's #02</t>
  </si>
  <si>
    <t>NAC1277</t>
  </si>
  <si>
    <t>NAC1278</t>
  </si>
  <si>
    <t>NAC1279</t>
  </si>
  <si>
    <t>Reasor's #03</t>
  </si>
  <si>
    <t>NAC1280</t>
  </si>
  <si>
    <t>NAC1281</t>
  </si>
  <si>
    <t>NAC1282</t>
  </si>
  <si>
    <t>Rebel Hill Florist, Inc.</t>
  </si>
  <si>
    <t>NAC1283</t>
  </si>
  <si>
    <t>NAC1284</t>
  </si>
  <si>
    <t>Rennings Florist</t>
  </si>
  <si>
    <t>NAC1285</t>
  </si>
  <si>
    <t>Riley's Florist</t>
  </si>
  <si>
    <t>NAC1286</t>
  </si>
  <si>
    <t>River Ridge Farms</t>
  </si>
  <si>
    <t>NAC1287</t>
  </si>
  <si>
    <t>NAC1288</t>
  </si>
  <si>
    <t>NAC1289</t>
  </si>
  <si>
    <t>Riverside Greenhouse LLC</t>
  </si>
  <si>
    <t>NAC1290</t>
  </si>
  <si>
    <t>ROBERT H DEIBEL GREENHOUSES</t>
  </si>
  <si>
    <t>NAC1291</t>
  </si>
  <si>
    <t>ROBERTS WHOLESALE INC</t>
  </si>
  <si>
    <t>NAC1292</t>
  </si>
  <si>
    <t>NAC1293</t>
  </si>
  <si>
    <t>ROCKET FARMS- Vista</t>
  </si>
  <si>
    <t>NAC1294</t>
  </si>
  <si>
    <t>Rocket Farms Wholesale Center</t>
  </si>
  <si>
    <t>NAC1295</t>
  </si>
  <si>
    <t>Ronald Jones Ferneries</t>
  </si>
  <si>
    <t>NAC1296</t>
  </si>
  <si>
    <t>Rosamina S.A.S.</t>
  </si>
  <si>
    <t>NAC1297</t>
  </si>
  <si>
    <t>NAC1298</t>
  </si>
  <si>
    <t>Rose Gonzalez Plants</t>
  </si>
  <si>
    <t>NAC1299</t>
  </si>
  <si>
    <t>Rose of Sharon</t>
  </si>
  <si>
    <t>NAC1300</t>
  </si>
  <si>
    <t>RosesNBoxes.Com</t>
  </si>
  <si>
    <t>NAC1301</t>
  </si>
  <si>
    <t>Rowes Flowers LLC</t>
  </si>
  <si>
    <t>NAC1302</t>
  </si>
  <si>
    <t>Royal Flowers Inc</t>
  </si>
  <si>
    <t>NAC1303</t>
  </si>
  <si>
    <t>NAC1304</t>
  </si>
  <si>
    <t>RUIBAL'S PLANTS OF TEXAS</t>
  </si>
  <si>
    <t>NAC1305</t>
  </si>
  <si>
    <t>Rumhora</t>
  </si>
  <si>
    <t>NAC1306</t>
  </si>
  <si>
    <t>Russ's Market #01</t>
  </si>
  <si>
    <t>NAC1307</t>
  </si>
  <si>
    <t>Russ's Market #21</t>
  </si>
  <si>
    <t>NAC1308</t>
  </si>
  <si>
    <t>NAC1309</t>
  </si>
  <si>
    <t>Russ's Market #02</t>
  </si>
  <si>
    <t>NAC1310</t>
  </si>
  <si>
    <t>Russ's Market #16</t>
  </si>
  <si>
    <t>NAC1311</t>
  </si>
  <si>
    <t>NAC1312</t>
  </si>
  <si>
    <t>NAC1313</t>
  </si>
  <si>
    <t>NAC1314</t>
  </si>
  <si>
    <t>Safeway Portland</t>
  </si>
  <si>
    <t>NAC1315</t>
  </si>
  <si>
    <t>Safeway Eastern</t>
  </si>
  <si>
    <t>NAC1316</t>
  </si>
  <si>
    <t>Safeway Southern CA</t>
  </si>
  <si>
    <t>NAC1317</t>
  </si>
  <si>
    <t>Safeway Seattle</t>
  </si>
  <si>
    <t>NAC1318</t>
  </si>
  <si>
    <t>Shaw´s Supermarket Inc.</t>
  </si>
  <si>
    <t>NAC1319</t>
  </si>
  <si>
    <t>Safeway Denver</t>
  </si>
  <si>
    <t>NAC1320</t>
  </si>
  <si>
    <t>Safeway Southern</t>
  </si>
  <si>
    <t>NAC1321</t>
  </si>
  <si>
    <t>Safeway Intermountain</t>
  </si>
  <si>
    <t>NAC1322</t>
  </si>
  <si>
    <t>Safeway Northern CA</t>
  </si>
  <si>
    <t>NAC1323</t>
  </si>
  <si>
    <t>NAC1324</t>
  </si>
  <si>
    <t>Safeway Hold</t>
  </si>
  <si>
    <t>NAC1325</t>
  </si>
  <si>
    <t>Saker Shoprites, Inc.</t>
  </si>
  <si>
    <t>NAC1326</t>
  </si>
  <si>
    <t>NAC1327</t>
  </si>
  <si>
    <t>NAC1328</t>
  </si>
  <si>
    <t>Sande Ecuador Cia.Ltda.</t>
  </si>
  <si>
    <t>NAC1329</t>
  </si>
  <si>
    <t>NAC1330</t>
  </si>
  <si>
    <t>Sarah Troegner</t>
  </si>
  <si>
    <t>NAC1331</t>
  </si>
  <si>
    <t>Schaefer Greenhouses</t>
  </si>
  <si>
    <t>NAC1332</t>
  </si>
  <si>
    <t>NAC1333</t>
  </si>
  <si>
    <t>NAC1334</t>
  </si>
  <si>
    <t>SCHRADER FLORIST &amp; GREENHOUSE</t>
  </si>
  <si>
    <t>NAC1335</t>
  </si>
  <si>
    <t>Scott Greathouse VENDOR</t>
  </si>
  <si>
    <t>NAC1336</t>
  </si>
  <si>
    <t>Seaside Florist</t>
  </si>
  <si>
    <t>NAC1337</t>
  </si>
  <si>
    <t>Seaview Nursery</t>
  </si>
  <si>
    <t>NAC1338</t>
  </si>
  <si>
    <t>Secor Farms Inc.</t>
  </si>
  <si>
    <t>NAC1339</t>
  </si>
  <si>
    <t>Servach Flor LLC.</t>
  </si>
  <si>
    <t>NAC1340</t>
  </si>
  <si>
    <t>Shady Creek Greenhouses LLC</t>
  </si>
  <si>
    <t>NAC1341</t>
  </si>
  <si>
    <t>Sharon Hoffman</t>
  </si>
  <si>
    <t>NAC1342</t>
  </si>
  <si>
    <t>SHARUM'S GARDEN CENTER</t>
  </si>
  <si>
    <t>NAC1343</t>
  </si>
  <si>
    <t>Shaw Florists</t>
  </si>
  <si>
    <t>NAC1344</t>
  </si>
  <si>
    <t>Shelby's Floral</t>
  </si>
  <si>
    <t>NAC1345</t>
  </si>
  <si>
    <t>Sierra Cargo LLC</t>
  </si>
  <si>
    <t>NAC1346</t>
  </si>
  <si>
    <t>NAC1347</t>
  </si>
  <si>
    <t>NAC1348</t>
  </si>
  <si>
    <t>NAC1349</t>
  </si>
  <si>
    <t>NAC1350</t>
  </si>
  <si>
    <t>Sister Flowers</t>
  </si>
  <si>
    <t>NAC1351</t>
  </si>
  <si>
    <t>SKH Wholesale Distributors</t>
  </si>
  <si>
    <t>NAC1352</t>
  </si>
  <si>
    <t>SL's Fresh Produce</t>
  </si>
  <si>
    <t>NAC1353</t>
  </si>
  <si>
    <t>NAC1354</t>
  </si>
  <si>
    <t>NAC1355</t>
  </si>
  <si>
    <t>Sorensen Greenhouses-</t>
  </si>
  <si>
    <t>NAC1356</t>
  </si>
  <si>
    <t>NAC1357</t>
  </si>
  <si>
    <t>NAC1358</t>
  </si>
  <si>
    <t>Southwood Landscape &amp; Nursery</t>
  </si>
  <si>
    <t>NAC1359</t>
  </si>
  <si>
    <t>NAC1360</t>
  </si>
  <si>
    <t>Spedale's Florist and Wholesale</t>
  </si>
  <si>
    <t>NAC1361</t>
  </si>
  <si>
    <t>NAC1362</t>
  </si>
  <si>
    <t>NAC1363</t>
  </si>
  <si>
    <t>Spring Fresh Flowers</t>
  </si>
  <si>
    <t>NAC1364</t>
  </si>
  <si>
    <t>Spring in the Air Corp.</t>
  </si>
  <si>
    <t>NAC1365</t>
  </si>
  <si>
    <t>Sprouts Farmer Market Stores</t>
  </si>
  <si>
    <t>NAC1366</t>
  </si>
  <si>
    <t>Squak Mt Nursery</t>
  </si>
  <si>
    <t>NAC1367</t>
  </si>
  <si>
    <t>NAC1368</t>
  </si>
  <si>
    <t>Stella Di Mare</t>
  </si>
  <si>
    <t>NAC1369</t>
  </si>
  <si>
    <t>Stellar Bouquet</t>
  </si>
  <si>
    <t>NAC1370</t>
  </si>
  <si>
    <t>Stems, Inc. / Chicago</t>
  </si>
  <si>
    <t>NAC1371</t>
  </si>
  <si>
    <t>Steve Durham</t>
  </si>
  <si>
    <t>NAC1372</t>
  </si>
  <si>
    <t>NAC1373</t>
  </si>
  <si>
    <t>Sua's Bouquet</t>
  </si>
  <si>
    <t>NAC1374</t>
  </si>
  <si>
    <t>SUE VANG</t>
  </si>
  <si>
    <t>NAC1375</t>
  </si>
  <si>
    <t>NAC1376</t>
  </si>
  <si>
    <t>NAC1377</t>
  </si>
  <si>
    <t>NAC1378</t>
  </si>
  <si>
    <t>SUNBLEST GARDENS, LLC</t>
  </si>
  <si>
    <t>NAC1379</t>
  </si>
  <si>
    <t>Suncrest Gardens Inc.</t>
  </si>
  <si>
    <t>NAC1380</t>
  </si>
  <si>
    <t>NAC1381</t>
  </si>
  <si>
    <t>NAC1382</t>
  </si>
  <si>
    <t>NAC1383</t>
  </si>
  <si>
    <t>Sunshine Bouquet dba Nature's Flowers</t>
  </si>
  <si>
    <t>NAC1384</t>
  </si>
  <si>
    <t>Sunshine Floral Inc.</t>
  </si>
  <si>
    <t>NAC1385</t>
  </si>
  <si>
    <t>NAC1386</t>
  </si>
  <si>
    <t>NAC1387</t>
  </si>
  <si>
    <t>NAC1388</t>
  </si>
  <si>
    <t>Super Saver #09</t>
  </si>
  <si>
    <t>NAC1389</t>
  </si>
  <si>
    <t>NAC1390</t>
  </si>
  <si>
    <t>Super Saver #17</t>
  </si>
  <si>
    <t>NAC1391</t>
  </si>
  <si>
    <t>NAC1392</t>
  </si>
  <si>
    <t>NAC1393</t>
  </si>
  <si>
    <t>NAC1394</t>
  </si>
  <si>
    <t>NAC1395</t>
  </si>
  <si>
    <t>NAC1396</t>
  </si>
  <si>
    <t>NAC1397</t>
  </si>
  <si>
    <t>Syringa Wholesale of Boise</t>
  </si>
  <si>
    <t>NAC1398</t>
  </si>
  <si>
    <t>T &amp; L Nursery</t>
  </si>
  <si>
    <t>NAC1399</t>
  </si>
  <si>
    <t>NAC1400</t>
  </si>
  <si>
    <t>Taisuco America Corp.DBA Mclellan Botanic</t>
  </si>
  <si>
    <t>NAC1401</t>
  </si>
  <si>
    <t>Tara (GLADRICH FLORIST SHOPPE) Sipsas</t>
  </si>
  <si>
    <t>NAC1402</t>
  </si>
  <si>
    <t>Target Hold</t>
  </si>
  <si>
    <t>NAC1403</t>
  </si>
  <si>
    <t>Tea Garden Nursery</t>
  </si>
  <si>
    <t>NAC1404</t>
  </si>
  <si>
    <t>NAC1405</t>
  </si>
  <si>
    <t>Test2</t>
  </si>
  <si>
    <t>NAC1406</t>
  </si>
  <si>
    <t>Teufel Holly Farm, Inc</t>
  </si>
  <si>
    <t>NAC1407</t>
  </si>
  <si>
    <t>Thao Xiong Market</t>
  </si>
  <si>
    <t>NAC1408</t>
  </si>
  <si>
    <t>NAC1409</t>
  </si>
  <si>
    <t>The Dees Nursery &amp; Florist Inc.</t>
  </si>
  <si>
    <t>NAC1410</t>
  </si>
  <si>
    <t>The Flower Explosion Corp.</t>
  </si>
  <si>
    <t>NAC1411</t>
  </si>
  <si>
    <t>The Flower Factory Inc.</t>
  </si>
  <si>
    <t>NAC1412</t>
  </si>
  <si>
    <t>NAC1413</t>
  </si>
  <si>
    <t>NAC1414</t>
  </si>
  <si>
    <t>The J Group/ The Daily Flower</t>
  </si>
  <si>
    <t>NAC1415</t>
  </si>
  <si>
    <t>The Meyocks Group Inc.</t>
  </si>
  <si>
    <t>NAC1416</t>
  </si>
  <si>
    <t>The Peddler Group, Inc.</t>
  </si>
  <si>
    <t>NAC1417</t>
  </si>
  <si>
    <t>NAC1418</t>
  </si>
  <si>
    <t>The plant Place, Inc</t>
  </si>
  <si>
    <t>NAC1419</t>
  </si>
  <si>
    <t>NAC1420</t>
  </si>
  <si>
    <t>NAC1421</t>
  </si>
  <si>
    <t>The Rose Connection, Inc.</t>
  </si>
  <si>
    <t>NAC1422</t>
  </si>
  <si>
    <t>NAC1423</t>
  </si>
  <si>
    <t>The Urban Jungle Group, LLC</t>
  </si>
  <si>
    <t>NAC1424</t>
  </si>
  <si>
    <t>NAC1425</t>
  </si>
  <si>
    <t>Three Oaks Greenhouse</t>
  </si>
  <si>
    <t>NAC1426</t>
  </si>
  <si>
    <t>NAC1427</t>
  </si>
  <si>
    <t>Timbuk Farms</t>
  </si>
  <si>
    <t>NAC1428</t>
  </si>
  <si>
    <t>Timeless Blossoms</t>
  </si>
  <si>
    <t>NAC1429</t>
  </si>
  <si>
    <t>NAC1430</t>
  </si>
  <si>
    <t>Tong See Yang Farms</t>
  </si>
  <si>
    <t>NAC1431</t>
  </si>
  <si>
    <t>Tony's Greenery</t>
  </si>
  <si>
    <t>NAC1432</t>
  </si>
  <si>
    <t>NAC1433</t>
  </si>
  <si>
    <t>Top Florist</t>
  </si>
  <si>
    <t>NAC1434</t>
  </si>
  <si>
    <t>NAC1435</t>
  </si>
  <si>
    <t>TRADE DISTRIBUTORS LLC (past Chem Supply)</t>
  </si>
  <si>
    <t>NAC1436</t>
  </si>
  <si>
    <t>Treasure Hut Flowers</t>
  </si>
  <si>
    <t>NAC1437</t>
  </si>
  <si>
    <t>Trees USA</t>
  </si>
  <si>
    <t>NAC1438</t>
  </si>
  <si>
    <t>TreeSap Farms, LLC- dba Hines Growers</t>
  </si>
  <si>
    <t>NAC1439</t>
  </si>
  <si>
    <t>Tremont Floral</t>
  </si>
  <si>
    <t>NAC1440</t>
  </si>
  <si>
    <t>TROPICAL NATURE, INC.</t>
  </si>
  <si>
    <t>NAC1441</t>
  </si>
  <si>
    <t>Tropical Trading Company LLC</t>
  </si>
  <si>
    <t>NAC1442</t>
  </si>
  <si>
    <t>Tropicultivos, S.A.</t>
  </si>
  <si>
    <t>NAC1443</t>
  </si>
  <si>
    <t>Turner Flowers</t>
  </si>
  <si>
    <t>NAC1444</t>
  </si>
  <si>
    <t>Twin Oaks Growers, Int.</t>
  </si>
  <si>
    <t>NAC1445</t>
  </si>
  <si>
    <t>NAC1446</t>
  </si>
  <si>
    <t>UNFI - SUPERVALU</t>
  </si>
  <si>
    <t>NAC1447</t>
  </si>
  <si>
    <t>NAC1448</t>
  </si>
  <si>
    <t>NAC1449</t>
  </si>
  <si>
    <t>NAC1450</t>
  </si>
  <si>
    <t>NAC1451</t>
  </si>
  <si>
    <t>United Supermarkets #539</t>
  </si>
  <si>
    <t>NAC1452</t>
  </si>
  <si>
    <t>United Supermarkets #523</t>
  </si>
  <si>
    <t>NAC1453</t>
  </si>
  <si>
    <t>United Supermarkets #537</t>
  </si>
  <si>
    <t>NAC1454</t>
  </si>
  <si>
    <t>UNITED SUPERMARKETS #552</t>
  </si>
  <si>
    <t>NAC1455</t>
  </si>
  <si>
    <t>United Supermarkets #555</t>
  </si>
  <si>
    <t>NAC1456</t>
  </si>
  <si>
    <t>United Supermarkets #513</t>
  </si>
  <si>
    <t>NAC1457</t>
  </si>
  <si>
    <t>United Supermarkets #551</t>
  </si>
  <si>
    <t>NAC1458</t>
  </si>
  <si>
    <t>United Supermarkets #657</t>
  </si>
  <si>
    <t>NAC1459</t>
  </si>
  <si>
    <t>United Supermarkets #530</t>
  </si>
  <si>
    <t>NAC1460</t>
  </si>
  <si>
    <t>United Supermarkets #529</t>
  </si>
  <si>
    <t>NAC1461</t>
  </si>
  <si>
    <t>United Supermarkets #545</t>
  </si>
  <si>
    <t>NAC1462</t>
  </si>
  <si>
    <t>United Supermarkets #574</t>
  </si>
  <si>
    <t>NAC1463</t>
  </si>
  <si>
    <t>United Supermarkets #663</t>
  </si>
  <si>
    <t>NAC1464</t>
  </si>
  <si>
    <t>United Wholesale Flowers</t>
  </si>
  <si>
    <t>NAC1465</t>
  </si>
  <si>
    <t>Uptown Florist</t>
  </si>
  <si>
    <t>NAC1466</t>
  </si>
  <si>
    <t>URBANSTEMS, INC.</t>
  </si>
  <si>
    <t>NAC1467</t>
  </si>
  <si>
    <t>usa bouquet</t>
  </si>
  <si>
    <t>NAC1468</t>
  </si>
  <si>
    <t>UTOPIA FARMS UTF S.A.S.</t>
  </si>
  <si>
    <t>NAC1469</t>
  </si>
  <si>
    <t>VAIUSO FARMS INC.</t>
  </si>
  <si>
    <t>NAC1470</t>
  </si>
  <si>
    <t>VALLEY SPRINGS LLC</t>
  </si>
  <si>
    <t>NAC1471</t>
  </si>
  <si>
    <t>NAC1472</t>
  </si>
  <si>
    <t>NAC1473</t>
  </si>
  <si>
    <t>NAC1474</t>
  </si>
  <si>
    <t>NAC1475</t>
  </si>
  <si>
    <t>Van Zyverden</t>
  </si>
  <si>
    <t>NAC1476</t>
  </si>
  <si>
    <t>Vang Heritage Farm.</t>
  </si>
  <si>
    <t>NAC1477</t>
  </si>
  <si>
    <t>Vang's Bouquet</t>
  </si>
  <si>
    <t>NAC1478</t>
  </si>
  <si>
    <t>Vangies Farm</t>
  </si>
  <si>
    <t>NAC1479</t>
  </si>
  <si>
    <t>NAC1480</t>
  </si>
  <si>
    <t>VEE'S FLOWERS</t>
  </si>
  <si>
    <t>NAC1481</t>
  </si>
  <si>
    <t>Veronica Shoemaker Florist</t>
  </si>
  <si>
    <t>NAC1482</t>
  </si>
  <si>
    <t>NAC1483</t>
  </si>
  <si>
    <t>NAC1484</t>
  </si>
  <si>
    <t>Vivero Sedano</t>
  </si>
  <si>
    <t>NAC1485</t>
  </si>
  <si>
    <t>NAC1486</t>
  </si>
  <si>
    <t>NAC1487</t>
  </si>
  <si>
    <t>Vue Family Farm</t>
  </si>
  <si>
    <t>NAC1488</t>
  </si>
  <si>
    <t>NAC1489</t>
  </si>
  <si>
    <t>WALDO &amp; ASSOCIATES, INC.</t>
  </si>
  <si>
    <t>NAC1490</t>
  </si>
  <si>
    <t>Wallkill View Farm, LLC</t>
  </si>
  <si>
    <t>NAC1491</t>
  </si>
  <si>
    <t>WALMART - BACKUP ORDERS</t>
  </si>
  <si>
    <t>NAC1492</t>
  </si>
  <si>
    <t>Walmart Hold</t>
  </si>
  <si>
    <t>NAC1493</t>
  </si>
  <si>
    <t>Walmart Stores Inc</t>
  </si>
  <si>
    <t>NAC1494</t>
  </si>
  <si>
    <t>NAC1495</t>
  </si>
  <si>
    <t>NAC1496</t>
  </si>
  <si>
    <t>Warner's Greenhouse</t>
  </si>
  <si>
    <t>NAC1497</t>
  </si>
  <si>
    <t>Warren's Nursery Inc.</t>
  </si>
  <si>
    <t>NAC1498</t>
  </si>
  <si>
    <t>NAC1499</t>
  </si>
  <si>
    <t>NAC1500</t>
  </si>
  <si>
    <t>NAC1501</t>
  </si>
  <si>
    <t>NAC1502</t>
  </si>
  <si>
    <t>WATSON'S GREENHOUSES</t>
  </si>
  <si>
    <t>NAC1503</t>
  </si>
  <si>
    <t>Wayne Greenhouse</t>
  </si>
  <si>
    <t>NAC1504</t>
  </si>
  <si>
    <t>NAC1505</t>
  </si>
  <si>
    <t>NAC1506</t>
  </si>
  <si>
    <t>NAC1507</t>
  </si>
  <si>
    <t>Weis Markets, Inc.</t>
  </si>
  <si>
    <t>NAC1508</t>
  </si>
  <si>
    <t>Wellington Florist</t>
  </si>
  <si>
    <t>NAC1509</t>
  </si>
  <si>
    <t>Westbank Florist</t>
  </si>
  <si>
    <t>NAC1510</t>
  </si>
  <si>
    <t>Westborn Market</t>
  </si>
  <si>
    <t>NAC1511</t>
  </si>
  <si>
    <t>NAC1512</t>
  </si>
  <si>
    <t>NAC1513</t>
  </si>
  <si>
    <t>Westside Flower &amp; Gift</t>
  </si>
  <si>
    <t>NAC1514</t>
  </si>
  <si>
    <t>NAC1515</t>
  </si>
  <si>
    <t>Wheeler Greenhouse</t>
  </si>
  <si>
    <t>NAC1516</t>
  </si>
  <si>
    <t>White's Nursery &amp; Greenhouses</t>
  </si>
  <si>
    <t>NAC1517</t>
  </si>
  <si>
    <t>NAC1518</t>
  </si>
  <si>
    <t>Whole Foods Market Maryland</t>
  </si>
  <si>
    <t>NAC1519</t>
  </si>
  <si>
    <t>WFM Global Perishable Purchasing</t>
  </si>
  <si>
    <t>NAC1520</t>
  </si>
  <si>
    <t>Pacific Northwest Distribution Center-WFM</t>
  </si>
  <si>
    <t>NAC1521</t>
  </si>
  <si>
    <t>NAC1522</t>
  </si>
  <si>
    <t>NAC1523</t>
  </si>
  <si>
    <t>NAC1524</t>
  </si>
  <si>
    <t>Williams Plant Farm</t>
  </si>
  <si>
    <t>NAC1525</t>
  </si>
  <si>
    <t>NAC1526</t>
  </si>
  <si>
    <t>NAC1527</t>
  </si>
  <si>
    <t>NAC1528</t>
  </si>
  <si>
    <t>NAC1529</t>
  </si>
  <si>
    <t>NAC1530</t>
  </si>
  <si>
    <t>NAC1531</t>
  </si>
  <si>
    <t>Worden Farm</t>
  </si>
  <si>
    <t>NAC1532</t>
  </si>
  <si>
    <t>NAC1533</t>
  </si>
  <si>
    <t>NAC1534</t>
  </si>
  <si>
    <t>XE THAO</t>
  </si>
  <si>
    <t>NAC1535</t>
  </si>
  <si>
    <t>Xia's Fresh-Cut Flowers and Vegetables</t>
  </si>
  <si>
    <t>NAC1536</t>
  </si>
  <si>
    <t>Xiong Family Farm</t>
  </si>
  <si>
    <t>NAC1537</t>
  </si>
  <si>
    <t>Xiong Family Market</t>
  </si>
  <si>
    <t>NAC1538</t>
  </si>
  <si>
    <t>NAC1539</t>
  </si>
  <si>
    <t>NAC1540</t>
  </si>
  <si>
    <t>Z.C.P.S</t>
  </si>
  <si>
    <t>NAC1541</t>
  </si>
  <si>
    <t>NAC1542</t>
  </si>
  <si>
    <t>NAC1543</t>
  </si>
  <si>
    <t>NAC1544</t>
  </si>
  <si>
    <t>Ramco Plastics LTD.</t>
  </si>
  <si>
    <t>NAC1545</t>
  </si>
  <si>
    <t>NAC1546</t>
  </si>
  <si>
    <t>Anne Chang</t>
  </si>
  <si>
    <t>NAC1547</t>
  </si>
  <si>
    <t>Sarah Linginfelter</t>
  </si>
  <si>
    <t>NAC1548</t>
  </si>
  <si>
    <t>gail alison</t>
  </si>
  <si>
    <t>NAC1549</t>
  </si>
  <si>
    <t>Anaya's Flowers LLC</t>
  </si>
  <si>
    <t>NAC1550</t>
  </si>
  <si>
    <t>Emslie the Florist &amp; Gifts</t>
  </si>
  <si>
    <t>NAC1551</t>
  </si>
  <si>
    <t>James Adkins</t>
  </si>
  <si>
    <t>NAC1552</t>
  </si>
  <si>
    <t>Mississippi State Univeristy</t>
  </si>
  <si>
    <t>NAC1553</t>
  </si>
  <si>
    <t>Brouwer Flowers</t>
  </si>
  <si>
    <t>NAC1554</t>
  </si>
  <si>
    <t>Shenandoah Growers, Inc.</t>
  </si>
  <si>
    <t>NAC1555</t>
  </si>
  <si>
    <t>Nordlie Inc.</t>
  </si>
  <si>
    <t>NAC1556</t>
  </si>
  <si>
    <t>Dramm &amp; Echter</t>
  </si>
  <si>
    <t>NAC1557</t>
  </si>
  <si>
    <t>C.I. Sunshine Bouquet Ltda</t>
  </si>
  <si>
    <t>NAC1558</t>
  </si>
  <si>
    <t>Cultivate and Bloom</t>
  </si>
  <si>
    <t>NAC1559</t>
  </si>
  <si>
    <t>Total Paper de Mexico SA de CV</t>
  </si>
  <si>
    <t>NAC1560</t>
  </si>
  <si>
    <t>Geopak Sucursal Colombia</t>
  </si>
  <si>
    <t>NAC1561</t>
  </si>
  <si>
    <t>Superior Floral</t>
  </si>
  <si>
    <t>NAC1562</t>
  </si>
  <si>
    <t>Hillcrest Gardens</t>
  </si>
  <si>
    <t>NAC1563</t>
  </si>
  <si>
    <t>Flori Design, Inc</t>
  </si>
  <si>
    <t>NAC1564</t>
  </si>
  <si>
    <t>DWF Wholesale Florist-Omaha</t>
  </si>
  <si>
    <t>NAC1565</t>
  </si>
  <si>
    <t>Corey Nursery</t>
  </si>
  <si>
    <t>NAC1566</t>
  </si>
  <si>
    <t>Bouquet Collect</t>
  </si>
  <si>
    <t>NAC1567</t>
  </si>
  <si>
    <t>Sorensen Greenhouses</t>
  </si>
  <si>
    <t>NAC1568</t>
  </si>
  <si>
    <t>Chan's Silk Flowers</t>
  </si>
  <si>
    <t>NAC1569</t>
  </si>
  <si>
    <t>Seagroatt Riccardi</t>
  </si>
  <si>
    <t>NAC1570</t>
  </si>
  <si>
    <t>Lexiflor</t>
  </si>
  <si>
    <t>NAC1571</t>
  </si>
  <si>
    <t>Horta USA, LLC dba Botany Lane Greenho</t>
  </si>
  <si>
    <t>NAC1572</t>
  </si>
  <si>
    <t>HARMONY GREENHOUSES</t>
  </si>
  <si>
    <t>NAC1573</t>
  </si>
  <si>
    <t>Melody Farms, LLC</t>
  </si>
  <si>
    <t>NAC1574</t>
  </si>
  <si>
    <t>Bloomia</t>
  </si>
  <si>
    <t>NAC1575</t>
  </si>
  <si>
    <t>W.D. Henry &amp; Sons</t>
  </si>
  <si>
    <t>NAC1576</t>
  </si>
  <si>
    <t>Montgomery Wholesale Floral Co</t>
  </si>
  <si>
    <t>NAC1577</t>
  </si>
  <si>
    <t>Maumee Valley Wholesale</t>
  </si>
  <si>
    <t>NAC1578</t>
  </si>
  <si>
    <t>Transgroup Canada Logistics</t>
  </si>
  <si>
    <t>NAC1579</t>
  </si>
  <si>
    <t>Unimex Floral LLC</t>
  </si>
  <si>
    <t>NAC1580</t>
  </si>
  <si>
    <t>Matt's Greenhouse</t>
  </si>
  <si>
    <t>NAC1581</t>
  </si>
  <si>
    <t>Metropolitan Market</t>
  </si>
  <si>
    <t>NAC1582</t>
  </si>
  <si>
    <t>Lynch Flowers-</t>
  </si>
  <si>
    <t>NAC1583</t>
  </si>
  <si>
    <t>Lee Gardens</t>
  </si>
  <si>
    <t>NAC1584</t>
  </si>
  <si>
    <t>Plantscapers Inc.</t>
  </si>
  <si>
    <t>NAC1585</t>
  </si>
  <si>
    <t>Sample</t>
  </si>
  <si>
    <t>NAC1586</t>
  </si>
  <si>
    <t>Star Light Floral Dist., LLC</t>
  </si>
  <si>
    <t>NAC1587</t>
  </si>
  <si>
    <t>Shilling Green Houses</t>
  </si>
  <si>
    <t>NAC1588</t>
  </si>
  <si>
    <t>CENTRASCAPE GARDEN CENTRE</t>
  </si>
  <si>
    <t>NAC1589</t>
  </si>
  <si>
    <t>Intergreen USA Inc.</t>
  </si>
  <si>
    <t>NAC1590</t>
  </si>
  <si>
    <t>Coastal Nursery</t>
  </si>
  <si>
    <t>NAC1591</t>
  </si>
  <si>
    <t>Bloomaker Inc</t>
  </si>
  <si>
    <t>NAC1592</t>
  </si>
  <si>
    <t>Balloons Everywhere</t>
  </si>
  <si>
    <t>NAC1593</t>
  </si>
  <si>
    <t>Yer Yang Produce</t>
  </si>
  <si>
    <t>NAC1594</t>
  </si>
  <si>
    <t>NAC1595</t>
  </si>
  <si>
    <t>kroger hold</t>
  </si>
  <si>
    <t>NAC1596</t>
  </si>
  <si>
    <t>Crescent Garden</t>
  </si>
  <si>
    <t>NAC1597</t>
  </si>
  <si>
    <t>Brother's</t>
  </si>
  <si>
    <t>NAC1598</t>
  </si>
  <si>
    <t>Cascade Floral</t>
  </si>
  <si>
    <t>NAC1599</t>
  </si>
  <si>
    <t>ARNET PHARMACEUTICAL CORP</t>
  </si>
  <si>
    <t>NAC1600</t>
  </si>
  <si>
    <t>Fine Wholesale Flowers</t>
  </si>
  <si>
    <t>NAC1601</t>
  </si>
  <si>
    <t>Samsclub.com</t>
  </si>
  <si>
    <t>NAC1602</t>
  </si>
  <si>
    <t>Reasor's #05</t>
  </si>
  <si>
    <t>NAC1604</t>
  </si>
  <si>
    <t>NAC1605</t>
  </si>
  <si>
    <t>Shaw´s Supermarket Inc</t>
  </si>
  <si>
    <t>NAC1606</t>
  </si>
  <si>
    <t>NAC1607</t>
  </si>
  <si>
    <t>NAC1608</t>
  </si>
  <si>
    <t>NAC1609</t>
  </si>
  <si>
    <t>NAC1610</t>
  </si>
  <si>
    <t>NAC1611</t>
  </si>
  <si>
    <t>NAC1612</t>
  </si>
  <si>
    <t>NAC1613</t>
  </si>
  <si>
    <t>Galemas Greenhouse Inc</t>
  </si>
  <si>
    <t>NAC1614</t>
  </si>
  <si>
    <t>NAC1615</t>
  </si>
  <si>
    <t>NAC1616</t>
  </si>
  <si>
    <t>Kendal Floral 1</t>
  </si>
  <si>
    <t>NAC1617</t>
  </si>
  <si>
    <t>NAC1619</t>
  </si>
  <si>
    <t>Flowers By Rena</t>
  </si>
  <si>
    <t>NAC1620</t>
  </si>
  <si>
    <t>Moose &amp; Squirrel Horticultural Resources</t>
  </si>
  <si>
    <t>NAC1621</t>
  </si>
  <si>
    <t>NAC1622</t>
  </si>
  <si>
    <t>Chia Xiong</t>
  </si>
  <si>
    <t>NAC1623</t>
  </si>
  <si>
    <t>A . Perri Farms Inc</t>
  </si>
  <si>
    <t>NAC1624</t>
  </si>
  <si>
    <t>Cleveland Plant &amp; Flower Company</t>
  </si>
  <si>
    <t>NAC1625</t>
  </si>
  <si>
    <t>Floranation</t>
  </si>
  <si>
    <t>NAC1626</t>
  </si>
  <si>
    <t>Gala Roses, LLC.</t>
  </si>
  <si>
    <t>NAC1627</t>
  </si>
  <si>
    <t>Gifts of Style</t>
  </si>
  <si>
    <t>NAC1628</t>
  </si>
  <si>
    <t>NAC1629</t>
  </si>
  <si>
    <t>Golden Greenhouse, LLC</t>
  </si>
  <si>
    <t>NAC1630</t>
  </si>
  <si>
    <t>Layser's Flowers</t>
  </si>
  <si>
    <t>NAC1631</t>
  </si>
  <si>
    <t>Perry Wholesale LLC</t>
  </si>
  <si>
    <t>NAC1632</t>
  </si>
  <si>
    <t>Tropico Wholesale INC</t>
  </si>
  <si>
    <t>NAC1633</t>
  </si>
  <si>
    <t>Wendy's Flowers Inc</t>
  </si>
  <si>
    <t>NAC1635</t>
  </si>
  <si>
    <t>Pacifica Produce Farms LLC</t>
  </si>
  <si>
    <t>NAC1636</t>
  </si>
  <si>
    <t>Kendal Floral Monterey Bay Bouquet</t>
  </si>
  <si>
    <t>NAC1637</t>
  </si>
  <si>
    <t>NAC1642</t>
  </si>
  <si>
    <t>NAC1644</t>
  </si>
  <si>
    <t>Albert´s Organics</t>
  </si>
  <si>
    <t>NAC1645</t>
  </si>
  <si>
    <t>Frey´s Greenhouse LLC</t>
  </si>
  <si>
    <t>NAC1647</t>
  </si>
  <si>
    <t>A Touch of Elegance</t>
  </si>
  <si>
    <t>NAC1648</t>
  </si>
  <si>
    <t>Coastal Paradise Nursery</t>
  </si>
  <si>
    <t>NAC1649</t>
  </si>
  <si>
    <t>Olson's Greenhouse of Utah</t>
  </si>
  <si>
    <t>NAC1650</t>
  </si>
  <si>
    <t>NAC1653</t>
  </si>
  <si>
    <t>A &amp; S Whitestone Nursery INC</t>
  </si>
  <si>
    <t>NAC1654</t>
  </si>
  <si>
    <t>Kuhn Acquisition LLC</t>
  </si>
  <si>
    <t>NAC1655</t>
  </si>
  <si>
    <t>Lake Flowers Shippers</t>
  </si>
  <si>
    <t>NAC1656</t>
  </si>
  <si>
    <t>Peterson Nursery &amp; Garden Center INC</t>
  </si>
  <si>
    <t>NAC1657</t>
  </si>
  <si>
    <t>Blondie's Treehouse</t>
  </si>
  <si>
    <t>NAC1659</t>
  </si>
  <si>
    <t>Trader Joe´s Company</t>
  </si>
  <si>
    <t>NAC1662</t>
  </si>
  <si>
    <t>Barrett's Garden Center. LLC</t>
  </si>
  <si>
    <t>NAC1663</t>
  </si>
  <si>
    <t>Garden Solutions</t>
  </si>
  <si>
    <t>NAC1665</t>
  </si>
  <si>
    <t>CERBO'S PARSIPPANY GREENHOUSES INC</t>
  </si>
  <si>
    <t>NAC1666</t>
  </si>
  <si>
    <t>PTP PRODUCE LLC</t>
  </si>
  <si>
    <t>NAC1667</t>
  </si>
  <si>
    <t>PLANT ODYSSEY LLC</t>
  </si>
  <si>
    <t>NAC1668</t>
  </si>
  <si>
    <t>WAGNER GREENHOUSES, INC.</t>
  </si>
  <si>
    <t>NAC1677</t>
  </si>
  <si>
    <t>OCEAN GROWERS INC.</t>
  </si>
  <si>
    <t>NAC1678</t>
  </si>
  <si>
    <t>New Leaf Growers LLC</t>
  </si>
  <si>
    <t>NAC1679</t>
  </si>
  <si>
    <t>Tullahoma House of Flowers</t>
  </si>
  <si>
    <t>NAC1680</t>
  </si>
  <si>
    <t>Deep South Flower Farm</t>
  </si>
  <si>
    <t>NAC1681</t>
  </si>
  <si>
    <t>United Supermarket #634</t>
  </si>
  <si>
    <t>NAC1683</t>
  </si>
  <si>
    <t>NAC1688</t>
  </si>
  <si>
    <t>Valerie´s Flowers</t>
  </si>
  <si>
    <t>NAC1689</t>
  </si>
  <si>
    <t>Absolutely Flowers</t>
  </si>
  <si>
    <t>NAC1690</t>
  </si>
  <si>
    <t>DeKorte Flowers, LLC</t>
  </si>
  <si>
    <t>NAC1691</t>
  </si>
  <si>
    <t>Vermeulen Flower Farm</t>
  </si>
  <si>
    <t>NAC1694</t>
  </si>
  <si>
    <t>Princeton Market INC</t>
  </si>
  <si>
    <t>NAC1695</t>
  </si>
  <si>
    <t>GROOT IN FLOWERS LLC</t>
  </si>
  <si>
    <t>NAC1696</t>
  </si>
  <si>
    <t>WESTLAND DIRECT INC</t>
  </si>
  <si>
    <t>NAC1697</t>
  </si>
  <si>
    <t>Sunnyside Nursery LTD</t>
  </si>
  <si>
    <t>NAC1701</t>
  </si>
  <si>
    <t>Jimmy's Flowers, Inc</t>
  </si>
  <si>
    <t>NAC1703</t>
  </si>
  <si>
    <t>Baldwin Turf Patio &amp; Outdoor Supply</t>
  </si>
  <si>
    <t>NAC1708</t>
  </si>
  <si>
    <t>ADAMS FAIRACRE FARMS</t>
  </si>
  <si>
    <t>NAC1711</t>
  </si>
  <si>
    <t>Holtkamp Greenhouses, Inc.</t>
  </si>
  <si>
    <t>NAC1718</t>
  </si>
  <si>
    <t>Gwinnett Greenhouses Inc</t>
  </si>
  <si>
    <t>NAC1719</t>
  </si>
  <si>
    <t>Homegrown</t>
  </si>
  <si>
    <t>NAC1720</t>
  </si>
  <si>
    <t>Cedar Springs Pharmacy</t>
  </si>
  <si>
    <t>NAC1721</t>
  </si>
  <si>
    <t>Drawnlivity LLC</t>
  </si>
  <si>
    <t>NAC1722</t>
  </si>
  <si>
    <t>Dreamy Blooms</t>
  </si>
  <si>
    <t>NAC1724</t>
  </si>
  <si>
    <t>ECUAGARDEN FARMS</t>
  </si>
  <si>
    <t>NAC1725</t>
  </si>
  <si>
    <t>Heaven Scent Flowers</t>
  </si>
  <si>
    <t>NAC1726</t>
  </si>
  <si>
    <t>Interior Plantscapes</t>
  </si>
  <si>
    <t>NAC1727</t>
  </si>
  <si>
    <t>Garden Stop</t>
  </si>
  <si>
    <t>NAC1728</t>
  </si>
  <si>
    <t>Flower Bee Floral Supply</t>
  </si>
  <si>
    <t>NAC1729</t>
  </si>
  <si>
    <t>Flowers by Cynthia</t>
  </si>
  <si>
    <t>NAC1730</t>
  </si>
  <si>
    <t>Oak Wolfe Farm</t>
  </si>
  <si>
    <t>NAC1731</t>
  </si>
  <si>
    <t>Veldkamps Flowers</t>
  </si>
  <si>
    <t>NAC1734</t>
  </si>
  <si>
    <t>American Home Garden LLC</t>
  </si>
  <si>
    <t>NAC1735</t>
  </si>
  <si>
    <t>Dierbergs Heritage</t>
  </si>
  <si>
    <t>NAC1736</t>
  </si>
  <si>
    <t>Perfect Choice Nursery CO</t>
  </si>
  <si>
    <t>NAC1737</t>
  </si>
  <si>
    <t>L2D2 Land LLC dba Apenberry's G</t>
  </si>
  <si>
    <t>NAC1738</t>
  </si>
  <si>
    <t>Atziri Flowers</t>
  </si>
  <si>
    <t>NAC1739</t>
  </si>
  <si>
    <t>Friendship Farm</t>
  </si>
  <si>
    <t>NAC1740</t>
  </si>
  <si>
    <t>West Minister Florist</t>
  </si>
  <si>
    <t>NAC1743</t>
  </si>
  <si>
    <t>D21 Logistics LLC</t>
  </si>
  <si>
    <t>NAC1745</t>
  </si>
  <si>
    <t>Laurel Nursery Garden Center Inc</t>
  </si>
  <si>
    <t>NAC1748</t>
  </si>
  <si>
    <t>High Liner Foods Incorporate</t>
  </si>
  <si>
    <t>NAC1749</t>
  </si>
  <si>
    <t>United Plant Growers</t>
  </si>
  <si>
    <t>NAC1753</t>
  </si>
  <si>
    <t>Tommy Vang Floral</t>
  </si>
  <si>
    <t>NAC1756</t>
  </si>
  <si>
    <t>The Flower Coop</t>
  </si>
  <si>
    <t>PRUEBA1</t>
  </si>
  <si>
    <t>ASDASD</t>
  </si>
  <si>
    <t>SH00001</t>
  </si>
  <si>
    <t>2676 Simpson Rd Gutierrez (compras.in...)</t>
  </si>
  <si>
    <t>SH00002</t>
  </si>
  <si>
    <t>Abbe DuBrow Branch (branch5@aol.com)</t>
  </si>
  <si>
    <t>SH00003</t>
  </si>
  <si>
    <t>Abby  Brasell (abbybeal@yahoo.com)</t>
  </si>
  <si>
    <t>SH00004</t>
  </si>
  <si>
    <t>Abby Brasell (abbybrasell@gmail.com)</t>
  </si>
  <si>
    <t>SH00005</t>
  </si>
  <si>
    <t>Abby Trott (stevvikayllyn@gmail.com)</t>
  </si>
  <si>
    <t>SH00006</t>
  </si>
  <si>
    <t>abdallah farraj (sistasistaco@yahoo.com)</t>
  </si>
  <si>
    <t>SH00007</t>
  </si>
  <si>
    <t>SH00008</t>
  </si>
  <si>
    <t>Adam Elsayed (support@flowersandabott...)</t>
  </si>
  <si>
    <t>SH00009</t>
  </si>
  <si>
    <t>Adam Ward (award@providenceumc.org)</t>
  </si>
  <si>
    <t>SH00010</t>
  </si>
  <si>
    <t>Addy  Kindy (amazingdesignsbyaddy@gma...)</t>
  </si>
  <si>
    <t>SH00011</t>
  </si>
  <si>
    <t>Addy Donkhong (addydonkhong@yahoo.com)</t>
  </si>
  <si>
    <t>SH00012</t>
  </si>
  <si>
    <t>Adelina Apodaca (purpleea12@gmail.com)</t>
  </si>
  <si>
    <t>SH00013</t>
  </si>
  <si>
    <t>Adelmo Diaz (ajacobdiaz27@gmail.com)</t>
  </si>
  <si>
    <t>SH00014</t>
  </si>
  <si>
    <t>ADISLEIDYS ARENCIBIA (leidis17@hotmai...)</t>
  </si>
  <si>
    <t>SH00015</t>
  </si>
  <si>
    <t>Adrian Solorio (SoLovedPlants@gmail.com)</t>
  </si>
  <si>
    <t>SH00016</t>
  </si>
  <si>
    <t>Adriana Bohn (abposhflowers@gmail.com)</t>
  </si>
  <si>
    <t>SH00017</t>
  </si>
  <si>
    <t>Adriana de Teresa (xpressionsflorist@...)</t>
  </si>
  <si>
    <t>SH00018</t>
  </si>
  <si>
    <t>Adriana Gerardo (oaklilyfloral@gmail.com)</t>
  </si>
  <si>
    <t>SH00019</t>
  </si>
  <si>
    <t>Adriana Pajak (adriana.pajak2@gmail.com)</t>
  </si>
  <si>
    <t>SH00020</t>
  </si>
  <si>
    <t>Adriana Pajak (adriana@ladyslipperpos...)</t>
  </si>
  <si>
    <t>SH00021</t>
  </si>
  <si>
    <t>Agelia Brunson (brunagelia11@gmail.com)</t>
  </si>
  <si>
    <t>SH00022</t>
  </si>
  <si>
    <t>AILEEN FLICKI (aflicki@gmail.com)</t>
  </si>
  <si>
    <t>SH00023</t>
  </si>
  <si>
    <t>Aimee Erickson (aerickson17@yahoo.com)</t>
  </si>
  <si>
    <t>SH00024</t>
  </si>
  <si>
    <t>Akhila Aiyer (mamashomegarden@gmail.com)</t>
  </si>
  <si>
    <t>SH00025</t>
  </si>
  <si>
    <t>Akiko Senda (hannah@bloommaven.com)</t>
  </si>
  <si>
    <t>SH00026</t>
  </si>
  <si>
    <t>Akosua Yero (ayero923@gmail.com)</t>
  </si>
  <si>
    <t>SH00027</t>
  </si>
  <si>
    <t>Al Dellinger (tim@2000adinc.com)</t>
  </si>
  <si>
    <t>SH00028</t>
  </si>
  <si>
    <t>alan kirsch (info@blossomscreative.com)</t>
  </si>
  <si>
    <t>SH00029</t>
  </si>
  <si>
    <t>ALBERT ROSENBERG (albies1328@gmail.com)</t>
  </si>
  <si>
    <t>SH00030</t>
  </si>
  <si>
    <t>SH00031</t>
  </si>
  <si>
    <t>Alecia Pierre (2ajblooms@gmail.com)</t>
  </si>
  <si>
    <t>SH00032</t>
  </si>
  <si>
    <t>alejandra fonseca (alejandrafonseca18...)</t>
  </si>
  <si>
    <t>SH00033</t>
  </si>
  <si>
    <t>Aleka Willey Berg (pawehicollective@g...)</t>
  </si>
  <si>
    <t>SH00034</t>
  </si>
  <si>
    <t>Alex Bonnard (alexb@caramanicolandsca...)</t>
  </si>
  <si>
    <t>SH00035</t>
  </si>
  <si>
    <t>SH00036</t>
  </si>
  <si>
    <t>Alex Frommer (alex.frommer@thewebster...)</t>
  </si>
  <si>
    <t>SH00037</t>
  </si>
  <si>
    <t>Alex Jackson (alex.happycanyon@gmail.com)</t>
  </si>
  <si>
    <t>SH00038</t>
  </si>
  <si>
    <t>Alex Klein (krista@kleinsqualityprodu...)</t>
  </si>
  <si>
    <t>SH00039</t>
  </si>
  <si>
    <t>Alex Rom-Roginski (alexromro@gmail.com)</t>
  </si>
  <si>
    <t>SH00040</t>
  </si>
  <si>
    <t>Alex VanLemmeren (hello@wildposies.com)</t>
  </si>
  <si>
    <t>SH00041</t>
  </si>
  <si>
    <t>SH00042</t>
  </si>
  <si>
    <t>Alexander, Nancy (nancyalexander928@g...)</t>
  </si>
  <si>
    <t>SH00043</t>
  </si>
  <si>
    <t>Alexandra Blair (monarch.partiesandev...)</t>
  </si>
  <si>
    <t>SH00044</t>
  </si>
  <si>
    <t>Alexis Desjardins (alexisdesjardins23...)</t>
  </si>
  <si>
    <t>SH00045</t>
  </si>
  <si>
    <t>Alexis Shepherd (lexii5986@gmail.com)</t>
  </si>
  <si>
    <t>SH00046</t>
  </si>
  <si>
    <t>SH00047</t>
  </si>
  <si>
    <t>Alice Coston (amc@btsp.org)</t>
  </si>
  <si>
    <t>SH00048</t>
  </si>
  <si>
    <t>Alison Ellis (pegsposies@gmail.com)</t>
  </si>
  <si>
    <t>SH00049</t>
  </si>
  <si>
    <t>SH00050</t>
  </si>
  <si>
    <t>Alissa Kinner (alissakinner@gmail.com)</t>
  </si>
  <si>
    <t>SH00051</t>
  </si>
  <si>
    <t>Alleigh Reitz (areitz@efe1963.com)</t>
  </si>
  <si>
    <t>SH00052</t>
  </si>
  <si>
    <t>Allison Bast (events@bastbrothers.com)</t>
  </si>
  <si>
    <t>SH00053</t>
  </si>
  <si>
    <t>Allison Cassato (chestnutstreetflower...)</t>
  </si>
  <si>
    <t>SH00054</t>
  </si>
  <si>
    <t>Allison Keevan (allisonkeevan@gmail.com)</t>
  </si>
  <si>
    <t>SH00055</t>
  </si>
  <si>
    <t>SH00056</t>
  </si>
  <si>
    <t>Allissa Bunner (acbinfullbloom@gmail.com)</t>
  </si>
  <si>
    <t>SH00057</t>
  </si>
  <si>
    <t>Allyson Kay Duncan (duncanallyson@gma...)</t>
  </si>
  <si>
    <t>SH00058</t>
  </si>
  <si>
    <t>Alma Gonzalez (mail@mambascreations.com)</t>
  </si>
  <si>
    <t>SH00059</t>
  </si>
  <si>
    <t>alma rodriguez (highstflowers@yahoo.com)</t>
  </si>
  <si>
    <t>SH00060</t>
  </si>
  <si>
    <t>Alondra Sanchez (alondrasanchezarias@...)</t>
  </si>
  <si>
    <t>SH00061</t>
  </si>
  <si>
    <t>ALVARO GOMEZ (al.e.gomezjr@gmail.com)</t>
  </si>
  <si>
    <t>SH00062</t>
  </si>
  <si>
    <t>Alyson Santoro (alyapples40@gmail.com)</t>
  </si>
  <si>
    <t>SH00063</t>
  </si>
  <si>
    <t>Alyson Vetter (alyson.vetter@archny.org)</t>
  </si>
  <si>
    <t>SH00064</t>
  </si>
  <si>
    <t>Alyssa Rogers (alyssamrogers@outlook.com)</t>
  </si>
  <si>
    <t>SH00065</t>
  </si>
  <si>
    <t>Amanda Blissit (amanda@blume-haus.com)</t>
  </si>
  <si>
    <t>SH00066</t>
  </si>
  <si>
    <t>Amanda Casey (a.lund.casey@gmail.com)</t>
  </si>
  <si>
    <t>SH00067</t>
  </si>
  <si>
    <t>Amanda Ciliento (stonebrook451@gmail.com)</t>
  </si>
  <si>
    <t>SH00068</t>
  </si>
  <si>
    <t>Amanda Elisca (beautifullyloved27@gma...)</t>
  </si>
  <si>
    <t>SH00069</t>
  </si>
  <si>
    <t>Amanda Finn (ulsterprojectdelaware@gm...)</t>
  </si>
  <si>
    <t>SH00070</t>
  </si>
  <si>
    <t>Amanda golec (aagolec1346@gmail.com)</t>
  </si>
  <si>
    <t>SH00071</t>
  </si>
  <si>
    <t>Amanda H-Rippert (info@wildwoodbyaran...)</t>
  </si>
  <si>
    <t>SH00072</t>
  </si>
  <si>
    <t>Amanda King (mandischn@gmail.com)</t>
  </si>
  <si>
    <t>SH00073</t>
  </si>
  <si>
    <t>Amanda Kogut (srl@spruceridgelandscap...)</t>
  </si>
  <si>
    <t>SH00074</t>
  </si>
  <si>
    <t>Amanda LaFontaine (thesagebriar@gmail...)</t>
  </si>
  <si>
    <t>SH00075</t>
  </si>
  <si>
    <t>Amanda Lankford (acmetts@hotmail.com)</t>
  </si>
  <si>
    <t>SH00076</t>
  </si>
  <si>
    <t>Amanda Redlien (redliena@byrne.com)</t>
  </si>
  <si>
    <t>SH00077</t>
  </si>
  <si>
    <t>Amanda Rutan (rutan.277@gmail.com)</t>
  </si>
  <si>
    <t>SH00078</t>
  </si>
  <si>
    <t>Amanda Simo (lillybouqs@gmail.com)</t>
  </si>
  <si>
    <t>SH00079</t>
  </si>
  <si>
    <t>Amanda Twenter (twentera@tipton.k12.m...)</t>
  </si>
  <si>
    <t>SH00080</t>
  </si>
  <si>
    <t>Amanda Wikert (amanda.wikert18@gmail.com)</t>
  </si>
  <si>
    <t>SH00081</t>
  </si>
  <si>
    <t>Amarie Cemone (amariecemone@gmail.com)</t>
  </si>
  <si>
    <t>SH00082</t>
  </si>
  <si>
    <t>Amber Moreland (amber@umbrella.proper...)</t>
  </si>
  <si>
    <t>SH00083</t>
  </si>
  <si>
    <t>Amber Roe (ambernroe@att.net)</t>
  </si>
  <si>
    <t>SH00084</t>
  </si>
  <si>
    <t>Amber tucker (a3tucker@gmail.com)</t>
  </si>
  <si>
    <t>SH00085</t>
  </si>
  <si>
    <t>Ambiorix Osorio (revosorio@outlook.com)</t>
  </si>
  <si>
    <t>SH00086</t>
  </si>
  <si>
    <t>Ambra Kash (ambrakuty@gmail.com)</t>
  </si>
  <si>
    <t>SH00087</t>
  </si>
  <si>
    <t>Amelia Wong (ameliababy2208@yahoo.com)</t>
  </si>
  <si>
    <t>SH00088</t>
  </si>
  <si>
    <t>Amie Flickinger (cumcwauseon@gmail.com)</t>
  </si>
  <si>
    <t>SH00089</t>
  </si>
  <si>
    <t>Amirose barnes (amirosew@yahoo.com)</t>
  </si>
  <si>
    <t>SH00090</t>
  </si>
  <si>
    <t>Amy Frasure (frasurea@icloud.com)</t>
  </si>
  <si>
    <t>SH00091</t>
  </si>
  <si>
    <t>Amy Hirschfeld (amy@solunagardenfarm.com)</t>
  </si>
  <si>
    <t>SH00092</t>
  </si>
  <si>
    <t>SH00093</t>
  </si>
  <si>
    <t>SH00094</t>
  </si>
  <si>
    <t>Amy Sltier (corwinflorist@hotmail.com)</t>
  </si>
  <si>
    <t>SH00095</t>
  </si>
  <si>
    <t>SH00096</t>
  </si>
  <si>
    <t>Amy Tinsley (amytinsley73@yahoo.com)</t>
  </si>
  <si>
    <t>SH00097</t>
  </si>
  <si>
    <t>Amy Uricher (amyuricher@gmail.com)</t>
  </si>
  <si>
    <t>SH00098</t>
  </si>
  <si>
    <t>Amy Walter (mybeautifuljoys@gmail.com)</t>
  </si>
  <si>
    <t>SH00099</t>
  </si>
  <si>
    <t>SH00100</t>
  </si>
  <si>
    <t>SH00101</t>
  </si>
  <si>
    <t>ana Alcantar (anaalcantar@live.com)</t>
  </si>
  <si>
    <t>SH00102</t>
  </si>
  <si>
    <t>Ana Benitez (ana28benitez@hotmail.com)</t>
  </si>
  <si>
    <t>SH00103</t>
  </si>
  <si>
    <t>Ana Lopes (anabiakitty401500@gmail.com)</t>
  </si>
  <si>
    <t>SH00104</t>
  </si>
  <si>
    <t>Ana Perez (decorbyannie28@gmail.com)</t>
  </si>
  <si>
    <t>SH00105</t>
  </si>
  <si>
    <t>Ana Soria (justartpartyexperience@gma...)</t>
  </si>
  <si>
    <t>SH00106</t>
  </si>
  <si>
    <t>Ana Vasquez (annavasquez0128@gmail.com)</t>
  </si>
  <si>
    <t>SH00107</t>
  </si>
  <si>
    <t>Anabell Michel (atm_michel@yahoo.com)</t>
  </si>
  <si>
    <t>SH00108</t>
  </si>
  <si>
    <t>Anael Lafser (anaelsea@gmail.com)</t>
  </si>
  <si>
    <t>SH00109</t>
  </si>
  <si>
    <t>Anastasia Ovanessoff (stazienator@gma...)</t>
  </si>
  <si>
    <t>SH00110</t>
  </si>
  <si>
    <t>Andrea Bendure (lesbotanique@gmail.com)</t>
  </si>
  <si>
    <t>SH00111</t>
  </si>
  <si>
    <t>Andrea Duran Aydogan (andrea@sddemocr...)</t>
  </si>
  <si>
    <t>SH00112</t>
  </si>
  <si>
    <t>Andrea Kohler (akohler@exeternh.gov)</t>
  </si>
  <si>
    <t>SH00113</t>
  </si>
  <si>
    <t>Andrea Miller (maryksflowersandgifts@...)</t>
  </si>
  <si>
    <t>SH00114</t>
  </si>
  <si>
    <t>Andrew Katerman (akaterman@gmail.com)</t>
  </si>
  <si>
    <t>SH00115</t>
  </si>
  <si>
    <t>Andrew Noel (andrew.noel@dianesnatura...)</t>
  </si>
  <si>
    <t>SH00116</t>
  </si>
  <si>
    <t>Andrew Piazza (allaspectshomeimprovem...)</t>
  </si>
  <si>
    <t>SH00117</t>
  </si>
  <si>
    <t>Andrew Serio (cinnamongold2000@yahoo.com)</t>
  </si>
  <si>
    <t>SH00118</t>
  </si>
  <si>
    <t>ANDREW TAMAJON (andrew.tamajon@yahoo.com)</t>
  </si>
  <si>
    <t>SH00119</t>
  </si>
  <si>
    <t>Andrew Tamajon (contactus@flowerandfl...)</t>
  </si>
  <si>
    <t>SH00120</t>
  </si>
  <si>
    <t>Andrew Weyand (celebrate@bloompour.com)</t>
  </si>
  <si>
    <t>SH00121</t>
  </si>
  <si>
    <t>SH00122</t>
  </si>
  <si>
    <t>Andy Keil (andykeil@email.com)</t>
  </si>
  <si>
    <t>SH00123</t>
  </si>
  <si>
    <t>Angela Brown (amaria4149@gmail.com)</t>
  </si>
  <si>
    <t>SH00124</t>
  </si>
  <si>
    <t>Angela Connolly (angelaconnolly94@gma...)</t>
  </si>
  <si>
    <t>SH00125</t>
  </si>
  <si>
    <t>angela eberz (eberzangel@yahoo.com)</t>
  </si>
  <si>
    <t>SH00126</t>
  </si>
  <si>
    <t>Angela Haut (midwestoffice53149@gmail...)</t>
  </si>
  <si>
    <t>SH00127</t>
  </si>
  <si>
    <t>Angela Jones (office@fbcdunn.com)</t>
  </si>
  <si>
    <t>SH00128</t>
  </si>
  <si>
    <t>Angela Lagala (angela.lagala@yahoo.com)</t>
  </si>
  <si>
    <t>SH00129</t>
  </si>
  <si>
    <t>Angela Myers (amyers7054@hotmail.com)</t>
  </si>
  <si>
    <t>SH00130</t>
  </si>
  <si>
    <t>Angela Owen (ab1owen03@gmail.com)</t>
  </si>
  <si>
    <t>SH00131</t>
  </si>
  <si>
    <t>Angela Thurmond (angthurmond@live.com)</t>
  </si>
  <si>
    <t>SH00132</t>
  </si>
  <si>
    <t>Angelica Irizarry (angelicairizarry12...)</t>
  </si>
  <si>
    <t>SH00133</t>
  </si>
  <si>
    <t>Angelica Rivera (rivergelica.17@gmail...)</t>
  </si>
  <si>
    <t>SH00134</t>
  </si>
  <si>
    <t>Angelica Sobalvarro (angelica_sobalva...)</t>
  </si>
  <si>
    <t>SH00135</t>
  </si>
  <si>
    <t>Angelli Oleana (perfectcuracao@gmail.com)</t>
  </si>
  <si>
    <t>SH00136</t>
  </si>
  <si>
    <t>Angie Choi (sharon.k@hsresort.com)</t>
  </si>
  <si>
    <t>SH00137</t>
  </si>
  <si>
    <t>Angie Leazer (angieleazer@gmail.com)</t>
  </si>
  <si>
    <t>SH00138</t>
  </si>
  <si>
    <t>Anita Daniels (rpfmasd@aol.com)</t>
  </si>
  <si>
    <t>SH00139</t>
  </si>
  <si>
    <t>Ann Collins (annmcollins1@gmail.com)</t>
  </si>
  <si>
    <t>SH00140</t>
  </si>
  <si>
    <t>Ann Kennedy (annkennedy@grovefloralst...)</t>
  </si>
  <si>
    <t>SH00141</t>
  </si>
  <si>
    <t>Ann Schilling (wildvinesfloral@yahoo.com)</t>
  </si>
  <si>
    <t>SH00142</t>
  </si>
  <si>
    <t>Anna Ellis (anna2gogo@yahoo.com)</t>
  </si>
  <si>
    <t>SH00143</t>
  </si>
  <si>
    <t>Anna Geinosky (thefloweryardnc@gmail.com)</t>
  </si>
  <si>
    <t>SH00144</t>
  </si>
  <si>
    <t>Anna Pacheco (flowers@plantsnpetals.net)</t>
  </si>
  <si>
    <t>SH00145</t>
  </si>
  <si>
    <t>Anna Sanzari (annamsanzari@gmail.com)</t>
  </si>
  <si>
    <t>SH00146</t>
  </si>
  <si>
    <t>SH00147</t>
  </si>
  <si>
    <t>ANNA SHEEHY (hello@shopwildfennel.com)</t>
  </si>
  <si>
    <t>SH00148</t>
  </si>
  <si>
    <t>Annalisa Limas (state.fair.floral@out...)</t>
  </si>
  <si>
    <t>SH00149</t>
  </si>
  <si>
    <t>Anne Doody (johnhdoody@gmail.com)</t>
  </si>
  <si>
    <t>SH00150</t>
  </si>
  <si>
    <t>Anne Josey (erand@christiancity.org)</t>
  </si>
  <si>
    <t>SH00151</t>
  </si>
  <si>
    <t>SH00152</t>
  </si>
  <si>
    <t>Annette Middleton (smilz58@gmail.com)</t>
  </si>
  <si>
    <t>SH00153</t>
  </si>
  <si>
    <t>Anni McDonald (swbboutique@gmail.com)</t>
  </si>
  <si>
    <t>SH00154</t>
  </si>
  <si>
    <t>Annie Schlabach (threechicksschlabach...)</t>
  </si>
  <si>
    <t>SH00155</t>
  </si>
  <si>
    <t>AnnMarie Wendorf (ann.wendorf@gmail.com)</t>
  </si>
  <si>
    <t>SH00156</t>
  </si>
  <si>
    <t>Anthony Diglio (lisa.bradley95@gmail.com)</t>
  </si>
  <si>
    <t>SH00157</t>
  </si>
  <si>
    <t>Anthony Van Gorp (info@crflowerfarm.com)</t>
  </si>
  <si>
    <t>SH00158</t>
  </si>
  <si>
    <t>Anthony Williams (williamshuntclub@li...)</t>
  </si>
  <si>
    <t>SH00159</t>
  </si>
  <si>
    <t>Antionette Strickland (designsbyttoc@...)</t>
  </si>
  <si>
    <t>SH00160</t>
  </si>
  <si>
    <t>Antisha Terry (antisha.terry@gmail.com)</t>
  </si>
  <si>
    <t>SH00161</t>
  </si>
  <si>
    <t>Antonia cano (antoniacano13@yahoo.com)</t>
  </si>
  <si>
    <t>SH00162</t>
  </si>
  <si>
    <t>Antoninas Floral Design (orders@anton...)</t>
  </si>
  <si>
    <t>SH00163</t>
  </si>
  <si>
    <t>SH00164</t>
  </si>
  <si>
    <t>April Pietsch (april@pietschs.net)</t>
  </si>
  <si>
    <t>SH00165</t>
  </si>
  <si>
    <t>April Sullivan (aprilsullivan01@gmail...)</t>
  </si>
  <si>
    <t>SH00166</t>
  </si>
  <si>
    <t>ARACELI Araceli Castro (arami6926@hot...)</t>
  </si>
  <si>
    <t>SH00167</t>
  </si>
  <si>
    <t>Arash Esmaeili (billowingblooms@gmail...)</t>
  </si>
  <si>
    <t>SH00168</t>
  </si>
  <si>
    <t>Areli flores (floresvazquezareli@gmai...)</t>
  </si>
  <si>
    <t>SH00169</t>
  </si>
  <si>
    <t>Ari Zebersky (alyssagetchya@gmail.com)</t>
  </si>
  <si>
    <t>SH00170</t>
  </si>
  <si>
    <t>Ariel Olson (nurturingwithnaturekc@gm...)</t>
  </si>
  <si>
    <t>SH00171</t>
  </si>
  <si>
    <t>Arisara Farley (theburrowflowerandgar...)</t>
  </si>
  <si>
    <t>SH00172</t>
  </si>
  <si>
    <t>Arlyn Reyes (bellareyes371@gmail.com)</t>
  </si>
  <si>
    <t>SH00173</t>
  </si>
  <si>
    <t>ARNIKA JACKSON (ajjacks1@aol.com)</t>
  </si>
  <si>
    <t>SH00174</t>
  </si>
  <si>
    <t>Arthur Alt (art@gobeach.us)</t>
  </si>
  <si>
    <t>SH00175</t>
  </si>
  <si>
    <t>Arturo Cantero (flocantero@gmail.com)</t>
  </si>
  <si>
    <t>SH00176</t>
  </si>
  <si>
    <t>Arturo Salas (NANASFLOWERSHOP@HOTMAIL.COM</t>
  </si>
  <si>
    <t>SH00177</t>
  </si>
  <si>
    <t>SH00178</t>
  </si>
  <si>
    <t>Ashleigh Waugh (ashleigh.waugh@caroli...)</t>
  </si>
  <si>
    <t>SH00179</t>
  </si>
  <si>
    <t>Ashley DeBord (glorygardens2012@gmail...)</t>
  </si>
  <si>
    <t>SH00180</t>
  </si>
  <si>
    <t>Ashley Gibson (asuydam11@gmail.com)</t>
  </si>
  <si>
    <t>SH00181</t>
  </si>
  <si>
    <t>Ashley Hendrex (nellieoliveira67@gmai...)</t>
  </si>
  <si>
    <t>SH00182</t>
  </si>
  <si>
    <t>Ashley Herberger (bankes.ashley@gmail...)</t>
  </si>
  <si>
    <t>SH00183</t>
  </si>
  <si>
    <t>Ashley Reid (petalpop.dallas@gmail.com)</t>
  </si>
  <si>
    <t>SH00184</t>
  </si>
  <si>
    <t>ashley rodriguez (am3400llc@gmail.com)</t>
  </si>
  <si>
    <t>SH00185</t>
  </si>
  <si>
    <t>Ashley Velez (av3055@tc.columbia.edu)</t>
  </si>
  <si>
    <t>SH00186</t>
  </si>
  <si>
    <t>Ashley Woodruff (awoodruff@myersbigel...)</t>
  </si>
  <si>
    <t>SH00187</t>
  </si>
  <si>
    <t>Ashli Simmons (magnoliahouseflorist@g...)</t>
  </si>
  <si>
    <t>SH00188</t>
  </si>
  <si>
    <t>Astuti Bieri (woodstockflowers12@gmai...)</t>
  </si>
  <si>
    <t>SH00189</t>
  </si>
  <si>
    <t>Atila Lotfi (hello@odinparker.com)</t>
  </si>
  <si>
    <t>SH00190</t>
  </si>
  <si>
    <t>audrey cho (chosdh2011@gmail.com)</t>
  </si>
  <si>
    <t>SH00191</t>
  </si>
  <si>
    <t>audrey mahl (audrey@audreyinthegarden...)</t>
  </si>
  <si>
    <t>SH00192</t>
  </si>
  <si>
    <t>Audrey Michelle Wilson (gem2566@msn.com)</t>
  </si>
  <si>
    <t>SH00193</t>
  </si>
  <si>
    <t>Augustus Mandracchia (guspc1@aol.com)</t>
  </si>
  <si>
    <t>SH00194</t>
  </si>
  <si>
    <t>Aundrea McPherson (arrangement425@gma...)</t>
  </si>
  <si>
    <t>SH00195</t>
  </si>
  <si>
    <t>SH00196</t>
  </si>
  <si>
    <t>AURORA VELEZ ALVARADO (auroravelezalv...)</t>
  </si>
  <si>
    <t>SH00197</t>
  </si>
  <si>
    <t>Autumn Gasior (connect@eventfulblooms...)</t>
  </si>
  <si>
    <t>SH00198</t>
  </si>
  <si>
    <t>Aysha Khqn (akhan1153@icloud.com)</t>
  </si>
  <si>
    <t>SH00199</t>
  </si>
  <si>
    <t>Bailey Berrigan (baileyberrigan@gmail...)</t>
  </si>
  <si>
    <t>SH00200</t>
  </si>
  <si>
    <t>Bailey Wynn (bloomedroots@gmail.com)</t>
  </si>
  <si>
    <t>SH00201</t>
  </si>
  <si>
    <t>Barb Platt (bplatt1911@gmail.com)</t>
  </si>
  <si>
    <t>SH00202</t>
  </si>
  <si>
    <t>barbara caron (barbaracaron@comcast.net)</t>
  </si>
  <si>
    <t>SH00203</t>
  </si>
  <si>
    <t>barbara ireland (danielle.poche@cityl...)</t>
  </si>
  <si>
    <t>SH00204</t>
  </si>
  <si>
    <t>Barbara Ireland (danipoche77@yahoo.com)</t>
  </si>
  <si>
    <t>SH00205</t>
  </si>
  <si>
    <t>Barbara Kozak (barbara@plantscaping.com)</t>
  </si>
  <si>
    <t>SH00206</t>
  </si>
  <si>
    <t>Barbara Mckinnon (Prestonflowersandgi...)</t>
  </si>
  <si>
    <t>SH00207</t>
  </si>
  <si>
    <t>Barbara Park (bvmkp@sbcglobal.net)</t>
  </si>
  <si>
    <t>SH00208</t>
  </si>
  <si>
    <t>Barbara Rouse (barbararouse.oes@gmail...)</t>
  </si>
  <si>
    <t>SH00209</t>
  </si>
  <si>
    <t>Barbara Wilks (barbaradwilks@att.net)</t>
  </si>
  <si>
    <t>SH00210</t>
  </si>
  <si>
    <t>Barbbi Demara (demarab@okaloosaschool...)</t>
  </si>
  <si>
    <t>SH00211</t>
  </si>
  <si>
    <t>Beata Mitianiec (beatamitianiec@hotma...)</t>
  </si>
  <si>
    <t>SH00212</t>
  </si>
  <si>
    <t>Beatriz Cardozo (betty.cardozo.lulu@g...)</t>
  </si>
  <si>
    <t>SH00213</t>
  </si>
  <si>
    <t>becca swallow (rebeccapankow@yahoo.com)</t>
  </si>
  <si>
    <t>SH00214</t>
  </si>
  <si>
    <t>becky bashlor (polks.plus@gmail.com)</t>
  </si>
  <si>
    <t>SH00215</t>
  </si>
  <si>
    <t>Becky Dungy (watertownflowershop@yaho...)</t>
  </si>
  <si>
    <t>SH00216</t>
  </si>
  <si>
    <t>Becky Fairchild (brf@parkngo.us)</t>
  </si>
  <si>
    <t>SH00217</t>
  </si>
  <si>
    <t>Becky Foersterling (rfoersterling@gma...)</t>
  </si>
  <si>
    <t>SH00218</t>
  </si>
  <si>
    <t>SH00219</t>
  </si>
  <si>
    <t>Becky Moore Moore (becky@lawnscape.com)</t>
  </si>
  <si>
    <t>SH00220</t>
  </si>
  <si>
    <t>Becky Stirnkorb (beckyatthedaisy@gmai...)</t>
  </si>
  <si>
    <t>SH00221</t>
  </si>
  <si>
    <t>Becky Van Winkle (becky_vanwinkle@yah...)</t>
  </si>
  <si>
    <t>SH00222</t>
  </si>
  <si>
    <t>Belen Hernandez (aviflowershop@yahoo.com)</t>
  </si>
  <si>
    <t>SH00223</t>
  </si>
  <si>
    <t>Ben Bowden (jtb.businessdocs@gmail.com)</t>
  </si>
  <si>
    <t>SH00224</t>
  </si>
  <si>
    <t>bernadette Smith (berna4@verizon.net)</t>
  </si>
  <si>
    <t>SH00225</t>
  </si>
  <si>
    <t>Beth Bolding (bethbolding@gmail.com)</t>
  </si>
  <si>
    <t>SH00226</t>
  </si>
  <si>
    <t>Beth Chasen (bethmes@aol.com)</t>
  </si>
  <si>
    <t>SH00227</t>
  </si>
  <si>
    <t>Beth Costello Costello (wecostello@gm...)</t>
  </si>
  <si>
    <t>SH00228</t>
  </si>
  <si>
    <t>Beth Delpivo (delpivobeth@yahoo.com)</t>
  </si>
  <si>
    <t>SH00229</t>
  </si>
  <si>
    <t>Beth Hatcher (bhatcher1965@gmail.com)</t>
  </si>
  <si>
    <t>SH00230</t>
  </si>
  <si>
    <t>Beth Holtsclaw (beth061194@gmail.com)</t>
  </si>
  <si>
    <t>SH00231</t>
  </si>
  <si>
    <t>Beth Jarvis (beth@thelifeny.org)</t>
  </si>
  <si>
    <t>SH00232</t>
  </si>
  <si>
    <t>Bethany Almeida (bethanyalmeida@yahoo...)</t>
  </si>
  <si>
    <t>SH00233</t>
  </si>
  <si>
    <t>Betsy Doyle (kgreenhydrangea@gmail.com)</t>
  </si>
  <si>
    <t>SH00234</t>
  </si>
  <si>
    <t>SH00235</t>
  </si>
  <si>
    <t>Betty Capps (bcapps1209@att.net)</t>
  </si>
  <si>
    <t>SH00236</t>
  </si>
  <si>
    <t>Betty Gomez (c2ccompanies@gmail.com)</t>
  </si>
  <si>
    <t>SH00237</t>
  </si>
  <si>
    <t>Betty Vazquez (vazquezbetty@yahoo.com)</t>
  </si>
  <si>
    <t>SH00238</t>
  </si>
  <si>
    <t>Bettyann Fortune (bettyboopsflowers@y...)</t>
  </si>
  <si>
    <t>SH00239</t>
  </si>
  <si>
    <t>Bev Pazder (bev@foellinger.org)</t>
  </si>
  <si>
    <t>SH00240</t>
  </si>
  <si>
    <t>Beverly Goode (goodebev@yahoo.com)</t>
  </si>
  <si>
    <t>SH00241</t>
  </si>
  <si>
    <t>Beverly Lenihan (bev@reesults.com)</t>
  </si>
  <si>
    <t>SH00242</t>
  </si>
  <si>
    <t>Bexton Weston (bextonweston@aol.com)</t>
  </si>
  <si>
    <t>SH00243</t>
  </si>
  <si>
    <t>Bill Long (wjl@mit.edu)</t>
  </si>
  <si>
    <t>SH00244</t>
  </si>
  <si>
    <t>Bill Martin (bill.martin11890@gmail.com)</t>
  </si>
  <si>
    <t>SH00245</t>
  </si>
  <si>
    <t>Bill Paterson (bill.paterson@wyndham.com)</t>
  </si>
  <si>
    <t>SH00246</t>
  </si>
  <si>
    <t>Billy Garner (bgrnr24g@aol.com)</t>
  </si>
  <si>
    <t>SH00247</t>
  </si>
  <si>
    <t>Blake Sabourin (blakesabourin@yahoo.com)</t>
  </si>
  <si>
    <t>SH00248</t>
  </si>
  <si>
    <t>Blanca Izelo (mally.jack@yahoo.com)</t>
  </si>
  <si>
    <t>SH00249</t>
  </si>
  <si>
    <t>Blanca joya (drajoya1@gmail.com)</t>
  </si>
  <si>
    <t>SH00250</t>
  </si>
  <si>
    <t>SH00251</t>
  </si>
  <si>
    <t>Blush Co (ellele711@gmail.com)</t>
  </si>
  <si>
    <t>SH00252</t>
  </si>
  <si>
    <t>Bob Evans (bevans5365@gmail.com)</t>
  </si>
  <si>
    <t>SH00253</t>
  </si>
  <si>
    <t>Bob Hoffbauer (bhoffbauer@juliusroehr...)</t>
  </si>
  <si>
    <t>SH00254</t>
  </si>
  <si>
    <t>Bobbi Carmichael (bobbic@sccoast.net)</t>
  </si>
  <si>
    <t>SH00255</t>
  </si>
  <si>
    <t>Bobbi jo Kinemond (bobbijo86@icloud.com)</t>
  </si>
  <si>
    <t>SH00256</t>
  </si>
  <si>
    <t>bolor tumurpurev (lenfantflorist@yaho...)</t>
  </si>
  <si>
    <t>SH00257</t>
  </si>
  <si>
    <t>Bonnie Halperin (rubyslipper50@yahoo.com)</t>
  </si>
  <si>
    <t>SH00258</t>
  </si>
  <si>
    <t>Bonnie Halperin Edwards (anemoneflora...)</t>
  </si>
  <si>
    <t>SH00259</t>
  </si>
  <si>
    <t>Bonnie Herndon (bhern88631@comcast.net)</t>
  </si>
  <si>
    <t>SH00260</t>
  </si>
  <si>
    <t>Bonnie Rosa-Mosena (info@perfectevent...)</t>
  </si>
  <si>
    <t>SH00261</t>
  </si>
  <si>
    <t>Bonnie Swanson (swanson14482@gmail.com)</t>
  </si>
  <si>
    <t>SH00262</t>
  </si>
  <si>
    <t>Boris Izmaylov (floristatwindward@gma...)</t>
  </si>
  <si>
    <t>SH00263</t>
  </si>
  <si>
    <t>Brad Scoggins (thegreenflamingoatl@gm...)</t>
  </si>
  <si>
    <t>SH00264</t>
  </si>
  <si>
    <t>Bradley Johnson (brad.johnson@frauens...)</t>
  </si>
  <si>
    <t>SH00265</t>
  </si>
  <si>
    <t>Brandi Auffart (brandi.auffart@flower...)</t>
  </si>
  <si>
    <t>SH00266</t>
  </si>
  <si>
    <t>Brandi Bates (bbates318@gmail.com)</t>
  </si>
  <si>
    <t>SH00267</t>
  </si>
  <si>
    <t>SH00268</t>
  </si>
  <si>
    <t>SH00269</t>
  </si>
  <si>
    <t>Brandon Lunsford (brandon@goe-floral.com)</t>
  </si>
  <si>
    <t>SH00270</t>
  </si>
  <si>
    <t>Brandon Neisler (lovinfloristco@gmail...)</t>
  </si>
  <si>
    <t>SH00271</t>
  </si>
  <si>
    <t>Brandon Shy (flowercottageflorist@yah...)</t>
  </si>
  <si>
    <t>SH00272</t>
  </si>
  <si>
    <t>Brandon Steeves (steeves.b@yahoo.com)</t>
  </si>
  <si>
    <t>SH00273</t>
  </si>
  <si>
    <t>Brandy  Adams (willowflorals@hotmail.com)</t>
  </si>
  <si>
    <t>SH00274</t>
  </si>
  <si>
    <t>SH00275</t>
  </si>
  <si>
    <t>Brandy Mulak (bm_woiderski@yahoo.com)</t>
  </si>
  <si>
    <t>SH00276</t>
  </si>
  <si>
    <t>Bre Goldstrom (comminfo@volusia.org)</t>
  </si>
  <si>
    <t>SH00277</t>
  </si>
  <si>
    <t>SH00278</t>
  </si>
  <si>
    <t>Brenda Bush (brenda.bush@dignitymemor...)</t>
  </si>
  <si>
    <t>SH00279</t>
  </si>
  <si>
    <t>Brenda Figueroa (bren@plantstay.com)</t>
  </si>
  <si>
    <t>SH00280</t>
  </si>
  <si>
    <t>Brenda Floral (islandfloral2015@gmail...)</t>
  </si>
  <si>
    <t>SH00281</t>
  </si>
  <si>
    <t>Brenda Gavin (glamfloristllc@gmail.com)</t>
  </si>
  <si>
    <t>SH00282</t>
  </si>
  <si>
    <t>Brenda Hill (blackwoodxing@gmail.com)</t>
  </si>
  <si>
    <t>SH00283</t>
  </si>
  <si>
    <t>Brenda Lennon (blennon892@gmail.com)</t>
  </si>
  <si>
    <t>SH00284</t>
  </si>
  <si>
    <t>Brenda Soodan (brendajenine@gmail.com)</t>
  </si>
  <si>
    <t>SH00285</t>
  </si>
  <si>
    <t>Brenda Webb (theflowernookshop@gmail.com)</t>
  </si>
  <si>
    <t>SH00286</t>
  </si>
  <si>
    <t>Brian Farragher (farragherhf@gmail.com)</t>
  </si>
  <si>
    <t>SH00287</t>
  </si>
  <si>
    <t>Brian Justiniano (loveliciousllc@gmai...)</t>
  </si>
  <si>
    <t>SH00288</t>
  </si>
  <si>
    <t>SH00289</t>
  </si>
  <si>
    <t>Brian Tagliaferro (hiflowersandgifts@...)</t>
  </si>
  <si>
    <t>SH00290</t>
  </si>
  <si>
    <t>Brianne Boyd (farmhouseflowersngifts@...)</t>
  </si>
  <si>
    <t>SH00291</t>
  </si>
  <si>
    <t>Brianne Pittenger (hello@callalaneflo...)</t>
  </si>
  <si>
    <t>SH00292</t>
  </si>
  <si>
    <t>Briceida Lauriano (brizeidamorales90@...)</t>
  </si>
  <si>
    <t>SH00293</t>
  </si>
  <si>
    <t>Bridget Hamilton (bridgeth@fleurdeabe...)</t>
  </si>
  <si>
    <t>SH00294</t>
  </si>
  <si>
    <t>bridget rogers (bridget@plumsageflowe...)</t>
  </si>
  <si>
    <t>SH00295</t>
  </si>
  <si>
    <t>Brienna Mancuso (briennamancuso@gmail...)</t>
  </si>
  <si>
    <t>SH00296</t>
  </si>
  <si>
    <t>Brinton Fox (boonefoxfarm@gmail.com)</t>
  </si>
  <si>
    <t>SH00297</t>
  </si>
  <si>
    <t>Britanny Jalloh (britannyleverston@gm...)</t>
  </si>
  <si>
    <t>SH00298</t>
  </si>
  <si>
    <t>Brittany B (pullmybrand@gmail.com)</t>
  </si>
  <si>
    <t>SH00299</t>
  </si>
  <si>
    <t>Brittany Evering (bnefloral@gmail.com)</t>
  </si>
  <si>
    <t>SH00300</t>
  </si>
  <si>
    <t>Brittany Gould (bgould90@outlook.com)</t>
  </si>
  <si>
    <t>SH00301</t>
  </si>
  <si>
    <t>Brittany Marshall (acupfull.cupcakes@...)</t>
  </si>
  <si>
    <t>SH00302</t>
  </si>
  <si>
    <t>Brittany Neely (neelyb@winthrop.edu)</t>
  </si>
  <si>
    <t>SH00303</t>
  </si>
  <si>
    <t>Brittany Teslovich (floralbysweetstem...)</t>
  </si>
  <si>
    <t>SH00304</t>
  </si>
  <si>
    <t>Brittiney Pegues (hersey.brittiney@gm...)</t>
  </si>
  <si>
    <t>SH00305</t>
  </si>
  <si>
    <t>Brittney Hart (bhartflorals@gmail.com)</t>
  </si>
  <si>
    <t>SH00306</t>
  </si>
  <si>
    <t>Bruce Croteau (bcroteau@stjamesorland...)</t>
  </si>
  <si>
    <t>SH00307</t>
  </si>
  <si>
    <t>BRUCE MINOFF (jackie@hansensflowersho...)</t>
  </si>
  <si>
    <t>SH00308</t>
  </si>
  <si>
    <t>Bruni Garcia (bruny1122@hotmail.com)</t>
  </si>
  <si>
    <t>SH00309</t>
  </si>
  <si>
    <t>Bryan Garcia (grettel@jg-floraldesign...)</t>
  </si>
  <si>
    <t>SH00310</t>
  </si>
  <si>
    <t>Bryan Saldarini (jczedick0511@gmail.com)</t>
  </si>
  <si>
    <t>SH00311</t>
  </si>
  <si>
    <t>Bryan Steib (bryans504@msn.com)</t>
  </si>
  <si>
    <t>SH00312</t>
  </si>
  <si>
    <t>SH00313</t>
  </si>
  <si>
    <t>Bryant Her (bryant@wahmongfarmers.com)</t>
  </si>
  <si>
    <t>SH00314</t>
  </si>
  <si>
    <t>Bryant Her (herbryant333@gmail.com)</t>
  </si>
  <si>
    <t>SH00315</t>
  </si>
  <si>
    <t>Brynn Larsen (bloomsandco@gmail.com)</t>
  </si>
  <si>
    <t>SH00316</t>
  </si>
  <si>
    <t>BT Huntley (bthuntley@hotmail.com)</t>
  </si>
  <si>
    <t>SH00317</t>
  </si>
  <si>
    <t>Bunmi Odukomaiya (b.odukomaiya@gmail.com)</t>
  </si>
  <si>
    <t>SH00318</t>
  </si>
  <si>
    <t>SH00319</t>
  </si>
  <si>
    <t>SH00320</t>
  </si>
  <si>
    <t>SH00321</t>
  </si>
  <si>
    <t>California Palace (info@californiapet...)</t>
  </si>
  <si>
    <t>SH00322</t>
  </si>
  <si>
    <t>Callie Dyer (calliesflowershop@gmail.com)</t>
  </si>
  <si>
    <t>SH00323</t>
  </si>
  <si>
    <t>Calvary Lutheran Church (jries475@gma...)</t>
  </si>
  <si>
    <t>SH00324</t>
  </si>
  <si>
    <t>Cameron Bettis (cameron.bettis@gmail.com)</t>
  </si>
  <si>
    <t>SH00325</t>
  </si>
  <si>
    <t>Camille Tirado (camille_tirado@yahoo.com)</t>
  </si>
  <si>
    <t>SH00326</t>
  </si>
  <si>
    <t>Camilo Bolivar (priscillanbaez@gmail.com)</t>
  </si>
  <si>
    <t>SH00327</t>
  </si>
  <si>
    <t>Cammi Waggoner (ckuiper474@aol.com)</t>
  </si>
  <si>
    <t>SH00328</t>
  </si>
  <si>
    <t>Candace Wansley (elizabthswann@gmail.com)</t>
  </si>
  <si>
    <t>SH00329</t>
  </si>
  <si>
    <t>Candy Craig (cjlilly@att.net)</t>
  </si>
  <si>
    <t>SH00330</t>
  </si>
  <si>
    <t>Cari Tasin (tasingang@gmail.com)</t>
  </si>
  <si>
    <t>SH00331</t>
  </si>
  <si>
    <t>CARIDAD DEL TORO (kary@capitalresolut...)</t>
  </si>
  <si>
    <t>SH00332</t>
  </si>
  <si>
    <t>Carla Barbaree (janescreativeflowers2...)</t>
  </si>
  <si>
    <t>SH00333</t>
  </si>
  <si>
    <t>Carla Foreman (foremancarla62@gmail.com)</t>
  </si>
  <si>
    <t>SH00334</t>
  </si>
  <si>
    <t>Carla Ifrah (c_ifrah@hotmail.com)</t>
  </si>
  <si>
    <t>SH00335</t>
  </si>
  <si>
    <t>Carlie Diiorio (carliediiorio@live.com)</t>
  </si>
  <si>
    <t>SH00336</t>
  </si>
  <si>
    <t>Carlos Ceja (office@shsalinas.org)</t>
  </si>
  <si>
    <t>SH00337</t>
  </si>
  <si>
    <t>Carlos Davila (catalina1994martinez05...)</t>
  </si>
  <si>
    <t>SH00338</t>
  </si>
  <si>
    <t>Carlos Moscoso (kattylukreations@gmai...)</t>
  </si>
  <si>
    <t>SH00339</t>
  </si>
  <si>
    <t>Carlos Oyarce (caoyarce5@gmail.com)</t>
  </si>
  <si>
    <t>SH00340</t>
  </si>
  <si>
    <t>Carly Conley (carly@vhnursery.com)</t>
  </si>
  <si>
    <t>SH00341</t>
  </si>
  <si>
    <t>Carly Nassar (carlynassar@gmail.com)</t>
  </si>
  <si>
    <t>SH00342</t>
  </si>
  <si>
    <t>Carlynne Still (lynnestill23@gmail.com)</t>
  </si>
  <si>
    <t>SH00343</t>
  </si>
  <si>
    <t>Carmela Lechuga (carmelalechuga240@ic...)</t>
  </si>
  <si>
    <t>SH00344</t>
  </si>
  <si>
    <t>Carmelite Sisters (sewing@sistersofca...)</t>
  </si>
  <si>
    <t>SH00345</t>
  </si>
  <si>
    <t>Carmen D Gonzalez (popa473@gmail.com)</t>
  </si>
  <si>
    <t>SH00346</t>
  </si>
  <si>
    <t>Carmen Jacinto (jaanchez@amityfdn.org)</t>
  </si>
  <si>
    <t>SH00347</t>
  </si>
  <si>
    <t>Carmen Ortiz (16carmenortiz@gmail.com)</t>
  </si>
  <si>
    <t>SH00348</t>
  </si>
  <si>
    <t>Carol Corr (cgcorr@gmail.com)</t>
  </si>
  <si>
    <t>SH00349</t>
  </si>
  <si>
    <t>Carol Nicely (cnicely@chapelrock.org)</t>
  </si>
  <si>
    <t>SH00350</t>
  </si>
  <si>
    <t>Carol Wright (c-wright00@sbcglobal.net)</t>
  </si>
  <si>
    <t>SH00351</t>
  </si>
  <si>
    <t>Caroline Fechtelkotter (pc_fech@veriz...)</t>
  </si>
  <si>
    <t>SH00352</t>
  </si>
  <si>
    <t>Caroline Kwateng (caroline@newcityoas...)</t>
  </si>
  <si>
    <t>SH00353</t>
  </si>
  <si>
    <t>Carolyn Corey (carolyn@provintners.com)</t>
  </si>
  <si>
    <t>SH00354</t>
  </si>
  <si>
    <t>Carolyn Orgon (carolynorgon@gmail.com)</t>
  </si>
  <si>
    <t>SH00355</t>
  </si>
  <si>
    <t>SH00356</t>
  </si>
  <si>
    <t>Carrie Hicks (chicks6103@yahoo.com)</t>
  </si>
  <si>
    <t>SH00357</t>
  </si>
  <si>
    <t>carver nogai (sales@arthursjewelers.com)</t>
  </si>
  <si>
    <t>SH00358</t>
  </si>
  <si>
    <t>Caryn  Glover (carynglover@hotamil.com)</t>
  </si>
  <si>
    <t>SH00359</t>
  </si>
  <si>
    <t>Casey Hawsey (chawsey112@gmail.com)</t>
  </si>
  <si>
    <t>SH00360</t>
  </si>
  <si>
    <t>Cassandra Boatman (fcoboatman@bellsou...)</t>
  </si>
  <si>
    <t>SH00361</t>
  </si>
  <si>
    <t>Cassandra Jones (cassan1972@yahoo.com)</t>
  </si>
  <si>
    <t>SH00362</t>
  </si>
  <si>
    <t>Cassandra Kubik (pinehillfarmiowa@gma...)</t>
  </si>
  <si>
    <t>SH00363</t>
  </si>
  <si>
    <t>Cassandra Pinkoski (cpinkoski@soilwat...)</t>
  </si>
  <si>
    <t>SH00364</t>
  </si>
  <si>
    <t>Cassandra Simard (csimard25@gmail.com)</t>
  </si>
  <si>
    <t>SH00365</t>
  </si>
  <si>
    <t>Catherine Conway (greenleaffloralco@g...)</t>
  </si>
  <si>
    <t>SH00366</t>
  </si>
  <si>
    <t>Catherine Fox (bcjjfox@comcast.net)</t>
  </si>
  <si>
    <t>SH00367</t>
  </si>
  <si>
    <t>SH00368</t>
  </si>
  <si>
    <t>Catherine Larry (calnphc@aol.com)</t>
  </si>
  <si>
    <t>SH00369</t>
  </si>
  <si>
    <t>Catherine m kinworthy (kinworthycat@g...)</t>
  </si>
  <si>
    <t>SH00370</t>
  </si>
  <si>
    <t>Catherine Schmidt (wschmidt53@comcast...)</t>
  </si>
  <si>
    <t>SH00371</t>
  </si>
  <si>
    <t>Cathy A Vejnovich (cathyvejnovich@yah...)</t>
  </si>
  <si>
    <t>SH00372</t>
  </si>
  <si>
    <t>SH00373</t>
  </si>
  <si>
    <t>Cathy Jacobsen (cathyjacobsen@me.com)</t>
  </si>
  <si>
    <t>SH00374</t>
  </si>
  <si>
    <t>Cathy Lou King (cathylou@ronsrun.org)</t>
  </si>
  <si>
    <t>SH00375</t>
  </si>
  <si>
    <t>Cathy Milnik (cmilnik@saint-cyril.com)</t>
  </si>
  <si>
    <t>SH00376</t>
  </si>
  <si>
    <t>Cathy Stoltz (cj.stoltz@yahoo.com)</t>
  </si>
  <si>
    <t>SH00377</t>
  </si>
  <si>
    <t>Catrina Robertson (catrina7799@gmail.com)</t>
  </si>
  <si>
    <t>SH00378</t>
  </si>
  <si>
    <t>Cece Otto (lazydogranchtonasket@gmail...)</t>
  </si>
  <si>
    <t>SH00379</t>
  </si>
  <si>
    <t>Celeste Quackenbush (ladybirdfloralsl...)</t>
  </si>
  <si>
    <t>SH00380</t>
  </si>
  <si>
    <t>Celeste Stob (celeste@loveknotsfloral...)</t>
  </si>
  <si>
    <t>SH00381</t>
  </si>
  <si>
    <t>SH00382</t>
  </si>
  <si>
    <t>celine fetch (carringtonrosegarden@da...)</t>
  </si>
  <si>
    <t>SH00383</t>
  </si>
  <si>
    <t>Cesar Ortega (ortega.a.cesar@hotmail.com)</t>
  </si>
  <si>
    <t>SH00384</t>
  </si>
  <si>
    <t>Cestmir Holub (info@carmen-flora.com)</t>
  </si>
  <si>
    <t>SH00385</t>
  </si>
  <si>
    <t>SH00386</t>
  </si>
  <si>
    <t>CHADWICK MCKAY (jason.parrish@wilming...)</t>
  </si>
  <si>
    <t>SH00387</t>
  </si>
  <si>
    <t>Channa Putansu (cputansu@gmail.com)</t>
  </si>
  <si>
    <t>SH00388</t>
  </si>
  <si>
    <t>Charla Burgess (charlakramer@gmail.com)</t>
  </si>
  <si>
    <t>SH00389</t>
  </si>
  <si>
    <t>Charlene Heddings (charlenespetaltalk...)</t>
  </si>
  <si>
    <t>SH00390</t>
  </si>
  <si>
    <t>charlene wesseler (fairfieldflowersva...)</t>
  </si>
  <si>
    <t>SH00391</t>
  </si>
  <si>
    <t>Charles Fargione (chuck.fargione@comp...)</t>
  </si>
  <si>
    <t>SH00392</t>
  </si>
  <si>
    <t>Charles Miller (cmiller@ardentx.com)</t>
  </si>
  <si>
    <t>SH00393</t>
  </si>
  <si>
    <t>Charlie Patel (charlie@paradisegifts.net)</t>
  </si>
  <si>
    <t>SH00394</t>
  </si>
  <si>
    <t>CHARLIE PATEL (charliepatel211@yahoo.com)</t>
  </si>
  <si>
    <t>SH00395</t>
  </si>
  <si>
    <t>Charlot Meyer (meyer150@umn.edu)</t>
  </si>
  <si>
    <t>SH00396</t>
  </si>
  <si>
    <t>Charlotte McKibbin (eubankflorist@yah...)</t>
  </si>
  <si>
    <t>SH00397</t>
  </si>
  <si>
    <t>Charlotte Schierbaum (cschierbaum@fpc...)</t>
  </si>
  <si>
    <t>SH00398</t>
  </si>
  <si>
    <t>Chelsea Ashman (cmashman@gmail.com)</t>
  </si>
  <si>
    <t>SH00399</t>
  </si>
  <si>
    <t>Chelsea Freeman (info@libertylawncare...)</t>
  </si>
  <si>
    <t>SH00400</t>
  </si>
  <si>
    <t>Chelsey Myers (wilberfloral@gmail.com)</t>
  </si>
  <si>
    <t>SH00401</t>
  </si>
  <si>
    <t>SH00402</t>
  </si>
  <si>
    <t>SH00403</t>
  </si>
  <si>
    <t>Cherrie Parker (landscapesbycherrie@g...)</t>
  </si>
  <si>
    <t>SH00404</t>
  </si>
  <si>
    <t>Cherry Farthing (cfarthi@hotmail.com)</t>
  </si>
  <si>
    <t>SH00405</t>
  </si>
  <si>
    <t>Cheryl Bakin (cheryl@parkwayflorist-p...)</t>
  </si>
  <si>
    <t>SH00406</t>
  </si>
  <si>
    <t>Cheryl Foltz (cheryl.foltz@ymail.com)</t>
  </si>
  <si>
    <t>SH00407</t>
  </si>
  <si>
    <t>cheryl lynch (cherylslynch@gmail.com)</t>
  </si>
  <si>
    <t>SH00408</t>
  </si>
  <si>
    <t>cheryl wene (lopshireflowers@comcast.net)</t>
  </si>
  <si>
    <t>SH00409</t>
  </si>
  <si>
    <t>CHICKAMAUGA FLORIST (chickamaugaflori...)</t>
  </si>
  <si>
    <t>SH00410</t>
  </si>
  <si>
    <t>Chloe Williams (chloe.williams@redcro...)</t>
  </si>
  <si>
    <t>SH00411</t>
  </si>
  <si>
    <t>Chongnyue Park (administration@wonins...)</t>
  </si>
  <si>
    <t>SH00412</t>
  </si>
  <si>
    <t>SH00413</t>
  </si>
  <si>
    <t>Chris Brawley (brawley_69@yahoo.com)</t>
  </si>
  <si>
    <t>SH00414</t>
  </si>
  <si>
    <t>Chris Evans (kiholobay248@hotmail.com)</t>
  </si>
  <si>
    <t>SH00415</t>
  </si>
  <si>
    <t>Chris Giglio (chris@florafineflowers.com)</t>
  </si>
  <si>
    <t>SH00416</t>
  </si>
  <si>
    <t>Chris Haney (fairhopefeed@gmail.com)</t>
  </si>
  <si>
    <t>SH00417</t>
  </si>
  <si>
    <t>Chris Powell (chris@goodharvestfarms.com)</t>
  </si>
  <si>
    <t>SH00418</t>
  </si>
  <si>
    <t>Chris Quinn (cmquinn2006@hotmail.com)</t>
  </si>
  <si>
    <t>SH00419</t>
  </si>
  <si>
    <t>Chris Ramirez (christopher.ramirez86@...)</t>
  </si>
  <si>
    <t>SH00420</t>
  </si>
  <si>
    <t>Chris Thorpe (cthorpe66.92@gmail.com)</t>
  </si>
  <si>
    <t>SH00421</t>
  </si>
  <si>
    <t>Christa V Vecchi (cvavecchi@verizon.net)</t>
  </si>
  <si>
    <t>SH00422</t>
  </si>
  <si>
    <t>Christie Butler (christiebloy@gmail.com)</t>
  </si>
  <si>
    <t>SH00423</t>
  </si>
  <si>
    <t>SH00424</t>
  </si>
  <si>
    <t>Christina Holloway (christina.f.hollo...)</t>
  </si>
  <si>
    <t>SH00425</t>
  </si>
  <si>
    <t>Christina Hoover (modernnomad76@gmail...)</t>
  </si>
  <si>
    <t>SH00426</t>
  </si>
  <si>
    <t>Christina Lueking (christina.lueking@...)</t>
  </si>
  <si>
    <t>SH00427</t>
  </si>
  <si>
    <t>Christina Vargas (cvargas@abaustin.com)</t>
  </si>
  <si>
    <t>SH00428</t>
  </si>
  <si>
    <t>Christine Compton (henslerc@yahoo.com)</t>
  </si>
  <si>
    <t>SH00429</t>
  </si>
  <si>
    <t>SH00430</t>
  </si>
  <si>
    <t>Christine Franklin (kfranklin@jdanfor...)</t>
  </si>
  <si>
    <t>SH00431</t>
  </si>
  <si>
    <t>Christine Girand (cegirand@gmail.com)</t>
  </si>
  <si>
    <t>SH00432</t>
  </si>
  <si>
    <t>Christine Haverty (chaverty33@gmail.com)</t>
  </si>
  <si>
    <t>SH00433</t>
  </si>
  <si>
    <t>Christine Jones (wagirl74@gmail.com)</t>
  </si>
  <si>
    <t>SH00434</t>
  </si>
  <si>
    <t>Christine Landon (christinelandon@me.com)</t>
  </si>
  <si>
    <t>SH00435</t>
  </si>
  <si>
    <t>Christine Piombino (cpbfloral@gmail.com)</t>
  </si>
  <si>
    <t>SH00436</t>
  </si>
  <si>
    <t>Christine Roper (thekrazykatlady@gmail.co</t>
  </si>
  <si>
    <t>SH00437</t>
  </si>
  <si>
    <t>christine savio (christinesavio50@gma...)</t>
  </si>
  <si>
    <t>SH00438</t>
  </si>
  <si>
    <t>christine vasconcelo (bloomingdays@ao...)</t>
  </si>
  <si>
    <t>SH00439</t>
  </si>
  <si>
    <t>CHRISTINE VASCONCELO christine@bloomingdays.com</t>
  </si>
  <si>
    <t>SH00440</t>
  </si>
  <si>
    <t>Christine Waldrop (blluumfed@gmail.com)</t>
  </si>
  <si>
    <t>SH00441</t>
  </si>
  <si>
    <t>Christine Yee Pavon (cpavon@gelia.com)</t>
  </si>
  <si>
    <t>SH00442</t>
  </si>
  <si>
    <t>Christopher Owens chris@lemontreeflower.com</t>
  </si>
  <si>
    <t>SH00443</t>
  </si>
  <si>
    <t>Christy Bowen (christy@johnnysrv.com)</t>
  </si>
  <si>
    <t>SH00444</t>
  </si>
  <si>
    <t>Christy Hart (christyhart@rocketmail.com)</t>
  </si>
  <si>
    <t>SH00445</t>
  </si>
  <si>
    <t>Christy Jackson-Collins (revetique@gm...)</t>
  </si>
  <si>
    <t>SH00446</t>
  </si>
  <si>
    <t>Christy Mullins (libertygardens1@veri...)</t>
  </si>
  <si>
    <t>SH00447</t>
  </si>
  <si>
    <t>Christy Taveira (christyhtaveira@gmai...)</t>
  </si>
  <si>
    <t>SH00448</t>
  </si>
  <si>
    <t>Cindy  Tilley (ctilley6821@gmail.com)</t>
  </si>
  <si>
    <t>SH00449</t>
  </si>
  <si>
    <t>Cindy Alexandwr (cfreelander@gmail.com)</t>
  </si>
  <si>
    <t>SH00450</t>
  </si>
  <si>
    <t>Cindy Arreola (arreolacindy661@gmail.com)</t>
  </si>
  <si>
    <t>SH00451</t>
  </si>
  <si>
    <t>Cindy Burciaga (cindy_burciaga@yahoo.com)</t>
  </si>
  <si>
    <t>SH00452</t>
  </si>
  <si>
    <t>Cindy Cole (cindycolebears@gmail.com)</t>
  </si>
  <si>
    <t>SH00453</t>
  </si>
  <si>
    <t>Cindy Diaz (cdadames@gmail.com)</t>
  </si>
  <si>
    <t>SH00454</t>
  </si>
  <si>
    <t>Cindy Galvin (helensflowers1@gmail.com)</t>
  </si>
  <si>
    <t>SH00455</t>
  </si>
  <si>
    <t>cindy ley (cindyley@verizon.net)</t>
  </si>
  <si>
    <t>SH00456</t>
  </si>
  <si>
    <t>Cindy Lindstrom (cindy@panzicos.com)</t>
  </si>
  <si>
    <t>SH00457</t>
  </si>
  <si>
    <t>Cindy Loyd (cindyday@cox.net)</t>
  </si>
  <si>
    <t>SH00458</t>
  </si>
  <si>
    <t>Cindy Marsh (scoobi957@icloud.com)</t>
  </si>
  <si>
    <t>SH00459</t>
  </si>
  <si>
    <t>Cindy Mason (mason0306@yahoo.com)</t>
  </si>
  <si>
    <t>SH00460</t>
  </si>
  <si>
    <t>Cindy Matthews (gabpenn@yahoo.com)</t>
  </si>
  <si>
    <t>SH00461</t>
  </si>
  <si>
    <t>Cindy OHAGAN (cindyohagan@gmail.com)</t>
  </si>
  <si>
    <t>SH00462</t>
  </si>
  <si>
    <t>Cindy Oldfield (oldfield@medford.net)</t>
  </si>
  <si>
    <t>SH00463</t>
  </si>
  <si>
    <t>Cindy Sawyer (casawyer1@yahoo.com)</t>
  </si>
  <si>
    <t>SH00464</t>
  </si>
  <si>
    <t>Cindy Stevens (cindilou1177@gmail.com)</t>
  </si>
  <si>
    <t>SH00465</t>
  </si>
  <si>
    <t>Cinnamon Kunelis (cinnamontoasty@hotm...)</t>
  </si>
  <si>
    <t>SH00466</t>
  </si>
  <si>
    <t>Cinthia Gomez (mallysflowers@icloud.com)</t>
  </si>
  <si>
    <t>SH00467</t>
  </si>
  <si>
    <t>Claire Kim (claireaflowergarden@gmail...)</t>
  </si>
  <si>
    <t>SH00468</t>
  </si>
  <si>
    <t>Clara Alvarez (claraalvarez6533@gmail...)</t>
  </si>
  <si>
    <t>SH00469</t>
  </si>
  <si>
    <t>Clara Marks (cptmgt@flproperties.net)</t>
  </si>
  <si>
    <t>SH00470</t>
  </si>
  <si>
    <t>Clarissa Cordova (clarissacordova2@gm...)</t>
  </si>
  <si>
    <t>SH00471</t>
  </si>
  <si>
    <t>Claudia Dariy (claudiabogde@yahoo.com)</t>
  </si>
  <si>
    <t>SH00472</t>
  </si>
  <si>
    <t>Claudia Garza (claudiagarza6@outlook.com)</t>
  </si>
  <si>
    <t>SH00473</t>
  </si>
  <si>
    <t>Claudia Guerrero (epidaniaperez1981@g...)</t>
  </si>
  <si>
    <t>SH00474</t>
  </si>
  <si>
    <t>Claudia OHara (cjoharadesigns@gmail.com)</t>
  </si>
  <si>
    <t>SH00475</t>
  </si>
  <si>
    <t>CLAY HEAFNER (cheafner@live.com)</t>
  </si>
  <si>
    <t>SH00476</t>
  </si>
  <si>
    <t>clayton templin (clay_99_98@yahoo.com)</t>
  </si>
  <si>
    <t>SH00477</t>
  </si>
  <si>
    <t>Clenet Macalindong (clenet.macalindon...)</t>
  </si>
  <si>
    <t>SH00478</t>
  </si>
  <si>
    <t>Clifford Brett (ap@kimbertonwholefood...)</t>
  </si>
  <si>
    <t>SH00479</t>
  </si>
  <si>
    <t>Clifford Lowrance (diannelowrance@yah...)</t>
  </si>
  <si>
    <t>SH00480</t>
  </si>
  <si>
    <t>Clint Whitney (gm@glendale.com)</t>
  </si>
  <si>
    <t>SH00481</t>
  </si>
  <si>
    <t>Clinton Lewis (clint@orchiddynasty.com)</t>
  </si>
  <si>
    <t>SH00482</t>
  </si>
  <si>
    <t>Cole Duffy (duffycole4@gmail.com)</t>
  </si>
  <si>
    <t>SH00483</t>
  </si>
  <si>
    <t>Coleen Richardson (cabasarich@gmail.com)</t>
  </si>
  <si>
    <t>SH00484</t>
  </si>
  <si>
    <t>Colleen Bahm (bahmies@gmail.com)</t>
  </si>
  <si>
    <t>SH00485</t>
  </si>
  <si>
    <t>Colleen Haug (latebloomerflowerswg@gm...)</t>
  </si>
  <si>
    <t>SH00486</t>
  </si>
  <si>
    <t>Colleen M Gallaher (candy.gallaher@gm...)</t>
  </si>
  <si>
    <t>SH00487</t>
  </si>
  <si>
    <t>Colleena Wharton (colleena.wharton@as...)</t>
  </si>
  <si>
    <t>SH00488</t>
  </si>
  <si>
    <t>Connie Finley (cfinley@crouchsales.com)</t>
  </si>
  <si>
    <t>SH00489</t>
  </si>
  <si>
    <t>Connie Marshall (connie.lordslandscap...)</t>
  </si>
  <si>
    <t>SH00490</t>
  </si>
  <si>
    <t>Constance Ashe (connieashe56@gmail.com)</t>
  </si>
  <si>
    <t>SH00491</t>
  </si>
  <si>
    <t>Constance McNeely (sweetestpeaflorald...)</t>
  </si>
  <si>
    <t>SH00492</t>
  </si>
  <si>
    <t>Consuelo Ortiz (lorenscleaningservice...)</t>
  </si>
  <si>
    <t>SH00493</t>
  </si>
  <si>
    <t>Cooper Charlton (chgreenhouses21@gmai...)</t>
  </si>
  <si>
    <t>SH00494</t>
  </si>
  <si>
    <t>Corine DeFrancesco (corinedefrancesco...)</t>
  </si>
  <si>
    <t>SH00495</t>
  </si>
  <si>
    <t>Corinne Willmerdinger (corinnemariew1...)</t>
  </si>
  <si>
    <t>SH00496</t>
  </si>
  <si>
    <t>Corrie christian (corrie@333designs.com)</t>
  </si>
  <si>
    <t>SH00497</t>
  </si>
  <si>
    <t>Courtney Ford (marketing@aoortho.com)</t>
  </si>
  <si>
    <t>SH00498</t>
  </si>
  <si>
    <t>SH00499</t>
  </si>
  <si>
    <t>Crestwood Flowers (crestwoodflowers@g...)</t>
  </si>
  <si>
    <t>SH00500</t>
  </si>
  <si>
    <t>Cris Graff (cristinagraff20@gmail.com)</t>
  </si>
  <si>
    <t>SH00501</t>
  </si>
  <si>
    <t>Cristian Gonzalez (cris.gd@icloud.com)</t>
  </si>
  <si>
    <t>SH00502</t>
  </si>
  <si>
    <t>Cristina Lara (david316lopez@gmail.com)</t>
  </si>
  <si>
    <t>SH00503</t>
  </si>
  <si>
    <t>Cristina Ramos (xxtina.ramos@gmail.com)</t>
  </si>
  <si>
    <t>SH00504</t>
  </si>
  <si>
    <t>Crystal Allison (twokaysflowerfarm@ou...)</t>
  </si>
  <si>
    <t>SH00505</t>
  </si>
  <si>
    <t>Crystal Carmody (ccarmody6@gmail.com)</t>
  </si>
  <si>
    <t>SH00506</t>
  </si>
  <si>
    <t>crystal grenier (wilddesigns@netzero.com)</t>
  </si>
  <si>
    <t>SH00507</t>
  </si>
  <si>
    <t>crystal morales (cnmorales90@yahoo.com)</t>
  </si>
  <si>
    <t>SH00508</t>
  </si>
  <si>
    <t>Cullen Handfelt (cullen@pineyrose.com)</t>
  </si>
  <si>
    <t>SH00509</t>
  </si>
  <si>
    <t>Cydney Davis-English (info@englishgar...)</t>
  </si>
  <si>
    <t>SH00510</t>
  </si>
  <si>
    <t>cydney english (cydney@englishgardenr...)</t>
  </si>
  <si>
    <t>SH00511</t>
  </si>
  <si>
    <t>Cydnie Argotsinger (cydnie@petalcolle...)</t>
  </si>
  <si>
    <t>SH00512</t>
  </si>
  <si>
    <t>Cyndie Eaton (pezinni33@yahoo.com)</t>
  </si>
  <si>
    <t>SH00513</t>
  </si>
  <si>
    <t>Cynthia Allgood (callgood@arborday.org)</t>
  </si>
  <si>
    <t>SH00514</t>
  </si>
  <si>
    <t>Cynthia Campbell (eckersflowers@gmail...)</t>
  </si>
  <si>
    <t>SH00515</t>
  </si>
  <si>
    <t>Cynthia Dobitz (mrsgvern@gmail.com)</t>
  </si>
  <si>
    <t>SH00516</t>
  </si>
  <si>
    <t>Cynthia Garcia (cyngarciacasanova@gma...)</t>
  </si>
  <si>
    <t>SH00517</t>
  </si>
  <si>
    <t>SH00518</t>
  </si>
  <si>
    <t>Cynthia Sutphin (cynthia@capecodlaven...)</t>
  </si>
  <si>
    <t>SH00519</t>
  </si>
  <si>
    <t>cynthia sykes (treasurer@plymouthgard...)</t>
  </si>
  <si>
    <t>SH00520</t>
  </si>
  <si>
    <t>Cynthia Tran (hadleyandren@gmail.com)</t>
  </si>
  <si>
    <t>SH00521</t>
  </si>
  <si>
    <t>DACIA BINGHOM (dacia.cooper1400@gmail...)</t>
  </si>
  <si>
    <t>SH00522</t>
  </si>
  <si>
    <t>Daisy Segura (karysego@gmail.com)</t>
  </si>
  <si>
    <t>SH00523</t>
  </si>
  <si>
    <t>Dak Millis (dakmillis@gmail.com)</t>
  </si>
  <si>
    <t>SH00524</t>
  </si>
  <si>
    <t>Dale Anderson (orlindale@ail.com)</t>
  </si>
  <si>
    <t>SH00525</t>
  </si>
  <si>
    <t>Dallas Hayes (dkfloral@yahoo.com)</t>
  </si>
  <si>
    <t>SH00526</t>
  </si>
  <si>
    <t>Damaris Melendez (parkfloraldesigns@g...)</t>
  </si>
  <si>
    <t>SH00527</t>
  </si>
  <si>
    <t>Damaris Oliveras (jjd.damaris@hotmail...)</t>
  </si>
  <si>
    <t>SH00528</t>
  </si>
  <si>
    <t>dan harvill (dan@petalsofboca.com)</t>
  </si>
  <si>
    <t>SH00529</t>
  </si>
  <si>
    <t>Dan Paglia (acetina@decowraps.com)</t>
  </si>
  <si>
    <t>SH00530</t>
  </si>
  <si>
    <t>Dan Provenzano (danjoseph328@gmail.com)</t>
  </si>
  <si>
    <t>SH00531</t>
  </si>
  <si>
    <t>Dana Grant (dana@bradleychurch.com)</t>
  </si>
  <si>
    <t>SH00532</t>
  </si>
  <si>
    <t>Dana Kelly (havenhouseflorals@gmail.com)</t>
  </si>
  <si>
    <t>SH00533</t>
  </si>
  <si>
    <t>Dana Parlevliet (danaspaperflowers@ya...)</t>
  </si>
  <si>
    <t>SH00534</t>
  </si>
  <si>
    <t>Dana Supnick-Guidoni (dana@lovecreati...)</t>
  </si>
  <si>
    <t>SH00535</t>
  </si>
  <si>
    <t>Dana Taylor (rustonhouseofflowers@gma...)</t>
  </si>
  <si>
    <t>SH00536</t>
  </si>
  <si>
    <t>Danelle Dorsey (danelle.edorsey@gmail...)</t>
  </si>
  <si>
    <t>SH00537</t>
  </si>
  <si>
    <t>Danica Mosher (danica.mosher@gmail.com)</t>
  </si>
  <si>
    <t>SH00538</t>
  </si>
  <si>
    <t>Daniel Combe (daniel@valleynurseryuta...)</t>
  </si>
  <si>
    <t>SH00539</t>
  </si>
  <si>
    <t>daniel cook (dantcook443@gmail.com)</t>
  </si>
  <si>
    <t>SH00540</t>
  </si>
  <si>
    <t>Daniel Jackson (danieljackson@pointlo...)</t>
  </si>
  <si>
    <t>SH00541</t>
  </si>
  <si>
    <t>Daniel Sawalha (dsawalha@westbornmark...)</t>
  </si>
  <si>
    <t>SH00542</t>
  </si>
  <si>
    <t>Danielle Allen (danielleallen1997@yah...)</t>
  </si>
  <si>
    <t>SH00543</t>
  </si>
  <si>
    <t>Danielle DelConte (dmd293@cornell.edu)</t>
  </si>
  <si>
    <t>SH00544</t>
  </si>
  <si>
    <t>Danielle DiPaola (ddipaola14@gmail.com)</t>
  </si>
  <si>
    <t>SH00545</t>
  </si>
  <si>
    <t>Danielle Kuhns (flowers@paradiseflowe...)</t>
  </si>
  <si>
    <t>SH00546</t>
  </si>
  <si>
    <t>Danni Kiefner (danni.kiefner@flylouis...)</t>
  </si>
  <si>
    <t>SH00547</t>
  </si>
  <si>
    <t>Daphne Schlesinger (daphneshlezz@gmai...)</t>
  </si>
  <si>
    <t>SH00548</t>
  </si>
  <si>
    <t>Darcy Foster (darcyfoster@fas.harvard...)</t>
  </si>
  <si>
    <t>SH00549</t>
  </si>
  <si>
    <t>Dariusz Mikucki (nicolemikucka@gmail.com)</t>
  </si>
  <si>
    <t>SH00550</t>
  </si>
  <si>
    <t>Darlene Price (priceda@si.edu)</t>
  </si>
  <si>
    <t>SH00551</t>
  </si>
  <si>
    <t>Darlette Miguel (peeweemiguel_dart@ya...)</t>
  </si>
  <si>
    <t>SH00552</t>
  </si>
  <si>
    <t>Darly Vu (hello@scarlettandflora.com)</t>
  </si>
  <si>
    <t>SH00553</t>
  </si>
  <si>
    <t>David Allan Austin (aaustin123@hotmai...)</t>
  </si>
  <si>
    <t>SH00554</t>
  </si>
  <si>
    <t>David Boulton (dboulton65@gmail.com)</t>
  </si>
  <si>
    <t>SH00555</t>
  </si>
  <si>
    <t>David Brown (hcfast@msn.com)</t>
  </si>
  <si>
    <t>SH00556</t>
  </si>
  <si>
    <t>David Canedo Rivas (canedordavid@gmai...)</t>
  </si>
  <si>
    <t>SH00557</t>
  </si>
  <si>
    <t>David Franklin (davidsflorist1@aol.com)</t>
  </si>
  <si>
    <t>SH00558</t>
  </si>
  <si>
    <t>David Kensinger (dkensinger@gmail.com)</t>
  </si>
  <si>
    <t>SH00559</t>
  </si>
  <si>
    <t>David Kolehmainen (davidkoleh@yahoo.com)</t>
  </si>
  <si>
    <t>SH00560</t>
  </si>
  <si>
    <t>SH00561</t>
  </si>
  <si>
    <t>David Recine (flowersbydavidanthony@g...)</t>
  </si>
  <si>
    <t>SH00562</t>
  </si>
  <si>
    <t>David Sharif (gwdaves718@gmail.com)</t>
  </si>
  <si>
    <t>SH00563</t>
  </si>
  <si>
    <t>David Vos (david@vandergiessennursery...)</t>
  </si>
  <si>
    <t>SH00564</t>
  </si>
  <si>
    <t>David Vrotney (julivrotney@gmail.com)</t>
  </si>
  <si>
    <t>SH00565</t>
  </si>
  <si>
    <t>David Wynn (elizabethflowers@bellsout...)</t>
  </si>
  <si>
    <t>SH00566</t>
  </si>
  <si>
    <t>Davin B Ross (georgetown@berkshireres...)</t>
  </si>
  <si>
    <t>SH00567</t>
  </si>
  <si>
    <t>Dawn  Howard (dawnieb1@comcast.net)</t>
  </si>
  <si>
    <t>SH00568</t>
  </si>
  <si>
    <t>Dawn Ahner (ahnerflorist@gmail.com)</t>
  </si>
  <si>
    <t>SH00569</t>
  </si>
  <si>
    <t>dawn howard (dawn.howard@ferguson.com)</t>
  </si>
  <si>
    <t>SH00570</t>
  </si>
  <si>
    <t>Dawn Kascak (dmmk5d@sbcglobal.net)</t>
  </si>
  <si>
    <t>SH00571</t>
  </si>
  <si>
    <t>dawn lopez (davey_dawn@hotmail.com)</t>
  </si>
  <si>
    <t>SH00572</t>
  </si>
  <si>
    <t>Dawn M Kascak (dawnssecretgarden@gmail)</t>
  </si>
  <si>
    <t>SH00573</t>
  </si>
  <si>
    <t>Dawn M Zimmerman (dawn.m.zimmerman@gm...)</t>
  </si>
  <si>
    <t>SH00574</t>
  </si>
  <si>
    <t>Dawn Whitehill (potterycellar@gmail.com)</t>
  </si>
  <si>
    <t>SH00575</t>
  </si>
  <si>
    <t>Dawna Livesay (dawna@thepeachbarn.com)</t>
  </si>
  <si>
    <t>SH00576</t>
  </si>
  <si>
    <t>Dayanara  Gutierrez (nan_i1369@hotmai...)</t>
  </si>
  <si>
    <t>SH00577</t>
  </si>
  <si>
    <t>Daydra Campbell (campbellsphoenix@aol...)</t>
  </si>
  <si>
    <t>SH00578</t>
  </si>
  <si>
    <t>Daysi Leon (daysileon016@yahoo.com)</t>
  </si>
  <si>
    <t>SH00579</t>
  </si>
  <si>
    <t>DD Diaz (dorisdiaz1025@gmail.com)</t>
  </si>
  <si>
    <t>SH00580</t>
  </si>
  <si>
    <t>deanna viggiani (azwildflowers@hotmai...)</t>
  </si>
  <si>
    <t>SH00581</t>
  </si>
  <si>
    <t>Deb  Schunk (schunkjd@aol.com)</t>
  </si>
  <si>
    <t>SH00582</t>
  </si>
  <si>
    <t>Deb Lengyel (deb@ideapatio.com)</t>
  </si>
  <si>
    <t>SH00583</t>
  </si>
  <si>
    <t>Debbi Repp (memevent@stjohncable.com)</t>
  </si>
  <si>
    <t>SH00584</t>
  </si>
  <si>
    <t>Debbie Blue (blue.boy@att.net)</t>
  </si>
  <si>
    <t>SH00585</t>
  </si>
  <si>
    <t>SH00586</t>
  </si>
  <si>
    <t>Debbie Honsey (rae.homsey@cox.net)</t>
  </si>
  <si>
    <t>SH00587</t>
  </si>
  <si>
    <t>Debbie Mott (theoldvirginiafarm@gmail...)</t>
  </si>
  <si>
    <t>SH00588</t>
  </si>
  <si>
    <t>Debbie Reed (wacoreedsflowers@gmail.com)</t>
  </si>
  <si>
    <t>SH00589</t>
  </si>
  <si>
    <t>Debbie Samford (debbie.samford@comcas...)</t>
  </si>
  <si>
    <t>SH00590</t>
  </si>
  <si>
    <t>Debbie Samford (dsamford@sbcglobal.net)</t>
  </si>
  <si>
    <t>SH00591</t>
  </si>
  <si>
    <t>Debbie Scripture (dscripture@farmandh...)</t>
  </si>
  <si>
    <t>SH00592</t>
  </si>
  <si>
    <t>Debbie Soares (mbcjane@aol.com)</t>
  </si>
  <si>
    <t>SH00593</t>
  </si>
  <si>
    <t>Debora Nunes (deboracnunes4@gmail.com)</t>
  </si>
  <si>
    <t>SH00594</t>
  </si>
  <si>
    <t>Deborah Asiago (empressnyahllc@gmail.com)</t>
  </si>
  <si>
    <t>SH00595</t>
  </si>
  <si>
    <t>Deborah Brooks (debh1019@gmail.com)</t>
  </si>
  <si>
    <t>SH00596</t>
  </si>
  <si>
    <t>SH00597</t>
  </si>
  <si>
    <t>Deborah Garman (dcgarman@gmail.com)</t>
  </si>
  <si>
    <t>SH00598</t>
  </si>
  <si>
    <t>Deborah Geweke (sunshine64dlg@comcast...)</t>
  </si>
  <si>
    <t>SH00599</t>
  </si>
  <si>
    <t>Deborah Johanning (gjohanning@cfl.rr.com)</t>
  </si>
  <si>
    <t>SH00600</t>
  </si>
  <si>
    <t>deborah nevins (debnev56@aol.com)</t>
  </si>
  <si>
    <t>SH00601</t>
  </si>
  <si>
    <t>Deborah Olson (debbieolson777@gmail.com)</t>
  </si>
  <si>
    <t>SH00602</t>
  </si>
  <si>
    <t>Deborah Sapp (southerngardensflorist@...)</t>
  </si>
  <si>
    <t>SH00603</t>
  </si>
  <si>
    <t>Deborah Stone (stonehollowfarm@me.com)</t>
  </si>
  <si>
    <t>SH00604</t>
  </si>
  <si>
    <t>SH00605</t>
  </si>
  <si>
    <t>Debra Golden (dgolden62.dg@gmail.com)</t>
  </si>
  <si>
    <t>SH00606</t>
  </si>
  <si>
    <t>Debra Golden (goldend@connorsstate.edu)</t>
  </si>
  <si>
    <t>SH00607</t>
  </si>
  <si>
    <t>Debra Leblanc (ddle600@att.net)</t>
  </si>
  <si>
    <t>SH00608</t>
  </si>
  <si>
    <t>Debra Leblanc (leblanccatherine08@gma...)</t>
  </si>
  <si>
    <t>SH00609</t>
  </si>
  <si>
    <t>Debra Smits (debrasuesmits@gmail.com)</t>
  </si>
  <si>
    <t>SH00610</t>
  </si>
  <si>
    <t>SH00611</t>
  </si>
  <si>
    <t>Debra Weaver (debbie@eventsplusnashvi...)</t>
  </si>
  <si>
    <t>SH00612</t>
  </si>
  <si>
    <t>Deena Fields (deenarobyn@yahoo.com)</t>
  </si>
  <si>
    <t>SH00613</t>
  </si>
  <si>
    <t>Delfilia Serrano (lubiano@bellsouth.net)</t>
  </si>
  <si>
    <t>SH00614</t>
  </si>
  <si>
    <t>delgis canahuate (stemfg@yahoo.com)</t>
  </si>
  <si>
    <t>SH00615</t>
  </si>
  <si>
    <t>Delia Zah (zahchristine@gmail.com)</t>
  </si>
  <si>
    <t>SH00616</t>
  </si>
  <si>
    <t>Delmira Pellum (dglez8a@gmail.com)</t>
  </si>
  <si>
    <t>SH00617</t>
  </si>
  <si>
    <t>Delores Jones (delores.jones1116@gmai...)</t>
  </si>
  <si>
    <t>SH00618</t>
  </si>
  <si>
    <t>delvin smith (cecehughes@theorganicfl...)</t>
  </si>
  <si>
    <t>SH00619</t>
  </si>
  <si>
    <t>DeNae Bauer (desimms@hotmail.com)</t>
  </si>
  <si>
    <t>SH00620</t>
  </si>
  <si>
    <t>Denee Montrond (modellush@gmail.com)</t>
  </si>
  <si>
    <t>SH00621</t>
  </si>
  <si>
    <t>Denise Broce (dbroce@poppysflowersand...)</t>
  </si>
  <si>
    <t>SH00622</t>
  </si>
  <si>
    <t>Denise Martin (rgmartin1965@gmail.com)</t>
  </si>
  <si>
    <t>SH00623</t>
  </si>
  <si>
    <t>denise mccummings (dmmccummings@dalla...)</t>
  </si>
  <si>
    <t>SH00624</t>
  </si>
  <si>
    <t>Denise Mills (denisemills627@gmail.com)</t>
  </si>
  <si>
    <t>SH00625</t>
  </si>
  <si>
    <t>Denise Pierle (info@lovinggraceflower...)</t>
  </si>
  <si>
    <t>SH00626</t>
  </si>
  <si>
    <t>Denise Stelter (denisie@hotmail.com)</t>
  </si>
  <si>
    <t>SH00627</t>
  </si>
  <si>
    <t>Denise Terravechia (springhavenfarmnh...)</t>
  </si>
  <si>
    <t>SH00628</t>
  </si>
  <si>
    <t>Dennis &amp; Marilyn Riley (sanitizeit-sa...)</t>
  </si>
  <si>
    <t>SH00629</t>
  </si>
  <si>
    <t>Dennis McGowan (dennismcgowan@aol.com)</t>
  </si>
  <si>
    <t>SH00630</t>
  </si>
  <si>
    <t>denton harden (dentonh43@gmail.com)</t>
  </si>
  <si>
    <t>SH00631</t>
  </si>
  <si>
    <t>Deric Lanham (dericlanham@gmail.com)</t>
  </si>
  <si>
    <t>SH00632</t>
  </si>
  <si>
    <t>Devan Bacher (bacherblooms@gmail.com)</t>
  </si>
  <si>
    <t>SH00633</t>
  </si>
  <si>
    <t>Devante Wright (kerimierizaldo@outloo...)</t>
  </si>
  <si>
    <t>SH00634</t>
  </si>
  <si>
    <t>SH00635</t>
  </si>
  <si>
    <t>Devin Maloney (dmaloney@xobotanicals.com)</t>
  </si>
  <si>
    <t>SH00636</t>
  </si>
  <si>
    <t>Devin Mullen (kerry@yourjewelrybox.com)</t>
  </si>
  <si>
    <t>SH00637</t>
  </si>
  <si>
    <t>Devony Scott (shopposhpetals@gmail.com)</t>
  </si>
  <si>
    <t>SH00638</t>
  </si>
  <si>
    <t>Diana Moscoso (mishel.moscoso1998@gma...)</t>
  </si>
  <si>
    <t>SH00639</t>
  </si>
  <si>
    <t>Diana Sanchez (guadalupe525969@gmail.com)</t>
  </si>
  <si>
    <t>SH00640</t>
  </si>
  <si>
    <t>SH00641</t>
  </si>
  <si>
    <t>Dianalee Dupree (ddupree@st-anastasia...)</t>
  </si>
  <si>
    <t>SH00642</t>
  </si>
  <si>
    <t>SH00643</t>
  </si>
  <si>
    <t>Diane Cafiso (lilcarcare@aol.com)</t>
  </si>
  <si>
    <t>SH00644</t>
  </si>
  <si>
    <t>Diane Hohmann (besharing@me.com)</t>
  </si>
  <si>
    <t>SH00645</t>
  </si>
  <si>
    <t>Diane Joyal (diane@bowerbirdflowers.com)</t>
  </si>
  <si>
    <t>SH00646</t>
  </si>
  <si>
    <t>Diane Lauer (dmlauer@embarqmail.com)</t>
  </si>
  <si>
    <t>SH00647</t>
  </si>
  <si>
    <t>Diane Pecchie (diane@theabbot.org)</t>
  </si>
  <si>
    <t>SH00648</t>
  </si>
  <si>
    <t>Diane Shaffer (dlshafferpt@yahoo.com)</t>
  </si>
  <si>
    <t>SH00649</t>
  </si>
  <si>
    <t>dianna reyes (dees.boutique1@yahoo.com)</t>
  </si>
  <si>
    <t>SH00650</t>
  </si>
  <si>
    <t>Diego Ciudad Real CAL (pedidosceliflo...)</t>
  </si>
  <si>
    <t>SH00651</t>
  </si>
  <si>
    <t>Dieu Nguyen (dieunguyen021295lms@gmai...)</t>
  </si>
  <si>
    <t>SH00652</t>
  </si>
  <si>
    <t>Dilma Galindo (drfloraldesignllc@gmai...)</t>
  </si>
  <si>
    <t>SH00653</t>
  </si>
  <si>
    <t>Domingo j delVillar (mariele.delvilla...)</t>
  </si>
  <si>
    <t>SH00654</t>
  </si>
  <si>
    <t>Dominique Amar (dominique@wilddovesfl...)</t>
  </si>
  <si>
    <t>SH00655</t>
  </si>
  <si>
    <t>Donald horne (acura8974@gmail.com)</t>
  </si>
  <si>
    <t>SH00656</t>
  </si>
  <si>
    <t>donald lopez (dlopez742@aol.com)</t>
  </si>
  <si>
    <t>SH00657</t>
  </si>
  <si>
    <t>Donna Becker (dbeckerone@sbcglobal.net)</t>
  </si>
  <si>
    <t>SH00658</t>
  </si>
  <si>
    <t>Donna Blakemore (maydellelioness@aol.com)</t>
  </si>
  <si>
    <t>SH00659</t>
  </si>
  <si>
    <t>Donna Covell (dcovell@powellgardens.org)</t>
  </si>
  <si>
    <t>SH00660</t>
  </si>
  <si>
    <t>Donna Genua (jrflorist@optimum.net)</t>
  </si>
  <si>
    <t>SH00661</t>
  </si>
  <si>
    <t>Donna H Pelto (shoptimelessdesigns@gm...)</t>
  </si>
  <si>
    <t>SH00662</t>
  </si>
  <si>
    <t>Donna Harakas (antonia1840@icloud.com)</t>
  </si>
  <si>
    <t>SH00663</t>
  </si>
  <si>
    <t>donna VILLERE (bryan@villeresflorist.com)</t>
  </si>
  <si>
    <t>SH00664</t>
  </si>
  <si>
    <t>Donna Zwanzig (Dzwanzig2020@gmail.com)</t>
  </si>
  <si>
    <t>SH00665</t>
  </si>
  <si>
    <t>Dora Rodriguez (dora.b.rodriguez@gmai...)</t>
  </si>
  <si>
    <t>SH00666</t>
  </si>
  <si>
    <t>Dorian Albritton (bottledblossoms23@g...)</t>
  </si>
  <si>
    <t>SH00667</t>
  </si>
  <si>
    <t>Dorinda Wilkinson (info@gulfcoastexec...)</t>
  </si>
  <si>
    <t>SH00668</t>
  </si>
  <si>
    <t>Doris Antal (dantal@bdblaw.com)</t>
  </si>
  <si>
    <t>SH00669</t>
  </si>
  <si>
    <t>Doris Degner-Foster (dianewh62@gmail.com)</t>
  </si>
  <si>
    <t>SH00670</t>
  </si>
  <si>
    <t>Doris Gilbert (dorisgilbert3@yahoo.com)</t>
  </si>
  <si>
    <t>SH00671</t>
  </si>
  <si>
    <t>Dorothy chrisofides (dccz32@gmail.com)</t>
  </si>
  <si>
    <t>SH00672</t>
  </si>
  <si>
    <t>dorothy mcelwee (mcelwee1433@comcast.net)</t>
  </si>
  <si>
    <t>SH00673</t>
  </si>
  <si>
    <t>Dorothy Miller (hopeblooms@msn.com)</t>
  </si>
  <si>
    <t>SH00674</t>
  </si>
  <si>
    <t>SH00675</t>
  </si>
  <si>
    <t>Doug Lindamood (dougl@georgesflowers.com)</t>
  </si>
  <si>
    <t>SH00676</t>
  </si>
  <si>
    <t>Douglas Klatt (dklatt@yahoo.com)</t>
  </si>
  <si>
    <t>SH00677</t>
  </si>
  <si>
    <t>Douglas Klatt (sales@graciespetals.com)</t>
  </si>
  <si>
    <t>SH00678</t>
  </si>
  <si>
    <t>Doysha Chanel (info@rawflowerdesign.com)</t>
  </si>
  <si>
    <t>SH00679</t>
  </si>
  <si>
    <t>Duane Hutchinson (duaneh889@gmail.com)</t>
  </si>
  <si>
    <t>SH00680</t>
  </si>
  <si>
    <t>Dukencia Romeus (dukeromeus@gmail.com)</t>
  </si>
  <si>
    <t>SH00681</t>
  </si>
  <si>
    <t>Dustin Kappler (dkapp84@gmail.com)</t>
  </si>
  <si>
    <t>SH00682</t>
  </si>
  <si>
    <t>SH00683</t>
  </si>
  <si>
    <t>Eder Sanchez (kaitlintvasquez2003@gma...)</t>
  </si>
  <si>
    <t>SH00684</t>
  </si>
  <si>
    <t>edgar paredes (waterburyflowershop@gm...)</t>
  </si>
  <si>
    <t>SH00685</t>
  </si>
  <si>
    <t>Edgar Pastrana (eventosyfloresmx@gmai...)</t>
  </si>
  <si>
    <t>SH00686</t>
  </si>
  <si>
    <t>Edgar Rangel (rangel2609@gmail.com)</t>
  </si>
  <si>
    <t>SH00687</t>
  </si>
  <si>
    <t>Edgar Trinidad mendez (edgar1822@yaho...)</t>
  </si>
  <si>
    <t>SH00688</t>
  </si>
  <si>
    <t>Edith Guerrero (guerreroedith43@hotma...)</t>
  </si>
  <si>
    <t>SH00689</t>
  </si>
  <si>
    <t>Eduardo Nungaray (eduardonungaray.en@...)</t>
  </si>
  <si>
    <t>SH00690</t>
  </si>
  <si>
    <t>Edwin Recinos (Petalsbyedwin@gmail.com)</t>
  </si>
  <si>
    <t>SH00691</t>
  </si>
  <si>
    <t>Egly Gramajo (edamy2010@hotmail.com)</t>
  </si>
  <si>
    <t>SH00692</t>
  </si>
  <si>
    <t>Eileen Cox (broomcar@aol.com)</t>
  </si>
  <si>
    <t>SH00693</t>
  </si>
  <si>
    <t>Eileen Miller (emiller10@northwell.edu)</t>
  </si>
  <si>
    <t>SH00694</t>
  </si>
  <si>
    <t>Eileen Rojas (eileendelianarc@hotmail...)</t>
  </si>
  <si>
    <t>SH00695</t>
  </si>
  <si>
    <t>Elah Nicolas (elah@andrews.edu)</t>
  </si>
  <si>
    <t>SH00696</t>
  </si>
  <si>
    <t>Elaine Lohrman (elohrman@aol.com)</t>
  </si>
  <si>
    <t>SH00697</t>
  </si>
  <si>
    <t>Elan Margulies (genevafarm@gmail.com)</t>
  </si>
  <si>
    <t>SH00698</t>
  </si>
  <si>
    <t>Eleanor Arpino (earpino@cushingcenter...)</t>
  </si>
  <si>
    <t>SH00699</t>
  </si>
  <si>
    <t>Eleanor LoNardo (theborrowedgarden@gm...)</t>
  </si>
  <si>
    <t>SH00700</t>
  </si>
  <si>
    <t>Elena Mojica (elena_mojica@yahoo.com)</t>
  </si>
  <si>
    <t>SH00701</t>
  </si>
  <si>
    <t>Elena Stefanopoulos (elena@stamoules.com)</t>
  </si>
  <si>
    <t>SH00702</t>
  </si>
  <si>
    <t>Elisa Lyzun (bloomingbaristala@gmail.com)</t>
  </si>
  <si>
    <t>SH00703</t>
  </si>
  <si>
    <t>Elise Blaese (wedding@blaese.net)</t>
  </si>
  <si>
    <t>SH00704</t>
  </si>
  <si>
    <t>Elissa Birke (dearblossomnyc@gmail.com)</t>
  </si>
  <si>
    <t>SH00705</t>
  </si>
  <si>
    <t>SH00706</t>
  </si>
  <si>
    <t>Eliya Ushkevich (mypeonika@gmail.com)</t>
  </si>
  <si>
    <t>SH00707</t>
  </si>
  <si>
    <t>Eliza Beers (anorthcutt@bfloral.com)</t>
  </si>
  <si>
    <t>SH00708</t>
  </si>
  <si>
    <t>Elizabeth  Greever (liza@foxandfernst...)</t>
  </si>
  <si>
    <t>SH00709</t>
  </si>
  <si>
    <t>Elizabeth  Hicks (hicksflowersoflove@...)</t>
  </si>
  <si>
    <t>SH00710</t>
  </si>
  <si>
    <t>Elizabeth Farrell (flowers@colormewil...)</t>
  </si>
  <si>
    <t>SH00711</t>
  </si>
  <si>
    <t>Elizabeth Johnson (ejohnson@wesleyans...)</t>
  </si>
  <si>
    <t>SH00712</t>
  </si>
  <si>
    <t>Elizabeth Kleisner (lkleisner@city-gr...)</t>
  </si>
  <si>
    <t>SH00713</t>
  </si>
  <si>
    <t>Elizabeth liegey (flowers@trueelizabe...)</t>
  </si>
  <si>
    <t>SH00714</t>
  </si>
  <si>
    <t>Elizabeth Mendieta (vero.jmz@hotmail.com)</t>
  </si>
  <si>
    <t>SH00715</t>
  </si>
  <si>
    <t>Elizabeth Merckens (emerckens@gmail.com)</t>
  </si>
  <si>
    <t>SH00716</t>
  </si>
  <si>
    <t>Elizabeth Reiff (reiff-beth@embarqmai...)</t>
  </si>
  <si>
    <t>SH00717</t>
  </si>
  <si>
    <t>Elizabeth Reitz (lizziereitz@gmail.com)</t>
  </si>
  <si>
    <t>SH00718</t>
  </si>
  <si>
    <t>Elizabeth Saunders (elizs60@aol.com)</t>
  </si>
  <si>
    <t>SH00719</t>
  </si>
  <si>
    <t>ELIZABETH SEIJI (edelweissflowers@ver...)</t>
  </si>
  <si>
    <t>SH00720</t>
  </si>
  <si>
    <t>Elizabeth Tews (contact@heartlandstor...)</t>
  </si>
  <si>
    <t>SH00721</t>
  </si>
  <si>
    <t>Elle Le (info@blushcoflorist.com)</t>
  </si>
  <si>
    <t>SH00722</t>
  </si>
  <si>
    <t>Ellen Bell (hannah_thrasher@montgomer...)</t>
  </si>
  <si>
    <t>SH00723</t>
  </si>
  <si>
    <t>Ellen Dupps (ellendupps@gmail.com)</t>
  </si>
  <si>
    <t>SH00724</t>
  </si>
  <si>
    <t>Ellen Goretti (justweddingbouquets@ho...)</t>
  </si>
  <si>
    <t>SH00725</t>
  </si>
  <si>
    <t>SH00726</t>
  </si>
  <si>
    <t>Ellen Pruden (elleburns3737@gmail.com)</t>
  </si>
  <si>
    <t>SH00727</t>
  </si>
  <si>
    <t>Ellen Willard (ellenandterry561@gmail...)</t>
  </si>
  <si>
    <t>SH00728</t>
  </si>
  <si>
    <t>Ellie Mcallister (elliemcallister1@gm...)</t>
  </si>
  <si>
    <t>SH00729</t>
  </si>
  <si>
    <t>Elnora Sena (hobbyqp01@gmail.com)</t>
  </si>
  <si>
    <t>SH00730</t>
  </si>
  <si>
    <t>Elvia Perez (elviaperez83@yahoo.com)</t>
  </si>
  <si>
    <t>SH00731</t>
  </si>
  <si>
    <t>Ember Anderson (epiphanyfloraldesigns...)</t>
  </si>
  <si>
    <t>SH00732</t>
  </si>
  <si>
    <t>Emerald Listermann (emeraldlafleur@gm...)</t>
  </si>
  <si>
    <t>SH00733</t>
  </si>
  <si>
    <t>EMERITA MARQUEZ (emeritamarquez15@gma...)</t>
  </si>
  <si>
    <t>SH00734</t>
  </si>
  <si>
    <t>EMILY BOOKER (emily@stemsfloralandeve...)</t>
  </si>
  <si>
    <t>SH00735</t>
  </si>
  <si>
    <t>Emily Bouchard (embellishfloral@sbcgl...)</t>
  </si>
  <si>
    <t>SH00736</t>
  </si>
  <si>
    <t>Emily Cafaro (emily.cafaro@archny.org)</t>
  </si>
  <si>
    <t>SH00737</t>
  </si>
  <si>
    <t>Emily Cradic (emwodyka@aol.com)</t>
  </si>
  <si>
    <t>SH00738</t>
  </si>
  <si>
    <t>Emily Davis (thewildflowertn@gmail.com)</t>
  </si>
  <si>
    <t>SH00739</t>
  </si>
  <si>
    <t>Emily Felzke (emily.felzke@gmail.com)</t>
  </si>
  <si>
    <t>SH00740</t>
  </si>
  <si>
    <t>Emily Greenstreet (egreenstr@gmail.com)</t>
  </si>
  <si>
    <t>SH00741</t>
  </si>
  <si>
    <t>Emily Greenstreet (greenstr@usc.edu)</t>
  </si>
  <si>
    <t>SH00742</t>
  </si>
  <si>
    <t>Emily Lambert (lambertemj@yahoo.com)</t>
  </si>
  <si>
    <t>SH00743</t>
  </si>
  <si>
    <t>Emily LeSaicherre (enlesaicherre@gmai...)</t>
  </si>
  <si>
    <t>SH00744</t>
  </si>
  <si>
    <t>Emily Moth (ecmoth@yahoo.com)</t>
  </si>
  <si>
    <t>SH00745</t>
  </si>
  <si>
    <t>Emily Moth (emily@flowersbygilandcurt...)</t>
  </si>
  <si>
    <t>SH00746</t>
  </si>
  <si>
    <t>Emily Mox (emox@udel.edu)</t>
  </si>
  <si>
    <t>SH00747</t>
  </si>
  <si>
    <t>Emily Pulis (epulis@dasignsource.com)</t>
  </si>
  <si>
    <t>SH00748</t>
  </si>
  <si>
    <t>Emily Singh (oberleemily@gmail.com)</t>
  </si>
  <si>
    <t>SH00749</t>
  </si>
  <si>
    <t>SH00750</t>
  </si>
  <si>
    <t>Eric Garrison (eric@thesidewalkgarden...)</t>
  </si>
  <si>
    <t>SH00751</t>
  </si>
  <si>
    <t>Erica Ballard (erica.ballard@ascensio...)</t>
  </si>
  <si>
    <t>SH00752</t>
  </si>
  <si>
    <t>Erica Brown (brown45ea@gmail.com)</t>
  </si>
  <si>
    <t>SH00753</t>
  </si>
  <si>
    <t>Erica Chan (eg056972@yahoo.com)</t>
  </si>
  <si>
    <t>SH00754</t>
  </si>
  <si>
    <t>Erica Krumm (krumm.erica@gmail.com)</t>
  </si>
  <si>
    <t>SH00755</t>
  </si>
  <si>
    <t>Erica Levengood (ericas.garden.floral...)</t>
  </si>
  <si>
    <t>SH00756</t>
  </si>
  <si>
    <t>Erica Wigfall (sweetfrock@gmail.com)</t>
  </si>
  <si>
    <t>SH00757</t>
  </si>
  <si>
    <t>Erica Wu (ewu11354@gmail.com)</t>
  </si>
  <si>
    <t>SH00758</t>
  </si>
  <si>
    <t>Erika Aquino (erikaaquino291@icloud.com)</t>
  </si>
  <si>
    <t>SH00759</t>
  </si>
  <si>
    <t>Erika Flores (tiendamipueblo2@gmail.com)</t>
  </si>
  <si>
    <t>SH00760</t>
  </si>
  <si>
    <t>Erin Lytle (tranqfarm517@gmail.com)</t>
  </si>
  <si>
    <t>SH00761</t>
  </si>
  <si>
    <t>Erin McLaughlin (erin@froehlichsfarm.com)</t>
  </si>
  <si>
    <t>SH00762</t>
  </si>
  <si>
    <t>Erin Padden (njacresfarm@gmail.com)</t>
  </si>
  <si>
    <t>SH00763</t>
  </si>
  <si>
    <t>Eryn Johnson (eesjohnson@gmail.com)</t>
  </si>
  <si>
    <t>SH00764</t>
  </si>
  <si>
    <t>Esmeralda Zamarron (zamarron21@gmail.com)</t>
  </si>
  <si>
    <t>SH00765</t>
  </si>
  <si>
    <t>Estero Market Flowers &amp; Gifts (iambra...)</t>
  </si>
  <si>
    <t>SH00766</t>
  </si>
  <si>
    <t>Estrella Valdes (valdesestrella94@gma...)</t>
  </si>
  <si>
    <t>SH00767</t>
  </si>
  <si>
    <t>Eureka Cook (grannysgrandfa@gmail.com)</t>
  </si>
  <si>
    <t>SH00768</t>
  </si>
  <si>
    <t>Eva Avery (eva.walks@yahoo.com)</t>
  </si>
  <si>
    <t>SH00769</t>
  </si>
  <si>
    <t>Evan Hirschler (tbhcalledhome@gmail.com)</t>
  </si>
  <si>
    <t>SH00770</t>
  </si>
  <si>
    <t>Eve Kaplan-Walbrecht (ekfaplan@hotmai...)</t>
  </si>
  <si>
    <t>SH00771</t>
  </si>
  <si>
    <t>Evelyn Arellano (info@stowgardencente...)</t>
  </si>
  <si>
    <t>SH00772</t>
  </si>
  <si>
    <t>Everyday Creations (everydaycreationf...)</t>
  </si>
  <si>
    <t>SH00773</t>
  </si>
  <si>
    <t>Eyre Rojas (eyre.rojas.er@gmail.com)</t>
  </si>
  <si>
    <t>SH00774</t>
  </si>
  <si>
    <t>Fabian Farrington (designedbyfarringt...)</t>
  </si>
  <si>
    <t>SH00775</t>
  </si>
  <si>
    <t>Fabienne Adler (fabienne.adler@yahoo.com)</t>
  </si>
  <si>
    <t>SH00776</t>
  </si>
  <si>
    <t>Faith Musser (musserf@gmail.com)</t>
  </si>
  <si>
    <t>SH00777</t>
  </si>
  <si>
    <t>Faith Shirley (faith.c.shirley@gmail.com)</t>
  </si>
  <si>
    <t>SH00778</t>
  </si>
  <si>
    <t>SH00779</t>
  </si>
  <si>
    <t>FARAH SATTAR (farah-sattar@hotmail.com)</t>
  </si>
  <si>
    <t>SH00780</t>
  </si>
  <si>
    <t>Faviola Jeronimo (faviolajeronimo123@...)</t>
  </si>
  <si>
    <t>SH00781</t>
  </si>
  <si>
    <t>Felicia Barron (lifeinbloomfloraldesi...)</t>
  </si>
  <si>
    <t>SH00782</t>
  </si>
  <si>
    <t>Felicia Pandola (felicia.pandola@gmai...)</t>
  </si>
  <si>
    <t>SH00783</t>
  </si>
  <si>
    <t>Fernanda Narváez (fercitalinda1213@gm...)</t>
  </si>
  <si>
    <t>SH00784</t>
  </si>
  <si>
    <t>Fernando Salcedo (serranoirma22@att.net)</t>
  </si>
  <si>
    <t>SH00785</t>
  </si>
  <si>
    <t>flor mendoza (martinezflor79@gmail.com)</t>
  </si>
  <si>
    <t>SH00786</t>
  </si>
  <si>
    <t>SH00787</t>
  </si>
  <si>
    <t>SH00788</t>
  </si>
  <si>
    <t>FRAN HUTCHISON (fransflowers@yahoo.com)</t>
  </si>
  <si>
    <t>SH00789</t>
  </si>
  <si>
    <t>Franca Roda (cbelgium@roadrunner.com)</t>
  </si>
  <si>
    <t>SH00790</t>
  </si>
  <si>
    <t>Francis Araujo (bellarosaorlandoflori...)</t>
  </si>
  <si>
    <t>SH00791</t>
  </si>
  <si>
    <t>Francis Araujo (faq1621@gmail.com)</t>
  </si>
  <si>
    <t>SH00792</t>
  </si>
  <si>
    <t>Francisco Olguin-Martinez (frankie881...)</t>
  </si>
  <si>
    <t>SH00793</t>
  </si>
  <si>
    <t>Frank Caldwell (secretary@cureofarsch...)</t>
  </si>
  <si>
    <t>SH00794</t>
  </si>
  <si>
    <t>Frank Caldwell (secretay@cureofarschu...)</t>
  </si>
  <si>
    <t>SH00795</t>
  </si>
  <si>
    <t>Frank Gallo (fgalloflorist@gmail.com)</t>
  </si>
  <si>
    <t>SH00796</t>
  </si>
  <si>
    <t>SH00797</t>
  </si>
  <si>
    <t>frederick m green (11fredmgreen86@gma...)</t>
  </si>
  <si>
    <t>SH00798</t>
  </si>
  <si>
    <t>Fredy Guerrero (fredyguerrero92@gmail...)</t>
  </si>
  <si>
    <t>SH00799</t>
  </si>
  <si>
    <t>free wright (itsbloomin@yahoo.com)</t>
  </si>
  <si>
    <t>SH00800</t>
  </si>
  <si>
    <t>Freida DeLoney (freida.deloney@doorda...)</t>
  </si>
  <si>
    <t>SH00801</t>
  </si>
  <si>
    <t>Gabi Escallier (gabi.escallier@gmail.com)</t>
  </si>
  <si>
    <t>SH00802</t>
  </si>
  <si>
    <t>gabina Barroso (lamichoacana252029@gm...)</t>
  </si>
  <si>
    <t>SH00803</t>
  </si>
  <si>
    <t>Gabrial Tebalan (gabrialtebalan@gmail...)</t>
  </si>
  <si>
    <t>SH00804</t>
  </si>
  <si>
    <t>Gabriele Demster (gabrielescreationss...)</t>
  </si>
  <si>
    <t>SH00805</t>
  </si>
  <si>
    <t>gaby ramos (kristie.milam@milamsmarke...)</t>
  </si>
  <si>
    <t>SH00806</t>
  </si>
  <si>
    <t>Gail Greenway (ggreenway@emanuel.k12....)</t>
  </si>
  <si>
    <t>SH00807</t>
  </si>
  <si>
    <t>gail lieblang (glieblang@gmail.com)</t>
  </si>
  <si>
    <t>SH00808</t>
  </si>
  <si>
    <t>Gail Momjian (gailmomjian@gmail.com)</t>
  </si>
  <si>
    <t>SH00809</t>
  </si>
  <si>
    <t>Galina Herndon (daisydayflorist@gmail...)</t>
  </si>
  <si>
    <t>SH00810</t>
  </si>
  <si>
    <t>Gamaliel Prado Duran (gama@pradoflowe...)</t>
  </si>
  <si>
    <t>SH00811</t>
  </si>
  <si>
    <t>Garden City Floral (hello@gardencityf...)</t>
  </si>
  <si>
    <t>SH00812</t>
  </si>
  <si>
    <t>Gareth Trigell (gareth.trigell@talk21...)</t>
  </si>
  <si>
    <t>SH00813</t>
  </si>
  <si>
    <t>Garrett Robertson (garrett@thewright...)</t>
  </si>
  <si>
    <t>SH00814</t>
  </si>
  <si>
    <t>Gary Shaw (shawgary674@gmail.com)</t>
  </si>
  <si>
    <t>SH00815</t>
  </si>
  <si>
    <t>Gary Tucker (tuckergary092@gmail.com)</t>
  </si>
  <si>
    <t>SH00816</t>
  </si>
  <si>
    <t>Gayathri Samuel (jjorchidscg@gmail.com)</t>
  </si>
  <si>
    <t>SH00817</t>
  </si>
  <si>
    <t>Gayla Vermillion (gvermillion@hopepre...)</t>
  </si>
  <si>
    <t>SH00818</t>
  </si>
  <si>
    <t>GEORGE KIRCHHOFFER (georgemoravianflo...)</t>
  </si>
  <si>
    <t>SH00819</t>
  </si>
  <si>
    <t>George Wong (waimoy4@gmail.com)</t>
  </si>
  <si>
    <t>SH00820</t>
  </si>
  <si>
    <t>Georgeanne Wayman (georgeanne@comcast...)</t>
  </si>
  <si>
    <t>SH00821</t>
  </si>
  <si>
    <t>Georgianne Nienaber (georgiannenienab...)</t>
  </si>
  <si>
    <t>SH00822</t>
  </si>
  <si>
    <t>Gerald Erece (erecegerald@gmail.com)</t>
  </si>
  <si>
    <t>SH00823</t>
  </si>
  <si>
    <t>Gerald Gerdes (jgerdes77@icloud.com)</t>
  </si>
  <si>
    <t>SH00824</t>
  </si>
  <si>
    <t>German Munoz (info@bespokeflowers.co)</t>
  </si>
  <si>
    <t>SH00825</t>
  </si>
  <si>
    <t>Gigi de Vosjoli (gigi@co-biotics.com)</t>
  </si>
  <si>
    <t>SH00826</t>
  </si>
  <si>
    <t>Gigi Golden-Smith (ggolden@stevensmit...)</t>
  </si>
  <si>
    <t>SH00827</t>
  </si>
  <si>
    <t>Gigi Michalec (vdmichalec@yahoo.com)</t>
  </si>
  <si>
    <t>SH00828</t>
  </si>
  <si>
    <t>Gina Di fiore Suarez (gina@difioreusa...)</t>
  </si>
  <si>
    <t>SH00829</t>
  </si>
  <si>
    <t>Gina Mullen (halie@ginamullen.com)</t>
  </si>
  <si>
    <t>SH00830</t>
  </si>
  <si>
    <t>Gina Mullen (marketingcoordinator@gin...)</t>
  </si>
  <si>
    <t>SH00831</t>
  </si>
  <si>
    <t>Ginny Yan (ginnyyan@yahoo.com)</t>
  </si>
  <si>
    <t>SH00832</t>
  </si>
  <si>
    <t>glenn certain (glenn@glenncertain.com)</t>
  </si>
  <si>
    <t>SH00833</t>
  </si>
  <si>
    <t>Glenna Hicks (hicks.glenna@gmail.com)</t>
  </si>
  <si>
    <t>SH00834</t>
  </si>
  <si>
    <t>Glori Smiley (glori.smiley@hss.sbcoun...)</t>
  </si>
  <si>
    <t>SH00835</t>
  </si>
  <si>
    <t>gloria broussard (gloriab69@gmail.com)</t>
  </si>
  <si>
    <t>SH00836</t>
  </si>
  <si>
    <t>Gloria Rodriguez (grodriguez@mercysfl...)</t>
  </si>
  <si>
    <t>SH00837</t>
  </si>
  <si>
    <t>Good Shepherd UMC (info@goodshepherdu...)</t>
  </si>
  <si>
    <t>SH00838</t>
  </si>
  <si>
    <t>Grace Chapman (gchapman131@yahoo.com)</t>
  </si>
  <si>
    <t>SH00839</t>
  </si>
  <si>
    <t>Grace Collard (grace@firehouseflowers...)</t>
  </si>
  <si>
    <t>SH00840</t>
  </si>
  <si>
    <t>Grace Newman (gnewman@dccs.org)</t>
  </si>
  <si>
    <t>SH00841</t>
  </si>
  <si>
    <t>Grace Steblay (gsteb@aol.com)</t>
  </si>
  <si>
    <t>SH00842</t>
  </si>
  <si>
    <t>Grace Touthang (gracentouthang@gmail.com)</t>
  </si>
  <si>
    <t>SH00843</t>
  </si>
  <si>
    <t>Grace Vallejo (Gracevallejo75@gmail.com)</t>
  </si>
  <si>
    <t>SH00844</t>
  </si>
  <si>
    <t>Gracie Robbins (gracie.rob44@gmail.com)</t>
  </si>
  <si>
    <t>SH00845</t>
  </si>
  <si>
    <t>Green Sharita (infinitepetals1@gmail.com)</t>
  </si>
  <si>
    <t>SH00846</t>
  </si>
  <si>
    <t>Greenwich West Condominium (george.f....)</t>
  </si>
  <si>
    <t>SH00847</t>
  </si>
  <si>
    <t>Greg Crouch (gregcrouch@gmail.com)</t>
  </si>
  <si>
    <t>SH00848</t>
  </si>
  <si>
    <t>Gregory Leonard (wecare@appleblossoms...)</t>
  </si>
  <si>
    <t>SH00849</t>
  </si>
  <si>
    <t>Griselle Pacheco (griselle.pacheco@gm...)</t>
  </si>
  <si>
    <t>SH00850</t>
  </si>
  <si>
    <t>Guadalupe  Flores (aromadeflires2017@...)</t>
  </si>
  <si>
    <t>SH00851</t>
  </si>
  <si>
    <t>Guillermo Rojas (chilo123mix@gmail.com)</t>
  </si>
  <si>
    <t>SH00852</t>
  </si>
  <si>
    <t>Gwen Hersha (gwensgreens@gmail.com)</t>
  </si>
  <si>
    <t>SH00853</t>
  </si>
  <si>
    <t>Gwen Lowe (flowerfanasee@hotmail.com)</t>
  </si>
  <si>
    <t>SH00854</t>
  </si>
  <si>
    <t>Gwendolyn Holland (sensationalmoments...)</t>
  </si>
  <si>
    <t>SH00855</t>
  </si>
  <si>
    <t>Gwendolyn Marshall (gflowersby52@gmai...)</t>
  </si>
  <si>
    <t>SH00856</t>
  </si>
  <si>
    <t>Gwinne Porter (gwinne@msn.com)</t>
  </si>
  <si>
    <t>SH00857</t>
  </si>
  <si>
    <t>Haelim Oh (haelim122@gmail.com)</t>
  </si>
  <si>
    <t>SH00858</t>
  </si>
  <si>
    <t>Hagar Duel (pfchagar@gmail.com)</t>
  </si>
  <si>
    <t>SH00859</t>
  </si>
  <si>
    <t>Hailee Green (hpbalga@gmail.com)</t>
  </si>
  <si>
    <t>SH00860</t>
  </si>
  <si>
    <t>Hailee Green (lovebuggardens25@gmail.com)</t>
  </si>
  <si>
    <t>SH00861</t>
  </si>
  <si>
    <t>Haley Bieniek (haley.bieniek@gmail.com)</t>
  </si>
  <si>
    <t>SH00862</t>
  </si>
  <si>
    <t>SH00863</t>
  </si>
  <si>
    <t>Hang T Le (kcn24k@yahoo.com)</t>
  </si>
  <si>
    <t>SH00864</t>
  </si>
  <si>
    <t>Hannah Bennett (hrdaniel95@gmail.com)</t>
  </si>
  <si>
    <t>SH00865</t>
  </si>
  <si>
    <t>Hannah Britton (hannah.britton@icloud...)</t>
  </si>
  <si>
    <t>SH00866</t>
  </si>
  <si>
    <t>Hannah Estabrooks (estabrooksgarden@g...)</t>
  </si>
  <si>
    <t>SH00867</t>
  </si>
  <si>
    <t>Hannah James (makayla@theflourshop.net)</t>
  </si>
  <si>
    <t>SH00868</t>
  </si>
  <si>
    <t>Hannah James (theflourshopkenedy@gmai...)</t>
  </si>
  <si>
    <t>SH00869</t>
  </si>
  <si>
    <t>Hannah Petersen (jhppetersen@gmail.com)</t>
  </si>
  <si>
    <t>SH00870</t>
  </si>
  <si>
    <t>Hannah Rocha (hannahrenerocha@gmail.com)</t>
  </si>
  <si>
    <t>SH00871</t>
  </si>
  <si>
    <t>Hannah Rocha (mauloabouquets@gmail.com)</t>
  </si>
  <si>
    <t>SH00872</t>
  </si>
  <si>
    <t>Hans Schmidt (nwfreshfloral@gmail.com)</t>
  </si>
  <si>
    <t>SH00873</t>
  </si>
  <si>
    <t>Harriett Osgood (hgo220@comcast.net)</t>
  </si>
  <si>
    <t>SH00874</t>
  </si>
  <si>
    <t>Harry Durken (harrydurken@gmail.com)</t>
  </si>
  <si>
    <t>SH00875</t>
  </si>
  <si>
    <t>Heather Bay (bythebayfloral@gmail.com)</t>
  </si>
  <si>
    <t>SH00876</t>
  </si>
  <si>
    <t>Heather Bennett (hjtowriss@gmail.com)</t>
  </si>
  <si>
    <t>SH00877</t>
  </si>
  <si>
    <t>Heather Ganey (hdbganey@hotmail.com)</t>
  </si>
  <si>
    <t>SH00878</t>
  </si>
  <si>
    <t>heather giesen (hannah@growgiesenplan...)</t>
  </si>
  <si>
    <t>SH00879</t>
  </si>
  <si>
    <t>Heather Lamoureux (heathershop@verizo...)</t>
  </si>
  <si>
    <t>SH00880</t>
  </si>
  <si>
    <t>Heather Maurer (heaamau@gmail.com)</t>
  </si>
  <si>
    <t>SH00881</t>
  </si>
  <si>
    <t>Heather McCloud (heather.rmccloud@gma...)</t>
  </si>
  <si>
    <t>SH00882</t>
  </si>
  <si>
    <t>Heather Miller (heatherzahler@gmail.com)</t>
  </si>
  <si>
    <t>SH00883</t>
  </si>
  <si>
    <t>Heather Moffat (heathermoffat@verizon...)</t>
  </si>
  <si>
    <t>SH00884</t>
  </si>
  <si>
    <t>Heather Roselli (heatroselli@yahoo.com)</t>
  </si>
  <si>
    <t>SH00885</t>
  </si>
  <si>
    <t>Heather Schutz (diamondcutzgifts@gmai...)</t>
  </si>
  <si>
    <t>SH00886</t>
  </si>
  <si>
    <t>Heather Sue Murphy (heathersue4@hotma...)</t>
  </si>
  <si>
    <t>SH00887</t>
  </si>
  <si>
    <t>Heather Sullivan (heather@durocherflo...)</t>
  </si>
  <si>
    <t>SH00888</t>
  </si>
  <si>
    <t>Hector Hernandez (theflowercompany7@y...)</t>
  </si>
  <si>
    <t>SH00889</t>
  </si>
  <si>
    <t>Heidi Covert (krystin.cast@sewardscho...)</t>
  </si>
  <si>
    <t>SH00890</t>
  </si>
  <si>
    <t>Heidi Rinkenberger (scottnheidi@gmail...)</t>
  </si>
  <si>
    <t>SH00891</t>
  </si>
  <si>
    <t>Helen Cole (hphillipscole@aol.com)</t>
  </si>
  <si>
    <t>SH00892</t>
  </si>
  <si>
    <t>Helen Griffin (villageshoppe1999@gmai...)</t>
  </si>
  <si>
    <t>SH00893</t>
  </si>
  <si>
    <t>Helen Ho (helenshirley@gmail.com)</t>
  </si>
  <si>
    <t>SH00894</t>
  </si>
  <si>
    <t>Helen Maciolek (wisdom19_6@yahoo.com)</t>
  </si>
  <si>
    <t>SH00895</t>
  </si>
  <si>
    <t>Helen Papadopoulos (hpapadopoulos@wvu...)</t>
  </si>
  <si>
    <t>SH00896</t>
  </si>
  <si>
    <t>Helen Wohlfeil (hwohlfeil@fvpd.net)</t>
  </si>
  <si>
    <t>SH00897</t>
  </si>
  <si>
    <t>Henry Dickerson (flowersbyhenryllc@gm...)</t>
  </si>
  <si>
    <t>SH00898</t>
  </si>
  <si>
    <t>Herman Sachse (sachsecontractors@gmai...)</t>
  </si>
  <si>
    <t>SH00899</t>
  </si>
  <si>
    <t>Hiep Nguyen (giaiphuoc@yahoo.com)</t>
  </si>
  <si>
    <t>SH00900</t>
  </si>
  <si>
    <t>Hilary Atamian (hilaryatamian10@gmail...)</t>
  </si>
  <si>
    <t>SH00901</t>
  </si>
  <si>
    <t>SH00902</t>
  </si>
  <si>
    <t>Hillcrest High School (pearle@greenvi...)</t>
  </si>
  <si>
    <t>SH00903</t>
  </si>
  <si>
    <t>Hoa Le (hoalefmsr@gmail.com)</t>
  </si>
  <si>
    <t>SH00904</t>
  </si>
  <si>
    <t>Holli Naquin (sagehollibara@gmail.com)</t>
  </si>
  <si>
    <t>SH00905</t>
  </si>
  <si>
    <t>Hollie Slater (brian@millhavenfoods.com)</t>
  </si>
  <si>
    <t>SH00906</t>
  </si>
  <si>
    <t>Holly Albaugh (holalbaugh@hotmail.com)</t>
  </si>
  <si>
    <t>SH00907</t>
  </si>
  <si>
    <t>Holly Beaumier (growinghobby@gmail.com)</t>
  </si>
  <si>
    <t>SH00908</t>
  </si>
  <si>
    <t>Holly Bryan (hollygbryan@gmail.com)</t>
  </si>
  <si>
    <t>SH00909</t>
  </si>
  <si>
    <t>Holly Cook (holligal@yahoo.com)</t>
  </si>
  <si>
    <t>SH00910</t>
  </si>
  <si>
    <t>Holly Gillette (parkviewplaceflowers@...)</t>
  </si>
  <si>
    <t>SH00911</t>
  </si>
  <si>
    <t>Holly Lott (hollysflowershop@gmail.com)</t>
  </si>
  <si>
    <t>SH00912</t>
  </si>
  <si>
    <t>Holly So (hso@bluevalleyk12.org)</t>
  </si>
  <si>
    <t>SH00913</t>
  </si>
  <si>
    <t>Holly Wood (hhapothecaryandwellness@g...)</t>
  </si>
  <si>
    <t>SH00914</t>
  </si>
  <si>
    <t>Hong Lee (honghlee@hotmail.com)</t>
  </si>
  <si>
    <t>SH00915</t>
  </si>
  <si>
    <t>Hope Parker (f1owersbythelake@bellsou...)</t>
  </si>
  <si>
    <t>SH00916</t>
  </si>
  <si>
    <t>House of Flowers Fincher (lubbockhous...)</t>
  </si>
  <si>
    <t>SH00917</t>
  </si>
  <si>
    <t>Huan Vo (huan@cymnow.com)</t>
  </si>
  <si>
    <t>SH00918</t>
  </si>
  <si>
    <t>Hudson Ford (h.ford@me.com)</t>
  </si>
  <si>
    <t>SH00919</t>
  </si>
  <si>
    <t>Humberto Noel Hernandez (humbertonher...)</t>
  </si>
  <si>
    <t>SH00920</t>
  </si>
  <si>
    <t>hyejin kim (hyejin7078@gmail.com)</t>
  </si>
  <si>
    <t>SH00921</t>
  </si>
  <si>
    <t>Hyun Park (leahyun@hotmail.com)</t>
  </si>
  <si>
    <t>SH00922</t>
  </si>
  <si>
    <t>Ian Kohlhepp (forans@nep.net)</t>
  </si>
  <si>
    <t>SH00923</t>
  </si>
  <si>
    <t>Ian Strzyzewski (jennifer.young@dpem.com)</t>
  </si>
  <si>
    <t>SH00924</t>
  </si>
  <si>
    <t>Ian Tresselt (ian@iantresseltdesign.com)</t>
  </si>
  <si>
    <t>SH00925</t>
  </si>
  <si>
    <t>Icela Orellana (icelaorellana1313@gma...)</t>
  </si>
  <si>
    <t>SH00926</t>
  </si>
  <si>
    <t>Igor Pozumentshchikov (pozumcorp@outl...)</t>
  </si>
  <si>
    <t>SH00927</t>
  </si>
  <si>
    <t>ilene King (kerr_ilene@hotmail.com)</t>
  </si>
  <si>
    <t>SH00928</t>
  </si>
  <si>
    <t>Ingris Calcagno (icflowersllc@gmail.com)</t>
  </si>
  <si>
    <t>SH00929</t>
  </si>
  <si>
    <t>Inna Andreyev (mark.andreyev@gmail.com)</t>
  </si>
  <si>
    <t>SH00930</t>
  </si>
  <si>
    <t>IRENE HOOSACK (irenehoosack@gmail.com)</t>
  </si>
  <si>
    <t>SH00931</t>
  </si>
  <si>
    <t>Irina Zakachura (irina.nino@yandex.ru)</t>
  </si>
  <si>
    <t>SH00932</t>
  </si>
  <si>
    <t>SH00933</t>
  </si>
  <si>
    <t>Irma Figueroa (titina.one@gmail.com)</t>
  </si>
  <si>
    <t>SH00934</t>
  </si>
  <si>
    <t>Irma Garcia (imag626@netzero.net)</t>
  </si>
  <si>
    <t>SH00935</t>
  </si>
  <si>
    <t>SH00936</t>
  </si>
  <si>
    <t>Irma Ramirez (irr98@hotmail.com)</t>
  </si>
  <si>
    <t>SH00937</t>
  </si>
  <si>
    <t>Isaac Rosales (isaac@allcolorgrowers.com)</t>
  </si>
  <si>
    <t>SH00938</t>
  </si>
  <si>
    <t>Isabel Perez (iperez@ussugar.com)</t>
  </si>
  <si>
    <t>SH00939</t>
  </si>
  <si>
    <t>Isabel Rondo (izzyrondo2010@hotmail.com)</t>
  </si>
  <si>
    <t>SH00940</t>
  </si>
  <si>
    <t>Isabella Holsti Purnell (bella@bebell...)</t>
  </si>
  <si>
    <t>SH00941</t>
  </si>
  <si>
    <t>SH00942</t>
  </si>
  <si>
    <t>Isobella Dilbeck (info@daffodillys.com)</t>
  </si>
  <si>
    <t>SH00943</t>
  </si>
  <si>
    <t>Issel Herrera (isselherrera@yahoo.com)</t>
  </si>
  <si>
    <t>SH00944</t>
  </si>
  <si>
    <t>Itseli Herrera torres (itseli.torres0...)</t>
  </si>
  <si>
    <t>SH00945</t>
  </si>
  <si>
    <t>ivy subler (ivy.subler@gmail.com)</t>
  </si>
  <si>
    <t>SH00946</t>
  </si>
  <si>
    <t>Izabella Kanchik (ikanchik@gmail.com)</t>
  </si>
  <si>
    <t>SH00947</t>
  </si>
  <si>
    <t>Jaafar Harake (marcell@penelopespetal...)</t>
  </si>
  <si>
    <t>SH00948</t>
  </si>
  <si>
    <t>Jaci Gottschalk (jaci.gottschalk@hays...)</t>
  </si>
  <si>
    <t>SH00949</t>
  </si>
  <si>
    <t>Jacki Garner (garnerslandscapingnc@gm...)</t>
  </si>
  <si>
    <t>SH00950</t>
  </si>
  <si>
    <t>JACKIE CALLAWAY (jakeabeanfloral@gmai...)</t>
  </si>
  <si>
    <t>SH00951</t>
  </si>
  <si>
    <t>Jackie Chackan (jchackan123@aol.com)</t>
  </si>
  <si>
    <t>SH00952</t>
  </si>
  <si>
    <t>SH00953</t>
  </si>
  <si>
    <t>Jaclyn Wooten (houseofjupitershop@gma...)</t>
  </si>
  <si>
    <t>SH00954</t>
  </si>
  <si>
    <t>Jacob Thomas (jacobsfarm19@msn.com)</t>
  </si>
  <si>
    <t>SH00955</t>
  </si>
  <si>
    <t>Jacqueline Charity (pinkribbonsetc@ya...)</t>
  </si>
  <si>
    <t>SH00956</t>
  </si>
  <si>
    <t>Jacqueline Horsley (tarheelsuz@yahoo.com)</t>
  </si>
  <si>
    <t>SH00957</t>
  </si>
  <si>
    <t>SH00958</t>
  </si>
  <si>
    <t>Jacqui Broering (jacqui_broering@hotm...)</t>
  </si>
  <si>
    <t>SH00959</t>
  </si>
  <si>
    <t>Jacquie Tractenberg (jleff@tractenber...)</t>
  </si>
  <si>
    <t>SH00960</t>
  </si>
  <si>
    <t>Jade Antonangeli (jade@beachstreetflo...)</t>
  </si>
  <si>
    <t>SH00961</t>
  </si>
  <si>
    <t>Jade Mahi (jadesashamahi@gmail.com)</t>
  </si>
  <si>
    <t>SH00962</t>
  </si>
  <si>
    <t>Jaime MAcklin (macklinjl@uamont.edu)</t>
  </si>
  <si>
    <t>SH00963</t>
  </si>
  <si>
    <t>Jaimy Klubertanz (magnoliafloralshopp...)</t>
  </si>
  <si>
    <t>SH00964</t>
  </si>
  <si>
    <t>jakub grzybowski (cubagrzy@gmail.com)</t>
  </si>
  <si>
    <t>SH00965</t>
  </si>
  <si>
    <t>Jalen Hanson (jalen@jalennicolefloral.com</t>
  </si>
  <si>
    <t>SH00966</t>
  </si>
  <si>
    <t>James Adgate (jimscape@aol.com)</t>
  </si>
  <si>
    <t>SH00967</t>
  </si>
  <si>
    <t>James Breslin (nicole@florafixations.com)</t>
  </si>
  <si>
    <t>SH00968</t>
  </si>
  <si>
    <t>James Jowers (james.jowers@yahoo.com)</t>
  </si>
  <si>
    <t>SH00969</t>
  </si>
  <si>
    <t>James McAlister (flowersetcdumas@gmai...)</t>
  </si>
  <si>
    <t>SH00970</t>
  </si>
  <si>
    <t>JAMES PAGE (jcpage87@yahoo.com)</t>
  </si>
  <si>
    <t>SH00971</t>
  </si>
  <si>
    <t>James Petri (jpeezmo@gmail.com)</t>
  </si>
  <si>
    <t>SH00972</t>
  </si>
  <si>
    <t>JAMES RAYNOR (shop@flowerpowerdavenpo...)</t>
  </si>
  <si>
    <t>SH00973</t>
  </si>
  <si>
    <t>James Scantlin (jim@pots-n-plants.com)</t>
  </si>
  <si>
    <t>SH00974</t>
  </si>
  <si>
    <t>James Walker (james@fairfieldgreenhou...)</t>
  </si>
  <si>
    <t>SH00975</t>
  </si>
  <si>
    <t>Jamie Sheckler (jamie@mscfloors.com)</t>
  </si>
  <si>
    <t>SH00976</t>
  </si>
  <si>
    <t>Jamie Trotter (buttefirechic54@gmail.com)</t>
  </si>
  <si>
    <t>SH00977</t>
  </si>
  <si>
    <t>Jamie Woolman (jwoolman12@gmail.com)</t>
  </si>
  <si>
    <t>SH00978</t>
  </si>
  <si>
    <t>SH00979</t>
  </si>
  <si>
    <t>Jamini Davies (gramodav@gmail.com)</t>
  </si>
  <si>
    <t>SH00980</t>
  </si>
  <si>
    <t>Jan Brown (petalpushersfloristandgift...)</t>
  </si>
  <si>
    <t>SH00981</t>
  </si>
  <si>
    <t>Jan Sapp (jcsgirl@comcast.net)</t>
  </si>
  <si>
    <t>SH00982</t>
  </si>
  <si>
    <t>Janel Louk (janel.louk@gmail.com)</t>
  </si>
  <si>
    <t>SH00983</t>
  </si>
  <si>
    <t>Janelle Randall (randalljdb@gmail.com)</t>
  </si>
  <si>
    <t>SH00984</t>
  </si>
  <si>
    <t>Janelle Steffen (woosterfloral@gmail.com)</t>
  </si>
  <si>
    <t>SH00985</t>
  </si>
  <si>
    <t>Janet Campbell (phatbac17@gmail.com)</t>
  </si>
  <si>
    <t>SH00986</t>
  </si>
  <si>
    <t>Janet Hudmon (jhhudmon@gmail.com)</t>
  </si>
  <si>
    <t>SH00987</t>
  </si>
  <si>
    <t>Janet M Fuller (macfuller@aol.com)</t>
  </si>
  <si>
    <t>SH00988</t>
  </si>
  <si>
    <t>Janet Mccoy (janet0226@yahoo.com)</t>
  </si>
  <si>
    <t>SH00989</t>
  </si>
  <si>
    <t>Janet McCoy (piperrosefloral@gmail.com)</t>
  </si>
  <si>
    <t>SH00990</t>
  </si>
  <si>
    <t>Janet Price-Ferrell (janet.priceferre...)</t>
  </si>
  <si>
    <t>SH00991</t>
  </si>
  <si>
    <t>Janet Pusey (janp5173@gmail.com)</t>
  </si>
  <si>
    <t>SH00992</t>
  </si>
  <si>
    <t>Janet Seabold (jan.seabold@gmail.com)</t>
  </si>
  <si>
    <t>SH00993</t>
  </si>
  <si>
    <t>SH00994</t>
  </si>
  <si>
    <t>SH00995</t>
  </si>
  <si>
    <t>SH00996</t>
  </si>
  <si>
    <t>Janice Pharr (churchoffice@bethelms.org)</t>
  </si>
  <si>
    <t>SH00997</t>
  </si>
  <si>
    <t>Janie Johnston (janiej03@cox.net)</t>
  </si>
  <si>
    <t>SH00998</t>
  </si>
  <si>
    <t>Janis Graber (janislgraber@gmail.com)</t>
  </si>
  <si>
    <t>SH00999</t>
  </si>
  <si>
    <t>SH01000</t>
  </si>
  <si>
    <t>Jaskany Abreu (83superfresh@gmail.com)</t>
  </si>
  <si>
    <t>SH01001</t>
  </si>
  <si>
    <t>Jason Rayo (jason@willowandsagecateri...)</t>
  </si>
  <si>
    <t>SH01002</t>
  </si>
  <si>
    <t>Jason Shelton (jasonlanceshelton0769@...)</t>
  </si>
  <si>
    <t>SH01003</t>
  </si>
  <si>
    <t>Jason Tabor (dwflorals@gmail.com)</t>
  </si>
  <si>
    <t>SH01004</t>
  </si>
  <si>
    <t>jayne kim (jayne@stillcarnations.com)</t>
  </si>
  <si>
    <t>SH01005</t>
  </si>
  <si>
    <t>Jean Klug (theklugs5@aol.com)</t>
  </si>
  <si>
    <t>SH01006</t>
  </si>
  <si>
    <t>Jean Lyons (mmkd@comcast.net)</t>
  </si>
  <si>
    <t>SH01007</t>
  </si>
  <si>
    <t>Jean Neitzel (rogerrn@aol.com)</t>
  </si>
  <si>
    <t>SH01008</t>
  </si>
  <si>
    <t>Jeanette Wolken (purchaser@emmauspari...)</t>
  </si>
  <si>
    <t>SH01009</t>
  </si>
  <si>
    <t>Jeanna Bailey (floralmatters@yahoo.com)</t>
  </si>
  <si>
    <t>SH01010</t>
  </si>
  <si>
    <t>SH01011</t>
  </si>
  <si>
    <t>Jeanne Hahm (jeannehahm@msn.com)</t>
  </si>
  <si>
    <t>SH01012</t>
  </si>
  <si>
    <t>Jeanne Thompson-Hedger (silverleafflo...)</t>
  </si>
  <si>
    <t>SH01013</t>
  </si>
  <si>
    <t>Jeff Adam (jeff@thefloweralley.com)</t>
  </si>
  <si>
    <t>SH01014</t>
  </si>
  <si>
    <t>SH01015</t>
  </si>
  <si>
    <t>Jeff Dorsey (jeffrey_dorsey2000@yahoo...)</t>
  </si>
  <si>
    <t>SH01016</t>
  </si>
  <si>
    <t>Jeffrey Krech (jnbkrech@gmail.com)</t>
  </si>
  <si>
    <t>SH01017</t>
  </si>
  <si>
    <t>Jeffrey Simon (simoncpa@sbcglobal.net)</t>
  </si>
  <si>
    <t>SH01018</t>
  </si>
  <si>
    <t>Jenn ONeil (jen.oneil@me.com)</t>
  </si>
  <si>
    <t>SH01019</t>
  </si>
  <si>
    <t>Jenna Martin (jenmartinsd@gmail.com)</t>
  </si>
  <si>
    <t>SH01020</t>
  </si>
  <si>
    <t>Jenna Martin (jenna@boldbouquet.com)</t>
  </si>
  <si>
    <t>SH01021</t>
  </si>
  <si>
    <t>Jenna Spiniolas (jenna@ridgeviewdesig...)</t>
  </si>
  <si>
    <t>SH01022</t>
  </si>
  <si>
    <t>Jennifer Boice (theboices@bellsouth.net)</t>
  </si>
  <si>
    <t>SH01023</t>
  </si>
  <si>
    <t>Jennifer Bousquet (bousquet90907@gmai...)</t>
  </si>
  <si>
    <t>SH01024</t>
  </si>
  <si>
    <t>JENNIFER BURGESS (jennifer@a1floralde...)</t>
  </si>
  <si>
    <t>SH01025</t>
  </si>
  <si>
    <t>jennifer cabela (cabela.jennifer3@gma...)</t>
  </si>
  <si>
    <t>SH01026</t>
  </si>
  <si>
    <t>Jennifer Cabral (jennifer.cabral@ralp...)</t>
  </si>
  <si>
    <t>SH01027</t>
  </si>
  <si>
    <t>Jennifer Caton (jkcatonrn@gmail.com)</t>
  </si>
  <si>
    <t>SH01028</t>
  </si>
  <si>
    <t>Jennifer Easton jeaston@rpgolfclub.com</t>
  </si>
  <si>
    <t>SH01029</t>
  </si>
  <si>
    <t>Jennifer Forti (bloomiesflowertruck@g...)</t>
  </si>
  <si>
    <t>SH01030</t>
  </si>
  <si>
    <t>Jennifer Garin (jenniferlgarin@gmail.com)</t>
  </si>
  <si>
    <t>SH01031</t>
  </si>
  <si>
    <t>Jennifer Garvin (garvinjennifer36@gma...)</t>
  </si>
  <si>
    <t>SH01032</t>
  </si>
  <si>
    <t>Jennifer Hewson (dgflowerstudio@gmail...)</t>
  </si>
  <si>
    <t>SH01033</t>
  </si>
  <si>
    <t>Jennifer Huyghe (huyghe@wcskids.net)</t>
  </si>
  <si>
    <t>SH01034</t>
  </si>
  <si>
    <t>Jennifer Jensen (squaredsen@gmail.com)</t>
  </si>
  <si>
    <t>SH01035</t>
  </si>
  <si>
    <t>Jennifer Kallabat (jenniferalkasmikha...)</t>
  </si>
  <si>
    <t>SH01036</t>
  </si>
  <si>
    <t>SH01037</t>
  </si>
  <si>
    <t>Jennifer Makowski (foreverafterblooms...)</t>
  </si>
  <si>
    <t>SH01038</t>
  </si>
  <si>
    <t>SH01039</t>
  </si>
  <si>
    <t>Jennifer Osburn (martinsluling@gmail.com)</t>
  </si>
  <si>
    <t>SH01040</t>
  </si>
  <si>
    <t>Jennifer Osburn (martinslulingpay@gma...)</t>
  </si>
  <si>
    <t>SH01041</t>
  </si>
  <si>
    <t>Jennifer Powers (coxfloralexpressions...)</t>
  </si>
  <si>
    <t>SH01042</t>
  </si>
  <si>
    <t>Jennifer Reed (friskyflowersbuffalo@g...)</t>
  </si>
  <si>
    <t>SH01043</t>
  </si>
  <si>
    <t>Jennifer Rukavina Bidwell (rukavin8@y...)</t>
  </si>
  <si>
    <t>SH01044</t>
  </si>
  <si>
    <t>Jennifer Rushton (jenspiano662@gmail.com)</t>
  </si>
  <si>
    <t>SH01045</t>
  </si>
  <si>
    <t>Jennifer Sexton (nellsflorals@gmail.com)</t>
  </si>
  <si>
    <t>SH01046</t>
  </si>
  <si>
    <t>Jennifer Shea (rjshea08@gmail.com)</t>
  </si>
  <si>
    <t>SH01047</t>
  </si>
  <si>
    <t>JENNIFER SPRINGER (jenniespringer@roc...)</t>
  </si>
  <si>
    <t>SH01048</t>
  </si>
  <si>
    <t>Jennifer Strubberg (jennstrubberg@gma...)</t>
  </si>
  <si>
    <t>SH01049</t>
  </si>
  <si>
    <t>Jennifer Wands (theflowershed413@gmai...)</t>
  </si>
  <si>
    <t>SH01050</t>
  </si>
  <si>
    <t>Jennifer Williams (jenjuljack@hotmail...)</t>
  </si>
  <si>
    <t>SH01051</t>
  </si>
  <si>
    <t>Jennifer Wu (info.flowersbyjenn@gmail...)</t>
  </si>
  <si>
    <t>SH01052</t>
  </si>
  <si>
    <t>Jennings Brody (jen@parkerandotis.com)</t>
  </si>
  <si>
    <t>SH01053</t>
  </si>
  <si>
    <t>JENNY PARK (jpweddingflowers@gmail.com)</t>
  </si>
  <si>
    <t>SH01054</t>
  </si>
  <si>
    <t>Jerome Popp (jpopp1952@gmail.com)</t>
  </si>
  <si>
    <t>SH01055</t>
  </si>
  <si>
    <t>Jerri Lemanski (jerri.lemanski@gmail.com)</t>
  </si>
  <si>
    <t>SH01056</t>
  </si>
  <si>
    <t>Jerry Hall (jerryhall863@gmail.com)</t>
  </si>
  <si>
    <t>SH01057</t>
  </si>
  <si>
    <t>Jerry Rietrib (jrietrib@bellsouth.net)</t>
  </si>
  <si>
    <t>SH01058</t>
  </si>
  <si>
    <t>Jesse Childs (jesse@thewindfallfarm.com)</t>
  </si>
  <si>
    <t>SH01059</t>
  </si>
  <si>
    <t>Jesse Hernandez (jesse@morriswholesal...)</t>
  </si>
  <si>
    <t>SH01060</t>
  </si>
  <si>
    <t>Jesse Meyer (jessejeannesflowers@yaho...)</t>
  </si>
  <si>
    <t>SH01061</t>
  </si>
  <si>
    <t>Jesse Plecas (jessica@jpwarreninterio...)</t>
  </si>
  <si>
    <t>SH01062</t>
  </si>
  <si>
    <t>Jessica Baker (admin@paolifirecompany...)</t>
  </si>
  <si>
    <t>SH01063</t>
  </si>
  <si>
    <t>Jessica Beatty (info.fwma@gmail.com)</t>
  </si>
  <si>
    <t>SH01064</t>
  </si>
  <si>
    <t>Jessica Byrnes (babybyrnes2006@gmail.com)</t>
  </si>
  <si>
    <t>SH01065</t>
  </si>
  <si>
    <t>jessica chittenden (hello@kaleidoscop...)</t>
  </si>
  <si>
    <t>SH01066</t>
  </si>
  <si>
    <t>Jessica Cusick (shawna@bfloral.com)</t>
  </si>
  <si>
    <t>SH01067</t>
  </si>
  <si>
    <t>Jessica Eggenton (margosgardens@outlo...)</t>
  </si>
  <si>
    <t>SH01068</t>
  </si>
  <si>
    <t>Jessica Ingrassia (bloomworthyflorald...)</t>
  </si>
  <si>
    <t>SH01069</t>
  </si>
  <si>
    <t>Jessica Kassis (kassis72@gmail.com)</t>
  </si>
  <si>
    <t>SH01070</t>
  </si>
  <si>
    <t>Jessica Lorenzo (jessy12505@icloud.com)</t>
  </si>
  <si>
    <t>SH01071</t>
  </si>
  <si>
    <t>Jessica Milam (jbetsayad@gmail.com)</t>
  </si>
  <si>
    <t>SH01072</t>
  </si>
  <si>
    <t>Jessica Mortvedt (jessicamortvedt@gma...)</t>
  </si>
  <si>
    <t>SH01073</t>
  </si>
  <si>
    <t>Jessica Sparzak (jessica@pickle.town)</t>
  </si>
  <si>
    <t>SH01074</t>
  </si>
  <si>
    <t>Jessica Strickland (acissej@frontier.com)</t>
  </si>
  <si>
    <t>SH01075</t>
  </si>
  <si>
    <t>Jessica Tuapante (gabytm20@outlook.com)</t>
  </si>
  <si>
    <t>SH01076</t>
  </si>
  <si>
    <t>Jesus Aguila Martinez (jesusaguila062...)</t>
  </si>
  <si>
    <t>SH01077</t>
  </si>
  <si>
    <t>jiahui xu (i546587741@gmail.com)</t>
  </si>
  <si>
    <t>SH01078</t>
  </si>
  <si>
    <t>jill becker (seapuitpropertymgr@gmail...)</t>
  </si>
  <si>
    <t>SH01079</t>
  </si>
  <si>
    <t>Jill Cain (jillacain@gmail.com)</t>
  </si>
  <si>
    <t>SH01080</t>
  </si>
  <si>
    <t>jill gragson (jsgragson@aol.com)</t>
  </si>
  <si>
    <t>SH01081</t>
  </si>
  <si>
    <t>Jill Lamkin (jill@bancap.com)</t>
  </si>
  <si>
    <t>SH01082</t>
  </si>
  <si>
    <t>Jill Long (whimsytwinslancaster@gmail...)</t>
  </si>
  <si>
    <t>SH01083</t>
  </si>
  <si>
    <t>SH01084</t>
  </si>
  <si>
    <t>Jill Rizzo (hello@wildseasonflorals.com)</t>
  </si>
  <si>
    <t>SH01085</t>
  </si>
  <si>
    <t>Jill Rozean (jill@rozean.com)</t>
  </si>
  <si>
    <t>SH01086</t>
  </si>
  <si>
    <t>Jill Uribe (jilluribe@gmail.com)</t>
  </si>
  <si>
    <t>SH01087</t>
  </si>
  <si>
    <t>Jillian Barraclough (askjilllee@gmail...)</t>
  </si>
  <si>
    <t>SH01088</t>
  </si>
  <si>
    <t>Jillian Barraclough JILLLEEMDC@GMAIL.COM</t>
  </si>
  <si>
    <t>SH01089</t>
  </si>
  <si>
    <t>Jillian Kinch (fading_lustre@yahoo.com)</t>
  </si>
  <si>
    <t>SH01090</t>
  </si>
  <si>
    <t>Jillian Pellegrini (jpellegrini28@gma...)</t>
  </si>
  <si>
    <t>SH01091</t>
  </si>
  <si>
    <t>JIM GULLEY (jimg@gulleygreenhouse.com)</t>
  </si>
  <si>
    <t>SH01092</t>
  </si>
  <si>
    <t>Jim Sillerud (jim@fpcgh.org)</t>
  </si>
  <si>
    <t>SH01093</t>
  </si>
  <si>
    <t>Jimmie Winham (sscflorals@gmail.com)</t>
  </si>
  <si>
    <t>SH01094</t>
  </si>
  <si>
    <t>Jimmy Burrage (jimmy@marvelsflowers.com)</t>
  </si>
  <si>
    <t>SH01095</t>
  </si>
  <si>
    <t>Jin KIM (conroyf15@gmail.com)</t>
  </si>
  <si>
    <t>SH01096</t>
  </si>
  <si>
    <t>Jing Huang (jinghuang610@gmail.com)</t>
  </si>
  <si>
    <t>SH01097</t>
  </si>
  <si>
    <t>Jo Schallenkamp (josephines@midconetw...)</t>
  </si>
  <si>
    <t>SH01098</t>
  </si>
  <si>
    <t>Jo Williamson (alwaysandforeverflower...)</t>
  </si>
  <si>
    <t>SH01099</t>
  </si>
  <si>
    <t>jo wood (jwood@goodsheponline.org)</t>
  </si>
  <si>
    <t>SH01100</t>
  </si>
  <si>
    <t>jo-ann holston (agomez-zuniga@trinity...)</t>
  </si>
  <si>
    <t>SH01101</t>
  </si>
  <si>
    <t>Joan Cherenfant (joan@tropicaleleganc...)</t>
  </si>
  <si>
    <t>SH01102</t>
  </si>
  <si>
    <t>Joan Rothman (rothmanj18@aol.com)</t>
  </si>
  <si>
    <t>SH01103</t>
  </si>
  <si>
    <t>JoAnn DiMaggio (dteam_mom@yahoo.com)</t>
  </si>
  <si>
    <t>SH01104</t>
  </si>
  <si>
    <t>JoAnn Farmer (joann.farmer@gmail.com)</t>
  </si>
  <si>
    <t>SH01105</t>
  </si>
  <si>
    <t>JoAnn Johnston (contact@lakecityflora...)</t>
  </si>
  <si>
    <t>SH01106</t>
  </si>
  <si>
    <t>JoAnn Wall (joann@wallagappraisal.com)</t>
  </si>
  <si>
    <t>SH01107</t>
  </si>
  <si>
    <t>Joanna Kania (joannaburgos04@gmail.com)</t>
  </si>
  <si>
    <t>SH01108</t>
  </si>
  <si>
    <t>JoAnne Fagundes (jfagundes@luhsd.k12....)</t>
  </si>
  <si>
    <t>SH01109</t>
  </si>
  <si>
    <t>Joanne McConnell (ltbpoe.jmcc@gmail.com)</t>
  </si>
  <si>
    <t>SH01110</t>
  </si>
  <si>
    <t>Joanne Miller (jo5joc@gmail.com)</t>
  </si>
  <si>
    <t>SH01111</t>
  </si>
  <si>
    <t>JoAnne Puglisi (lasha0451@msn.com)</t>
  </si>
  <si>
    <t>SH01112</t>
  </si>
  <si>
    <t>Joanne Reinbold (janddreinbold@gmail.com)</t>
  </si>
  <si>
    <t>SH01113</t>
  </si>
  <si>
    <t>Jocelyn Black (somethingprettytoo@gma...)</t>
  </si>
  <si>
    <t>SH01114</t>
  </si>
  <si>
    <t>SH01115</t>
  </si>
  <si>
    <t>Jodi (myftdflorist@aol.com)</t>
  </si>
  <si>
    <t>SH01116</t>
  </si>
  <si>
    <t>Jodi Lambert (thewhitewillowevents@gm...)</t>
  </si>
  <si>
    <t>SH01117</t>
  </si>
  <si>
    <t>Jody Buyck (jodybuy@stny.rr.com)</t>
  </si>
  <si>
    <t>SH01118</t>
  </si>
  <si>
    <t>Joe Beard (info@woodshopfloral.com)</t>
  </si>
  <si>
    <t>SH01119</t>
  </si>
  <si>
    <t>Joe Duran (joeduran1978@gmail.com)</t>
  </si>
  <si>
    <t>SH01120</t>
  </si>
  <si>
    <t>Johannah Frelier (johannah@granorfarm...)</t>
  </si>
  <si>
    <t>SH01121</t>
  </si>
  <si>
    <t>Johendi Cervantes (cjohendi.180@gmail...)</t>
  </si>
  <si>
    <t>SH01122</t>
  </si>
  <si>
    <t>John Ashcraft (jashcraft3@comcast.net)</t>
  </si>
  <si>
    <t>SH01123</t>
  </si>
  <si>
    <t>John Boyd (jboyd7605@gmail.com)</t>
  </si>
  <si>
    <t>SH01124</t>
  </si>
  <si>
    <t>John Carswell (carswellj5510@gmail.com)</t>
  </si>
  <si>
    <t>SH01125</t>
  </si>
  <si>
    <t>John Crandall (jccrandall15@gmail.com)</t>
  </si>
  <si>
    <t>SH01126</t>
  </si>
  <si>
    <t>John Davenport (jay@saildriver.com)</t>
  </si>
  <si>
    <t>SH01127</t>
  </si>
  <si>
    <t>John Fain (homerussell@gmail.com)</t>
  </si>
  <si>
    <t>SH01128</t>
  </si>
  <si>
    <t>John Fruin (jcfruin@frontier.com)</t>
  </si>
  <si>
    <t>SH01129</t>
  </si>
  <si>
    <t>John Hamor (oakleafgardencenter@gmail...)</t>
  </si>
  <si>
    <t>SH01130</t>
  </si>
  <si>
    <t>John Lustyan (jlustyan@gmail.com)</t>
  </si>
  <si>
    <t>SH01131</t>
  </si>
  <si>
    <t>John Mitchell (armadillo_graphics@mac...)</t>
  </si>
  <si>
    <t>SH01132</t>
  </si>
  <si>
    <t>John Nachreiner (jnachreiner@shadycan...)</t>
  </si>
  <si>
    <t>SH01133</t>
  </si>
  <si>
    <t>john nicoletti (jnic1029@gmail.com)</t>
  </si>
  <si>
    <t>SH01134</t>
  </si>
  <si>
    <t>John Salisbury (floralexpressionsdenv...)</t>
  </si>
  <si>
    <t>SH01135</t>
  </si>
  <si>
    <t>John Stephens (johnastephens394@yahoo...)</t>
  </si>
  <si>
    <t>SH01136</t>
  </si>
  <si>
    <t>Johnny Azodi (jazodi@yahoo.com)</t>
  </si>
  <si>
    <t>SH01137</t>
  </si>
  <si>
    <t>Johnny MANGOS (johnnymangosunique@gma...)</t>
  </si>
  <si>
    <t>SH01138</t>
  </si>
  <si>
    <t>Johra Siddiqi (johraafsar@yahoo.com)</t>
  </si>
  <si>
    <t>SH01139</t>
  </si>
  <si>
    <t>Jon Zimmerman (hengstenbergsflorist@g...)</t>
  </si>
  <si>
    <t>SH01140</t>
  </si>
  <si>
    <t>JONALYN UDELHOFEN (jonalyn.udelhofen7...)</t>
  </si>
  <si>
    <t>SH01141</t>
  </si>
  <si>
    <t>Jonathan Avila (jonathan.avila@dashco...)</t>
  </si>
  <si>
    <t>SH01142</t>
  </si>
  <si>
    <t>Jonathan Furnish (jonathan.furnish@uk...)</t>
  </si>
  <si>
    <t>SH01143</t>
  </si>
  <si>
    <t>Jonathan Kontz (antoinette@hortulusfa...)</t>
  </si>
  <si>
    <t>SH01144</t>
  </si>
  <si>
    <t>joni fallowfield (jfallowfield@apexbg...)</t>
  </si>
  <si>
    <t>SH01145</t>
  </si>
  <si>
    <t>Joni Varnes (arlingtonflowers@yahoo.com)</t>
  </si>
  <si>
    <t>SH01146</t>
  </si>
  <si>
    <t>Jonrietta M Fife (peachypolly12@yahoo...)</t>
  </si>
  <si>
    <t>SH01147</t>
  </si>
  <si>
    <t>Jordan Howell (jordan@hillsdalebuds.com)</t>
  </si>
  <si>
    <t>SH01148</t>
  </si>
  <si>
    <t>Josangely Aular (josangelyaular@gmail...)</t>
  </si>
  <si>
    <t>SH01149</t>
  </si>
  <si>
    <t>Jose Arriaga (greenworksny@earthlink.net)</t>
  </si>
  <si>
    <t>SH01150</t>
  </si>
  <si>
    <t>Jose Avila (directorjravila@gmail.com)</t>
  </si>
  <si>
    <t>SH01151</t>
  </si>
  <si>
    <t>Jose Garcia (flodimsales@gmail.com)</t>
  </si>
  <si>
    <t>SH01152</t>
  </si>
  <si>
    <t>JOSE GONZALEZ (millan.mezag@gmail.com)</t>
  </si>
  <si>
    <t>SH01153</t>
  </si>
  <si>
    <t>Jose Gutierrez (lupitacruz@stjohnfish...)</t>
  </si>
  <si>
    <t>SH01154</t>
  </si>
  <si>
    <t>Joseane Vigo (jovigousa@gmail.com)</t>
  </si>
  <si>
    <t>SH01155</t>
  </si>
  <si>
    <t>Josefa Castro (jossieacastro30@yahoo.com)</t>
  </si>
  <si>
    <t>SH01156</t>
  </si>
  <si>
    <t>JOSEPH MEICHELBECK (jrm44@verizon.net)</t>
  </si>
  <si>
    <t>SH01157</t>
  </si>
  <si>
    <t>Josh  Fredo (friendlyfflorist@gmail.com)</t>
  </si>
  <si>
    <t>SH01158</t>
  </si>
  <si>
    <t>Joshua Kern (flowersbypatevents@gmail...)</t>
  </si>
  <si>
    <t>SH01159</t>
  </si>
  <si>
    <t>SH01160</t>
  </si>
  <si>
    <t>Joy Patrick (joympatrick@aol.com)</t>
  </si>
  <si>
    <t>SH01161</t>
  </si>
  <si>
    <t>Joyce Austring (gardenhousetn@gmail.com)</t>
  </si>
  <si>
    <t>SH01162</t>
  </si>
  <si>
    <t>Joyce Austring (reneeaustring@gmail.com)</t>
  </si>
  <si>
    <t>SH01163</t>
  </si>
  <si>
    <t>Joyce Conklin-Vankirk (pjvankirk@mchs...)</t>
  </si>
  <si>
    <t>SH01164</t>
  </si>
  <si>
    <t>Joyce Harris (joygate@verizon.net)</t>
  </si>
  <si>
    <t>SH01165</t>
  </si>
  <si>
    <t>Joyce Taylor (joycetaylorint@gmail.com)</t>
  </si>
  <si>
    <t>SH01166</t>
  </si>
  <si>
    <t>Joyce Wager (joycewager49@gmail.com)</t>
  </si>
  <si>
    <t>SH01167</t>
  </si>
  <si>
    <t>Joye S Moon (joyesmoon@gmail.com)</t>
  </si>
  <si>
    <t>SH01168</t>
  </si>
  <si>
    <t>JT Stevens (jt@pjcprod.com)</t>
  </si>
  <si>
    <t>SH01169</t>
  </si>
  <si>
    <t>JTed Lewis (rip_mama@hotmail.com)</t>
  </si>
  <si>
    <t>SH01170</t>
  </si>
  <si>
    <t>SH01171</t>
  </si>
  <si>
    <t>Judhanny Garcia (judhanny@gmail.com)</t>
  </si>
  <si>
    <t>SH01172</t>
  </si>
  <si>
    <t>judi whitson (jude3733@gmail.com)</t>
  </si>
  <si>
    <t>SH01173</t>
  </si>
  <si>
    <t>SH01174</t>
  </si>
  <si>
    <t>Judy Anderson (yorkridgefarms@gmail.com)</t>
  </si>
  <si>
    <t>SH01175</t>
  </si>
  <si>
    <t>Judy Boshela (judydboshela@yahoo.com)</t>
  </si>
  <si>
    <t>SH01176</t>
  </si>
  <si>
    <t>Judy Jones (judybjones@bellsouth.net)</t>
  </si>
  <si>
    <t>SH01177</t>
  </si>
  <si>
    <t>Judy Peachey (judypeachey02@gmail.com)</t>
  </si>
  <si>
    <t>SH01178</t>
  </si>
  <si>
    <t>Julane IrvinWare (julane@vermontflowe...)</t>
  </si>
  <si>
    <t>SH01179</t>
  </si>
  <si>
    <t>Julia Covino (jcovino@mahoneysgarden.com)</t>
  </si>
  <si>
    <t>SH01180</t>
  </si>
  <si>
    <t>Julia Darling (juliamdarling@gmail.com)</t>
  </si>
  <si>
    <t>SH01181</t>
  </si>
  <si>
    <t>JULIA Dodson (jdodson@ollv.org)</t>
  </si>
  <si>
    <t>SH01182</t>
  </si>
  <si>
    <t>Julia Mammoser (kleemusic@gmail.com)</t>
  </si>
  <si>
    <t>SH01183</t>
  </si>
  <si>
    <t>Julia Stahl (julia@juliastahllcsw.com)</t>
  </si>
  <si>
    <t>SH01184</t>
  </si>
  <si>
    <t>Julianne Caster (casterosa@cox.net)</t>
  </si>
  <si>
    <t>SH01185</t>
  </si>
  <si>
    <t>Julianne Chausse (juliannecauley@gmai...)</t>
  </si>
  <si>
    <t>SH01186</t>
  </si>
  <si>
    <t>Julianne Pancio (jpancio@penfield.edu)</t>
  </si>
  <si>
    <t>SH01187</t>
  </si>
  <si>
    <t>Julie Bendavid (jabendavid@aol.com)</t>
  </si>
  <si>
    <t>SH01188</t>
  </si>
  <si>
    <t>Julie Brummer (tjbrummer@mchsi.com)</t>
  </si>
  <si>
    <t>SH01189</t>
  </si>
  <si>
    <t>Julie Butcher (butcherslandscaping195...)</t>
  </si>
  <si>
    <t>SH01190</t>
  </si>
  <si>
    <t>Julie Daw (bloomingfabulous15@gmail.com)</t>
  </si>
  <si>
    <t>SH01191</t>
  </si>
  <si>
    <t>Julie Frost (julie@songbirdorchid.com)</t>
  </si>
  <si>
    <t>SH01192</t>
  </si>
  <si>
    <t>Julie Hellman (juliechellman@gmail.com)</t>
  </si>
  <si>
    <t>SH01193</t>
  </si>
  <si>
    <t>Julie Keene (enjoy@flinchbaughsorchar...)</t>
  </si>
  <si>
    <t>SH01194</t>
  </si>
  <si>
    <t>SH01195</t>
  </si>
  <si>
    <t>Julie Krause (jhkrause7@gmail.com)</t>
  </si>
  <si>
    <t>SH01196</t>
  </si>
  <si>
    <t>Julie Mak (jmak125@hotmail.com)</t>
  </si>
  <si>
    <t>SH01197</t>
  </si>
  <si>
    <t>Julie McCray (juliebrooke4ou@gmail.com)</t>
  </si>
  <si>
    <t>SH01198</t>
  </si>
  <si>
    <t>Julie Moore (floralfairytalesshop@gma...)</t>
  </si>
  <si>
    <t>SH01199</t>
  </si>
  <si>
    <t>Julie O?Neal (luluskitchen2018@gmail.com)</t>
  </si>
  <si>
    <t>SH01200</t>
  </si>
  <si>
    <t>Julie Reid (juliegfarina@gmail.com)</t>
  </si>
  <si>
    <t>SH01201</t>
  </si>
  <si>
    <t>Julie Tseng (jtseng55@gmail.com)</t>
  </si>
  <si>
    <t>SH01202</t>
  </si>
  <si>
    <t>Julie Williams (blossomartistry@aol.com)</t>
  </si>
  <si>
    <t>SH01203</t>
  </si>
  <si>
    <t>Justin Geske (bdjgeske62@msn.com)</t>
  </si>
  <si>
    <t>SH01204</t>
  </si>
  <si>
    <t>Justin Meyers (justin.meyers@wholefoo...)</t>
  </si>
  <si>
    <t>SH01205</t>
  </si>
  <si>
    <t>Justin Svetnicka (justin@bartonsflowe...)</t>
  </si>
  <si>
    <t>SH01206</t>
  </si>
  <si>
    <t>Justin van Fleet (hello@goodmorningbe...)</t>
  </si>
  <si>
    <t>SH01207</t>
  </si>
  <si>
    <t>Kaila Ramos (flowershop.lakecharles@g...)</t>
  </si>
  <si>
    <t>SH01208</t>
  </si>
  <si>
    <t>Kaila Ward (theplantward@outlook.com)</t>
  </si>
  <si>
    <t>SH01209</t>
  </si>
  <si>
    <t>Kaitlyn Davis (daviskaitlyn@gmail.com)</t>
  </si>
  <si>
    <t>SH01210</t>
  </si>
  <si>
    <t>Kaki Reckard (kaki@thegreenhouseinc.com)</t>
  </si>
  <si>
    <t>SH01211</t>
  </si>
  <si>
    <t>Kallie Durden (theflowercompany21@gma...)</t>
  </si>
  <si>
    <t>SH01212</t>
  </si>
  <si>
    <t>KAORI TOKUOKA (lesboutiqueori@gmail.com)</t>
  </si>
  <si>
    <t>SH01213</t>
  </si>
  <si>
    <t>Kara Acri (info@scarletbegoniasflower...)</t>
  </si>
  <si>
    <t>SH01214</t>
  </si>
  <si>
    <t>Kara Markham (karanmarkham@gmail.com)</t>
  </si>
  <si>
    <t>SH01215</t>
  </si>
  <si>
    <t>Kara Vaneck (smokecampcrafts@gmail.com)</t>
  </si>
  <si>
    <t>SH01216</t>
  </si>
  <si>
    <t>Karen  Hamer (sydney@saskatoonfarm.com)</t>
  </si>
  <si>
    <t>SH01217</t>
  </si>
  <si>
    <t>SH01218</t>
  </si>
  <si>
    <t>Karen Abrahamson (karen@doublerfloris...)</t>
  </si>
  <si>
    <t>SH01219</t>
  </si>
  <si>
    <t>Karen Craddock (karenhcraddock@yahoo.com)</t>
  </si>
  <si>
    <t>SH01220</t>
  </si>
  <si>
    <t>Karen DiDonato (kpdidonato@gmail.com)</t>
  </si>
  <si>
    <t>SH01221</t>
  </si>
  <si>
    <t>Karen Etienne (laaldeausa@gmail.com)</t>
  </si>
  <si>
    <t>SH01222</t>
  </si>
  <si>
    <t>Karen Godfrey (kgodfrey@maranatha.org)</t>
  </si>
  <si>
    <t>SH01223</t>
  </si>
  <si>
    <t>Karen Gray (kgray64751@comcast.net)</t>
  </si>
  <si>
    <t>SH01224</t>
  </si>
  <si>
    <t>Karen Hyland (klhyland@bellsouth.net)</t>
  </si>
  <si>
    <t>SH01225</t>
  </si>
  <si>
    <t>Karen Kemper (kemperhrk@gmail.com)</t>
  </si>
  <si>
    <t>SH01226</t>
  </si>
  <si>
    <t>Karen Moller (sagosbiz@gmail.com)</t>
  </si>
  <si>
    <t>SH01227</t>
  </si>
  <si>
    <t>Karen Sipple (3kakepops@gmail.com)</t>
  </si>
  <si>
    <t>SH01228</t>
  </si>
  <si>
    <t>Karen Thiry (kthiry@garvinbowardeng.com)</t>
  </si>
  <si>
    <t>SH01229</t>
  </si>
  <si>
    <t>Karena Cutsforth (barninout@hotmail.com)</t>
  </si>
  <si>
    <t>SH01230</t>
  </si>
  <si>
    <t>karin demartin (business@fiorigardenc...)</t>
  </si>
  <si>
    <t>SH01232</t>
  </si>
  <si>
    <t>Karin Smith (ksmith.realestate@gmail.com)</t>
  </si>
  <si>
    <t>SH01233</t>
  </si>
  <si>
    <t>Karina Mendes (kmendes10@gmail.com)</t>
  </si>
  <si>
    <t>SH01234</t>
  </si>
  <si>
    <t>Karl  Yu (elsaawongg@gmail.com)</t>
  </si>
  <si>
    <t>SH01235</t>
  </si>
  <si>
    <t>Karla Hersey (khersey33@hotmail.com)</t>
  </si>
  <si>
    <t>SH01236</t>
  </si>
  <si>
    <t>Karmen Finch (karmenfinch@yahoo.com)</t>
  </si>
  <si>
    <t>SH01237</t>
  </si>
  <si>
    <t>Karrina Herrera (karrina.herrera04@gm...)</t>
  </si>
  <si>
    <t>SH01238</t>
  </si>
  <si>
    <t>Karyn Cichocki (kdc05@ptd.net)</t>
  </si>
  <si>
    <t>SH01239</t>
  </si>
  <si>
    <t>Kasey Stott (kaseyjstott@gmail.com)</t>
  </si>
  <si>
    <t>SH01240</t>
  </si>
  <si>
    <t>Kate Chasuk (kate.chasuk@gmail.com)</t>
  </si>
  <si>
    <t>SH01241</t>
  </si>
  <si>
    <t>Kate Edwards (katesundyhong@gmail.com)</t>
  </si>
  <si>
    <t>SH01242</t>
  </si>
  <si>
    <t>Kate Fisher (sparklinglights96@gmail.com)</t>
  </si>
  <si>
    <t>SH01243</t>
  </si>
  <si>
    <t>Kate Jaynes (kate@katejaynes.com)</t>
  </si>
  <si>
    <t>SH01244</t>
  </si>
  <si>
    <t>kate maccready (kate@huzza.net)</t>
  </si>
  <si>
    <t>SH01245</t>
  </si>
  <si>
    <t>SH01246</t>
  </si>
  <si>
    <t>KATELYN HUDSON (THEPOPUPPOPPYCART@GMA...)</t>
  </si>
  <si>
    <t>SH01247</t>
  </si>
  <si>
    <t>Kateryna Holota (knkflowers@gmail.com)</t>
  </si>
  <si>
    <t>SH01248</t>
  </si>
  <si>
    <t>Kateryna Sobovoy (vaskate93@gmail.com)</t>
  </si>
  <si>
    <t>SH01249</t>
  </si>
  <si>
    <t>Katharine Anders (caka7117@yahoo.com)</t>
  </si>
  <si>
    <t>SH01250</t>
  </si>
  <si>
    <t>Katharine Moore (kmoore@65jefferson.org)</t>
  </si>
  <si>
    <t>SH01251</t>
  </si>
  <si>
    <t>Katherine Carlos (kathen21778@yahoo.com)</t>
  </si>
  <si>
    <t>SH01252</t>
  </si>
  <si>
    <t>katherine gaddie (kcgaddie323@gmail.com)</t>
  </si>
  <si>
    <t>SH01253</t>
  </si>
  <si>
    <t>Katherine Nau (knau1433@yahoo.com)</t>
  </si>
  <si>
    <t>SH01254</t>
  </si>
  <si>
    <t>Katherine Prieto (katherine@orchibell...)</t>
  </si>
  <si>
    <t>SH01255</t>
  </si>
  <si>
    <t>Katherine Raz (juliet@thefernseed.com)</t>
  </si>
  <si>
    <t>SH01256</t>
  </si>
  <si>
    <t>Katherine Ruhl (katherine.ruhl@gmail.com)</t>
  </si>
  <si>
    <t>SH01257</t>
  </si>
  <si>
    <t>Katherine Sasser (bamanurse1966@yahoo...)</t>
  </si>
  <si>
    <t>SH01258</t>
  </si>
  <si>
    <t>Kathi Collins (sudderthk@gmail.com)</t>
  </si>
  <si>
    <t>SH01259</t>
  </si>
  <si>
    <t>Kathi Romley (kathiromley@yahoo.com)</t>
  </si>
  <si>
    <t>SH01260</t>
  </si>
  <si>
    <t>Kathleen A Collier (kathleenacollier@...)</t>
  </si>
  <si>
    <t>SH01261</t>
  </si>
  <si>
    <t>Kathleen Baty (kkbaty99@gmail.com)</t>
  </si>
  <si>
    <t>SH01262</t>
  </si>
  <si>
    <t>Kathleen Castelletti (kathleen.castel...)</t>
  </si>
  <si>
    <t>SH01263</t>
  </si>
  <si>
    <t>Kathleen Manley (linksgreenhouse@gmai...)</t>
  </si>
  <si>
    <t>SH01264</t>
  </si>
  <si>
    <t>Kathleen McCabe (lamesaevents.floral@...)</t>
  </si>
  <si>
    <t>SH01265</t>
  </si>
  <si>
    <t>Kathleen Nichols (knichols@regnumchri...)</t>
  </si>
  <si>
    <t>SH01266</t>
  </si>
  <si>
    <t>Kathleen Stein (s6559@aol.com)</t>
  </si>
  <si>
    <t>SH01267</t>
  </si>
  <si>
    <t>kathleen stevenson (kathleenstevenson...)</t>
  </si>
  <si>
    <t>SH01268</t>
  </si>
  <si>
    <t>SH01269</t>
  </si>
  <si>
    <t>Kathryn Davidson (kathryntrail@me.com)</t>
  </si>
  <si>
    <t>SH01270</t>
  </si>
  <si>
    <t>kathryn Ireland (kathrynsellaro@gmail...)</t>
  </si>
  <si>
    <t>SH01271</t>
  </si>
  <si>
    <t>Kathryn Miranda (klmdmd@aol.com)</t>
  </si>
  <si>
    <t>SH01272</t>
  </si>
  <si>
    <t>SH01273</t>
  </si>
  <si>
    <t>Kathy Blount (adair@meetingdynamicsgl...)</t>
  </si>
  <si>
    <t>SH01274</t>
  </si>
  <si>
    <t>Kathy Hakim (auntie3456@gmail.com)</t>
  </si>
  <si>
    <t>SH01275</t>
  </si>
  <si>
    <t>Kathy Harrington (bloomsofiowa@gmail.com)</t>
  </si>
  <si>
    <t>SH01276</t>
  </si>
  <si>
    <t>Kathy HINTON (kat@southeastculvert.com)</t>
  </si>
  <si>
    <t>SH01277</t>
  </si>
  <si>
    <t>Kathy King (cs@bbtampabay.com)</t>
  </si>
  <si>
    <t>SH01278</t>
  </si>
  <si>
    <t>Kathy McGuinness (island-garden-cente...)</t>
  </si>
  <si>
    <t>SH01279</t>
  </si>
  <si>
    <t>Kathy Pham (mariakathy1310@gmail.com)</t>
  </si>
  <si>
    <t>SH01280</t>
  </si>
  <si>
    <t>Kathy Ratliff (kathyr@cypresslawns.com)</t>
  </si>
  <si>
    <t>SH01281</t>
  </si>
  <si>
    <t>Kathy Speece (kspeece1@gmail.com)</t>
  </si>
  <si>
    <t>SH01282</t>
  </si>
  <si>
    <t>Kathy Walters (kreationsbykathy@comca...)</t>
  </si>
  <si>
    <t>SH01283</t>
  </si>
  <si>
    <t>Katie  Mabry (strawberryswingkc@gmail...)</t>
  </si>
  <si>
    <t>SH01284</t>
  </si>
  <si>
    <t>Katie Cantis (borchertk@wvumedicine.org)</t>
  </si>
  <si>
    <t>SH01285</t>
  </si>
  <si>
    <t>Katie Jackson (kjack91@hotmail.com)</t>
  </si>
  <si>
    <t>SH01286</t>
  </si>
  <si>
    <t>Katie Johnson (kbjohnson824@gmail.com)</t>
  </si>
  <si>
    <t>SH01287</t>
  </si>
  <si>
    <t>Katie-Mae Pollard (msk8emae@artbykati...)</t>
  </si>
  <si>
    <t>SH01288</t>
  </si>
  <si>
    <t>KATY DAN (katykaty13@hotmail.com)</t>
  </si>
  <si>
    <t>SH01289</t>
  </si>
  <si>
    <t>Kausik Chaudhuri (ckausik@gmail.com)</t>
  </si>
  <si>
    <t>SH01290</t>
  </si>
  <si>
    <t>Kay Bishop (deerekay1955@gmail.com)</t>
  </si>
  <si>
    <t>SH01291</t>
  </si>
  <si>
    <t>Kaye Emrick (info@flowersbykaye.com)</t>
  </si>
  <si>
    <t>SH01292</t>
  </si>
  <si>
    <t>Kayla Bruce (klabruce@yahoo.com)</t>
  </si>
  <si>
    <t>SH01293</t>
  </si>
  <si>
    <t>Kayla Fuller (kbsn13@gmail.com)</t>
  </si>
  <si>
    <t>SH01294</t>
  </si>
  <si>
    <t>Kayla Nault (florist@debonisflowers.com)</t>
  </si>
  <si>
    <t>SH01295</t>
  </si>
  <si>
    <t>Kaylee Abney (ermaleesllc@gmail.com)</t>
  </si>
  <si>
    <t>SH01296</t>
  </si>
  <si>
    <t>SH01297</t>
  </si>
  <si>
    <t>Keenyn Joplin (keenyn@bayviewboutique...)</t>
  </si>
  <si>
    <t>SH01298</t>
  </si>
  <si>
    <t>SH01299</t>
  </si>
  <si>
    <t>Kelcie Biggs (bellajaysarrangements@g...)</t>
  </si>
  <si>
    <t>SH01300</t>
  </si>
  <si>
    <t>Keli Miller (flowersbyvance@gmail.com)</t>
  </si>
  <si>
    <t>SH01301</t>
  </si>
  <si>
    <t>Kelley Blaine (kelleyrblaine@yahoo.com)</t>
  </si>
  <si>
    <t>SH01302</t>
  </si>
  <si>
    <t>Kelley Davis (davis257@msn.com)</t>
  </si>
  <si>
    <t>SH01303</t>
  </si>
  <si>
    <t>Kelli Maberry (jones@ag.tamu.edu)</t>
  </si>
  <si>
    <t>SH01304</t>
  </si>
  <si>
    <t>Kelli Smith (whiskeyteacupcreations@o...)</t>
  </si>
  <si>
    <t>SH01305</t>
  </si>
  <si>
    <t>Kelli Wood (kwood5888@aol.com)</t>
  </si>
  <si>
    <t>SH01306</t>
  </si>
  <si>
    <t>Kellie Bowman (blossomsontheblvd@att.net)</t>
  </si>
  <si>
    <t>SH01307</t>
  </si>
  <si>
    <t>kelly a monfort (kellygnc@hotmail.com)</t>
  </si>
  <si>
    <t>SH01308</t>
  </si>
  <si>
    <t>Kelly Byers (nykelly25@aol.com)</t>
  </si>
  <si>
    <t>SH01309</t>
  </si>
  <si>
    <t>Kelly DeCario (keldogg@comcast.net)</t>
  </si>
  <si>
    <t>SH01310</t>
  </si>
  <si>
    <t>kelly filipan (kfilipan4@yahoo.com)</t>
  </si>
  <si>
    <t>SH01311</t>
  </si>
  <si>
    <t>Kelly Gibson (kellygibson2010@yahoo.com)</t>
  </si>
  <si>
    <t>SH01312</t>
  </si>
  <si>
    <t>Kelly Glover (armfulflowers@gmail.com)</t>
  </si>
  <si>
    <t>SH01313</t>
  </si>
  <si>
    <t>Kelly Mangel (kelly.mangel@gmail.com)</t>
  </si>
  <si>
    <t>SH01314</t>
  </si>
  <si>
    <t>Kelly martin (kellyallisonmartin@yaho...)</t>
  </si>
  <si>
    <t>SH01315</t>
  </si>
  <si>
    <t>Kelly Marton (kmmarton@yahoo.com)</t>
  </si>
  <si>
    <t>SH01316</t>
  </si>
  <si>
    <t>Kelly Moody (moodyrekuc@gmail.com)</t>
  </si>
  <si>
    <t>SH01317</t>
  </si>
  <si>
    <t>Kelly Ryan (kellyryan13@gmail.com)</t>
  </si>
  <si>
    <t>SH01318</t>
  </si>
  <si>
    <t>Kelly Schmid (austin@townflowerdelive...)</t>
  </si>
  <si>
    <t>SH01319</t>
  </si>
  <si>
    <t>Kelly Shaffer (kelltay799@yahoo.com)</t>
  </si>
  <si>
    <t>SH01320</t>
  </si>
  <si>
    <t>Kelly Shaffer (rusticrose15@gmail.com)</t>
  </si>
  <si>
    <t>SH01321</t>
  </si>
  <si>
    <t>Kelly Stead (flowersinstead.kelly@gma...)</t>
  </si>
  <si>
    <t>SH01322</t>
  </si>
  <si>
    <t>Kelly Tung (kellytung14@gmail.com)</t>
  </si>
  <si>
    <t>SH01323</t>
  </si>
  <si>
    <t>Kelly Wolf (kelly.wolf09@gmail.com)</t>
  </si>
  <si>
    <t>SH01324</t>
  </si>
  <si>
    <t>Kellye Russell (russellhl@icloud.com)</t>
  </si>
  <si>
    <t>SH01325</t>
  </si>
  <si>
    <t>Kelsey Blaskiewicz (kelsmarie8@hotmai...)</t>
  </si>
  <si>
    <t>SH01326</t>
  </si>
  <si>
    <t>Kelsey Mahony (kelsey.mahony@gmail.com)</t>
  </si>
  <si>
    <t>SH01327</t>
  </si>
  <si>
    <t>Kelsey Ruhland (allears@foxboundflowe...)</t>
  </si>
  <si>
    <t>SH01328</t>
  </si>
  <si>
    <t>Kelsie Schutz (kelsie@clarkesgardence...)</t>
  </si>
  <si>
    <t>SH01329</t>
  </si>
  <si>
    <t>Ken Spivey (ken@fumcaustin.org)</t>
  </si>
  <si>
    <t>SH01330</t>
  </si>
  <si>
    <t>KENDALL RICHARDSON (info@beeandpollen...)</t>
  </si>
  <si>
    <t>SH01331</t>
  </si>
  <si>
    <t>SH01332</t>
  </si>
  <si>
    <t>Kenna Griffith (kenna@threepinkelepha...)</t>
  </si>
  <si>
    <t>SH01333</t>
  </si>
  <si>
    <t>Kenneth Grizzle (kdgrizzle00@gmail.com)</t>
  </si>
  <si>
    <t>SH01334</t>
  </si>
  <si>
    <t>Kenneth Harding (gnidrahmk@yahoo.com)</t>
  </si>
  <si>
    <t>SH01335</t>
  </si>
  <si>
    <t>Kenneth Jones (kennethjones1116@gmail...)</t>
  </si>
  <si>
    <t>SH01336</t>
  </si>
  <si>
    <t>Kenny Stover (kviii22@yahoo.com)</t>
  </si>
  <si>
    <t>SH01337</t>
  </si>
  <si>
    <t>Kenyetta Rheams (kenyetta.rheams1@gma...)</t>
  </si>
  <si>
    <t>SH01338</t>
  </si>
  <si>
    <t>Keri Johnson (keri@urban-radish.com)</t>
  </si>
  <si>
    <t>SH01339</t>
  </si>
  <si>
    <t>Keri Taylor (kerilynn5374@gmail.com)</t>
  </si>
  <si>
    <t>SH01340</t>
  </si>
  <si>
    <t>Kerry Scanlan (troutdaddie@gmail.com)</t>
  </si>
  <si>
    <t>SH01341</t>
  </si>
  <si>
    <t>Kevin Brazile (royalfloraldesign@hotm...)</t>
  </si>
  <si>
    <t>SH01342</t>
  </si>
  <si>
    <t>Kevin Eberhard (plantmen99@yahoo.com)</t>
  </si>
  <si>
    <t>SH01343</t>
  </si>
  <si>
    <t>KEVIN MEAKIM (kevinmeakim@gmail.com)</t>
  </si>
  <si>
    <t>SH01344</t>
  </si>
  <si>
    <t>Kevin Muller (crazycrepecafe@gmail.com)</t>
  </si>
  <si>
    <t>SH01345</t>
  </si>
  <si>
    <t>Kevin Schneider (kevin@superfarmcanna...)</t>
  </si>
  <si>
    <t>SH01346</t>
  </si>
  <si>
    <t>Kevin Wiedenheft (kevin.wiedenheft@gm...)</t>
  </si>
  <si>
    <t>SH01347</t>
  </si>
  <si>
    <t>Kevin Yerger (keviny329@yahoo.com)</t>
  </si>
  <si>
    <t>SH01348</t>
  </si>
  <si>
    <t>Keyfood Supermarket (bravonaples@comc...)</t>
  </si>
  <si>
    <t>SH01349</t>
  </si>
  <si>
    <t>Kiersten O'Dell (kiersten_81@hotmail.com)</t>
  </si>
  <si>
    <t>SH01350</t>
  </si>
  <si>
    <t>Kim  Denis (denisflowersllc@gmail.com)</t>
  </si>
  <si>
    <t>SH01351</t>
  </si>
  <si>
    <t>Kim Ardise (kimardise@61mainholmdel.com)</t>
  </si>
  <si>
    <t>SH01352</t>
  </si>
  <si>
    <t>Kim Beynon (kimmbeynon@gmail.com)</t>
  </si>
  <si>
    <t>SH01353</t>
  </si>
  <si>
    <t>Kim Cote (kcote1993@gmail.com)</t>
  </si>
  <si>
    <t>SH01354</t>
  </si>
  <si>
    <t>Kim Kaiser (kaccilli@outlook.com)</t>
  </si>
  <si>
    <t>SH01355</t>
  </si>
  <si>
    <t>Kim McMorrough (baylorflowers@yahoo.com)</t>
  </si>
  <si>
    <t>SH01356</t>
  </si>
  <si>
    <t>Kim Pestalozzi (kimpestalozzi@gmail.com)</t>
  </si>
  <si>
    <t>SH01357</t>
  </si>
  <si>
    <t>Kim Sajjad (ksajjad@gbmc.org)</t>
  </si>
  <si>
    <t>SH01358</t>
  </si>
  <si>
    <t>SH01359</t>
  </si>
  <si>
    <t>Kim Stetson (kimobxwa@gmail.com)</t>
  </si>
  <si>
    <t>SH01360</t>
  </si>
  <si>
    <t>Kim Walker (kimwalkerflorals@gmail.com)</t>
  </si>
  <si>
    <t>SH01361</t>
  </si>
  <si>
    <t>Kim Westmoreland (efyflowers2@att.net)</t>
  </si>
  <si>
    <t>SH01362</t>
  </si>
  <si>
    <t>kim widener (kimwidener@gmail.com)</t>
  </si>
  <si>
    <t>SH01363</t>
  </si>
  <si>
    <t>Kimberly Barnes (kbracing5x@gmail.com)</t>
  </si>
  <si>
    <t>SH01364</t>
  </si>
  <si>
    <t>Kimberly Brown (floristkimberlybrown@...)</t>
  </si>
  <si>
    <t>SH01365</t>
  </si>
  <si>
    <t>Kimberly Citino (citinok@aol.com)</t>
  </si>
  <si>
    <t>SH01366</t>
  </si>
  <si>
    <t>KIMBERLY DAVIS (kimberly_hand2000@yah...)</t>
  </si>
  <si>
    <t>SH01367</t>
  </si>
  <si>
    <t>Kimberly Devlin-Brytz (hollyhocks@com...)</t>
  </si>
  <si>
    <t>SH01368</t>
  </si>
  <si>
    <t>Kimberly Elliott (pkjelliott4@gmail.com)</t>
  </si>
  <si>
    <t>SH01369</t>
  </si>
  <si>
    <t>Kimberly Fuller (kimfuller2012@hotmai...)</t>
  </si>
  <si>
    <t>SH01370</t>
  </si>
  <si>
    <t>Kimberly Gregory (carlsbadfloral@gmai...)</t>
  </si>
  <si>
    <t>SH01371</t>
  </si>
  <si>
    <t>Kimberly Ladkin (kladkin@bendbroadban...)</t>
  </si>
  <si>
    <t>SH01372</t>
  </si>
  <si>
    <t>Kimberly Malouf (pkmalouf@gmail.com)</t>
  </si>
  <si>
    <t>SH01373</t>
  </si>
  <si>
    <t>Kimberly Solheim (arlenesflowers@gmai...)</t>
  </si>
  <si>
    <t>SH01374</t>
  </si>
  <si>
    <t>Kimberly Watts (kimberlyawatts@gmail.com)</t>
  </si>
  <si>
    <t>SH01375</t>
  </si>
  <si>
    <t>Kirk Tepe (emailtepe@gmail.com)</t>
  </si>
  <si>
    <t>SH01376</t>
  </si>
  <si>
    <t>Kit Ward (kward@plantscape.com)</t>
  </si>
  <si>
    <t>SH01377</t>
  </si>
  <si>
    <t>KOULA MAGDALIN (koulam@sbcglobal.net)</t>
  </si>
  <si>
    <t>SH01378</t>
  </si>
  <si>
    <t>Kourtney  Souza (komesha1901@yahoo.com)</t>
  </si>
  <si>
    <t>SH01379</t>
  </si>
  <si>
    <t>SH01380</t>
  </si>
  <si>
    <t>Kris Smith (info@jonkersgarden.com)</t>
  </si>
  <si>
    <t>SH01381</t>
  </si>
  <si>
    <t>Krista Aston (kaston@willowvalley.org)</t>
  </si>
  <si>
    <t>SH01382</t>
  </si>
  <si>
    <t>Krista Gardent (kristagardent@yahoo.com)</t>
  </si>
  <si>
    <t>SH01383</t>
  </si>
  <si>
    <t>Krista Gardent (vincentkrista@ymail.com)</t>
  </si>
  <si>
    <t>SH01384</t>
  </si>
  <si>
    <t>Kristal Wiley (kristal.wiley@aol.com)</t>
  </si>
  <si>
    <t>SH01385</t>
  </si>
  <si>
    <t>Kriste Jones (kristejones@aol.com)</t>
  </si>
  <si>
    <t>SH01386</t>
  </si>
  <si>
    <t>Kristen Bullard (fullbloomtx@gmail.com)</t>
  </si>
  <si>
    <t>SH01387</t>
  </si>
  <si>
    <t>Kristen Davis (kristen.davis35@gmail.com)</t>
  </si>
  <si>
    <t>SH01388</t>
  </si>
  <si>
    <t>kristen dubois (kristen@flowersfromfr...)</t>
  </si>
  <si>
    <t>SH01389</t>
  </si>
  <si>
    <t>Kristen Wheeler (kriswheeler25@gmail.com)</t>
  </si>
  <si>
    <t>SH01390</t>
  </si>
  <si>
    <t>KRISTHINA A LUGO (kristhinalugo@gmail...)</t>
  </si>
  <si>
    <t>SH01391</t>
  </si>
  <si>
    <t>kristi Openshaw (kristi@littleopees.com)</t>
  </si>
  <si>
    <t>SH01392</t>
  </si>
  <si>
    <t>Kristin Androvic (kristin.floralcreat...)</t>
  </si>
  <si>
    <t>SH01393</t>
  </si>
  <si>
    <t>Kristin Shelton (bkshelton4@gmail.com)</t>
  </si>
  <si>
    <t>SH01394</t>
  </si>
  <si>
    <t>Kristina Sharp (kristina.sharp@psd201...)</t>
  </si>
  <si>
    <t>SH01395</t>
  </si>
  <si>
    <t>Kristine Bernabe (florals@wildflorade...)</t>
  </si>
  <si>
    <t>SH01396</t>
  </si>
  <si>
    <t>Kristine Bernabe (hello@wildfloraldes...)</t>
  </si>
  <si>
    <t>SH01397</t>
  </si>
  <si>
    <t>Kristine Lindeman (cumfleet@gmail.com)</t>
  </si>
  <si>
    <t>SH01398</t>
  </si>
  <si>
    <t>Kristine Lindeman (shoppeonmain23@gma...)</t>
  </si>
  <si>
    <t>SH01399</t>
  </si>
  <si>
    <t>Kristine Villager (elsamcgelsa@gmail.com)</t>
  </si>
  <si>
    <t>SH01400</t>
  </si>
  <si>
    <t>Kristyne Carian (dellasmaplelaneflori...)</t>
  </si>
  <si>
    <t>SH01401</t>
  </si>
  <si>
    <t>Krystle Klink (knklink@gmail.com)</t>
  </si>
  <si>
    <t>SH01402</t>
  </si>
  <si>
    <t>KRYSTSINA VALUSHKA (wal95kristina@gma...)</t>
  </si>
  <si>
    <t>SH01403</t>
  </si>
  <si>
    <t>KRYSTSINA VALUSHKA (wal95kristina@mai...)</t>
  </si>
  <si>
    <t>SH01404</t>
  </si>
  <si>
    <t>Kseniia Kondrashova (korenevakn@mail.ru)</t>
  </si>
  <si>
    <t>SH01405</t>
  </si>
  <si>
    <t>Kye Giddens (gaby@vickerman.com)</t>
  </si>
  <si>
    <t>SH01406</t>
  </si>
  <si>
    <t>Kyla Pierce (kcaves95@gmail.com)</t>
  </si>
  <si>
    <t>SH01407</t>
  </si>
  <si>
    <t>Kyle Brown (kelli@lsbco.com)</t>
  </si>
  <si>
    <t>SH01408</t>
  </si>
  <si>
    <t>SH01409</t>
  </si>
  <si>
    <t>Kyle Maher (honeypiewestport@gmail.com)</t>
  </si>
  <si>
    <t>SH01410</t>
  </si>
  <si>
    <t>Kyle wollock (sharpcori@gmail.com)</t>
  </si>
  <si>
    <t>SH01411</t>
  </si>
  <si>
    <t>Kyleigh Holden (kyleigh_bordelon@yaho...)</t>
  </si>
  <si>
    <t>SH01412</t>
  </si>
  <si>
    <t>Kyra Bradley (kbradley2018@gmail.com)</t>
  </si>
  <si>
    <t>SH01413</t>
  </si>
  <si>
    <t>Lacey Konjevich (laceyrenee.az@gmail.com)</t>
  </si>
  <si>
    <t>SH01414</t>
  </si>
  <si>
    <t>Lacey McPherson (ratherunique@swbell.net)</t>
  </si>
  <si>
    <t>SH01415</t>
  </si>
  <si>
    <t>LaDonna Mitchell (ladonnamitchell13@g...)</t>
  </si>
  <si>
    <t>SH01416</t>
  </si>
  <si>
    <t>Laila Williams (budgetflorals@gmail.com)</t>
  </si>
  <si>
    <t>SH01417</t>
  </si>
  <si>
    <t>Lana King (lanaking@aol.com)</t>
  </si>
  <si>
    <t>SH01418</t>
  </si>
  <si>
    <t>SH01419</t>
  </si>
  <si>
    <t>Lanna Donn (ldonn@cheyennecity.com)</t>
  </si>
  <si>
    <t>SH01420</t>
  </si>
  <si>
    <t>LaQuisha Chandler (qnique_events@yaho...)</t>
  </si>
  <si>
    <t>SH01421</t>
  </si>
  <si>
    <t>Larry  Orozco (larrycatarino12@gmail.com)</t>
  </si>
  <si>
    <t>SH01422</t>
  </si>
  <si>
    <t>Larry Cassano (lcassano@lfdsi.org)</t>
  </si>
  <si>
    <t>SH01423</t>
  </si>
  <si>
    <t>Larry Cheever (cheeversflowers@coxine...)</t>
  </si>
  <si>
    <t>SH01424</t>
  </si>
  <si>
    <t>Lasaundra Williams (lwilliams@weareth...)</t>
  </si>
  <si>
    <t>SH01425</t>
  </si>
  <si>
    <t>Latiaynna Tabb (yournextdoorrentals@g...)</t>
  </si>
  <si>
    <t>SH01426</t>
  </si>
  <si>
    <t>LaTinya Moss (la_moss72@yahoo.com)</t>
  </si>
  <si>
    <t>SH01427</t>
  </si>
  <si>
    <t>Laura Bochnak (laurabochnak@gmail.com)</t>
  </si>
  <si>
    <t>SH01428</t>
  </si>
  <si>
    <t>Laura Cumberworth (lcumber@gmail.com)</t>
  </si>
  <si>
    <t>SH01429</t>
  </si>
  <si>
    <t>Laura Danna (ldanna26@optonline.net)</t>
  </si>
  <si>
    <t>SH01430</t>
  </si>
  <si>
    <t>Laura Garcia (jg030sanchez@gmail.com)</t>
  </si>
  <si>
    <t>SH01431</t>
  </si>
  <si>
    <t>laura Garcin (laura@balltagawa.com)</t>
  </si>
  <si>
    <t>SH01432</t>
  </si>
  <si>
    <t>Laura Harper (laurannharper@gmail.com)</t>
  </si>
  <si>
    <t>SH01433</t>
  </si>
  <si>
    <t>Laura Hassell (laura@naturelinkdesign...)</t>
  </si>
  <si>
    <t>SH01434</t>
  </si>
  <si>
    <t>Laura Kurinec (msmumy@comcast.net)</t>
  </si>
  <si>
    <t>SH01435</t>
  </si>
  <si>
    <t>Laura Lanzon (enchanted_florist@sbcgl...)</t>
  </si>
  <si>
    <t>SH01436</t>
  </si>
  <si>
    <t>Laura Martin (lauradenisse14@gmail.com)</t>
  </si>
  <si>
    <t>SH01437</t>
  </si>
  <si>
    <t>Laura Martin (lcmbq3@gmail.com)</t>
  </si>
  <si>
    <t>SH01438</t>
  </si>
  <si>
    <t>Laura Mizell (mizelllaura@gmail.com)</t>
  </si>
  <si>
    <t>SH01439</t>
  </si>
  <si>
    <t>Laura Romanelli (laura.romanelli@me.com)</t>
  </si>
  <si>
    <t>SH01440</t>
  </si>
  <si>
    <t>Laura Rossinow (mfaa.laurarossinow@gm...)</t>
  </si>
  <si>
    <t>SH01441</t>
  </si>
  <si>
    <t>Laura Schoenecker (lswanso@siue.edu)</t>
  </si>
  <si>
    <t>SH01442</t>
  </si>
  <si>
    <t>Laura Tenzer (dltenzer@yahoo.com)</t>
  </si>
  <si>
    <t>SH01443</t>
  </si>
  <si>
    <t>Laura Tenzer (lctenzer@gmail.com)</t>
  </si>
  <si>
    <t>SH01444</t>
  </si>
  <si>
    <t>Laura Werner (laura@stlukedixhills.org)</t>
  </si>
  <si>
    <t>SH01445</t>
  </si>
  <si>
    <t>Laurel Thompson (laurelrae63@yahoo.com)</t>
  </si>
  <si>
    <t>SH01446</t>
  </si>
  <si>
    <t>Lauren baracz (studio7thirteen@yahoo.com)</t>
  </si>
  <si>
    <t>SH01447</t>
  </si>
  <si>
    <t>Lauren Behrens (laurenbehrens7@gmail.com)</t>
  </si>
  <si>
    <t>SH01448</t>
  </si>
  <si>
    <t>SH01449</t>
  </si>
  <si>
    <t>SH01450</t>
  </si>
  <si>
    <t>Lauren DeJesu (ddejesu@aol.com)</t>
  </si>
  <si>
    <t>SH01451</t>
  </si>
  <si>
    <t>Lauren Ford (lauren@cityunited.church)</t>
  </si>
  <si>
    <t>SH01452</t>
  </si>
  <si>
    <t>Lauren Sierra (hello@thefloristsupply...)</t>
  </si>
  <si>
    <t>SH01453</t>
  </si>
  <si>
    <t>Lauren Sierra (laurensierra630@gmail.com)</t>
  </si>
  <si>
    <t>SH01454</t>
  </si>
  <si>
    <t>Lauren Sierra (lsierra@decowraps.com)</t>
  </si>
  <si>
    <t>SH01455</t>
  </si>
  <si>
    <t>Lauren Sorden (lpsorden1@me.com)</t>
  </si>
  <si>
    <t>SH01456</t>
  </si>
  <si>
    <t>Lauren Villegas (villegas.lauren@gmai...)</t>
  </si>
  <si>
    <t>SH01457</t>
  </si>
  <si>
    <t>Lauren Vinson (laurenvinson@gmail.com)</t>
  </si>
  <si>
    <t>SH01458</t>
  </si>
  <si>
    <t>Lauren Wulker (k.fitz83@gmail.com)</t>
  </si>
  <si>
    <t>SH01459</t>
  </si>
  <si>
    <t>Laurentiu Lautaru (lautarugheorghe78@...)</t>
  </si>
  <si>
    <t>SH01460</t>
  </si>
  <si>
    <t>Laurie Dohring (laurie@dohring.com)</t>
  </si>
  <si>
    <t>SH01461</t>
  </si>
  <si>
    <t>Laurie Fay (pecanstreetmkt@gmail.com)</t>
  </si>
  <si>
    <t>SH01462</t>
  </si>
  <si>
    <t>Laurie Gascoine (lgascoine@embracepre...)</t>
  </si>
  <si>
    <t>SH01463</t>
  </si>
  <si>
    <t>Laurie Genereux (laurie@atkinsfarms.com)</t>
  </si>
  <si>
    <t>SH01464</t>
  </si>
  <si>
    <t>Laurie Low (l.low@me.com)</t>
  </si>
  <si>
    <t>SH01465</t>
  </si>
  <si>
    <t>laurie moore (lauriet209@gmail.com)</t>
  </si>
  <si>
    <t>SH01466</t>
  </si>
  <si>
    <t>Laurie Rakowski (rakowski.laurie@gmai...)</t>
  </si>
  <si>
    <t>SH01467</t>
  </si>
  <si>
    <t>Laurie Thoma (ptdflowers@gmail.com)</t>
  </si>
  <si>
    <t>SH01468</t>
  </si>
  <si>
    <t>laurie topness (lauriet@johnsonlinkor...)</t>
  </si>
  <si>
    <t>SH01469</t>
  </si>
  <si>
    <t>LaVon Mauer (lvmaue26@gmail.com)</t>
  </si>
  <si>
    <t>SH01470</t>
  </si>
  <si>
    <t>SH01471</t>
  </si>
  <si>
    <t>Lawrence Berney (bgriffith@dja.com)</t>
  </si>
  <si>
    <t>SH01472</t>
  </si>
  <si>
    <t>layla vazquez (lavazquez93@aol.com)</t>
  </si>
  <si>
    <t>SH01473</t>
  </si>
  <si>
    <t>Lea Casilang (leacasilang@gmail.com)</t>
  </si>
  <si>
    <t>SH01474</t>
  </si>
  <si>
    <t>Lea Ruiz-Ramonn (fleursdelea@gmail.com)</t>
  </si>
  <si>
    <t>SH01475</t>
  </si>
  <si>
    <t>Leah Filomena (leahshell86@gmail.com)</t>
  </si>
  <si>
    <t>SH01476</t>
  </si>
  <si>
    <t>Leandra Gollob (cocolanigardenshawaii...)</t>
  </si>
  <si>
    <t>SH01477</t>
  </si>
  <si>
    <t>Leann Robertson (bullybuddysindy@yaho...)</t>
  </si>
  <si>
    <t>SH01478</t>
  </si>
  <si>
    <t>SH01479</t>
  </si>
  <si>
    <t>Leann Surz (chrisr@raimondihg.com)</t>
  </si>
  <si>
    <t>SH01480</t>
  </si>
  <si>
    <t>Lee Goodrich (9177go@bellsouth.net)</t>
  </si>
  <si>
    <t>SH01481</t>
  </si>
  <si>
    <t>LeeAnn Sholl (leeann33@gmail.com)</t>
  </si>
  <si>
    <t>SH01482</t>
  </si>
  <si>
    <t>Leigh Ann Ayres (leighanna@northsideu...)</t>
  </si>
  <si>
    <t>SH01483</t>
  </si>
  <si>
    <t>Leilani Lafaurie (lei1370@hotmail.com)</t>
  </si>
  <si>
    <t>SH01484</t>
  </si>
  <si>
    <t>LeiQuisha Ridgeway (amourlafleurchica...)</t>
  </si>
  <si>
    <t>SH01485</t>
  </si>
  <si>
    <t>Leland Atkinson (leland@sinplicitycat...)</t>
  </si>
  <si>
    <t>SH01486</t>
  </si>
  <si>
    <t>Leland Atkinson (leland@sinplicityice...)</t>
  </si>
  <si>
    <t>SH01487</t>
  </si>
  <si>
    <t>len giddix (goingcrazytoo@sbcglobal.net)</t>
  </si>
  <si>
    <t>SH01488</t>
  </si>
  <si>
    <t>Leonidas Avila (azfocused@aol.com)</t>
  </si>
  <si>
    <t>SH01489</t>
  </si>
  <si>
    <t>Leopoldina Bernal (lbernal967@gmail.com)</t>
  </si>
  <si>
    <t>SH01490</t>
  </si>
  <si>
    <t>Lesleigh Bauer (gladewaterflowersandm...)</t>
  </si>
  <si>
    <t>SH01491</t>
  </si>
  <si>
    <t>Lesley Frascogna (lesley@ilovetulip.com)</t>
  </si>
  <si>
    <t>SH01492</t>
  </si>
  <si>
    <t>Leslie Mandujano (anytimeblooms@gmail...)</t>
  </si>
  <si>
    <t>SH01493</t>
  </si>
  <si>
    <t>Leslie McCardell (hello@hopewellflowe...)</t>
  </si>
  <si>
    <t>SH01494</t>
  </si>
  <si>
    <t>Leslie Thompson (lesliet865@gmail.com)</t>
  </si>
  <si>
    <t>SH01495</t>
  </si>
  <si>
    <t>Leslie Thompson (plantsflowersdepot@g...)</t>
  </si>
  <si>
    <t>SH01496</t>
  </si>
  <si>
    <t>LeThu Pham (lethupham02@yahoo.com)</t>
  </si>
  <si>
    <t>SH01497</t>
  </si>
  <si>
    <t>SH01498</t>
  </si>
  <si>
    <t>Leticia Guzman (guzmanl74@yahoo.com)</t>
  </si>
  <si>
    <t>SH01499</t>
  </si>
  <si>
    <t>Lety M (letimtz1991@gmail.com)</t>
  </si>
  <si>
    <t>SH01500</t>
  </si>
  <si>
    <t>Lidija Zadro (hrvatskaskolacrocenter@...)</t>
  </si>
  <si>
    <t>SH01501</t>
  </si>
  <si>
    <t>Lilia Suarez (paz_carlos12@yahoo.com)</t>
  </si>
  <si>
    <t>SH01502</t>
  </si>
  <si>
    <t>liliana barone (abruzzoinv@gmail.com)</t>
  </si>
  <si>
    <t>SH01503</t>
  </si>
  <si>
    <t>Liliana Loya (loya_liliana@yahoo.com)</t>
  </si>
  <si>
    <t>SH01504</t>
  </si>
  <si>
    <t>Lillian Fralin (llillianfralin@sudden...)</t>
  </si>
  <si>
    <t>SH01505</t>
  </si>
  <si>
    <t>Lin Li (linli199010@yahoo.com)</t>
  </si>
  <si>
    <t>SH01506</t>
  </si>
  <si>
    <t>Linda Castanon (lindabianca731@gmail.com)</t>
  </si>
  <si>
    <t>SH01507</t>
  </si>
  <si>
    <t>Linda Domke (blackcanary31@att.net)</t>
  </si>
  <si>
    <t>SH01508</t>
  </si>
  <si>
    <t>Linda Dudney (dudney.linda@yahoo.com)</t>
  </si>
  <si>
    <t>SH01509</t>
  </si>
  <si>
    <t>Linda Flowers (lindaflowers77@yahoo.com)</t>
  </si>
  <si>
    <t>SH01510</t>
  </si>
  <si>
    <t>Linda Frazier (countrycreations64040@...)</t>
  </si>
  <si>
    <t>SH01511</t>
  </si>
  <si>
    <t>Linda Fulton (thefultons8@gmail.com)</t>
  </si>
  <si>
    <t>SH01512</t>
  </si>
  <si>
    <t>Linda Fuschini (lfoo@aol.com)</t>
  </si>
  <si>
    <t>SH01513</t>
  </si>
  <si>
    <t>Linda Limberg (nicenicelady@gmail.com)</t>
  </si>
  <si>
    <t>SH01514</t>
  </si>
  <si>
    <t>Linda Manuel (manubot88@gmail.com)</t>
  </si>
  <si>
    <t>SH01515</t>
  </si>
  <si>
    <t>Linda Mothershead (lmothershead4564@g...)</t>
  </si>
  <si>
    <t>SH01516</t>
  </si>
  <si>
    <t>Linda Mueller (linmue@sbcglobal.net)</t>
  </si>
  <si>
    <t>SH01517</t>
  </si>
  <si>
    <t>Linda Nolt (Jonlindamarie5683@gmail.com)</t>
  </si>
  <si>
    <t>SH01518</t>
  </si>
  <si>
    <t>Linda Powers (contactlindapowers@gmai...)</t>
  </si>
  <si>
    <t>SH01519</t>
  </si>
  <si>
    <t>Linda Renn (Ashleys35042@aol.com)</t>
  </si>
  <si>
    <t>SH01520</t>
  </si>
  <si>
    <t>Linda Robbins (anniegt@fiberpipe.net)</t>
  </si>
  <si>
    <t>SH01521</t>
  </si>
  <si>
    <t>Linda Story (jstory10@comcast.net)</t>
  </si>
  <si>
    <t>SH01522</t>
  </si>
  <si>
    <t>Lindsay Douville (rangefloral7581@gma...)</t>
  </si>
  <si>
    <t>SH01523</t>
  </si>
  <si>
    <t>SH01524</t>
  </si>
  <si>
    <t>Lindsay Napiorkowski (therusticrootde...)</t>
  </si>
  <si>
    <t>SH01525</t>
  </si>
  <si>
    <t>Lindsay Podrebarac (lblohn@gmail.com)</t>
  </si>
  <si>
    <t>SH01526</t>
  </si>
  <si>
    <t>Lindsay Walker (rflowershop@bellsouth...)</t>
  </si>
  <si>
    <t>SH01527</t>
  </si>
  <si>
    <t>Lindsey Bryant (ilove1518@bellsouth.net)</t>
  </si>
  <si>
    <t>SH01528</t>
  </si>
  <si>
    <t>Lindsey Miller (leddoggett@yahoo.com)</t>
  </si>
  <si>
    <t>SH01529</t>
  </si>
  <si>
    <t>Lindsey Raridon (lindsey@rose-joy.com)</t>
  </si>
  <si>
    <t>SH01530</t>
  </si>
  <si>
    <t>Lindsey White (lgwhite2009@yahoo.com)</t>
  </si>
  <si>
    <t>SH01531</t>
  </si>
  <si>
    <t>Linnea McCurdy (linnea1.lmc@gmail.com)</t>
  </si>
  <si>
    <t>SH01532</t>
  </si>
  <si>
    <t>lisa block (lisablock@kc.rr.com)</t>
  </si>
  <si>
    <t>SH01533</t>
  </si>
  <si>
    <t>Lisa Figueiredo (lisafig@leadingedgea...)</t>
  </si>
  <si>
    <t>SH01534</t>
  </si>
  <si>
    <t>Lisa Foster (lisa@lisafosterdesign.com)</t>
  </si>
  <si>
    <t>SH01535</t>
  </si>
  <si>
    <t>lisa foster (maddiegrace2017@yahoo.com)</t>
  </si>
  <si>
    <t>SH01536</t>
  </si>
  <si>
    <t>Lisa Fuller (lisabea@me.com)</t>
  </si>
  <si>
    <t>SH01537</t>
  </si>
  <si>
    <t>Lisa Gaines (luxefloral100@gmail.com)</t>
  </si>
  <si>
    <t>SH01538</t>
  </si>
  <si>
    <t>Lisa Giannascoli (lisa.giannascoli@br...)</t>
  </si>
  <si>
    <t>SH01539</t>
  </si>
  <si>
    <t>Lisa Graf (lisa@grafgrowers.com)</t>
  </si>
  <si>
    <t>SH01540</t>
  </si>
  <si>
    <t>SH01541</t>
  </si>
  <si>
    <t>Lisa Hullett (lisa_maples1989@yahoo.com)</t>
  </si>
  <si>
    <t>SH01542</t>
  </si>
  <si>
    <t>LISA KIRCHHOFFER (lisa@moravianfloris...)</t>
  </si>
  <si>
    <t>SH01543</t>
  </si>
  <si>
    <t>Lisa Kramer Suhy (ldalton67@aol.com)</t>
  </si>
  <si>
    <t>SH01544</t>
  </si>
  <si>
    <t>Lisa Lebel (lisalebel73@comcast.net)</t>
  </si>
  <si>
    <t>SH01545</t>
  </si>
  <si>
    <t>Lisa Mattutat (lmattutat@stanthonyshs...)</t>
  </si>
  <si>
    <t>SH01546</t>
  </si>
  <si>
    <t>Lisa Nicholson (lisam716@msn.com)</t>
  </si>
  <si>
    <t>SH01547</t>
  </si>
  <si>
    <t>Lisa Perez (lisapstelly@gmail.com)</t>
  </si>
  <si>
    <t>SH01548</t>
  </si>
  <si>
    <t>Lisa Pizzica (pizzica413@comcast.net)</t>
  </si>
  <si>
    <t>SH01549</t>
  </si>
  <si>
    <t>Lisa Prather (flossie_p@hotmail.com)</t>
  </si>
  <si>
    <t>SH01550</t>
  </si>
  <si>
    <t>Lisa Robles (cfrooneyl@aol.com)</t>
  </si>
  <si>
    <t>SH01551</t>
  </si>
  <si>
    <t>Lisa Sellers (lisasellers2010@yahoo.com)</t>
  </si>
  <si>
    <t>SH01552</t>
  </si>
  <si>
    <t>Lisa Sheldon (lksheldon@gmail.com)</t>
  </si>
  <si>
    <t>SH01553</t>
  </si>
  <si>
    <t>Lisa stansell (lisamay0211@hotmail.com)</t>
  </si>
  <si>
    <t>SH01554</t>
  </si>
  <si>
    <t>Lisa Sutterlin (acerpd@aol.com)</t>
  </si>
  <si>
    <t>SH01555</t>
  </si>
  <si>
    <t>Lisa West (lisa77west@gmail.com)</t>
  </si>
  <si>
    <t>SH01556</t>
  </si>
  <si>
    <t>LISED VAZQUEZ (lised_vazquez@hotmail.com)</t>
  </si>
  <si>
    <t>SH01557</t>
  </si>
  <si>
    <t>Lised Vazquez (sofiasflowers1683@hotm...)</t>
  </si>
  <si>
    <t>SH01558</t>
  </si>
  <si>
    <t>Liseyking Mejia (pinkluvver18@yahoo.com)</t>
  </si>
  <si>
    <t>SH01559</t>
  </si>
  <si>
    <t>Liz Bank (ebe42@aol.com)</t>
  </si>
  <si>
    <t>SH01560</t>
  </si>
  <si>
    <t>Liz Bickley (liz@lizbickleystudios.com)</t>
  </si>
  <si>
    <t>SH01561</t>
  </si>
  <si>
    <t>Liz Lorenz (lizlor3040@gmail.com)</t>
  </si>
  <si>
    <t>SH01562</t>
  </si>
  <si>
    <t>Liz Stewart (liz@lizflowers.com)</t>
  </si>
  <si>
    <t>SH01563</t>
  </si>
  <si>
    <t>Liz Wilkins (liz.wilkins.1982@gmail.com)</t>
  </si>
  <si>
    <t>SH01564</t>
  </si>
  <si>
    <t>Liz Wortham (rusticromance12@gmail.com)</t>
  </si>
  <si>
    <t>SH01565</t>
  </si>
  <si>
    <t>Liza Franquinha (liza@crest.nyc)</t>
  </si>
  <si>
    <t>SH01566</t>
  </si>
  <si>
    <t>Llinda Whitacre (lillysavage@verizon.net)</t>
  </si>
  <si>
    <t>SH01567</t>
  </si>
  <si>
    <t>Lockette Blu (lockette.blu@gmail.com)</t>
  </si>
  <si>
    <t>SH01568</t>
  </si>
  <si>
    <t>Logan Thompson (lthompson@cfcc.edu)</t>
  </si>
  <si>
    <t>SH01569</t>
  </si>
  <si>
    <t>Loida Agustin (nicolesbackyardblooms@...)</t>
  </si>
  <si>
    <t>SH01570</t>
  </si>
  <si>
    <t>Lois Ballard (ballarddesigns@grandeco...)</t>
  </si>
  <si>
    <t>SH01571</t>
  </si>
  <si>
    <t>Lona Meshula (lmeshula@thelakeclubohi...)</t>
  </si>
  <si>
    <t>SH01572</t>
  </si>
  <si>
    <t>Longview Flower Shop Kim Bryan (jbrya...)</t>
  </si>
  <si>
    <t>SH01573</t>
  </si>
  <si>
    <t>lonia Patten (lonia@dreamsandpetals.com)</t>
  </si>
  <si>
    <t>SH01574</t>
  </si>
  <si>
    <t>Lonnie Boozer (tifcofl1@bellsouth.net)</t>
  </si>
  <si>
    <t>SH01575</t>
  </si>
  <si>
    <t>Lorena Eni (lorenaeni@gmail.com)</t>
  </si>
  <si>
    <t>SH01576</t>
  </si>
  <si>
    <t>Lori Burleson (lbburleson@hotmail.com)</t>
  </si>
  <si>
    <t>SH01577</t>
  </si>
  <si>
    <t>Lori DeNicola (hello@wearepetaloso.com)</t>
  </si>
  <si>
    <t>SH01578</t>
  </si>
  <si>
    <t>Lori Dibble (sassymamasweets@gmail.com)</t>
  </si>
  <si>
    <t>SH01579</t>
  </si>
  <si>
    <t>LORI ELKOURI (ramon1@fidnet.com)</t>
  </si>
  <si>
    <t>SH01580</t>
  </si>
  <si>
    <t>Lori Kay (sbayouth@comcast.net)</t>
  </si>
  <si>
    <t>SH01581</t>
  </si>
  <si>
    <t>Lori Kay (sueb@upc.org)</t>
  </si>
  <si>
    <t>SH01582</t>
  </si>
  <si>
    <t>lori Knight (clipyourstring@gmail.com)</t>
  </si>
  <si>
    <t>SH01583</t>
  </si>
  <si>
    <t>Lori Lee (beautyinflowers79@gmail.com)</t>
  </si>
  <si>
    <t>SH01584</t>
  </si>
  <si>
    <t>Lori Lockwood (lorilockwood7@gmail.com)</t>
  </si>
  <si>
    <t>SH01585</t>
  </si>
  <si>
    <t>Lori McIlroy (lmcilroy@dwellingplacea...)</t>
  </si>
  <si>
    <t>SH01586</t>
  </si>
  <si>
    <t>Lori Neely (lorineely@cultivatedesign...)</t>
  </si>
  <si>
    <t>SH01587</t>
  </si>
  <si>
    <t>lori struck (lori@highlandflowers.com)</t>
  </si>
  <si>
    <t>SH01588</t>
  </si>
  <si>
    <t>Lori Trent (shop@thetrentshop.com)</t>
  </si>
  <si>
    <t>SH01589</t>
  </si>
  <si>
    <t>Lori Voisinet (loriavoisinet@yahoo.com)</t>
  </si>
  <si>
    <t>SH01590</t>
  </si>
  <si>
    <t>Lori Wheat (lori@lafayetteflorist.com)</t>
  </si>
  <si>
    <t>SH01591</t>
  </si>
  <si>
    <t>Lorie Faulkner (loriefaulkner@verizon...)</t>
  </si>
  <si>
    <t>SH01592</t>
  </si>
  <si>
    <t>Lorie Vanwinkle (blossomkhardt24@gmai...)</t>
  </si>
  <si>
    <t>SH01593</t>
  </si>
  <si>
    <t>Lorina N. Cajias (lorinasediblegarden...)</t>
  </si>
  <si>
    <t>SH01594</t>
  </si>
  <si>
    <t>Lorraine Simpkins (lsimpki1@nycap.rr.com)</t>
  </si>
  <si>
    <t>SH01595</t>
  </si>
  <si>
    <t>Lory Patron (joatron@iptimum.net)</t>
  </si>
  <si>
    <t>SH01596</t>
  </si>
  <si>
    <t>Louis Szabo (szabos1704@hotmail.com)</t>
  </si>
  <si>
    <t>SH01597</t>
  </si>
  <si>
    <t>Louise Kamp (lkamp@nc.rr.com)</t>
  </si>
  <si>
    <t>SH01598</t>
  </si>
  <si>
    <t>Lourdes Alvarez (marianuno45@yahoo.com)</t>
  </si>
  <si>
    <t>SH01599</t>
  </si>
  <si>
    <t>lucia flanagan (lucia@theeventhaus.com)</t>
  </si>
  <si>
    <t>SH01600</t>
  </si>
  <si>
    <t>lucretia taulea (ltburkhart@gmail.com)</t>
  </si>
  <si>
    <t>SH01601</t>
  </si>
  <si>
    <t>Lucy George (lekunzelucy@yahoo.com)</t>
  </si>
  <si>
    <t>SH01602</t>
  </si>
  <si>
    <t>Lucy Phipps (lucy@mayflowersofredbank...)</t>
  </si>
  <si>
    <t>SH01603</t>
  </si>
  <si>
    <t>Luis Gomez (vaneaguilar30@icloud.com)</t>
  </si>
  <si>
    <t>SH01604</t>
  </si>
  <si>
    <t>Luis J. Rodriguez-Colon (luisrodz@hot...)</t>
  </si>
  <si>
    <t>SH01605</t>
  </si>
  <si>
    <t>Luis Martinez (andreasflowersorlando@...)</t>
  </si>
  <si>
    <t>SH01606</t>
  </si>
  <si>
    <t>Lundy Moore (lundymoore@basketofflowe...)</t>
  </si>
  <si>
    <t>SH01607</t>
  </si>
  <si>
    <t>Luzmaria Rivera H (luzclmc2021@gmail.com)</t>
  </si>
  <si>
    <t>SH01608</t>
  </si>
  <si>
    <t>Lynae Harrison (freshfloralconcepts@g...)</t>
  </si>
  <si>
    <t>SH01609</t>
  </si>
  <si>
    <t>Lynda Allen (allenhousefarm@gmail.com)</t>
  </si>
  <si>
    <t>SH01610</t>
  </si>
  <si>
    <t>Lynda Murff (lyndamurff@bellsouth.net)</t>
  </si>
  <si>
    <t>SH01611</t>
  </si>
  <si>
    <t>Lynn Artz (lynn_artz@hotmail.com)</t>
  </si>
  <si>
    <t>SH01612</t>
  </si>
  <si>
    <t>Lynn McClain (mcclaingl@embarqmail.com)</t>
  </si>
  <si>
    <t>SH01613</t>
  </si>
  <si>
    <t>Lynn Reese (lynn@reese.com)</t>
  </si>
  <si>
    <t>SH01614</t>
  </si>
  <si>
    <t>Lynne Porter (porterdlporter@aol.com)</t>
  </si>
  <si>
    <t>SH01615</t>
  </si>
  <si>
    <t>M Richardson (info@fleursdave.com)</t>
  </si>
  <si>
    <t>SH01616</t>
  </si>
  <si>
    <t>M T (mt2.modern@gmail.com)</t>
  </si>
  <si>
    <t>SH01617</t>
  </si>
  <si>
    <t>MacKenzey Melk (mackenzey.melk@uconn.edu)</t>
  </si>
  <si>
    <t>SH01618</t>
  </si>
  <si>
    <t>Madele Miller (madelem@gmail.com)</t>
  </si>
  <si>
    <t>SH01619</t>
  </si>
  <si>
    <t>Madeline Wachtel (madeline@bloomcourt...)</t>
  </si>
  <si>
    <t>SH01620</t>
  </si>
  <si>
    <t>Madison Brigati (rbrigman@hotmail.com)</t>
  </si>
  <si>
    <t>SH01621</t>
  </si>
  <si>
    <t>Madison Kemler (madisonkemler12@gmail...)</t>
  </si>
  <si>
    <t>SH01622</t>
  </si>
  <si>
    <t>Madison McCrosky (maddytmccrosky@gmai...)</t>
  </si>
  <si>
    <t>SH01623</t>
  </si>
  <si>
    <t>Madison Standrich (sarah.labrecque@ok...)</t>
  </si>
  <si>
    <t>SH01624</t>
  </si>
  <si>
    <t>Madonna Schmid (madonnaschmid@sbcglob...)</t>
  </si>
  <si>
    <t>SH01625</t>
  </si>
  <si>
    <t>Mae Nakahata (mnakahata@gmail.com)</t>
  </si>
  <si>
    <t>SH01626</t>
  </si>
  <si>
    <t>Magda Vignali (info@flowerno5.com)</t>
  </si>
  <si>
    <t>SH01627</t>
  </si>
  <si>
    <t>SH01628</t>
  </si>
  <si>
    <t>Maggie Sullivan (maggie@sullivansland...)</t>
  </si>
  <si>
    <t>SH01629</t>
  </si>
  <si>
    <t>Maggie Uetz (maggieuetz@gmail.com)</t>
  </si>
  <si>
    <t>SH01630</t>
  </si>
  <si>
    <t>Maggie Winterfeldt Clark (maggiewclar...)</t>
  </si>
  <si>
    <t>SH01631</t>
  </si>
  <si>
    <t>Maggie Zamora (maggiezamora78@yahoo.com)</t>
  </si>
  <si>
    <t>SH01632</t>
  </si>
  <si>
    <t>Mahlon Peachey (riversidegreenhouse@v...)</t>
  </si>
  <si>
    <t>SH01633</t>
  </si>
  <si>
    <t>Maisies Thao (prettychicparty@gmail.com)</t>
  </si>
  <si>
    <t>SH01634</t>
  </si>
  <si>
    <t>Makayla Grayson (makaylamariee3@gmail...)</t>
  </si>
  <si>
    <t>SH01635</t>
  </si>
  <si>
    <t>Maleen Dickinson (maleendickinson@yah...)</t>
  </si>
  <si>
    <t>SH01636</t>
  </si>
  <si>
    <t>Mallory Adams (adamsm@hpumc.org)</t>
  </si>
  <si>
    <t>SH01637</t>
  </si>
  <si>
    <t>Mallory Chow (mallorychow@gmail.com)</t>
  </si>
  <si>
    <t>SH01638</t>
  </si>
  <si>
    <t>Mallory Henry (info@lavishfleur.com)</t>
  </si>
  <si>
    <t>SH01639</t>
  </si>
  <si>
    <t>Mallory Henry (mallory621@aol.com)</t>
  </si>
  <si>
    <t>SH01640</t>
  </si>
  <si>
    <t>Mallory Henry (malloryhenry.email@yah...)</t>
  </si>
  <si>
    <t>SH01641</t>
  </si>
  <si>
    <t>Mandi Dykes (mandi.dykes@yahoo.com)</t>
  </si>
  <si>
    <t>SH01642</t>
  </si>
  <si>
    <t>Manfredi vasquez (gladissanchez350@gm...)</t>
  </si>
  <si>
    <t>SH01643</t>
  </si>
  <si>
    <t>Marc Dudley (boynton5@outlook.com)</t>
  </si>
  <si>
    <t>SH01644</t>
  </si>
  <si>
    <t>Marcela Avram (marcela70m@yahoo.com)</t>
  </si>
  <si>
    <t>SH01645</t>
  </si>
  <si>
    <t>Marcelino Varela (vdvarela@hotmail.com)</t>
  </si>
  <si>
    <t>SH01646</t>
  </si>
  <si>
    <t>Marcia Hicks (mhicks4075@gmail.com)</t>
  </si>
  <si>
    <t>SH01647</t>
  </si>
  <si>
    <t>Marcia Lukon (lmlaoshi@gmail.com)</t>
  </si>
  <si>
    <t>SH01648</t>
  </si>
  <si>
    <t>Marco Castaneda (email.castaneda@gmai...)</t>
  </si>
  <si>
    <t>SH01649</t>
  </si>
  <si>
    <t>Mardi White (mardicwhite@yahoo.com)</t>
  </si>
  <si>
    <t>SH01650</t>
  </si>
  <si>
    <t>Marengo Co Historical (marengohistory...)</t>
  </si>
  <si>
    <t>SH01651</t>
  </si>
  <si>
    <t>Margaret Ashworth (foliagenashville@g...)</t>
  </si>
  <si>
    <t>SH01652</t>
  </si>
  <si>
    <t>Margaret Ashworth (megashworth@gmail.com)</t>
  </si>
  <si>
    <t>SH01653</t>
  </si>
  <si>
    <t>margaret carpenter (mccarpenter@gmail...)</t>
  </si>
  <si>
    <t>SH01654</t>
  </si>
  <si>
    <t>Margaret Cuff (margaret@ladypruner.com)</t>
  </si>
  <si>
    <t>SH01655</t>
  </si>
  <si>
    <t>Margaret Hyatt (margaret.hyatt@rlcary...)</t>
  </si>
  <si>
    <t>SH01656</t>
  </si>
  <si>
    <t>Margarita Argueta (maggieargueta30@gm...)</t>
  </si>
  <si>
    <t>SH01657</t>
  </si>
  <si>
    <t>Margie Dumadag (margie@petalburst.com)</t>
  </si>
  <si>
    <t>SH01658</t>
  </si>
  <si>
    <t>Margie Prinster (margerry1@gmail.com)</t>
  </si>
  <si>
    <t>SH01659</t>
  </si>
  <si>
    <t>MARGOT MOELLENBERG (margotmoellenberg...)</t>
  </si>
  <si>
    <t>SH01660</t>
  </si>
  <si>
    <t>Mari Rosell (mariroselleo@gmail.com)</t>
  </si>
  <si>
    <t>SH01661</t>
  </si>
  <si>
    <t>Mari Rusch (mari.rusch1@gmail.com)</t>
  </si>
  <si>
    <t>SH01662</t>
  </si>
  <si>
    <t>María  James (zumbi1965@gmail.com)</t>
  </si>
  <si>
    <t>SH01663</t>
  </si>
  <si>
    <t>Maria A Moreno (mariaamorenomm@gmail.com)</t>
  </si>
  <si>
    <t>SH01664</t>
  </si>
  <si>
    <t>Maria Back (maria.back@gmail.com)</t>
  </si>
  <si>
    <t>SH01665</t>
  </si>
  <si>
    <t>Maria Blum-Sullivan (manager@florberk...)</t>
  </si>
  <si>
    <t>SH01666</t>
  </si>
  <si>
    <t>Maria Camacena (mariaortizcamacena@ya...)</t>
  </si>
  <si>
    <t>SH01667</t>
  </si>
  <si>
    <t>Maria Canales (oldblufftonflowersandg...)</t>
  </si>
  <si>
    <t>SH01668</t>
  </si>
  <si>
    <t>Maria Del Carmen  Avila (carmenavila2...)</t>
  </si>
  <si>
    <t>SH01669</t>
  </si>
  <si>
    <t>Maria Del Refugio Garcia (mdrgarc017@...)</t>
  </si>
  <si>
    <t>SH01670</t>
  </si>
  <si>
    <t>Maria Dias (mamamardi6@aol.com)</t>
  </si>
  <si>
    <t>SH01671</t>
  </si>
  <si>
    <t>Maria Espluga (floraldesignmg@gmail.com)</t>
  </si>
  <si>
    <t>SH01672</t>
  </si>
  <si>
    <t>maria Fuentes (azricff@hotmail.com)</t>
  </si>
  <si>
    <t>SH01673</t>
  </si>
  <si>
    <t>Maria Gotera (memoraremaria@att.net)</t>
  </si>
  <si>
    <t>SH01674</t>
  </si>
  <si>
    <t>Maria Gutierrez (compras.avalon.fbm@g...)</t>
  </si>
  <si>
    <t>SH01675</t>
  </si>
  <si>
    <t>maria guzman (oliveousa@gmail.com)</t>
  </si>
  <si>
    <t>SH01676</t>
  </si>
  <si>
    <t>Maria Kamille Barba (thekubode@gmail.com)</t>
  </si>
  <si>
    <t>SH01677</t>
  </si>
  <si>
    <t>Maria Leyva (mariaavyel0@gmail.com)</t>
  </si>
  <si>
    <t>SH01678</t>
  </si>
  <si>
    <t>Maria Marques (mariamarques267@icloud...)</t>
  </si>
  <si>
    <t>SH01679</t>
  </si>
  <si>
    <t>maria martinez (martinezmaria989@gmai...)</t>
  </si>
  <si>
    <t>SH01680</t>
  </si>
  <si>
    <t>Maria Marty (maria@metgal.art)</t>
  </si>
  <si>
    <t>SH01681</t>
  </si>
  <si>
    <t>maria Mendoza (giftingflowers@outlook...)</t>
  </si>
  <si>
    <t>SH01682</t>
  </si>
  <si>
    <t>maria morocho (portjeffersonflorist@g...)</t>
  </si>
  <si>
    <t>SH01683</t>
  </si>
  <si>
    <t>Maria Murphy (maria@socialbloomsandev...)</t>
  </si>
  <si>
    <t>SH01684</t>
  </si>
  <si>
    <t>Maria Murphy (mmmurphyeleven@gmail.com)</t>
  </si>
  <si>
    <t>SH01685</t>
  </si>
  <si>
    <t>Maria Ravia (tropicaldrinks3@yahoo.com)</t>
  </si>
  <si>
    <t>SH01686</t>
  </si>
  <si>
    <t>Maria Reyes (jeniireyezz@gmail.com)</t>
  </si>
  <si>
    <t>SH01687</t>
  </si>
  <si>
    <t>Maria Romero (alexescageda@gmail.com)</t>
  </si>
  <si>
    <t>SH01688</t>
  </si>
  <si>
    <t>Maria Zavala (malenazavala69@gmail.com)</t>
  </si>
  <si>
    <t>SH01689</t>
  </si>
  <si>
    <t>Marialex Mendoza (marialexv2000@gmail...)</t>
  </si>
  <si>
    <t>SH01690</t>
  </si>
  <si>
    <t>Marian Spears (mrnsprs@verizon.net)</t>
  </si>
  <si>
    <t>SH01691</t>
  </si>
  <si>
    <t>SH01692</t>
  </si>
  <si>
    <t>Maribel Prado (famprado@sbcglobal.net)</t>
  </si>
  <si>
    <t>SH01693</t>
  </si>
  <si>
    <t>Maribel Rodriguez (lulubell_flower@ya...)</t>
  </si>
  <si>
    <t>SH01694</t>
  </si>
  <si>
    <t>Marie Compare (mtc6273@yahoo.com)</t>
  </si>
  <si>
    <t>SH01695</t>
  </si>
  <si>
    <t>Marie Hale (run4hale@yahoo.com)</t>
  </si>
  <si>
    <t>SH01696</t>
  </si>
  <si>
    <t>Marie Maccarone (mvmacc@optonline.net)</t>
  </si>
  <si>
    <t>SH01697</t>
  </si>
  <si>
    <t>Marie Monte (marie@chnursery.com)</t>
  </si>
  <si>
    <t>SH01698</t>
  </si>
  <si>
    <t>Marie Rios (mrios@hermeslandscaping.com)</t>
  </si>
  <si>
    <t>SH01699</t>
  </si>
  <si>
    <t>Marie Torre (mtorre55@verizon.net)</t>
  </si>
  <si>
    <t>SH01700</t>
  </si>
  <si>
    <t>Mariia Hutsko (maria110799hutdko@gmai...)</t>
  </si>
  <si>
    <t>SH01701</t>
  </si>
  <si>
    <t>Mariia Spodarik (perepravda@mail.ru)</t>
  </si>
  <si>
    <t>SH01702</t>
  </si>
  <si>
    <t>Marijke Postema (officemanager@flower...)</t>
  </si>
  <si>
    <t>SH01703</t>
  </si>
  <si>
    <t>Marika Zakariashvili (marikazakariash...)</t>
  </si>
  <si>
    <t>SH01704</t>
  </si>
  <si>
    <t>Marina Plotnic (zemetskaya.elly@gmail...)</t>
  </si>
  <si>
    <t>SH01705</t>
  </si>
  <si>
    <t>Marisa Barragan (compassreo@gmail.com)</t>
  </si>
  <si>
    <t>SH01706</t>
  </si>
  <si>
    <t>Marisa Zer (mrm30cu@yahoo.com)</t>
  </si>
  <si>
    <t>SH01707</t>
  </si>
  <si>
    <t>marisabel iancu (btzb606@gmail.com)</t>
  </si>
  <si>
    <t>SH01708</t>
  </si>
  <si>
    <t>Marissa Camp (camp.marissa@gmail.com)</t>
  </si>
  <si>
    <t>SH01709</t>
  </si>
  <si>
    <t>Marivic Tuosto (pats_farms@yahoo.com)</t>
  </si>
  <si>
    <t>SH01710</t>
  </si>
  <si>
    <t>Marjorie  Gonzalez (tajasalca@gmail.com)</t>
  </si>
  <si>
    <t>SH01711</t>
  </si>
  <si>
    <t>Mark &amp; Darcy Van Beek (vbeeker4@gmail...)</t>
  </si>
  <si>
    <t>SH01712</t>
  </si>
  <si>
    <t>Mark Campbell (cutscreativeflorist@cu...)</t>
  </si>
  <si>
    <t>SH01713</t>
  </si>
  <si>
    <t>Mark Davis (pawtuckawaynursery@comcas...)</t>
  </si>
  <si>
    <t>SH01714</t>
  </si>
  <si>
    <t>Mark Ellingson (mark.ellingson@sports...)</t>
  </si>
  <si>
    <t>SH01715</t>
  </si>
  <si>
    <t>Mark Jerrett (jcrippen@pbcgov.org)</t>
  </si>
  <si>
    <t>SH01716</t>
  </si>
  <si>
    <t>Mark Karaptian (andrew@gjelinagroup.com)</t>
  </si>
  <si>
    <t>SH01717</t>
  </si>
  <si>
    <t>Mark Merino (merinomark@icloud.com)</t>
  </si>
  <si>
    <t>SH01718</t>
  </si>
  <si>
    <t>Mark Mertes (mmorrisey@hotmail.com)</t>
  </si>
  <si>
    <t>SH01719</t>
  </si>
  <si>
    <t>SH01720</t>
  </si>
  <si>
    <t>Markus Markus (markus.wullimann@coope...)</t>
  </si>
  <si>
    <t>SH01721</t>
  </si>
  <si>
    <t>Marlene Obarrio (marleneobarrio@yahoo...)</t>
  </si>
  <si>
    <t>SH01722</t>
  </si>
  <si>
    <t>Marta Kushyk (martusi.kushik@gmail.com)</t>
  </si>
  <si>
    <t>SH01723</t>
  </si>
  <si>
    <t>Martha Bradford (marthafbradford@gmai...)</t>
  </si>
  <si>
    <t>SH01724</t>
  </si>
  <si>
    <t>Martha DeFlorio (martha@madefloral.com)</t>
  </si>
  <si>
    <t>SH01725</t>
  </si>
  <si>
    <t>Martha Franco (esmeralda.francoj101@g...)</t>
  </si>
  <si>
    <t>SH01726</t>
  </si>
  <si>
    <t>Martha garcia (gabyarredondo25@icloud...)</t>
  </si>
  <si>
    <t>SH01727</t>
  </si>
  <si>
    <t>Martha Lucas (tabbylucas1989@gmail.com)</t>
  </si>
  <si>
    <t>SH01728</t>
  </si>
  <si>
    <t>Marty Hoffman (mhoffman@gslcs.org)</t>
  </si>
  <si>
    <t>SH01729</t>
  </si>
  <si>
    <t>Mary Alice Yoder (maryaliceyoder@outl...)</t>
  </si>
  <si>
    <t>SH01730</t>
  </si>
  <si>
    <t>Mary Baldridge (maryridge9@msn.com)</t>
  </si>
  <si>
    <t>SH01731</t>
  </si>
  <si>
    <t>Mary Burns (mary@thomasburnsplasterin...)</t>
  </si>
  <si>
    <t>SH01732</t>
  </si>
  <si>
    <t>Mary Campbell (jenlie@mac.com)</t>
  </si>
  <si>
    <t>SH01733</t>
  </si>
  <si>
    <t>Mary Canchola (mcg2wg@gmail.com)</t>
  </si>
  <si>
    <t>SH01734</t>
  </si>
  <si>
    <t>Mary Cotterman (mary@waysidegardencen...)</t>
  </si>
  <si>
    <t>SH01735</t>
  </si>
  <si>
    <t>SH01736</t>
  </si>
  <si>
    <t>Mary Ellen Wadsworth (mew4u@nycap.rr.com)</t>
  </si>
  <si>
    <t>SH01737</t>
  </si>
  <si>
    <t>Mary Harper (marywufs@gmail.com)</t>
  </si>
  <si>
    <t>SH01738</t>
  </si>
  <si>
    <t>Mary Harrell (alittlesomething.floral...)</t>
  </si>
  <si>
    <t>SH01739</t>
  </si>
  <si>
    <t>Mary Harrell (jmhrl@aol.com)</t>
  </si>
  <si>
    <t>SH01740</t>
  </si>
  <si>
    <t>Mary Hoffman (info@sweetpeawaunakee.com)</t>
  </si>
  <si>
    <t>SH01741</t>
  </si>
  <si>
    <t>Mary Hughes (schneidersflowersandcask...)</t>
  </si>
  <si>
    <t>SH01742</t>
  </si>
  <si>
    <t>Mary Lucero (malucero64@gmail.com)</t>
  </si>
  <si>
    <t>SH01743</t>
  </si>
  <si>
    <t>Mary McKenzie (marym@oglesbytc.com)</t>
  </si>
  <si>
    <t>SH01744</t>
  </si>
  <si>
    <t>Mary Nell Coblentz (marynellcoblentz@...)</t>
  </si>
  <si>
    <t>SH01745</t>
  </si>
  <si>
    <t>Mary Ocano (Mary.j.ocano@gmail.com)</t>
  </si>
  <si>
    <t>SH01746</t>
  </si>
  <si>
    <t>Mary Qualls (marysflowers1@att.net)</t>
  </si>
  <si>
    <t>SH01747</t>
  </si>
  <si>
    <t>Mary Sanchez (marypadron@hotmail.com)</t>
  </si>
  <si>
    <t>SH01748</t>
  </si>
  <si>
    <t>Mary Snead (mrsnd@optonline.net)</t>
  </si>
  <si>
    <t>SH01749</t>
  </si>
  <si>
    <t>Mary Weber (spruitt@cheekwood.org)</t>
  </si>
  <si>
    <t>SH01750</t>
  </si>
  <si>
    <t>Mary Yoder (nicole.guimond@androscogg...)</t>
  </si>
  <si>
    <t>SH01751</t>
  </si>
  <si>
    <t>Maryann Calvi (calvimry1@outlook.com)</t>
  </si>
  <si>
    <t>SH01752</t>
  </si>
  <si>
    <t>Maryann Hoar (mkh462@comcast.net)</t>
  </si>
  <si>
    <t>SH01753</t>
  </si>
  <si>
    <t>MaryAnne Combelic (MACOMBELIC@GMAIL.COM)</t>
  </si>
  <si>
    <t>SH01754</t>
  </si>
  <si>
    <t>MaryKay April (tesoromk@gmail.com)</t>
  </si>
  <si>
    <t>SH01755</t>
  </si>
  <si>
    <t>Maryorie Hernandez (maryorie10182014@...)</t>
  </si>
  <si>
    <t>SH01756</t>
  </si>
  <si>
    <t>Marytrine De Castro (mdecastro.rn@gma...)</t>
  </si>
  <si>
    <t>SH01757</t>
  </si>
  <si>
    <t>Matiana Mitchell (matianamitchell@gma...)</t>
  </si>
  <si>
    <t>SH01758</t>
  </si>
  <si>
    <t>Matias Peña (matiaspena76@gmail.com)</t>
  </si>
  <si>
    <t>SH01759</t>
  </si>
  <si>
    <t>Matt Anderson (manderson@arvadacovena...)</t>
  </si>
  <si>
    <t>SH01760</t>
  </si>
  <si>
    <t>Matt Fink (duelgrowers@gmail.com)</t>
  </si>
  <si>
    <t>SH01761</t>
  </si>
  <si>
    <t>Matthew Moore (hello@leafhomeandbloom...)</t>
  </si>
  <si>
    <t>SH01762</t>
  </si>
  <si>
    <t>Matthew Strickland (matthewcstricklan...)</t>
  </si>
  <si>
    <t>SH01763</t>
  </si>
  <si>
    <t>Matty Pura (mpura@longwoodgardens.org)</t>
  </si>
  <si>
    <t>SH01764</t>
  </si>
  <si>
    <t>Maureen Benincasa (mbenincasa4@gmail.com)</t>
  </si>
  <si>
    <t>SH01765</t>
  </si>
  <si>
    <t>Maureen Fields (fields.maur@gmail.com)</t>
  </si>
  <si>
    <t>SH01766</t>
  </si>
  <si>
    <t>Maureen McCloskey (hello@rosfloral.com)</t>
  </si>
  <si>
    <t>SH01767</t>
  </si>
  <si>
    <t>Mauricia Diaz (dreav.98@icloud.com)</t>
  </si>
  <si>
    <t>SH01768</t>
  </si>
  <si>
    <t>Max D Jacks (dffjck@aol.com)</t>
  </si>
  <si>
    <t>SH01769</t>
  </si>
  <si>
    <t>Maya White (parkerriverarrangements@g...)</t>
  </si>
  <si>
    <t>SH01770</t>
  </si>
  <si>
    <t>SH01771</t>
  </si>
  <si>
    <t>Mayelin Alfonso (mayelin.alfonsomedra...)</t>
  </si>
  <si>
    <t>SH01772</t>
  </si>
  <si>
    <t>Mayra rito (mayra93rito@gmail.com)</t>
  </si>
  <si>
    <t>SH01773</t>
  </si>
  <si>
    <t>McKenzie Sims (schultzfloral@comcast.net)</t>
  </si>
  <si>
    <t>SH01774</t>
  </si>
  <si>
    <t>Meagan Cooley (hello@meadowhouseflora...)</t>
  </si>
  <si>
    <t>SH01775</t>
  </si>
  <si>
    <t>Meagan Cooley (meaganlcooley@gmail.com)</t>
  </si>
  <si>
    <t>SH01776</t>
  </si>
  <si>
    <t>Megan Ewell (snick1215@gmail.com)</t>
  </si>
  <si>
    <t>SH01777</t>
  </si>
  <si>
    <t>Megan Gilmore (meganpalmer22@yahoo.com)</t>
  </si>
  <si>
    <t>SH01778</t>
  </si>
  <si>
    <t>Megan Maloney (meganjanemaloney@gmail...)</t>
  </si>
  <si>
    <t>SH01779</t>
  </si>
  <si>
    <t>Megan Mitchell (team@sunrisefloral.com)</t>
  </si>
  <si>
    <t>SH01780</t>
  </si>
  <si>
    <t>Megan Rickman (meganrickman16@yahoo.com)</t>
  </si>
  <si>
    <t>SH01781</t>
  </si>
  <si>
    <t>Megan Rowe (meganb.rowe@gmail.com)</t>
  </si>
  <si>
    <t>SH01782</t>
  </si>
  <si>
    <t>Megan Stephens (megan@icycc.com)</t>
  </si>
  <si>
    <t>SH01783</t>
  </si>
  <si>
    <t>Megan Towery (megantowery11@gmail.com)</t>
  </si>
  <si>
    <t>SH01784</t>
  </si>
  <si>
    <t>Megan Wright (megan@wildirisflorals.com)</t>
  </si>
  <si>
    <t>SH01785</t>
  </si>
  <si>
    <t>Meghan McGinnis (meg@m18pr.com)</t>
  </si>
  <si>
    <t>SH01786</t>
  </si>
  <si>
    <t>Mel Lahti (mel@flowerboysindy.com)</t>
  </si>
  <si>
    <t>SH01787</t>
  </si>
  <si>
    <t>Mel Robbins (robbins61@cox.net)</t>
  </si>
  <si>
    <t>SH01788</t>
  </si>
  <si>
    <t>Melanie Bradford (mjc7474@gmail.com)</t>
  </si>
  <si>
    <t>SH01789</t>
  </si>
  <si>
    <t>Melinda Workman (melinda@gillespiesfl...)</t>
  </si>
  <si>
    <t>SH01790</t>
  </si>
  <si>
    <t>Melissa Black (melissa@okelleyheating...)</t>
  </si>
  <si>
    <t>SH01791</t>
  </si>
  <si>
    <t>Melissa Cole (info@twelve17designs.com)</t>
  </si>
  <si>
    <t>SH01792</t>
  </si>
  <si>
    <t>Melissa D'Archangelo (mdarchangelo@gm...)</t>
  </si>
  <si>
    <t>SH01793</t>
  </si>
  <si>
    <t>MELISSA DEGEN (lissa.degen@gmail.com)</t>
  </si>
  <si>
    <t>SH01794</t>
  </si>
  <si>
    <t>Melissa Gahan (gahan.melissa@rocketma...)</t>
  </si>
  <si>
    <t>SH01795</t>
  </si>
  <si>
    <t>Melissa Gasker (melissa.gasker@ericks...)</t>
  </si>
  <si>
    <t>SH01796</t>
  </si>
  <si>
    <t>melissa herzog (rmherzog5@gmail.com)</t>
  </si>
  <si>
    <t>SH01797</t>
  </si>
  <si>
    <t>Melissa Holloway (melissa1979marie@gm...)</t>
  </si>
  <si>
    <t>SH01798</t>
  </si>
  <si>
    <t>Melissa Krussell (flowersbymelissa85@...)</t>
  </si>
  <si>
    <t>SH01799</t>
  </si>
  <si>
    <t>Melissa Mann (mwmann204@cfcc.edu)</t>
  </si>
  <si>
    <t>SH01800</t>
  </si>
  <si>
    <t>Melissa Moss (mm29mrm@yahoo.com)</t>
  </si>
  <si>
    <t>SH01801</t>
  </si>
  <si>
    <t>Melissa Seykora (avillageofflowers@gm...)</t>
  </si>
  <si>
    <t>SH01802</t>
  </si>
  <si>
    <t>Melissa Steiger (melissa.steiger@ambi...)</t>
  </si>
  <si>
    <t>SH01803</t>
  </si>
  <si>
    <t>Melissa Waites (southernobsessedflora...)</t>
  </si>
  <si>
    <t>SH01804</t>
  </si>
  <si>
    <t>Melissa White (melissa.white@carealli...)</t>
  </si>
  <si>
    <t>SH01805</t>
  </si>
  <si>
    <t>Melody Jones (jonesmel@bellsouth.net)</t>
  </si>
  <si>
    <t>SH01806</t>
  </si>
  <si>
    <t>Melody Pryor (patsplants2mp@gmail.com)</t>
  </si>
  <si>
    <t>SH01807</t>
  </si>
  <si>
    <t>MELODY SNYDER (melodysflowers0@gmail.com)</t>
  </si>
  <si>
    <t>SH01808</t>
  </si>
  <si>
    <t>Meredith Shepard (mashepard1808@yahoo...)</t>
  </si>
  <si>
    <t>SH01809</t>
  </si>
  <si>
    <t>Meriah Williams (catherinecreekgarden...)</t>
  </si>
  <si>
    <t>SH01810</t>
  </si>
  <si>
    <t>Meriah Williams (williams.meriah@yaho...)</t>
  </si>
  <si>
    <t>SH01811</t>
  </si>
  <si>
    <t>Meripa Elisara (poloaimeripa56@gmail.com)</t>
  </si>
  <si>
    <t>SH01812</t>
  </si>
  <si>
    <t>Michael Fowler (baylessgreenhousellc@...)</t>
  </si>
  <si>
    <t>SH01813</t>
  </si>
  <si>
    <t>Michael Harden (rona@myparadiselandsc...)</t>
  </si>
  <si>
    <t>SH01814</t>
  </si>
  <si>
    <t>Michael Holden (mike@ngpest.com)</t>
  </si>
  <si>
    <t>SH01815</t>
  </si>
  <si>
    <t>Michael J Farrow (mfarrow@mercadantef...)</t>
  </si>
  <si>
    <t>SH01816</t>
  </si>
  <si>
    <t>Michael L Butler (mike_l_butler@live.com)</t>
  </si>
  <si>
    <t>SH01817</t>
  </si>
  <si>
    <t>Michael Mauriello (mike@mauriello.org)</t>
  </si>
  <si>
    <t>SH01818</t>
  </si>
  <si>
    <t>Michael murphy (michaelp40@aol.com)</t>
  </si>
  <si>
    <t>SH01819</t>
  </si>
  <si>
    <t>Michael Rose (mwflowershop@yahoo.com)</t>
  </si>
  <si>
    <t>SH01820</t>
  </si>
  <si>
    <t>Michael Scharl (labehr0707@gmail.com)</t>
  </si>
  <si>
    <t>SH01821</t>
  </si>
  <si>
    <t>Michael Schoch (xaos_123@yahoo.com)</t>
  </si>
  <si>
    <t>SH01822</t>
  </si>
  <si>
    <t>Michael Smith (artisticunltd@yahoo.com)</t>
  </si>
  <si>
    <t>SH01823</t>
  </si>
  <si>
    <t>Michael Trudeau (jmtaug@yahoo.com)</t>
  </si>
  <si>
    <t>SH01824</t>
  </si>
  <si>
    <t>michael verrier (jerikavmidnight@gmai...)</t>
  </si>
  <si>
    <t>SH01825</t>
  </si>
  <si>
    <t>Michal Mccausland (michiy9@msn.com)</t>
  </si>
  <si>
    <t>SH01826</t>
  </si>
  <si>
    <t>micharl owen (justcgp@yahoo.com)</t>
  </si>
  <si>
    <t>SH01827</t>
  </si>
  <si>
    <t>Micheal Dyer (uncutflowersllc@gmail.com)</t>
  </si>
  <si>
    <t>SH01828</t>
  </si>
  <si>
    <t>Michele Coleman (drmischatablet@gmail...)</t>
  </si>
  <si>
    <t>SH01829</t>
  </si>
  <si>
    <t>Michele Mader (michele@mphengineering.com</t>
  </si>
  <si>
    <t>SH01830</t>
  </si>
  <si>
    <t>Michele MICHELE (mmcchoward@gmail.com)</t>
  </si>
  <si>
    <t>SH01831</t>
  </si>
  <si>
    <t>Michele Michener (medicinebrush@yahoo...)</t>
  </si>
  <si>
    <t>SH01832</t>
  </si>
  <si>
    <t>Michelle Anderson (michelle.anderson@...)</t>
  </si>
  <si>
    <t>SH01833</t>
  </si>
  <si>
    <t>SH01834</t>
  </si>
  <si>
    <t>Michelle Festa (msfesta8@gmail.com)</t>
  </si>
  <si>
    <t>SH01835</t>
  </si>
  <si>
    <t>SH01836</t>
  </si>
  <si>
    <t>Michelle Hays (oppsadaisyhays@gmail.com)</t>
  </si>
  <si>
    <t>SH01837</t>
  </si>
  <si>
    <t>Michelle Henry (7034him@gmail.com)</t>
  </si>
  <si>
    <t>SH01838</t>
  </si>
  <si>
    <t>SH01839</t>
  </si>
  <si>
    <t>Michelle Johns (michelle@cornercopiag...)</t>
  </si>
  <si>
    <t>SH01840</t>
  </si>
  <si>
    <t>Michelle Kiley (michellek@stastm.org)</t>
  </si>
  <si>
    <t>SH01841</t>
  </si>
  <si>
    <t>Michelle King (info@hiddengardensvenu...)</t>
  </si>
  <si>
    <t>SH01842</t>
  </si>
  <si>
    <t>Michelle Kulach (candymichelle24@gmai...)</t>
  </si>
  <si>
    <t>SH01843</t>
  </si>
  <si>
    <t>Michelle Murch (mmurch@willowvalley.org)</t>
  </si>
  <si>
    <t>SH01844</t>
  </si>
  <si>
    <t>Michelle Ovans (ovanspeonyfarm@yahoo.com)</t>
  </si>
  <si>
    <t>SH01845</t>
  </si>
  <si>
    <t>Michelle Pate (mpate@hsvbg.org)</t>
  </si>
  <si>
    <t>SH01846</t>
  </si>
  <si>
    <t>Michelle Peregoy-McHugh (michellep@br...)</t>
  </si>
  <si>
    <t>SH01847</t>
  </si>
  <si>
    <t>Michelle Pierce (geauxpierce4@gmail.com)</t>
  </si>
  <si>
    <t>SH01848</t>
  </si>
  <si>
    <t>Michelle Pierce (thesentimentalpetal@...)</t>
  </si>
  <si>
    <t>SH01849</t>
  </si>
  <si>
    <t>Michelle Settlemyre (michelle@settlem...)</t>
  </si>
  <si>
    <t>SH01850</t>
  </si>
  <si>
    <t>Michelle Snider (msl5bz@gmail.com)</t>
  </si>
  <si>
    <t>SH01851</t>
  </si>
  <si>
    <t>Michelle Summers (admin@herbysflowers...)</t>
  </si>
  <si>
    <t>SH01852</t>
  </si>
  <si>
    <t>Michelle Summers (michelle.sharese@gm...)</t>
  </si>
  <si>
    <t>SH01853</t>
  </si>
  <si>
    <t>Michelle Van Rafelghem (doom002@hawai...)</t>
  </si>
  <si>
    <t>SH01854</t>
  </si>
  <si>
    <t>Michelle Yesaitis (michelleyesaitis@g...)</t>
  </si>
  <si>
    <t>SH01855</t>
  </si>
  <si>
    <t>Mickey's Florist (mickeysflorist@hotma..)</t>
  </si>
  <si>
    <t>SH01856</t>
  </si>
  <si>
    <t>Micki Houston (mickijhouston@verizon.net)</t>
  </si>
  <si>
    <t>SH01857</t>
  </si>
  <si>
    <t>Micki Houston (mickisflorist@optonlin...)</t>
  </si>
  <si>
    <t>SH01858</t>
  </si>
  <si>
    <t>Mikala Miller (mikalamiller@yahoo.com)</t>
  </si>
  <si>
    <t>SH01859</t>
  </si>
  <si>
    <t>Mikchael Johnson (etceteraflowers-gif...)</t>
  </si>
  <si>
    <t>SH01860</t>
  </si>
  <si>
    <t>Mike Hang (mike127235@hotmail.com)</t>
  </si>
  <si>
    <t>SH01861</t>
  </si>
  <si>
    <t>Mike Owen (mike.madisongarden@gmail.com)</t>
  </si>
  <si>
    <t>SH01862</t>
  </si>
  <si>
    <t>Millie Heger (peddlingpeddles22@gmail...)</t>
  </si>
  <si>
    <t>SH01863</t>
  </si>
  <si>
    <t>Minjeong You (y1370@naver.com)</t>
  </si>
  <si>
    <t>SH01864</t>
  </si>
  <si>
    <t>SH01865</t>
  </si>
  <si>
    <t>Miranda Long (musicalchic02@gmail.com)</t>
  </si>
  <si>
    <t>SH01866</t>
  </si>
  <si>
    <t>Miranti McGraw (mirantimcgraw@yahoo.com)</t>
  </si>
  <si>
    <t>SH01867</t>
  </si>
  <si>
    <t>Miriam Strouse (mimi.strouse@gmail.com)</t>
  </si>
  <si>
    <t>SH01868</t>
  </si>
  <si>
    <t>Mirna Martin (martin_ptp@yahoo.com)</t>
  </si>
  <si>
    <t>SH01869</t>
  </si>
  <si>
    <t>Misty Calderon (misticfloraldesigns@g...)</t>
  </si>
  <si>
    <t>SH01870</t>
  </si>
  <si>
    <t>Misty Cornell (mistycornell@gmail.com)</t>
  </si>
  <si>
    <t>SH01871</t>
  </si>
  <si>
    <t>Misty Hamilton (shamrockenvironmental...)</t>
  </si>
  <si>
    <t>SH01872</t>
  </si>
  <si>
    <t>Misty Page/ Floral (dodsonsfloral@gma...)</t>
  </si>
  <si>
    <t>SH01873</t>
  </si>
  <si>
    <t>Misty Solomon (devourdesserts@yahoo.com)</t>
  </si>
  <si>
    <t>SH01874</t>
  </si>
  <si>
    <t>Mitchel Lopez (citygroupsupermarket@y...)</t>
  </si>
  <si>
    <t>SH01875</t>
  </si>
  <si>
    <t>Mitchell Totty (mtotty1985@icloud.com)</t>
  </si>
  <si>
    <t>SH01876</t>
  </si>
  <si>
    <t>Mleissa Berendes (melissablooms23@gma...)</t>
  </si>
  <si>
    <t>SH01877</t>
  </si>
  <si>
    <t>Mohamed Abou Taleb (apolloynot@gmail.com)</t>
  </si>
  <si>
    <t>SH01878</t>
  </si>
  <si>
    <t>Mollie Collings (bakerfloralandbotani...)</t>
  </si>
  <si>
    <t>SH01879</t>
  </si>
  <si>
    <t>Molly Hoegen (mollhoegen@gmail.com)</t>
  </si>
  <si>
    <t>SH01880</t>
  </si>
  <si>
    <t>Molly Kemink (info@theflowerhouseholl...)</t>
  </si>
  <si>
    <t>SH01881</t>
  </si>
  <si>
    <t>molly squires (mollymsquires@yahoo.com)</t>
  </si>
  <si>
    <t>SH01882</t>
  </si>
  <si>
    <t>Monica Clemente (mcrdh@att.net)</t>
  </si>
  <si>
    <t>SH01883</t>
  </si>
  <si>
    <t>Monica Hernandez (mesquitechicdesigns...)</t>
  </si>
  <si>
    <t>SH01884</t>
  </si>
  <si>
    <t>monica reis (hello@forgetmenotflowerm...)</t>
  </si>
  <si>
    <t>SH01885</t>
  </si>
  <si>
    <t>Moon Park (ki5878@gmail.com)</t>
  </si>
  <si>
    <t>SH01886</t>
  </si>
  <si>
    <t>Moore (emarie3@cox.net)</t>
  </si>
  <si>
    <t>SH01887</t>
  </si>
  <si>
    <t>Mora  Farag (info@jandsfloral.com)</t>
  </si>
  <si>
    <t>SH01888</t>
  </si>
  <si>
    <t>Mora Farag (morafarag@gmail.com)</t>
  </si>
  <si>
    <t>SH01889</t>
  </si>
  <si>
    <t>Morgan Griggs (morgangriggsflowershop...)</t>
  </si>
  <si>
    <t>SH01890</t>
  </si>
  <si>
    <t>MORGAN TEN EYCK (info@twindahlias.com)</t>
  </si>
  <si>
    <t>SH01891</t>
  </si>
  <si>
    <t>Moua Yang (mouayang1@gmail.com)</t>
  </si>
  <si>
    <t>SH01892</t>
  </si>
  <si>
    <t>Muriel Meicler (meicler@sbcglobal.net)</t>
  </si>
  <si>
    <t>SH01893</t>
  </si>
  <si>
    <t>Myra Marsocci (myrasg@mac.com)</t>
  </si>
  <si>
    <t>SH01894</t>
  </si>
  <si>
    <t>Myrna Sands (xracergirl@comcast.net)</t>
  </si>
  <si>
    <t>SH01895</t>
  </si>
  <si>
    <t>Nadine Fadayel (nadinefadayel@yahoo.com)</t>
  </si>
  <si>
    <t>SH01896</t>
  </si>
  <si>
    <t>NADINE FADAYEL (pavechocolateusa@gmai...)</t>
  </si>
  <si>
    <t>SH01897</t>
  </si>
  <si>
    <t>Nadine Montemarano (nadine.montemaran...)</t>
  </si>
  <si>
    <t>SH01898</t>
  </si>
  <si>
    <t>Namele Baker (namele.baker@gmail.com)</t>
  </si>
  <si>
    <t>SH01899</t>
  </si>
  <si>
    <t>Nancy Cameron (rcameron1@ec.rr.com)</t>
  </si>
  <si>
    <t>SH01900</t>
  </si>
  <si>
    <t>Nancy Cohen (nachac1256@gmail.com)</t>
  </si>
  <si>
    <t>SH01901</t>
  </si>
  <si>
    <t>Nancy Del Bosque (nadelbosque@yahoo.com)</t>
  </si>
  <si>
    <t>SH01902</t>
  </si>
  <si>
    <t>Nancy Fiano (nancy.martialarts@gmail.com)</t>
  </si>
  <si>
    <t>SH01903</t>
  </si>
  <si>
    <t>nancy hoyt (nhoyt111@gmail.com)</t>
  </si>
  <si>
    <t>SH01904</t>
  </si>
  <si>
    <t>Nancy Mavor (blooming@flaglerfloralnt...)</t>
  </si>
  <si>
    <t>SH01905</t>
  </si>
  <si>
    <t>Nancy Rosales (catanoevents@gmail.com)</t>
  </si>
  <si>
    <t>SH01906</t>
  </si>
  <si>
    <t>Nancy Stortz (nancystortz@hotmail.com)</t>
  </si>
  <si>
    <t>SH01907</t>
  </si>
  <si>
    <t>Nancy Swanholm (njswanholm@stthomas.edu)</t>
  </si>
  <si>
    <t>SH01908</t>
  </si>
  <si>
    <t>Nancy Tarabay (ntarabay@aol.com)</t>
  </si>
  <si>
    <t>SH01909</t>
  </si>
  <si>
    <t>Nanette Gallegos (netgallegos@aol.com)</t>
  </si>
  <si>
    <t>SH01910</t>
  </si>
  <si>
    <t>Naomi Studer (naomi@evergreenbride.com)</t>
  </si>
  <si>
    <t>SH01911</t>
  </si>
  <si>
    <t>natalie brattin (nbrattin@yahoo.com)</t>
  </si>
  <si>
    <t>SH01912</t>
  </si>
  <si>
    <t>Natalie Kostman (kostmann@gtc.edu)</t>
  </si>
  <si>
    <t>SH01913</t>
  </si>
  <si>
    <t>Nataliya Zaslavskaya (nflowers49@gmai...)</t>
  </si>
  <si>
    <t>SH01914</t>
  </si>
  <si>
    <t>Natallia Tsarkouskaya (linkdances@gma...)</t>
  </si>
  <si>
    <t>SH01915</t>
  </si>
  <si>
    <t>Nataly Hernandez (nataly.hernandez190...)</t>
  </si>
  <si>
    <t>SH01916</t>
  </si>
  <si>
    <t>Nathan Hargrave (cehargrave9421@gmail...)</t>
  </si>
  <si>
    <t>SH01917</t>
  </si>
  <si>
    <t>Nedaa Sobh (n.sobh81@gmail.com)</t>
  </si>
  <si>
    <t>SH01918</t>
  </si>
  <si>
    <t>Neena Dawson (nahnah2k99@yahoo.com)</t>
  </si>
  <si>
    <t>SH01919</t>
  </si>
  <si>
    <t>Neeyal Patel (neeyalpatel1996@gmail.com)</t>
  </si>
  <si>
    <t>SH01920</t>
  </si>
  <si>
    <t>Neil Justesen (mneiljust@gmail.com)</t>
  </si>
  <si>
    <t>SH01921</t>
  </si>
  <si>
    <t>Neil Perry (neilaperry70@gmail.com)</t>
  </si>
  <si>
    <t>SH01922</t>
  </si>
  <si>
    <t>nelissa massey (kandmcountrtgathering...)</t>
  </si>
  <si>
    <t>SH01923</t>
  </si>
  <si>
    <t>Nelly Gonzalez (nelly.gonzalezmunguia...)</t>
  </si>
  <si>
    <t>SH01924</t>
  </si>
  <si>
    <t>Nena Caviness (nena@tecaviblooms.com)</t>
  </si>
  <si>
    <t>SH01925</t>
  </si>
  <si>
    <t>Neptune Elementary (nallady.martin@os...)</t>
  </si>
  <si>
    <t>SH01926</t>
  </si>
  <si>
    <t>Nerrisa Woodson (nerrisaw86@outlook.com)</t>
  </si>
  <si>
    <t>SH01927</t>
  </si>
  <si>
    <t>Nettie Amedee (onlyforadayflorals@gma...)</t>
  </si>
  <si>
    <t>SH01928</t>
  </si>
  <si>
    <t>SH01929</t>
  </si>
  <si>
    <t>NGOC Nguyen (nguyenngocnt88@gmail.com)</t>
  </si>
  <si>
    <t>SH01930</t>
  </si>
  <si>
    <t>Nguyen Tu Bui (nguyentu008@yahoo.com)</t>
  </si>
  <si>
    <t>SH01931</t>
  </si>
  <si>
    <t>Nhung Tran (tammyt6261@yahoo.com)</t>
  </si>
  <si>
    <t>SH01932</t>
  </si>
  <si>
    <t>Nia Mozee (simplydesignnyc@gmail.com)</t>
  </si>
  <si>
    <t>SH01933</t>
  </si>
  <si>
    <t>Nianchu Hou (finnhou3@gmail.com)</t>
  </si>
  <si>
    <t>SH01934</t>
  </si>
  <si>
    <t>Nicholas Roy (nickroy00@gmail.com)</t>
  </si>
  <si>
    <t>SH01935</t>
  </si>
  <si>
    <t>NICHOLAUS FLORES (nicos.1st.ave@gmail...)</t>
  </si>
  <si>
    <t>SH01936</t>
  </si>
  <si>
    <t>Nichole Bellar (petalsandthorns@comca...)</t>
  </si>
  <si>
    <t>SH01937</t>
  </si>
  <si>
    <t>Nicole Amador (7nicoleamador@gmail.com)</t>
  </si>
  <si>
    <t>SH01938</t>
  </si>
  <si>
    <t>Nicole Breslin (n.murphy92@yahoo.com)</t>
  </si>
  <si>
    <t>SH01939</t>
  </si>
  <si>
    <t>Nicole Kansier (nikki@provenwinnersdi...)</t>
  </si>
  <si>
    <t>SH01940</t>
  </si>
  <si>
    <t>Nicole McAllister (nmcallister32@gmai...)</t>
  </si>
  <si>
    <t>SH01941</t>
  </si>
  <si>
    <t>Nicole Moscoso (flowersbouquetandmore...)</t>
  </si>
  <si>
    <t>SH01942</t>
  </si>
  <si>
    <t>Nicole Radio (nicoleradio@gmail.com)</t>
  </si>
  <si>
    <t>SH01943</t>
  </si>
  <si>
    <t>Nicole Reid (nicolereid@reidrecoverys...)</t>
  </si>
  <si>
    <t>SH01944</t>
  </si>
  <si>
    <t>Nicoleta E Apahidean (claytoncityflor...)</t>
  </si>
  <si>
    <t>SH01945</t>
  </si>
  <si>
    <t>Nicoletta Deturris (ndeturris@gmail.com)</t>
  </si>
  <si>
    <t>SH01946</t>
  </si>
  <si>
    <t>Nidia Perez (nidiaps_09@live.com.mx)</t>
  </si>
  <si>
    <t>SH01947</t>
  </si>
  <si>
    <t>SH01948</t>
  </si>
  <si>
    <t>Nigora Iznurov (starllc004@gmail.com)</t>
  </si>
  <si>
    <t>SH01949</t>
  </si>
  <si>
    <t>Nika Matsko (ncmats@hotmail.com)</t>
  </si>
  <si>
    <t>SH01950</t>
  </si>
  <si>
    <t>Nikki Foreman (nikki@sanderranchflowe...)</t>
  </si>
  <si>
    <t>SH01951</t>
  </si>
  <si>
    <t>nikki gugliotta (nikkijade@aol.com)</t>
  </si>
  <si>
    <t>SH01952</t>
  </si>
  <si>
    <t>Nikki Lenz (nikki_nickysgc@comcast.net)</t>
  </si>
  <si>
    <t>SH01953</t>
  </si>
  <si>
    <t>Nima Bakhtiari (nima.bakhtiari@gmail.com)</t>
  </si>
  <si>
    <t>SH01954</t>
  </si>
  <si>
    <t>Nina Borr (crystalspringchurchofgod@g...)</t>
  </si>
  <si>
    <t>SH01955</t>
  </si>
  <si>
    <t>SH01956</t>
  </si>
  <si>
    <t>Nina Yevdash (yevdecor@gmail.com)</t>
  </si>
  <si>
    <t>SH01957</t>
  </si>
  <si>
    <t>Nissa Bombino (nissa@povn.com)</t>
  </si>
  <si>
    <t>SH01958</t>
  </si>
  <si>
    <t>Noelia Mozo (noeliachic26@hotmail.com)</t>
  </si>
  <si>
    <t>SH01959</t>
  </si>
  <si>
    <t>Noemi Diaz (dnoemi613@gmail.com)</t>
  </si>
  <si>
    <t>SH01960</t>
  </si>
  <si>
    <t>Noor Siddiqui (noor90b@gmail.com)</t>
  </si>
  <si>
    <t>SH01961</t>
  </si>
  <si>
    <t>Nora Beteri (tbnora9@gmail.com)</t>
  </si>
  <si>
    <t>SH01962</t>
  </si>
  <si>
    <t>Nora Lakhani (welcome@theflowerbasket...)</t>
  </si>
  <si>
    <t>SH01963</t>
  </si>
  <si>
    <t>Norma Cruz (emmasblooms1415@gmail.com)</t>
  </si>
  <si>
    <t>SH01964</t>
  </si>
  <si>
    <t>Norma Marcantonio (njmarc22@gmail.com)</t>
  </si>
  <si>
    <t>SH01965</t>
  </si>
  <si>
    <t>Norma Meyer (nbm9865@yahoo.com)</t>
  </si>
  <si>
    <t>SH01966</t>
  </si>
  <si>
    <t>Norman Itjen (litjen@rochester.rr.com)</t>
  </si>
  <si>
    <t>SH01967</t>
  </si>
  <si>
    <t>North Hills Florist &amp; Gifts (northhil...)</t>
  </si>
  <si>
    <t>SH01968</t>
  </si>
  <si>
    <t>novalee medlock (novaleemay@yahoo.com)</t>
  </si>
  <si>
    <t>SH01969</t>
  </si>
  <si>
    <t>Nuvia Monreal (vasqueznuvia@gmail.com)</t>
  </si>
  <si>
    <t>SH01970</t>
  </si>
  <si>
    <t>SH01971</t>
  </si>
  <si>
    <t>octavian constantin (lucian.vaduva90@...)</t>
  </si>
  <si>
    <t>SH01972</t>
  </si>
  <si>
    <t>Olena Lapikova (lapikhova@yahoo.com)</t>
  </si>
  <si>
    <t>SH01973</t>
  </si>
  <si>
    <t>Olga Bueno (julian90255@gimail.com)</t>
  </si>
  <si>
    <t>SH01974</t>
  </si>
  <si>
    <t>Olivia Aguilar (aguilarolv2@gmail.com)</t>
  </si>
  <si>
    <t>SH01975</t>
  </si>
  <si>
    <t>Olivia Donatell (odonatell@gmail.com)</t>
  </si>
  <si>
    <t>SH01976</t>
  </si>
  <si>
    <t>Olivia Lamm (morningglorycobyoliviala...)</t>
  </si>
  <si>
    <t>SH01977</t>
  </si>
  <si>
    <t>SH01978</t>
  </si>
  <si>
    <t>OSCAR mOLINA (renenavas@agrolibano.com)</t>
  </si>
  <si>
    <t>SH01979</t>
  </si>
  <si>
    <t>OSCAR Palacios (worship2.op@gmail.com)</t>
  </si>
  <si>
    <t>SH01980</t>
  </si>
  <si>
    <t>P Carney-Monaghan (dtcpbg@gmail.com)</t>
  </si>
  <si>
    <t>SH01981</t>
  </si>
  <si>
    <t>Pam Cartwright (pamcartwright113@gmai...)</t>
  </si>
  <si>
    <t>SH01982</t>
  </si>
  <si>
    <t>Pam Devenny (devenny.p@gmail.com)</t>
  </si>
  <si>
    <t>SH01983</t>
  </si>
  <si>
    <t>Pam Feathers (pamperednails92@gmail.com)</t>
  </si>
  <si>
    <t>SH01984</t>
  </si>
  <si>
    <t>SH01985</t>
  </si>
  <si>
    <t>pam Kraus (thefuzzypig@yahoo.com)</t>
  </si>
  <si>
    <t>SH01986</t>
  </si>
  <si>
    <t>Pam Sanborn (pam.sanborn@covenantnapl...)</t>
  </si>
  <si>
    <t>SH01987</t>
  </si>
  <si>
    <t>pamela Cozzitorto (leesfloral@sbcglob...)</t>
  </si>
  <si>
    <t>SH01988</t>
  </si>
  <si>
    <t>Pamela Drakeford (lottiegsflorist@gma...)</t>
  </si>
  <si>
    <t>SH01989</t>
  </si>
  <si>
    <t>PAMELA GRISHAM (pgris92003@aol.com)</t>
  </si>
  <si>
    <t>SH01990</t>
  </si>
  <si>
    <t>Pamela Jordan (pajbiz2004@yahoo.com)</t>
  </si>
  <si>
    <t>SH01991</t>
  </si>
  <si>
    <t>Pamela Krouse (planomom002@aol.com)</t>
  </si>
  <si>
    <t>SH01992</t>
  </si>
  <si>
    <t>Pamela Posey (poseybfa@outlook.com)</t>
  </si>
  <si>
    <t>SH01993</t>
  </si>
  <si>
    <t>Pamela Stark (pstark@adfinitymarketin...)</t>
  </si>
  <si>
    <t>SH01994</t>
  </si>
  <si>
    <t>Paola Blanco (paolablanco@me.com)</t>
  </si>
  <si>
    <t>SH01995</t>
  </si>
  <si>
    <t>Pasquale Catania (pat@pmc655.com)</t>
  </si>
  <si>
    <t>SH01996</t>
  </si>
  <si>
    <t>Pat  Goossen (pgoossen@mainstaycomm.net)</t>
  </si>
  <si>
    <t>SH01997</t>
  </si>
  <si>
    <t>Pat Bricker (brickerflowersmore@gmail...)</t>
  </si>
  <si>
    <t>SH01998</t>
  </si>
  <si>
    <t>Patrice Stringham (pgoriordan@gmail.com)</t>
  </si>
  <si>
    <t>SH01999</t>
  </si>
  <si>
    <t>Patricia A Meyer (pmeyer0119@gmail.com)</t>
  </si>
  <si>
    <t>SH02000</t>
  </si>
  <si>
    <t>Patricia A zavala (zavalapatricia11@y...)</t>
  </si>
  <si>
    <t>SH02001</t>
  </si>
  <si>
    <t>Patricia Albright (bethpyron@gmail.com)</t>
  </si>
  <si>
    <t>SH02002</t>
  </si>
  <si>
    <t>Patricia Beane (pjbeane@roadrunner.com)</t>
  </si>
  <si>
    <t>SH02003</t>
  </si>
  <si>
    <t>PATRICIA DOREY (pdorey5@gmail.com)</t>
  </si>
  <si>
    <t>SH02004</t>
  </si>
  <si>
    <t>Patricia Higgins (patricia.higgins@ca...)</t>
  </si>
  <si>
    <t>SH02005</t>
  </si>
  <si>
    <t>Patricia Horwood (paclem550@gwcmail.net)</t>
  </si>
  <si>
    <t>SH02006</t>
  </si>
  <si>
    <t>Patricia Leaverton (ksajjad@cbmove.com)</t>
  </si>
  <si>
    <t>SH02007</t>
  </si>
  <si>
    <t>Patricia Lindsey (pottedorchid@aol.com)</t>
  </si>
  <si>
    <t>SH02008</t>
  </si>
  <si>
    <t>Patricia Nilles (pnilles@gmail.com)</t>
  </si>
  <si>
    <t>SH02009</t>
  </si>
  <si>
    <t>Patricia Perles (pepgarden@bellsouth.net)</t>
  </si>
  <si>
    <t>SH02010</t>
  </si>
  <si>
    <t>Patricia Sbardella (pattiespatch@yaho...)</t>
  </si>
  <si>
    <t>SH02011</t>
  </si>
  <si>
    <t>patricia sroka (psroka@msn.com)</t>
  </si>
  <si>
    <t>SH02012</t>
  </si>
  <si>
    <t>Patricia Swenson (tipthalo1942@msn.com)</t>
  </si>
  <si>
    <t>SH02013</t>
  </si>
  <si>
    <t>SH02014</t>
  </si>
  <si>
    <t>Patrick Bertrand (margaretbertrand49@...)</t>
  </si>
  <si>
    <t>SH02015</t>
  </si>
  <si>
    <t>Patty Bailys (llbiluvu@aol.com)</t>
  </si>
  <si>
    <t>SH02016</t>
  </si>
  <si>
    <t>Paul Brown (pmab1973@gmail.com)</t>
  </si>
  <si>
    <t>SH02017</t>
  </si>
  <si>
    <t>Paul Davidson (davidson.home@earthlin...)</t>
  </si>
  <si>
    <t>SH02018</t>
  </si>
  <si>
    <t>Paul Moore (phmoore75@gmail.com)</t>
  </si>
  <si>
    <t>SH02019</t>
  </si>
  <si>
    <t>Paul Moreau (afriedman@stcatherinelab...)</t>
  </si>
  <si>
    <t>SH02020</t>
  </si>
  <si>
    <t>Paul Reid (cshanahan@allsaintslockpor...)</t>
  </si>
  <si>
    <t>SH02021</t>
  </si>
  <si>
    <t>Paula Henson (paula@abovethedirtgarde...)</t>
  </si>
  <si>
    <t>SH02022</t>
  </si>
  <si>
    <t>Paula Huckabaa (lulabloomsflowers@gma...)</t>
  </si>
  <si>
    <t>SH02023</t>
  </si>
  <si>
    <t>Paula Jimenez (crescostems@gmail.com)</t>
  </si>
  <si>
    <t>SH02024</t>
  </si>
  <si>
    <t>Paula Jimenez (paula@crescoinsurance.com)</t>
  </si>
  <si>
    <t>SH02025</t>
  </si>
  <si>
    <t>Paula Salazar (angelfallsflowers@gmai...)</t>
  </si>
  <si>
    <t>SH02026</t>
  </si>
  <si>
    <t>SH02027</t>
  </si>
  <si>
    <t>Paulina STOCH (000pyzia000@gmail.com)</t>
  </si>
  <si>
    <t>SH02028</t>
  </si>
  <si>
    <t>Pauline Harrison (paulineharrison111@...)</t>
  </si>
  <si>
    <t>SH02029</t>
  </si>
  <si>
    <t>Payton Fisher (paytonfisher1987@gmail...)</t>
  </si>
  <si>
    <t>SH02030</t>
  </si>
  <si>
    <t>Peg Wurst (mwurst@comcast.net)</t>
  </si>
  <si>
    <t>SH02031</t>
  </si>
  <si>
    <t>Peggy Knippenberg (pdk625@gmail.com)</t>
  </si>
  <si>
    <t>SH02032</t>
  </si>
  <si>
    <t>Peggy Labuguen (labuguenp@gmail.com)</t>
  </si>
  <si>
    <t>SH02033</t>
  </si>
  <si>
    <t>Peggy Switzer (peggyswitzer@aol.com)</t>
  </si>
  <si>
    <t>SH02034</t>
  </si>
  <si>
    <t>Peggy Temple (mauialohaweddings@gmail...)</t>
  </si>
  <si>
    <t>SH02035</t>
  </si>
  <si>
    <t>Peiwei Yang (miyayang.ads@gmail.com)</t>
  </si>
  <si>
    <t>SH02036</t>
  </si>
  <si>
    <t>Penny Brode (countryblossoms@yahoo.com)</t>
  </si>
  <si>
    <t>SH02037</t>
  </si>
  <si>
    <t>Perla Garcia (garciapy91@gmail.com)</t>
  </si>
  <si>
    <t>SH02038</t>
  </si>
  <si>
    <t>Perry Zeyer (director@zeyerfuneral.com)</t>
  </si>
  <si>
    <t>SH02039</t>
  </si>
  <si>
    <t>Pete Bowen (bowenproperties2llc@gmail...)</t>
  </si>
  <si>
    <t>SH02040</t>
  </si>
  <si>
    <t>Peter Hein (hello@rachelchoflowers.com)</t>
  </si>
  <si>
    <t>SH02041</t>
  </si>
  <si>
    <t>Peter Kikot (pkikot@sponzilli.com)</t>
  </si>
  <si>
    <t>SH02042</t>
  </si>
  <si>
    <t>Peyton Burr (peytonburr8@gmail.com)</t>
  </si>
  <si>
    <t>SH02043</t>
  </si>
  <si>
    <t>PHALLY NEAK (phallyneak@gmail.com)</t>
  </si>
  <si>
    <t>SH02044</t>
  </si>
  <si>
    <t>SH02045</t>
  </si>
  <si>
    <t>Phillip Barrier (dawn.carpenter@avery...)</t>
  </si>
  <si>
    <t>SH02046</t>
  </si>
  <si>
    <t>Phillip Hurlbutt (flcart@hotmail.com)</t>
  </si>
  <si>
    <t>SH02047</t>
  </si>
  <si>
    <t>Phillip Hurlbutt (flrcart@hotmail.com)</t>
  </si>
  <si>
    <t>SH02048</t>
  </si>
  <si>
    <t>Phylleen Wolf (howieanne54@gmail.com)</t>
  </si>
  <si>
    <t>SH02049</t>
  </si>
  <si>
    <t>Pia Geraghty (pia@thesecretgardenchs.com)</t>
  </si>
  <si>
    <t>SH02050</t>
  </si>
  <si>
    <t>Piedad Rios (elioivan3@gmail.com)</t>
  </si>
  <si>
    <t>SH02051</t>
  </si>
  <si>
    <t>SH02052</t>
  </si>
  <si>
    <t>SH02053</t>
  </si>
  <si>
    <t>Priscilla Garsee (justajewelrything@g...)</t>
  </si>
  <si>
    <t>SH02054</t>
  </si>
  <si>
    <t>Production Account (alanas@slso.org)</t>
  </si>
  <si>
    <t>SH02055</t>
  </si>
  <si>
    <t>Quinn Roe (quinn.p.roe@gmail.com)</t>
  </si>
  <si>
    <t>SH02056</t>
  </si>
  <si>
    <t>SH02057</t>
  </si>
  <si>
    <t>R E Frerichs (refkidsdoc@aol.com)</t>
  </si>
  <si>
    <t>SH02058</t>
  </si>
  <si>
    <t>Rachael Grant (rachaelgrant@gmail.com)</t>
  </si>
  <si>
    <t>SH02059</t>
  </si>
  <si>
    <t>Rachael Young (hello@runningonblooms.com)</t>
  </si>
  <si>
    <t>SH02060</t>
  </si>
  <si>
    <t>Rachel  Willhite (eastmemphisflorist@...)</t>
  </si>
  <si>
    <t>SH02061</t>
  </si>
  <si>
    <t>SH02062</t>
  </si>
  <si>
    <t>Rachel Blaies (rach.blaies@gmail.com)</t>
  </si>
  <si>
    <t>SH02063</t>
  </si>
  <si>
    <t>rachel clark (rachel@dearestrachel.com)</t>
  </si>
  <si>
    <t>SH02064</t>
  </si>
  <si>
    <t>Rachel Degitz (burlapblooms@gmail.com)</t>
  </si>
  <si>
    <t>SH02065</t>
  </si>
  <si>
    <t>Rachel Detrick (rachel@flowerboysindy...)</t>
  </si>
  <si>
    <t>SH02066</t>
  </si>
  <si>
    <t>Rachel Diallo (rmdiallo@gmail.com)</t>
  </si>
  <si>
    <t>SH02067</t>
  </si>
  <si>
    <t>Rachel Fulton (wrachels.wreaths@gmail...)</t>
  </si>
  <si>
    <t>SH02068</t>
  </si>
  <si>
    <t>Rachel Garcia (rachel9911v@gmail.com)</t>
  </si>
  <si>
    <t>SH02069</t>
  </si>
  <si>
    <t>Rachel Harker (rgharker20@gmail.com)</t>
  </si>
  <si>
    <t>SH02070</t>
  </si>
  <si>
    <t>Rachel Johnson (rachel@simplygrounded...)</t>
  </si>
  <si>
    <t>SH02071</t>
  </si>
  <si>
    <t>Rachel Karibo (mmwdanceteam@gmail.com)</t>
  </si>
  <si>
    <t>SH02072</t>
  </si>
  <si>
    <t>Rachel Kennedy (rachelburg1@gmail.com)</t>
  </si>
  <si>
    <t>SH02073</t>
  </si>
  <si>
    <t>Rachel Levinsohn (rachel@perryflorals...)</t>
  </si>
  <si>
    <t>SH02074</t>
  </si>
  <si>
    <t>Rachel Martin (rachel@ballardblossom.com)</t>
  </si>
  <si>
    <t>SH02075</t>
  </si>
  <si>
    <t>Rachel McGonegal (rachel@samcar.org)</t>
  </si>
  <si>
    <t>SH02076</t>
  </si>
  <si>
    <t>RaChell Merklin (smallcakesofkearney@...)</t>
  </si>
  <si>
    <t>SH02077</t>
  </si>
  <si>
    <t>Rae-Anne Stroeder (raeannestroeder@gm...)</t>
  </si>
  <si>
    <t>SH02078</t>
  </si>
  <si>
    <t>Ragan Hood-Morris (thistleflorals@gma...)</t>
  </si>
  <si>
    <t>SH02079</t>
  </si>
  <si>
    <t>Ramielle Williams (ramiellew@gmail.com)</t>
  </si>
  <si>
    <t>SH02080</t>
  </si>
  <si>
    <t>Randy Nogueira (sales@tkfloraldesigns...)</t>
  </si>
  <si>
    <t>SH02081</t>
  </si>
  <si>
    <t>Raquel Refuerzo (info@basilbouquet.com)</t>
  </si>
  <si>
    <t>SH02082</t>
  </si>
  <si>
    <t>Raul Diaz (redrjc1@aol.com)</t>
  </si>
  <si>
    <t>SH02083</t>
  </si>
  <si>
    <t>Rayan Saleh (rayan.saleh1995@gmail.com)</t>
  </si>
  <si>
    <t>SH02084</t>
  </si>
  <si>
    <t>Rebecca Berman (rberman@gmail.com)</t>
  </si>
  <si>
    <t>SH02085</t>
  </si>
  <si>
    <t>REBECCA COPENHAVER (rcopenhaver1@comc...)</t>
  </si>
  <si>
    <t>SH02086</t>
  </si>
  <si>
    <t>Rebecca Dominguiano (godsgood007@yaho...)</t>
  </si>
  <si>
    <t>SH02087</t>
  </si>
  <si>
    <t>Rebecca Hott (sarahkevents@yahoo.com)</t>
  </si>
  <si>
    <t>SH02088</t>
  </si>
  <si>
    <t>Rebecca Jones (becky@pisarcikflowerfa...)</t>
  </si>
  <si>
    <t>SH02089</t>
  </si>
  <si>
    <t>Rebecca Kowalski (rebecca.l.kowalski@...)</t>
  </si>
  <si>
    <t>SH02090</t>
  </si>
  <si>
    <t>Rebecca Laney (blossomlabarab@gmail.com)</t>
  </si>
  <si>
    <t>SH02091</t>
  </si>
  <si>
    <t>Rebecca Miller (romiller153@gmail.com)</t>
  </si>
  <si>
    <t>SH02092</t>
  </si>
  <si>
    <t>SH02093</t>
  </si>
  <si>
    <t>Rebecca Priester (whitehouseflowersho...)</t>
  </si>
  <si>
    <t>SH02094</t>
  </si>
  <si>
    <t>Rebecca Sadlowski (info@rootedflowers...)</t>
  </si>
  <si>
    <t>SH02095</t>
  </si>
  <si>
    <t>Rebecca Sadlowski (sadlowski.rebecca@...)</t>
  </si>
  <si>
    <t>SH02096</t>
  </si>
  <si>
    <t>Rebecca Shepherd (reb.shepherd@gmail.com)</t>
  </si>
  <si>
    <t>SH02097</t>
  </si>
  <si>
    <t>Rebecca Simonian (rebeccas@cityofclov...)</t>
  </si>
  <si>
    <t>SH02098</t>
  </si>
  <si>
    <t>Rebecca Wallis (rwallis6@icloud.com)</t>
  </si>
  <si>
    <t>SH02099</t>
  </si>
  <si>
    <t>Rebekah Cunningham (rebekah@dreambouq...)</t>
  </si>
  <si>
    <t>SH02100</t>
  </si>
  <si>
    <t>Rebekah Lanpher (beckylanpher@gmail.com)</t>
  </si>
  <si>
    <t>SH02101</t>
  </si>
  <si>
    <t>Regan Waters (rwaters@christcs.org)</t>
  </si>
  <si>
    <t>SH02102</t>
  </si>
  <si>
    <t>Regina Barrow (pinewoodflorist@gmail.com)</t>
  </si>
  <si>
    <t>SH02103</t>
  </si>
  <si>
    <t>Regina Gioio (reginag10@aol.com)</t>
  </si>
  <si>
    <t>SH02104</t>
  </si>
  <si>
    <t>Regina Wallace (regina.a.wallace@gmai...)</t>
  </si>
  <si>
    <t>SH02105</t>
  </si>
  <si>
    <t>Rena Campbell (shansmow@gmail.com)</t>
  </si>
  <si>
    <t>SH02106</t>
  </si>
  <si>
    <t>Rene Rodriguez (rrodriguez.rene@gmail...)</t>
  </si>
  <si>
    <t>SH02107</t>
  </si>
  <si>
    <t>Renee Wormstadt (rwormstadt@gmail.com)</t>
  </si>
  <si>
    <t>SH02108</t>
  </si>
  <si>
    <t>Reon Howard (reon3h@aol.com)</t>
  </si>
  <si>
    <t>SH02109</t>
  </si>
  <si>
    <t>Rhonda Poche' (strawberrylady@charter...)</t>
  </si>
  <si>
    <t>SH02110</t>
  </si>
  <si>
    <t>Richard  Amador (delcruceflowers2020@...)</t>
  </si>
  <si>
    <t>SH02111</t>
  </si>
  <si>
    <t>RICHARD KOZLOWSKI (flakozlo@verizon.net)</t>
  </si>
  <si>
    <t>SH02112</t>
  </si>
  <si>
    <t>RICHARD KOZLOWSKI (floraldays@aol.com)</t>
  </si>
  <si>
    <t>SH02113</t>
  </si>
  <si>
    <t>Richard Numata (marianumata@gmail.com)</t>
  </si>
  <si>
    <t>SH02114</t>
  </si>
  <si>
    <t>richard samuelson (rgbmas@gmail.com)</t>
  </si>
  <si>
    <t>SH02115</t>
  </si>
  <si>
    <t>Richard Westin (rwestin76@gmail.com)</t>
  </si>
  <si>
    <t>SH02116</t>
  </si>
  <si>
    <t>Rima McGraw (rimamcgraw@yahoo.com)</t>
  </si>
  <si>
    <t>SH02117</t>
  </si>
  <si>
    <t>Rita Istambouly (ritaistambouly@gmail...)</t>
  </si>
  <si>
    <t>SH02118</t>
  </si>
  <si>
    <t>SH02119</t>
  </si>
  <si>
    <t>Rob Fletcher (rob@gardensofthebluerid...)</t>
  </si>
  <si>
    <t>SH02120</t>
  </si>
  <si>
    <t>Rob Strandberg (rob@orlandoflowermark...)</t>
  </si>
  <si>
    <t>SH02121</t>
  </si>
  <si>
    <t>Robbyn Repp (ptmflowers@gmail.com)</t>
  </si>
  <si>
    <t>SH02122</t>
  </si>
  <si>
    <t>Robert Clark (rcla662374@aol.com)</t>
  </si>
  <si>
    <t>SH02123</t>
  </si>
  <si>
    <t>Robert Emling (emlingsteve@msn.com)</t>
  </si>
  <si>
    <t>SH02124</t>
  </si>
  <si>
    <t>robert kobash (kleenkutlawncarellc@gm...)</t>
  </si>
  <si>
    <t>SH02125</t>
  </si>
  <si>
    <t>Roberto Jara (uniqueblossomsusa@gmail...)</t>
  </si>
  <si>
    <t>SH02126</t>
  </si>
  <si>
    <t>Roberto Miranda Garcia (robertomirand...)</t>
  </si>
  <si>
    <t>SH02127</t>
  </si>
  <si>
    <t>Robin Altenburg (robin.altenburg@gmai...)</t>
  </si>
  <si>
    <t>SH02128</t>
  </si>
  <si>
    <t>Robin Cohan (littletorchcandle@gmail.com)</t>
  </si>
  <si>
    <t>SH02129</t>
  </si>
  <si>
    <t>Robin Jenkins (a-rjenkins@comcast.net)</t>
  </si>
  <si>
    <t>SH02130</t>
  </si>
  <si>
    <t>Robin Lankton (rlankton@yourobserver.com)</t>
  </si>
  <si>
    <t>SH02131</t>
  </si>
  <si>
    <t>Robin Weaver (robinwweaver@aol.com)</t>
  </si>
  <si>
    <t>SH02132</t>
  </si>
  <si>
    <t>Robyn Novak (robyn@planttrolley.com)</t>
  </si>
  <si>
    <t>SH02133</t>
  </si>
  <si>
    <t>Rocco Chiriboga (roccocchiriboga@iclo...)</t>
  </si>
  <si>
    <t>SH02134</t>
  </si>
  <si>
    <t>Rocio Jimenez (dewsflowersdesign@gmai...)</t>
  </si>
  <si>
    <t>SH02135</t>
  </si>
  <si>
    <t>Rocio Oropeza (rocio.oropeza@ayhoo.com)</t>
  </si>
  <si>
    <t>SH02136</t>
  </si>
  <si>
    <t>Rodney Hayes (rodneyfhayes@yahoo.com)</t>
  </si>
  <si>
    <t>SH02137</t>
  </si>
  <si>
    <t>Rodney Wilson (greenenvy2353@att.net)</t>
  </si>
  <si>
    <t>SH02138</t>
  </si>
  <si>
    <t>Rolaine Hearn (ryhearn@gmail.com)</t>
  </si>
  <si>
    <t>SH02139</t>
  </si>
  <si>
    <t>Romario Basdeo (romariobasde@gmail.com)</t>
  </si>
  <si>
    <t>SH02140</t>
  </si>
  <si>
    <t>Romelia Aragon (romeliaaragon@yahoo.com)</t>
  </si>
  <si>
    <t>SH02141</t>
  </si>
  <si>
    <t>RONALD LEONE (leonesflorist@netzero.com)</t>
  </si>
  <si>
    <t>SH02142</t>
  </si>
  <si>
    <t>Ronald McLean (ron304@windstream.net)</t>
  </si>
  <si>
    <t>SH02143</t>
  </si>
  <si>
    <t>RONALD OLSZOWKA (roadranger75@gmail.com)</t>
  </si>
  <si>
    <t>SH02144</t>
  </si>
  <si>
    <t>rondineli oliveira (ron@bespokefloral...)</t>
  </si>
  <si>
    <t>SH02145</t>
  </si>
  <si>
    <t>ronna levin (sqhillflowers@gmail.com)</t>
  </si>
  <si>
    <t>SH02146</t>
  </si>
  <si>
    <t>Ronnie Thyben (ronnie65@optonline.net)</t>
  </si>
  <si>
    <t>SH02147</t>
  </si>
  <si>
    <t>Rosa Chavez (rchav10177@gmail.com(</t>
  </si>
  <si>
    <t>SH02148</t>
  </si>
  <si>
    <t>Rosa Garcia (rgarciatax3@gmail.com)</t>
  </si>
  <si>
    <t>SH02149</t>
  </si>
  <si>
    <t>Rosa Ramirez (diciestela@live.com)</t>
  </si>
  <si>
    <t>SH02150</t>
  </si>
  <si>
    <t>Rosalia González (rosycheco73.rg@gmai...)</t>
  </si>
  <si>
    <t>SH02151</t>
  </si>
  <si>
    <t>Rosanne Haflich (rosaha@vsp.com)</t>
  </si>
  <si>
    <t>SH02152</t>
  </si>
  <si>
    <t>Rosanne Marrocco (rosannef1120@live.com)</t>
  </si>
  <si>
    <t>SH02153</t>
  </si>
  <si>
    <t>Rose Mihelich (roseseaddress@msn.com)</t>
  </si>
  <si>
    <t>SH02154</t>
  </si>
  <si>
    <t>rose Ocasio (rose.ocasio@rosesbouquet...)</t>
  </si>
  <si>
    <t>SH02155</t>
  </si>
  <si>
    <t>Rose Wilson (rose@ladybugfloral.com)</t>
  </si>
  <si>
    <t>SH02156</t>
  </si>
  <si>
    <t>ROSEANN KELLY (rfkelly62@gmail.com)</t>
  </si>
  <si>
    <t>SH02157</t>
  </si>
  <si>
    <t>Roseann Mulieri (wonton4207@aol.com)</t>
  </si>
  <si>
    <t>SH02158</t>
  </si>
  <si>
    <t>Rosemary Griffin (rosemary.griffin@ar...)</t>
  </si>
  <si>
    <t>SH02159</t>
  </si>
  <si>
    <t>RoseMary Rafuse (mayesr10@aol.com)</t>
  </si>
  <si>
    <t>SH02160</t>
  </si>
  <si>
    <t>Rosemary Siegel (rm_siegel@union.k12....)</t>
  </si>
  <si>
    <t>SH02161</t>
  </si>
  <si>
    <t>Rosemeen Fidai (theoneroses@yahoo.com)</t>
  </si>
  <si>
    <t>SH02162</t>
  </si>
  <si>
    <t>Ross Blakeman (rb.rosebudco@gmail.com)</t>
  </si>
  <si>
    <t>SH02163</t>
  </si>
  <si>
    <t>rotjana austin (lannadesignsbyrose@gm...)</t>
  </si>
  <si>
    <t>SH02164</t>
  </si>
  <si>
    <t>ROWENA MCDERMOTT (moonstruckfarms2@ve...)</t>
  </si>
  <si>
    <t>SH02165</t>
  </si>
  <si>
    <t>SH02166</t>
  </si>
  <si>
    <t>Roxanne Acosta (roxy333ben@icloud.com)</t>
  </si>
  <si>
    <t>SH02167</t>
  </si>
  <si>
    <t>Roxanne Rodriguez (wrocksee@gmail.com)</t>
  </si>
  <si>
    <t>SH02168</t>
  </si>
  <si>
    <t>Roxanne Salazar (1roxinsox@gmail.com)</t>
  </si>
  <si>
    <t>SH02169</t>
  </si>
  <si>
    <t>roy thomas (annaflowersjupiter@yahoo.com)</t>
  </si>
  <si>
    <t>SH02170</t>
  </si>
  <si>
    <t>Ruby Quijas (rubyflowerslv@gmail.com)</t>
  </si>
  <si>
    <t>SH02171</t>
  </si>
  <si>
    <t>SH02172</t>
  </si>
  <si>
    <t>Rufino Medina (ruffinomm3@gmail.com)</t>
  </si>
  <si>
    <t>SH02173</t>
  </si>
  <si>
    <t>Russel Yarp (hoodelizabeth@hotmail.com)</t>
  </si>
  <si>
    <t>SH02174</t>
  </si>
  <si>
    <t>Ruth Garcia (vitas.inspirations@gmail...)</t>
  </si>
  <si>
    <t>SH02175</t>
  </si>
  <si>
    <t>Ruth Hare (ruthanne803@gmail.com)</t>
  </si>
  <si>
    <t>SH02176</t>
  </si>
  <si>
    <t>SH02177</t>
  </si>
  <si>
    <t>Ruth Horning (horningruthie@gmail.com)</t>
  </si>
  <si>
    <t>SH02178</t>
  </si>
  <si>
    <t>Ruth M Blodgett (loganherne@yahoo.com)</t>
  </si>
  <si>
    <t>SH02179</t>
  </si>
  <si>
    <t>Ruth Martinez (ruthmartinez.1@hotmail...)</t>
  </si>
  <si>
    <t>SH02180</t>
  </si>
  <si>
    <t>Ruth Rairdon (ruthrairdon5@gmail.com)</t>
  </si>
  <si>
    <t>SH02181</t>
  </si>
  <si>
    <t>Ruth Weld (gardengal758@yahoo.com)</t>
  </si>
  <si>
    <t>SH02182</t>
  </si>
  <si>
    <t>Ruthie Newswanger (ruthieweaver298@gm...)</t>
  </si>
  <si>
    <t>SH02183</t>
  </si>
  <si>
    <t>Ryan Hiley (ryan@creekside.farm)</t>
  </si>
  <si>
    <t>SH02184</t>
  </si>
  <si>
    <t>Ryan VanDerhoef (ryanvanderhoef@gmail...)</t>
  </si>
  <si>
    <t>SH02185</t>
  </si>
  <si>
    <t>Sabrina Barr (sabbybarr17@gmail.com)</t>
  </si>
  <si>
    <t>SH02186</t>
  </si>
  <si>
    <t>SH02187</t>
  </si>
  <si>
    <t>Sacnite  Lozano (sacflorist@gmail.com)</t>
  </si>
  <si>
    <t>SH02188</t>
  </si>
  <si>
    <t>Sadie Banh (sadiebanh25127@icloud.com)</t>
  </si>
  <si>
    <t>SH02189</t>
  </si>
  <si>
    <t>Sadie Nelson (sadiesunshinefloristry@...)</t>
  </si>
  <si>
    <t>SH02190</t>
  </si>
  <si>
    <t>Saghar Namjoo (saghar_namjoo@yahoo.com)</t>
  </si>
  <si>
    <t>SH02191</t>
  </si>
  <si>
    <t>Sai Souphom (sai.souphom@gmail.com)</t>
  </si>
  <si>
    <t>SH02192</t>
  </si>
  <si>
    <t>Sally Strzalka (sstrzalka@wheatonacad...)</t>
  </si>
  <si>
    <t>SH02193</t>
  </si>
  <si>
    <t>Sally Thompson (sktflower@icloud.cm)</t>
  </si>
  <si>
    <t>SH02194</t>
  </si>
  <si>
    <t>Sally Wade (southernflowershop@aol.com)</t>
  </si>
  <si>
    <t>SH02195</t>
  </si>
  <si>
    <t>Samantha Hook (samanthahook@morgancon...)</t>
  </si>
  <si>
    <t>SH02196</t>
  </si>
  <si>
    <t>Samantha Hook (samanthahook@morganonm...)</t>
  </si>
  <si>
    <t>SH02197</t>
  </si>
  <si>
    <t>Samantha Isaacs (sammielola@lolasflow...)</t>
  </si>
  <si>
    <t>SH02198</t>
  </si>
  <si>
    <t>Samantha Larry (kennedisgarden14@gmai...)</t>
  </si>
  <si>
    <t>SH02199</t>
  </si>
  <si>
    <t>Samantha Lucio (slucio@hallbergengine...)</t>
  </si>
  <si>
    <t>SH02200</t>
  </si>
  <si>
    <t>Samantha McKnight (thelistenersam@aol...)</t>
  </si>
  <si>
    <t>SH02201</t>
  </si>
  <si>
    <t>Samantha Monks (samanthamonks@gmail.com)</t>
  </si>
  <si>
    <t>SH02202</t>
  </si>
  <si>
    <t>SH02203</t>
  </si>
  <si>
    <t>Samantha Smiley (ssmiley@overlakegcc.com)</t>
  </si>
  <si>
    <t>SH02204</t>
  </si>
  <si>
    <t>Samantha Smith (sam@revivalpnw.com)</t>
  </si>
  <si>
    <t>SH02205</t>
  </si>
  <si>
    <t>Samira Khondoker (samirakhondoker@gma...)</t>
  </si>
  <si>
    <t>SH02206</t>
  </si>
  <si>
    <t>Sammy Pittman (artinbloomkc@gmail.com)</t>
  </si>
  <si>
    <t>SH02207</t>
  </si>
  <si>
    <t>Samuel Benson (ivys_cottage_flowers@y...)</t>
  </si>
  <si>
    <t>SH02208</t>
  </si>
  <si>
    <t>Sandi Smith (skkglass@hotmail.com)</t>
  </si>
  <si>
    <t>SH02209</t>
  </si>
  <si>
    <t>Sandra Aguilar (agredasandra47@gmail.com)</t>
  </si>
  <si>
    <t>SH02210</t>
  </si>
  <si>
    <t>Sandra Alderfer (skalderfer@gmail.com)</t>
  </si>
  <si>
    <t>SH02211</t>
  </si>
  <si>
    <t>Sandra Bautista (sandra@dasluzsf.com)</t>
  </si>
  <si>
    <t>SH02212</t>
  </si>
  <si>
    <t>Sandra Debs (sjdebs@gmail.com)</t>
  </si>
  <si>
    <t>SH02213</t>
  </si>
  <si>
    <t>SANDRA DELAROSA (sandrade_la_rosa@hot...)</t>
  </si>
  <si>
    <t>SH02214</t>
  </si>
  <si>
    <t>Sandra DeVoe (sdevoe62@gmail.com)</t>
  </si>
  <si>
    <t>SH02215</t>
  </si>
  <si>
    <t>Sandra Esposito (espositom@aol.com)</t>
  </si>
  <si>
    <t>SH02216</t>
  </si>
  <si>
    <t>Sandra Gutiérrez (sandrajavieruria@gm...)</t>
  </si>
  <si>
    <t>SH02217</t>
  </si>
  <si>
    <t>Sandra Jensen (presbylady1@wowway.com)</t>
  </si>
  <si>
    <t>SH02218</t>
  </si>
  <si>
    <t>sandra nicosia (sandnicosia@aol.com)</t>
  </si>
  <si>
    <t>SH02219</t>
  </si>
  <si>
    <t>Sandra Ramirez (sandraramirez1974@icl...)</t>
  </si>
  <si>
    <t>SH02220</t>
  </si>
  <si>
    <t>Sandra Ryan (irenepateflowers@gmail.com)</t>
  </si>
  <si>
    <t>SH02221</t>
  </si>
  <si>
    <t>sandra sanabria (helloapopkaflorist@g...)</t>
  </si>
  <si>
    <t>SH02222</t>
  </si>
  <si>
    <t>Sandy Billingsley (shelbybillingsley@...)</t>
  </si>
  <si>
    <t>SH02223</t>
  </si>
  <si>
    <t>sandy frazer (sandyfrazer@gmail.com)</t>
  </si>
  <si>
    <t>SH02224</t>
  </si>
  <si>
    <t>Sandy Moua (sandy.mouse96@gmail.com)</t>
  </si>
  <si>
    <t>SH02225</t>
  </si>
  <si>
    <t>sandy Pardee (sandy@flowerpetalsinc.com)</t>
  </si>
  <si>
    <t>SH02226</t>
  </si>
  <si>
    <t>Sara Ausbun (claire.s@alamedagreenhou...)</t>
  </si>
  <si>
    <t>SH02227</t>
  </si>
  <si>
    <t>Sara Beth McLamb (sbmclamb21@gmail.com)</t>
  </si>
  <si>
    <t>SH02228</t>
  </si>
  <si>
    <t>Sara Evenson (sevenson@decowraps.com)</t>
  </si>
  <si>
    <t>SH02229</t>
  </si>
  <si>
    <t>Sara Gardner (chickgardner@yahoo.com)</t>
  </si>
  <si>
    <t>SH02230</t>
  </si>
  <si>
    <t>Sarah Bogenreif (sbogenreif@nebankmn.com)</t>
  </si>
  <si>
    <t>SH02231</t>
  </si>
  <si>
    <t>Sarah Breed (sarah@psmlakeland.org)</t>
  </si>
  <si>
    <t>SH02232</t>
  </si>
  <si>
    <t>Sarah Carson (madamepeas@gmail.com)</t>
  </si>
  <si>
    <t>SH02233</t>
  </si>
  <si>
    <t>Sarah Choi (schoi@elgaucho.com)</t>
  </si>
  <si>
    <t>SH02234</t>
  </si>
  <si>
    <t>Sarah Clark (sarahclark1130@yahoo.com)</t>
  </si>
  <si>
    <t>SH02235</t>
  </si>
  <si>
    <t>Sarah Gerber (sarahgerberdesigns@gmai...)</t>
  </si>
  <si>
    <t>SH02236</t>
  </si>
  <si>
    <t>Sarah Hausdoerffer (brambleandbloomfl...)</t>
  </si>
  <si>
    <t>SH02237</t>
  </si>
  <si>
    <t>Sarah Linginfelter (scream@deadmansfa...)</t>
  </si>
  <si>
    <t>SH02238</t>
  </si>
  <si>
    <t>Sarah Mansfield (sarah.mansfield1108@...)</t>
  </si>
  <si>
    <t>SH02239</t>
  </si>
  <si>
    <t>Sarah Miller (thefloralmarketfw@gmail...)</t>
  </si>
  <si>
    <t>SH02240</t>
  </si>
  <si>
    <t>Sarah Ruuska (luteysmqt@yahoo.com)</t>
  </si>
  <si>
    <t>SH02241</t>
  </si>
  <si>
    <t>Sarah Schiebold (hiddenvalley.orders@...)</t>
  </si>
  <si>
    <t>SH02242</t>
  </si>
  <si>
    <t>Sarah Scotto di Carlo (s.dice@aol.com)</t>
  </si>
  <si>
    <t>SH02243</t>
  </si>
  <si>
    <t>Sarah Sly (interiorscapes@oaklandnurs...)</t>
  </si>
  <si>
    <t>SH02244</t>
  </si>
  <si>
    <t>Sarah Strouse (sarah_preston@hotmail.com)</t>
  </si>
  <si>
    <t>SH02245</t>
  </si>
  <si>
    <t>Sarah Tynon (smontana24@yahoo.com)</t>
  </si>
  <si>
    <t>SH02246</t>
  </si>
  <si>
    <t>Sarah Westervelt (wildwestflorals@gma...)</t>
  </si>
  <si>
    <t>SH02247</t>
  </si>
  <si>
    <t>sarah willett (sarahwillett123@gmail.com)</t>
  </si>
  <si>
    <t>SH02248</t>
  </si>
  <si>
    <t>Sarah Windland (irissblooms@gmail.com)</t>
  </si>
  <si>
    <t>SH02249</t>
  </si>
  <si>
    <t>Sarah Wood (sarahkwood2@gmail.com)</t>
  </si>
  <si>
    <t>SH02250</t>
  </si>
  <si>
    <t>Sasha Konell (skonell719@gmail.com)</t>
  </si>
  <si>
    <t>SH02251</t>
  </si>
  <si>
    <t>sateesh kumar vuppala (ssharma.nessp@...)</t>
  </si>
  <si>
    <t>SH02252</t>
  </si>
  <si>
    <t>Saul Gutierrez (gutierrezss6@gmail.com)</t>
  </si>
  <si>
    <t>SH02253</t>
  </si>
  <si>
    <t>Scott Dickerson (kconradflowers@gmail...)</t>
  </si>
  <si>
    <t>SH02254</t>
  </si>
  <si>
    <t>Scott Miller (semiller43@sbcglobal.net)</t>
  </si>
  <si>
    <t>SH02255</t>
  </si>
  <si>
    <t>Scott York (scott@piedmontflowers.com)</t>
  </si>
  <si>
    <t>SH02256</t>
  </si>
  <si>
    <t>Sean Maher (seanlmaher@me.com)</t>
  </si>
  <si>
    <t>SH02257</t>
  </si>
  <si>
    <t>SH02258</t>
  </si>
  <si>
    <t>Semih Terem (aflowerpatch51@yahoo.com)</t>
  </si>
  <si>
    <t>SH02259</t>
  </si>
  <si>
    <t>SENORINA CRUZ ROSAS (flowersbyrosas@g...)</t>
  </si>
  <si>
    <t>SH02260</t>
  </si>
  <si>
    <t>Sepideh Namjoo (hkflowersla@outlook.com)</t>
  </si>
  <si>
    <t>SH02261</t>
  </si>
  <si>
    <t>Serene Mansour (serene@derris.com)</t>
  </si>
  <si>
    <t>SH02262</t>
  </si>
  <si>
    <t>SERGIO GONZALEZ (flowershacktx@gmail.com)</t>
  </si>
  <si>
    <t>SH02263</t>
  </si>
  <si>
    <t>Shahida Qadir (shahida.nq@gmail.com)</t>
  </si>
  <si>
    <t>SH02264</t>
  </si>
  <si>
    <t>Shana Edgecombe (edgecombe.shana@gmai...)</t>
  </si>
  <si>
    <t>SH02265</t>
  </si>
  <si>
    <t>Shane Robinson (s.robinson@sunnyvf.com)</t>
  </si>
  <si>
    <t>SH02266</t>
  </si>
  <si>
    <t>Shane Thompson (shanemthompson@yahoo.com)</t>
  </si>
  <si>
    <t>SH02267</t>
  </si>
  <si>
    <t>Shania Jensen (historiaflorals@gmail.com)</t>
  </si>
  <si>
    <t>SH02268</t>
  </si>
  <si>
    <t>Shanna Boger (shanna@prpluxurygroup.com)</t>
  </si>
  <si>
    <t>SH02269</t>
  </si>
  <si>
    <t>Shannon Brown (fioredamoreflorist@gma...)</t>
  </si>
  <si>
    <t>SH02270</t>
  </si>
  <si>
    <t>Shannon Butler (parra3491@msn.com)</t>
  </si>
  <si>
    <t>SH02271</t>
  </si>
  <si>
    <t>Shannon Cachenaut (boomchickablooms@g...)</t>
  </si>
  <si>
    <t>SH02272</t>
  </si>
  <si>
    <t>Shannon Ciamacco (s.ciamacco@yahoo.com)</t>
  </si>
  <si>
    <t>SH02273</t>
  </si>
  <si>
    <t>SH02274</t>
  </si>
  <si>
    <t>Shannon Goddard (bramble.pine@gmail.com)</t>
  </si>
  <si>
    <t>SH02275</t>
  </si>
  <si>
    <t>Shannon Hill (sshill02@gmail.com)</t>
  </si>
  <si>
    <t>SH02276</t>
  </si>
  <si>
    <t>Shannon Ippolito (jimippolito@charter...)</t>
  </si>
  <si>
    <t>SH02277</t>
  </si>
  <si>
    <t>Shannon Jackson (shannonj@garyandleos...)</t>
  </si>
  <si>
    <t>SH02278</t>
  </si>
  <si>
    <t>Shannon Martin (themartinhome@gmail.com)</t>
  </si>
  <si>
    <t>SH02279</t>
  </si>
  <si>
    <t>Shannyn Hyland (shannynhyland7@gmail.com)</t>
  </si>
  <si>
    <t>SH02280</t>
  </si>
  <si>
    <t>Sharesa Van Arendonk (sharesavana@gma...)</t>
  </si>
  <si>
    <t>SH02281</t>
  </si>
  <si>
    <t>Shari Dugan (dugie588@gmail.com)</t>
  </si>
  <si>
    <t>SH02282</t>
  </si>
  <si>
    <t>Shari Harris (shariharri16@gmail.com)</t>
  </si>
  <si>
    <t>SH02283</t>
  </si>
  <si>
    <t>Sharita Meadows (4ea3e6jcw2@privatere...)</t>
  </si>
  <si>
    <t>SH02284</t>
  </si>
  <si>
    <t>Sharman Hart (fleurchld@bellsouth.net)</t>
  </si>
  <si>
    <t>SH02285</t>
  </si>
  <si>
    <t>sharon beamon (sbrupps@comcast.net)</t>
  </si>
  <si>
    <t>SH02286</t>
  </si>
  <si>
    <t>sharon beamon (sharonbeamon928@gmail.com)</t>
  </si>
  <si>
    <t>SH02287</t>
  </si>
  <si>
    <t>Sharon Garza (operations@babysharonsl...)</t>
  </si>
  <si>
    <t>SH02288</t>
  </si>
  <si>
    <t>SH02289</t>
  </si>
  <si>
    <t>Sharon Rosen (sharonlrosen.rn@gmail.com)</t>
  </si>
  <si>
    <t>SH02290</t>
  </si>
  <si>
    <t>Sharon Rosen (srosenrn@comcast.net)</t>
  </si>
  <si>
    <t>SH02291</t>
  </si>
  <si>
    <t>Sharonne Latimer (sklatimer@aol.com)</t>
  </si>
  <si>
    <t>SH02292</t>
  </si>
  <si>
    <t>Sharyl Medina (fastvapeusa@gmail.com)</t>
  </si>
  <si>
    <t>SH02293</t>
  </si>
  <si>
    <t>SH02294</t>
  </si>
  <si>
    <t>Shawna Lippert (shawnalippert@yahoo.com)</t>
  </si>
  <si>
    <t>SH02295</t>
  </si>
  <si>
    <t>Shawna Romero (shawna.flowershop@gmai...)</t>
  </si>
  <si>
    <t>SH02296</t>
  </si>
  <si>
    <t>Shayna Chapman (hello@theurbannativeg...)</t>
  </si>
  <si>
    <t>SH02297</t>
  </si>
  <si>
    <t>Sheida Zandi (aamirmalik65@gmail.com)</t>
  </si>
  <si>
    <t>SH02298</t>
  </si>
  <si>
    <t>Sheida Zandi (ptcmgroup@aol.com)</t>
  </si>
  <si>
    <t>SH02299</t>
  </si>
  <si>
    <t>Sheila Fuller (sheilafuller88@gmail.com)</t>
  </si>
  <si>
    <t>SH02300</t>
  </si>
  <si>
    <t>Sheila Hauck (sheilamhauck@gmail.com)</t>
  </si>
  <si>
    <t>SH02301</t>
  </si>
  <si>
    <t>Shelbi Weeks (info@gemmabrandon.com)</t>
  </si>
  <si>
    <t>SH02302</t>
  </si>
  <si>
    <t>Shelbie De Jong Jackson (dejong.shelb...)</t>
  </si>
  <si>
    <t>SH02303</t>
  </si>
  <si>
    <t>Shelldyne Vassor (vassor07@yahoo.com)</t>
  </si>
  <si>
    <t>SH02304</t>
  </si>
  <si>
    <t>Shelley Berger (kentrikon2004@msn.com)</t>
  </si>
  <si>
    <t>SH02305</t>
  </si>
  <si>
    <t>Shelli Brotzman (shelli_brotzman@yaho...)</t>
  </si>
  <si>
    <t>SH02306</t>
  </si>
  <si>
    <t>Shelly Cubarney (shelly@clearbrands.com)</t>
  </si>
  <si>
    <t>SH02307</t>
  </si>
  <si>
    <t>Shelly Scales (okiegalsflowers@gmail.com)</t>
  </si>
  <si>
    <t>SH02308</t>
  </si>
  <si>
    <t>Shernell  Prescott (kpckreationz@gmai...)</t>
  </si>
  <si>
    <t>SH02309</t>
  </si>
  <si>
    <t>Sherri Anderson (sherrianderson5011@g...)</t>
  </si>
  <si>
    <t>SH02310</t>
  </si>
  <si>
    <t>Sherri Bittner (sherri@sjnohio.com)</t>
  </si>
  <si>
    <t>SH02311</t>
  </si>
  <si>
    <t>Sherri McKay (blossomsblessingsyukon@...)</t>
  </si>
  <si>
    <t>SH02312</t>
  </si>
  <si>
    <t>Sherri McKay (sherri197658@yahoo.com)</t>
  </si>
  <si>
    <t>SH02313</t>
  </si>
  <si>
    <t>Sherrie Snowden (lynnsnow96@yahoo.com)</t>
  </si>
  <si>
    <t>SH02314</t>
  </si>
  <si>
    <t>sherry batts (noles4u@comcast.net)</t>
  </si>
  <si>
    <t>SH02315</t>
  </si>
  <si>
    <t>SH02316</t>
  </si>
  <si>
    <t>Sherry Wilson (wbslwilson@yahoo.com)</t>
  </si>
  <si>
    <t>SH02317</t>
  </si>
  <si>
    <t>Sherryl Toney (toney.sherryl@gmail.com)</t>
  </si>
  <si>
    <t>SH02318</t>
  </si>
  <si>
    <t>Sheryl White (fiddlyfig@aol.com)</t>
  </si>
  <si>
    <t>SH02319</t>
  </si>
  <si>
    <t>Shirley Bryant (shirley@geometrygarde...)</t>
  </si>
  <si>
    <t>SH02320</t>
  </si>
  <si>
    <t>Shirley Bryant (smorillo@gmail.com)</t>
  </si>
  <si>
    <t>SH02321</t>
  </si>
  <si>
    <t>Shirley Carmack (shirleysflorist@yaho...)</t>
  </si>
  <si>
    <t>SH02322</t>
  </si>
  <si>
    <t>Shirley May (grandymay55@yahoo.com)</t>
  </si>
  <si>
    <t>SH02323</t>
  </si>
  <si>
    <t>Shoko Farmer (shokof@comcast.net)</t>
  </si>
  <si>
    <t>SH02324</t>
  </si>
  <si>
    <t>Shop Ify (test@shopify.com)</t>
  </si>
  <si>
    <t>SH02325</t>
  </si>
  <si>
    <t>Shoua Yang (foreverfamilyflowers@gmai...)</t>
  </si>
  <si>
    <t>SH02326</t>
  </si>
  <si>
    <t>Shouket Esmail (badillo.marissa777@gm...)</t>
  </si>
  <si>
    <t>SH02327</t>
  </si>
  <si>
    <t>Silvia Avila (avilamulti-servicesllc@...)</t>
  </si>
  <si>
    <t>SH02328</t>
  </si>
  <si>
    <t>Silvia Carranza (carranza-silvia@aram...)</t>
  </si>
  <si>
    <t>SH02329</t>
  </si>
  <si>
    <t>Sindi Rivera (sindirivera07@gmail.com)</t>
  </si>
  <si>
    <t>SH02330</t>
  </si>
  <si>
    <t>Skip McIlhattan (skip6fy@yahoo.com)</t>
  </si>
  <si>
    <t>SH02331</t>
  </si>
  <si>
    <t>Soany Banegas (soanyb@outlook.com)</t>
  </si>
  <si>
    <t>SH02332</t>
  </si>
  <si>
    <t>Sofia Borges (sofia.borges@gmail.com)</t>
  </si>
  <si>
    <t>SH02333</t>
  </si>
  <si>
    <t>Sofia Borges (theflowerthing@gmail.com)</t>
  </si>
  <si>
    <t>SH02334</t>
  </si>
  <si>
    <t>Sofia D Funes (sofiadfunes@gmail.com)</t>
  </si>
  <si>
    <t>SH02335</t>
  </si>
  <si>
    <t>Sofia Torres (sofiatorres3178@icloud.com)</t>
  </si>
  <si>
    <t>SH02336</t>
  </si>
  <si>
    <t>Sol Angel Leonardo (gelleonardo@gmail...)</t>
  </si>
  <si>
    <t>SH02337</t>
  </si>
  <si>
    <t>Solomon Constanza (gayane.gradzhyan@w...)</t>
  </si>
  <si>
    <t>SH02338</t>
  </si>
  <si>
    <t>Sonia Pennington (sonia@nationaldance...)</t>
  </si>
  <si>
    <t>SH02339</t>
  </si>
  <si>
    <t>Stacey Blanton (stacey@blantonsblosso...)</t>
  </si>
  <si>
    <t>SH02340</t>
  </si>
  <si>
    <t>Stacey Hettinger (stacey.hettinger@cr...)</t>
  </si>
  <si>
    <t>SH02341</t>
  </si>
  <si>
    <t>Stacey Mize (stacey@simpleblessingsga...)</t>
  </si>
  <si>
    <t>SH02342</t>
  </si>
  <si>
    <t>Stacey Odoski (stace.odoski@gmail.com)</t>
  </si>
  <si>
    <t>SH02343</t>
  </si>
  <si>
    <t>Staci Bryant (starae23@aol.com)</t>
  </si>
  <si>
    <t>SH02344</t>
  </si>
  <si>
    <t>Staci Duncan (sduncan1014@yahoo.com)</t>
  </si>
  <si>
    <t>SH02345</t>
  </si>
  <si>
    <t>Stacy Graiko (graiko@me.com)</t>
  </si>
  <si>
    <t>SH02346</t>
  </si>
  <si>
    <t>Stacy Parsons (stacy@larysdesigns.com)</t>
  </si>
  <si>
    <t>SH02347</t>
  </si>
  <si>
    <t>Stefani Goetz (21petalsflowerfarm@gma...)</t>
  </si>
  <si>
    <t>SH02348</t>
  </si>
  <si>
    <t>stefanie adams (adams@canisiushigh.org)</t>
  </si>
  <si>
    <t>SH02349</t>
  </si>
  <si>
    <t>Stefanie Harrington (madelynmatthew92...)</t>
  </si>
  <si>
    <t>SH02350</t>
  </si>
  <si>
    <t>Stefanie Harrington (smsh128@yahoo.com)</t>
  </si>
  <si>
    <t>SH02351</t>
  </si>
  <si>
    <t>Steffy Castro (steffy.mcastro@gmail.com)</t>
  </si>
  <si>
    <t>SH02352</t>
  </si>
  <si>
    <t>SH02353</t>
  </si>
  <si>
    <t>Stephanie Anderson (anderson11902@yah...)</t>
  </si>
  <si>
    <t>SH02354</t>
  </si>
  <si>
    <t>Stephanie Bailey (hello@bloomsieflora...)</t>
  </si>
  <si>
    <t>SH02355</t>
  </si>
  <si>
    <t>Stephanie Bennett (echorockflowers@gm...)</t>
  </si>
  <si>
    <t>SH02356</t>
  </si>
  <si>
    <t>Stephanie Cartwright (sjcartwright@my...)</t>
  </si>
  <si>
    <t>SH02357</t>
  </si>
  <si>
    <t>Stephanie Jackson (stephanie.jackson@...)</t>
  </si>
  <si>
    <t>SH02358</t>
  </si>
  <si>
    <t>Stephanie Leon (contact@leonsfloral.com)</t>
  </si>
  <si>
    <t>SH02359</t>
  </si>
  <si>
    <t>Stephanie Quinones (stephanieqg17@gma...)</t>
  </si>
  <si>
    <t>SH02360</t>
  </si>
  <si>
    <t>Stephanie Rianda (maeflowerdesigns805...)</t>
  </si>
  <si>
    <t>SH02361</t>
  </si>
  <si>
    <t>Stephanie Schilling (aheavenlycent4u@...)</t>
  </si>
  <si>
    <t>SH02362</t>
  </si>
  <si>
    <t>Stephanie Thompson (info@heartceremon...)</t>
  </si>
  <si>
    <t>SH02363</t>
  </si>
  <si>
    <t>Stephen Cook (steve@coolrockstock.com)</t>
  </si>
  <si>
    <t>SH02364</t>
  </si>
  <si>
    <t>Stephen Dominguez (steve.dominguez@ic...)</t>
  </si>
  <si>
    <t>SH02365</t>
  </si>
  <si>
    <t>SH02366</t>
  </si>
  <si>
    <t>Stephen Perkins (perkyspest@comcast.net)</t>
  </si>
  <si>
    <t>SH02367</t>
  </si>
  <si>
    <t>Stephenie Chow (stephenie_chow@yahoo.com)</t>
  </si>
  <si>
    <t>SH02368</t>
  </si>
  <si>
    <t>Steve Jarzombek (edmonsonl@gmail.com)</t>
  </si>
  <si>
    <t>SH02369</t>
  </si>
  <si>
    <t>Steve Kautzman (steve.kautzman@comcas...)</t>
  </si>
  <si>
    <t>SH02370</t>
  </si>
  <si>
    <t>Steve Lastinger (tracy@weddingwalls.com)</t>
  </si>
  <si>
    <t>SH02371</t>
  </si>
  <si>
    <t>Steve Pace (bouquetflorist2014@gmail.com)</t>
  </si>
  <si>
    <t>SH02372</t>
  </si>
  <si>
    <t>Steven Henne (stevemhenne@gmail.com)</t>
  </si>
  <si>
    <t>SH02373</t>
  </si>
  <si>
    <t>STEVEN JOHNSON (sjohnson@habcenter.org)</t>
  </si>
  <si>
    <t>SH02374</t>
  </si>
  <si>
    <t>STEVEN JOHNSON (stecan57@yahoo.com)</t>
  </si>
  <si>
    <t>SH02375</t>
  </si>
  <si>
    <t>Steven Lamb (agapefielddahlias@gmail.com)</t>
  </si>
  <si>
    <t>SH02376</t>
  </si>
  <si>
    <t>Steven Phan (steve@lettuceprint.com)</t>
  </si>
  <si>
    <t>SH02377</t>
  </si>
  <si>
    <t>Stewart Allen (stew@grandysgoodies.com)</t>
  </si>
  <si>
    <t>SH02378</t>
  </si>
  <si>
    <t>stuart schneider (smschnei@gmail.com)</t>
  </si>
  <si>
    <t>SH02379</t>
  </si>
  <si>
    <t>Studio LLC (info@studioherbage.com)</t>
  </si>
  <si>
    <t>SH02380</t>
  </si>
  <si>
    <t>su vang (sbg247@yahoo.com)</t>
  </si>
  <si>
    <t>SH02381</t>
  </si>
  <si>
    <t>sue becker (sue.becker1210@gmail.com)</t>
  </si>
  <si>
    <t>SH02382</t>
  </si>
  <si>
    <t>Sue Lund (shastadaisyco.wi@gmail.com)</t>
  </si>
  <si>
    <t>SH02383</t>
  </si>
  <si>
    <t>Sue Waid (waidranch@gmail.com)</t>
  </si>
  <si>
    <t>SH02384</t>
  </si>
  <si>
    <t>Sue Zuroweste (edamjm@aol.com)</t>
  </si>
  <si>
    <t>SH02385</t>
  </si>
  <si>
    <t>Sully Salazar (info@beedaydesigns.com)</t>
  </si>
  <si>
    <t>SH02386</t>
  </si>
  <si>
    <t>Sumreen Jalal (sumreenjalal86@gmail.com)</t>
  </si>
  <si>
    <t>SH02387</t>
  </si>
  <si>
    <t>Sunay Demirci (sunaydemirci70@gmail.com)</t>
  </si>
  <si>
    <t>SH02388</t>
  </si>
  <si>
    <t>SH02389</t>
  </si>
  <si>
    <t>Susan Cacchione (sc450@comcast.net)</t>
  </si>
  <si>
    <t>SH02390</t>
  </si>
  <si>
    <t>Susan Cieszynski (prismaticflorals@gm...)</t>
  </si>
  <si>
    <t>SH02391</t>
  </si>
  <si>
    <t>Susan Flaspohler (flashysue@gmail.com)</t>
  </si>
  <si>
    <t>SH02392</t>
  </si>
  <si>
    <t>Susan Hawley (nooksandcranniesfloral@...)</t>
  </si>
  <si>
    <t>SH02393</t>
  </si>
  <si>
    <t>Susan Hearne (susanjth@aol.com)</t>
  </si>
  <si>
    <t>SH02394</t>
  </si>
  <si>
    <t>Susan Hill (csh30@yahoo.com)</t>
  </si>
  <si>
    <t>SH02395</t>
  </si>
  <si>
    <t>Susan Ifft (susan.ifft@gmail.com)</t>
  </si>
  <si>
    <t>SH02396</t>
  </si>
  <si>
    <t>Susan Kaney (susankaney522@gmail.com)</t>
  </si>
  <si>
    <t>SH02397</t>
  </si>
  <si>
    <t>Susan M Warmsby (sped4u@earthlink.net)</t>
  </si>
  <si>
    <t>SH02398</t>
  </si>
  <si>
    <t>SH02399</t>
  </si>
  <si>
    <t>Susan Patterson (spatterson@cityofmis...)</t>
  </si>
  <si>
    <t>SH02400</t>
  </si>
  <si>
    <t>Susan Phillips (susans.flowers@yahoo.com)</t>
  </si>
  <si>
    <t>SH02401</t>
  </si>
  <si>
    <t>susan rodriguez (susan56athome@gmail.com)</t>
  </si>
  <si>
    <t>SH02402</t>
  </si>
  <si>
    <t>Susan RUYLE (seruyle@yahoo.com)</t>
  </si>
  <si>
    <t>SH02403</t>
  </si>
  <si>
    <t>Susan Scott (susanscott29@gmail.com)</t>
  </si>
  <si>
    <t>SH02404</t>
  </si>
  <si>
    <t>Susan Shaub (sshaub@tesincpa.com)</t>
  </si>
  <si>
    <t>SH02405</t>
  </si>
  <si>
    <t>Susan Staten (sfs53@aol.com)</t>
  </si>
  <si>
    <t>SH02406</t>
  </si>
  <si>
    <t>Susan Stout (ssstout260@aol.com)</t>
  </si>
  <si>
    <t>SH02407</t>
  </si>
  <si>
    <t>Susan Toomey (sgtoomey@aol.com)</t>
  </si>
  <si>
    <t>SH02408</t>
  </si>
  <si>
    <t>Susan Velazquez (magnoliasflowers19@g...)</t>
  </si>
  <si>
    <t>SH02409</t>
  </si>
  <si>
    <t>Susanne Kongoy (info@grdnbklyn.com)</t>
  </si>
  <si>
    <t>SH02410</t>
  </si>
  <si>
    <t>Susanne Pochedly (spudched@gmail.com)</t>
  </si>
  <si>
    <t>SH02411</t>
  </si>
  <si>
    <t>Susie Pratt (pratt5551@aol.com)</t>
  </si>
  <si>
    <t>SH02412</t>
  </si>
  <si>
    <t>Susie Whitfield (sjjwhitfield@gmail.com)</t>
  </si>
  <si>
    <t>SH02413</t>
  </si>
  <si>
    <t>Suzana RODRIGUES (suzirodrigues@hotma...)</t>
  </si>
  <si>
    <t>SH02414</t>
  </si>
  <si>
    <t>suzanne black (flora_savage@yahoo.com)</t>
  </si>
  <si>
    <t>SH02415</t>
  </si>
  <si>
    <t>Suzanne Bunn (alise2552@yahoo.com)</t>
  </si>
  <si>
    <t>SH02416</t>
  </si>
  <si>
    <t>Suzanne Gover (suzanne@simplyblessedf...)</t>
  </si>
  <si>
    <t>SH02417</t>
  </si>
  <si>
    <t>svenja Parotat (missparotat@gmail.com)</t>
  </si>
  <si>
    <t>SH02418</t>
  </si>
  <si>
    <t>Svetlana Kruglova (svetlana.kruglova@...)</t>
  </si>
  <si>
    <t>SH02419</t>
  </si>
  <si>
    <t>Svetlana Nassonova (lana.msn@live.com)</t>
  </si>
  <si>
    <t>SH02420</t>
  </si>
  <si>
    <t>Sybil Smith (sdsmith752@gmail.com)</t>
  </si>
  <si>
    <t>SH02421</t>
  </si>
  <si>
    <t>Sydnie Harding (hardingsydnie715@gmai...)</t>
  </si>
  <si>
    <t>SH02422</t>
  </si>
  <si>
    <t>SH02423</t>
  </si>
  <si>
    <t>Tai Tipton (tai.tipton@yahoo.com)</t>
  </si>
  <si>
    <t>SH02424</t>
  </si>
  <si>
    <t>Tai Tipton (uprootflowerco@gmail.com)</t>
  </si>
  <si>
    <t>SH02425</t>
  </si>
  <si>
    <t>Takerah Precia (takerah2013@gmail.com)</t>
  </si>
  <si>
    <t>SH02426</t>
  </si>
  <si>
    <t>Takerah Precia (takerah2023@gmail.com)</t>
  </si>
  <si>
    <t>SH02427</t>
  </si>
  <si>
    <t>Tamara Barke (xaadmin@msn.com)</t>
  </si>
  <si>
    <t>SH02428</t>
  </si>
  <si>
    <t>Tami Holloway (tami.holloway@rowlands...)</t>
  </si>
  <si>
    <t>SH02429</t>
  </si>
  <si>
    <t>Tami Lewis-Ahrendt (mwadzinski@center...)</t>
  </si>
  <si>
    <t>SH02430</t>
  </si>
  <si>
    <t>SH02431</t>
  </si>
  <si>
    <t>Tammi Arnhalt (tammiarnhalt@hotmail.com)</t>
  </si>
  <si>
    <t>SH02432</t>
  </si>
  <si>
    <t>Tammy Carnahan (carnahan.tammy@yahoo.com)</t>
  </si>
  <si>
    <t>SH02433</t>
  </si>
  <si>
    <t>TAMMY ESPINOSA (topchow@aol.com)</t>
  </si>
  <si>
    <t>SH02434</t>
  </si>
  <si>
    <t>Tammy Kunze (info@capeflorist.com)</t>
  </si>
  <si>
    <t>SH02435</t>
  </si>
  <si>
    <t>Tammy West (tammy.west@me.com)</t>
  </si>
  <si>
    <t>SH02436</t>
  </si>
  <si>
    <t>Tana Higginbotham (tmarie.harmonies@g...)</t>
  </si>
  <si>
    <t>SH02437</t>
  </si>
  <si>
    <t>Tana Johnson (wayla1282@netzero.com)</t>
  </si>
  <si>
    <t>SH02438</t>
  </si>
  <si>
    <t>Tanesha Bolden (tanesharoyalservice@y...)</t>
  </si>
  <si>
    <t>SH02439</t>
  </si>
  <si>
    <t>Tania Capo (tanireef@yahoo.com)</t>
  </si>
  <si>
    <t>SH02440</t>
  </si>
  <si>
    <t>SH02441</t>
  </si>
  <si>
    <t>SH02442</t>
  </si>
  <si>
    <t>Tanisha Holder (petalsofcolorinc@gmai...)</t>
  </si>
  <si>
    <t>SH02443</t>
  </si>
  <si>
    <t>Tanya Carpenter (tanyajenemorrison@gm...)</t>
  </si>
  <si>
    <t>SH02444</t>
  </si>
  <si>
    <t>Tanya Chappelle (tanya@meadowsprings.org)</t>
  </si>
  <si>
    <t>SH02445</t>
  </si>
  <si>
    <t>SH02446</t>
  </si>
  <si>
    <t>Tara Moseley (taradmoseley@yahoo.com)</t>
  </si>
  <si>
    <t>SH02447</t>
  </si>
  <si>
    <t>Tatiana Andrade (tatiana.andrade24@gm...)</t>
  </si>
  <si>
    <t>SH02448</t>
  </si>
  <si>
    <t>Tatiana Siever (dt_siever@optonline.net)</t>
  </si>
  <si>
    <t>SH02449</t>
  </si>
  <si>
    <t>tawnie aguilar (soleilromano@gmail.com)</t>
  </si>
  <si>
    <t>SH02450</t>
  </si>
  <si>
    <t>Tayler Schaeffer (meyersgreenhouse@me...)</t>
  </si>
  <si>
    <t>SH02451</t>
  </si>
  <si>
    <t>SH02452</t>
  </si>
  <si>
    <t>Taylor Bates (dusklilyflorals@gmail.com)</t>
  </si>
  <si>
    <t>SH02453</t>
  </si>
  <si>
    <t>Taylor Mitchell (tmitchell@genesisshe...)</t>
  </si>
  <si>
    <t>SH02454</t>
  </si>
  <si>
    <t>Taylor Mock (samsonflowerandgift@outl...)</t>
  </si>
  <si>
    <t>SH02455</t>
  </si>
  <si>
    <t>Taylor Simpson (taylorsimpsoninterior...)</t>
  </si>
  <si>
    <t>SH02456</t>
  </si>
  <si>
    <t>Teresa Armstrong (tarmstro55@yahoo.com)</t>
  </si>
  <si>
    <t>SH02457</t>
  </si>
  <si>
    <t>Teresa Blanco (events@flowersbybm.shop)</t>
  </si>
  <si>
    <t>SH02458</t>
  </si>
  <si>
    <t>Teresa Blanco (tereecolon@gmail.com)</t>
  </si>
  <si>
    <t>SH02459</t>
  </si>
  <si>
    <t>Teresa Carter (coffeeandcravings@gmai...)</t>
  </si>
  <si>
    <t>SH02460</t>
  </si>
  <si>
    <t>Teresa Carter (teresa_carter74@yahoo.com)</t>
  </si>
  <si>
    <t>SH02461</t>
  </si>
  <si>
    <t>Teresa Cavo (teresacavo@gmail.com)</t>
  </si>
  <si>
    <t>SH02462</t>
  </si>
  <si>
    <t>Teresa Driskill (info@wilsonsinbloom.com)</t>
  </si>
  <si>
    <t>SH02463</t>
  </si>
  <si>
    <t>Teresa Ping (tping1968@centurylink.net)</t>
  </si>
  <si>
    <t>SH02464</t>
  </si>
  <si>
    <t>Teresa shappell (teresashappell@gmail...)</t>
  </si>
  <si>
    <t>SH02465</t>
  </si>
  <si>
    <t>Teresa Spears (flamingogalsadventures...)</t>
  </si>
  <si>
    <t>SH02466</t>
  </si>
  <si>
    <t>Terri Fournier (tfournier117@icloud.com)</t>
  </si>
  <si>
    <t>SH02467</t>
  </si>
  <si>
    <t>Terri Hobson (territhenutlady@yahoo.com)</t>
  </si>
  <si>
    <t>SH02468</t>
  </si>
  <si>
    <t>Terri Jones (terri@redsgardencenter.com)</t>
  </si>
  <si>
    <t>SH02469</t>
  </si>
  <si>
    <t>Terri McLean (terrimclean@verizon.net)</t>
  </si>
  <si>
    <t>SH02470</t>
  </si>
  <si>
    <t>Terri Mitchell (terrimitch@gmail.com)</t>
  </si>
  <si>
    <t>SH02471</t>
  </si>
  <si>
    <t>Terry Arterburn (tarterburn@somerseta...)</t>
  </si>
  <si>
    <t>SH02472</t>
  </si>
  <si>
    <t>Terry Bakowicz (george_bakowicz@comca...)</t>
  </si>
  <si>
    <t>SH02473</t>
  </si>
  <si>
    <t>Terry Healy (sknisely@stonegates.com)</t>
  </si>
  <si>
    <t>SH02474</t>
  </si>
  <si>
    <t>Tess Schubert (floreography@gmail.com)</t>
  </si>
  <si>
    <t>SH02475</t>
  </si>
  <si>
    <t>Test Customer (kkaufman@decowraps.com)</t>
  </si>
  <si>
    <t>SH02476</t>
  </si>
  <si>
    <t>Test Testing (evensonsara@mac.com)</t>
  </si>
  <si>
    <t>SH02477</t>
  </si>
  <si>
    <t>Thane Kreiner (thanekreiner@me.com)</t>
  </si>
  <si>
    <t>SH02478</t>
  </si>
  <si>
    <t>Thanh Nguyen (thkhau@yahoo.com)</t>
  </si>
  <si>
    <t>SH02479</t>
  </si>
  <si>
    <t>Thao Bui-Bond (thaobond@yahoo.com)</t>
  </si>
  <si>
    <t>SH02480</t>
  </si>
  <si>
    <t>Theodore Oitzman (kaitlyn@simplytrees...)</t>
  </si>
  <si>
    <t>SH02481</t>
  </si>
  <si>
    <t>Theodore Talton (sales@shopfth.com)</t>
  </si>
  <si>
    <t>SH02482</t>
  </si>
  <si>
    <t>Theresa Angelillo (tdsmith12@aol.com)</t>
  </si>
  <si>
    <t>SH02483</t>
  </si>
  <si>
    <t>Theresa Oakes (theresa0401@verizon.net)</t>
  </si>
  <si>
    <t>SH02484</t>
  </si>
  <si>
    <t>Theresa Simpson (parishoffice@sgg.org)</t>
  </si>
  <si>
    <t>SH02485</t>
  </si>
  <si>
    <t>Theresa Wall (birdsnestflorist@comcas...)</t>
  </si>
  <si>
    <t>SH02486</t>
  </si>
  <si>
    <t>Therese House (thousedc@gmail.com)</t>
  </si>
  <si>
    <t>SH02487</t>
  </si>
  <si>
    <t>Therese House-Vereeke (info@healthych...)</t>
  </si>
  <si>
    <t>SH02488</t>
  </si>
  <si>
    <t>Thia Smith (silverstemfloral@gmail.com)</t>
  </si>
  <si>
    <t>SH02489</t>
  </si>
  <si>
    <t>Thirl Johnson (thirlann@yahoo.com)</t>
  </si>
  <si>
    <t>SH02490</t>
  </si>
  <si>
    <t>Thomas Puchalski (tpuchalskibflo@gmai...)</t>
  </si>
  <si>
    <t>SH02491</t>
  </si>
  <si>
    <t>SH02492</t>
  </si>
  <si>
    <t>thuy truong (milkyway87@outlook.com)</t>
  </si>
  <si>
    <t>SH02493</t>
  </si>
  <si>
    <t>Tiana Fisher (theflowerbucket21@yahoo.com</t>
  </si>
  <si>
    <t>SH02494</t>
  </si>
  <si>
    <t>Tiarah Thomas-Cook (cook.tiarah@yahoo...)</t>
  </si>
  <si>
    <t>SH02495</t>
  </si>
  <si>
    <t>Tiera George (tmgeorge130@gmail.com)</t>
  </si>
  <si>
    <t>SH02496</t>
  </si>
  <si>
    <t>Tiffanie Clark (info@florabundance.com)</t>
  </si>
  <si>
    <t>SH02497</t>
  </si>
  <si>
    <t>Tiffany Baptist (watchfuleyetif@gmail...)</t>
  </si>
  <si>
    <t>SH02498</t>
  </si>
  <si>
    <t>Tiffany Barfield (tlcb628@icloud.com)</t>
  </si>
  <si>
    <t>SH02499</t>
  </si>
  <si>
    <t>Tiffany Culpepper (tiffany@tc-florals...)</t>
  </si>
  <si>
    <t>SH02500</t>
  </si>
  <si>
    <t>Tiffany Culpepper(tiffany@rootsandwil...)</t>
  </si>
  <si>
    <t>SH02501</t>
  </si>
  <si>
    <t>Tiffany Green (tiffgreen86@yahoo.com)</t>
  </si>
  <si>
    <t>SH02502</t>
  </si>
  <si>
    <t>Tiffany Milligan (tiffanyoholland@yah...)</t>
  </si>
  <si>
    <t>SH02503</t>
  </si>
  <si>
    <t>Tiffany R (rutkowskico@gmail.com)</t>
  </si>
  <si>
    <t>SH02504</t>
  </si>
  <si>
    <t>Tiffany Rueckert (washdayfloral@gmail...)</t>
  </si>
  <si>
    <t>SH02505</t>
  </si>
  <si>
    <t>Tiffany Youst (tifflarsen16@hotmail.com)</t>
  </si>
  <si>
    <t>SH02506</t>
  </si>
  <si>
    <t>Tim Dixon (timjdixon@gmail.com)</t>
  </si>
  <si>
    <t>SH02507</t>
  </si>
  <si>
    <t>Tim Howell (timandceri@yahoo.com)</t>
  </si>
  <si>
    <t>SH02508</t>
  </si>
  <si>
    <t>Timothy Harton (coopersflorist@aol.com)</t>
  </si>
  <si>
    <t>SH02509</t>
  </si>
  <si>
    <t>Timothy Lally (timothylally@gmail.com)</t>
  </si>
  <si>
    <t>SH02510</t>
  </si>
  <si>
    <t>tina bradley (allensflowers@gmail.com)</t>
  </si>
  <si>
    <t>SH02511</t>
  </si>
  <si>
    <t>Tina Butler (teen.thorne@gmail.com)</t>
  </si>
  <si>
    <t>SH02512</t>
  </si>
  <si>
    <t>Tina Chadwick (thepainteddaisy@hotmai...)</t>
  </si>
  <si>
    <t>SH02513</t>
  </si>
  <si>
    <t>Tina D'Agostino (tmdagostino@gmail.com)</t>
  </si>
  <si>
    <t>SH02514</t>
  </si>
  <si>
    <t>Tina Kummerle (tina.k@hsresort.com)</t>
  </si>
  <si>
    <t>SH02515</t>
  </si>
  <si>
    <t>Tina Lee (confettiflowerfarm@gmail.com)</t>
  </si>
  <si>
    <t>SH02516</t>
  </si>
  <si>
    <t>Tina Neely Brown (neely@charter.net)</t>
  </si>
  <si>
    <t>SH02517</t>
  </si>
  <si>
    <t>Tina Newton (tmnewton2017@gmail.com)</t>
  </si>
  <si>
    <t>SH02518</t>
  </si>
  <si>
    <t>Tina Williamson (aprilfooling@yahoo.com)</t>
  </si>
  <si>
    <t>SH02519</t>
  </si>
  <si>
    <t>Tisha Wilder (thewildernorth1@gmail.com)</t>
  </si>
  <si>
    <t>SH02520</t>
  </si>
  <si>
    <t>Todd Garboski (beachbudsflorist@gmail...)</t>
  </si>
  <si>
    <t>SH02521</t>
  </si>
  <si>
    <t>Todd Lambirth (toddlambirth@gmail.com)</t>
  </si>
  <si>
    <t>SH02522</t>
  </si>
  <si>
    <t>Todd Watson (todd@orlandosmarket.com)</t>
  </si>
  <si>
    <t>SH02523</t>
  </si>
  <si>
    <t>TOM CUMMINS (tom@theapplehouse.com)</t>
  </si>
  <si>
    <t>SH02524</t>
  </si>
  <si>
    <t>Tom Dowd (tom@southflorals.com)</t>
  </si>
  <si>
    <t>SH02525</t>
  </si>
  <si>
    <t>Tom Ramiccio (tramiccio@aol.com)</t>
  </si>
  <si>
    <t>SH02526</t>
  </si>
  <si>
    <t>Tony Barone (poconotb@aol.com)</t>
  </si>
  <si>
    <t>SH02527</t>
  </si>
  <si>
    <t>Tonya Harrell (miss.taharrell@gmail.com)</t>
  </si>
  <si>
    <t>SH02528</t>
  </si>
  <si>
    <t>Tori Perry (whitehausta@gmail.com)</t>
  </si>
  <si>
    <t>SH02529</t>
  </si>
  <si>
    <t>TORI SANDERS (tsanders@kblawn.com)</t>
  </si>
  <si>
    <t>SH02530</t>
  </si>
  <si>
    <t>Tosha Larson (toshasun78@gmail.com)</t>
  </si>
  <si>
    <t>SH02531</t>
  </si>
  <si>
    <t>Tracey Bina (tcpie99@gmail.com)</t>
  </si>
  <si>
    <t>SH02532</t>
  </si>
  <si>
    <t>Tracey McMullen (tracey@whiteoakflowe...)</t>
  </si>
  <si>
    <t>SH02533</t>
  </si>
  <si>
    <t>traci fixx (tracifixx@gmail.com)</t>
  </si>
  <si>
    <t>SH02534</t>
  </si>
  <si>
    <t>Tracie Perkins (tracperks@gmail.com)</t>
  </si>
  <si>
    <t>SH02535</t>
  </si>
  <si>
    <t>Tracie Swearingen (ctkswearingen@yaho...)</t>
  </si>
  <si>
    <t>SH02536</t>
  </si>
  <si>
    <t>Tracy Andronic (sales@goodthymeplanti...)</t>
  </si>
  <si>
    <t>SH02537</t>
  </si>
  <si>
    <t>Tracy Andronic (ta@goodthymeplanting.com)</t>
  </si>
  <si>
    <t>SH02538</t>
  </si>
  <si>
    <t>Tracy Neal (tneal@flysnf.org)</t>
  </si>
  <si>
    <t>SH02539</t>
  </si>
  <si>
    <t>Tracy Ore (tore@stcloudstate.edu)</t>
  </si>
  <si>
    <t>SH02540</t>
  </si>
  <si>
    <t>Tracy Sell (tsell@stmteachers.org)</t>
  </si>
  <si>
    <t>SH02541</t>
  </si>
  <si>
    <t>Tracy Young Manos (tmanosw@lavenderan...)</t>
  </si>
  <si>
    <t>SH02542</t>
  </si>
  <si>
    <t>tracy young-manos (mmoraes@lavenderan...)</t>
  </si>
  <si>
    <t>SH02543</t>
  </si>
  <si>
    <t>Tremblay Kevin (me_real_estate@yahoo.com)</t>
  </si>
  <si>
    <t>SH02544</t>
  </si>
  <si>
    <t>Trent English (englishflowerfarm@gmai...)</t>
  </si>
  <si>
    <t>SH02545</t>
  </si>
  <si>
    <t>Trisha Redwine (trisharedwine@gmail.com)</t>
  </si>
  <si>
    <t>SH02546</t>
  </si>
  <si>
    <t>Trivia Flowers (tflowers@venuetogo.com)</t>
  </si>
  <si>
    <t>SH02547</t>
  </si>
  <si>
    <t>Troy Croft (briggsryan1993@gmail.com)</t>
  </si>
  <si>
    <t>SH02548</t>
  </si>
  <si>
    <t>Troy Sanders (avidauctionsllc@yahoo.com)</t>
  </si>
  <si>
    <t>SH02549</t>
  </si>
  <si>
    <t>Truc Pham (tkp4y8@gmail.com)</t>
  </si>
  <si>
    <t>SH02550</t>
  </si>
  <si>
    <t>Tuan Nguyen (hangle702@gmail.com)</t>
  </si>
  <si>
    <t>SH02551</t>
  </si>
  <si>
    <t>Tung Le (tungle3613@gmail.com)</t>
  </si>
  <si>
    <t>SH02552</t>
  </si>
  <si>
    <t>Tyler D'Angelo (tyler_dangelo@dpsnc.net)</t>
  </si>
  <si>
    <t>SH02553</t>
  </si>
  <si>
    <t>Tyler ONeil (the.tyler.oneil@gmail.com)</t>
  </si>
  <si>
    <t>SH02554</t>
  </si>
  <si>
    <t>Tyler Robb (pearlandtin@gmail.com)</t>
  </si>
  <si>
    <t>SH02555</t>
  </si>
  <si>
    <t>Tyler Robb (tylerjune1996@gmail.com)</t>
  </si>
  <si>
    <t>SH02556</t>
  </si>
  <si>
    <t>UK MOREDOCK (cherrycreekflorist@gmail...)</t>
  </si>
  <si>
    <t>SH02557</t>
  </si>
  <si>
    <t>Unique Simmons (usims704@yahoo.com)</t>
  </si>
  <si>
    <t>SH02558</t>
  </si>
  <si>
    <t>Valarie Hruza (doinbiz@msn.com)</t>
  </si>
  <si>
    <t>SH02559</t>
  </si>
  <si>
    <t>Valentina Zakharov (photosbyvz@gmail.com)</t>
  </si>
  <si>
    <t>SH02560</t>
  </si>
  <si>
    <t>Valerie Brando (hr@clementsmarket.com)</t>
  </si>
  <si>
    <t>SH02561</t>
  </si>
  <si>
    <t>Valerie Demaray (valeriedemaray@gmail...)</t>
  </si>
  <si>
    <t>SH02562</t>
  </si>
  <si>
    <t>Valerie Lake (valerielake@landrysland...)</t>
  </si>
  <si>
    <t>SH02563</t>
  </si>
  <si>
    <t>Valret K Thompson (valret.thompson@gm...)</t>
  </si>
  <si>
    <t>SH02564</t>
  </si>
  <si>
    <t>Vanessa Medina (theflowerbasketoc@gma...)</t>
  </si>
  <si>
    <t>SH02565</t>
  </si>
  <si>
    <t>Vanessa Smith (vsmith006@comcast.net)</t>
  </si>
  <si>
    <t>SH02566</t>
  </si>
  <si>
    <t>Venkata Ramakrishna Kota (kriss20052009@)</t>
  </si>
  <si>
    <t>SH02567</t>
  </si>
  <si>
    <t>vennissa scarlett (vennissascarlett@g...)</t>
  </si>
  <si>
    <t>SH02568</t>
  </si>
  <si>
    <t>Vennissa Scarlett-Bassey (info@scarle...)</t>
  </si>
  <si>
    <t>SH02569</t>
  </si>
  <si>
    <t>Venus Wilson (venushwilson@yahoo.com)</t>
  </si>
  <si>
    <t>SH02570</t>
  </si>
  <si>
    <t>Vera Hicks (arev77@aol.com)</t>
  </si>
  <si>
    <t>SH02571</t>
  </si>
  <si>
    <t>Verna Bair (vern9992004@yahoo.com)</t>
  </si>
  <si>
    <t>SH02572</t>
  </si>
  <si>
    <t>vernon weaver (doors@schlabachwooddes...)</t>
  </si>
  <si>
    <t>SH02573</t>
  </si>
  <si>
    <t>Verónica  Vázquez (veva0527@gmail.com)</t>
  </si>
  <si>
    <t>SH02574</t>
  </si>
  <si>
    <t>Veronica Amaya (vero.gamaya@gmail.com)</t>
  </si>
  <si>
    <t>SH02575</t>
  </si>
  <si>
    <t>Veronica Hernandez (hernandezveronica...)</t>
  </si>
  <si>
    <t>SH02576</t>
  </si>
  <si>
    <t>Veronica Protsenko (v.protsenko@yahoo...)</t>
  </si>
  <si>
    <t>SH02577</t>
  </si>
  <si>
    <t>Veronica Rico (rico2019remax@gmail.com)</t>
  </si>
  <si>
    <t>SH02578</t>
  </si>
  <si>
    <t>Veronica Rivera (carbonell.vero@gmail...)</t>
  </si>
  <si>
    <t>SH02579</t>
  </si>
  <si>
    <t>Veronica Sallee (bohobloomgirl@gmail.com)</t>
  </si>
  <si>
    <t>SH02580</t>
  </si>
  <si>
    <t>Verushka Garcia (verushka@stpaulwesto...)</t>
  </si>
  <si>
    <t>SH02581</t>
  </si>
  <si>
    <t>Vic Smirnow (vicanddrew@mac.com)</t>
  </si>
  <si>
    <t>SH02582</t>
  </si>
  <si>
    <t>Vicki Le (le.vicki@yahoo.com)</t>
  </si>
  <si>
    <t>SH02583</t>
  </si>
  <si>
    <t>Vicki McCormick (fabv66@yahoo.com)</t>
  </si>
  <si>
    <t>SH02584</t>
  </si>
  <si>
    <t>VICKI NATHALANG (armstrongflowers@com...)</t>
  </si>
  <si>
    <t>SH02585</t>
  </si>
  <si>
    <t>Vicki Thornton (bloomingneedles@myyah...)</t>
  </si>
  <si>
    <t>SH02586</t>
  </si>
  <si>
    <t>Vicki/Jeff Fisher (jfish7@gmail.com)</t>
  </si>
  <si>
    <t>SH02587</t>
  </si>
  <si>
    <t>vicky rotunno (vickyr@alsflorist.com)</t>
  </si>
  <si>
    <t>SH02588</t>
  </si>
  <si>
    <t>Victoria  Sowers (reds2y1992@gmail.com)</t>
  </si>
  <si>
    <t>SH02589</t>
  </si>
  <si>
    <t>Victoria Keeton (victoriakay92@gmail.com)</t>
  </si>
  <si>
    <t>SH02590</t>
  </si>
  <si>
    <t>victoria maijor (vickim120@aol.com)</t>
  </si>
  <si>
    <t>SH02591</t>
  </si>
  <si>
    <t>Victoria McCluggage (vicki@mccluggage...)</t>
  </si>
  <si>
    <t>SH02592</t>
  </si>
  <si>
    <t>Victoria Rodriguez (vriverahlk26@wi.r...)</t>
  </si>
  <si>
    <t>SH02593</t>
  </si>
  <si>
    <t>Victoria Stienstra (v.stienstra@gmail...)</t>
  </si>
  <si>
    <t>SH02594</t>
  </si>
  <si>
    <t>Victoria Vail (vailvictoria212@gmail.com)</t>
  </si>
  <si>
    <t>SH02595</t>
  </si>
  <si>
    <t>Viliana Iskreva (vil@spark0.com)</t>
  </si>
  <si>
    <t>SH02596</t>
  </si>
  <si>
    <t>Vilma DiBuono (floralfashions@gmail.com)</t>
  </si>
  <si>
    <t>SH02597</t>
  </si>
  <si>
    <t>Vincent Din (brandywallacejeanette@gm...)</t>
  </si>
  <si>
    <t>SH02598</t>
  </si>
  <si>
    <t>Vincent Kish (vincent@flaglerfloral.com)</t>
  </si>
  <si>
    <t>SH02599</t>
  </si>
  <si>
    <t>Virginia Detterman (boginfin@aol.com)</t>
  </si>
  <si>
    <t>SH02600</t>
  </si>
  <si>
    <t>Virginia Sager (ginsager@gmail.com)</t>
  </si>
  <si>
    <t>SH02601</t>
  </si>
  <si>
    <t>Vita Noga (vitamin_superstar@ymail.com)</t>
  </si>
  <si>
    <t>SH02602</t>
  </si>
  <si>
    <t>Vivian Sessoms (vsessoms1564@gmail.com)</t>
  </si>
  <si>
    <t>SH02603</t>
  </si>
  <si>
    <t>VIvian Veth (shopkimflowers@gmail.com)</t>
  </si>
  <si>
    <t>SH02604</t>
  </si>
  <si>
    <t>Vladimir Prince (princevladi@gmail.com)</t>
  </si>
  <si>
    <t>SH02605</t>
  </si>
  <si>
    <t>Wanda Fine (wandafine@gmail.com)</t>
  </si>
  <si>
    <t>SH02606</t>
  </si>
  <si>
    <t>WANDA PIORKOWSKI (suncityflorists@gma...)</t>
  </si>
  <si>
    <t>SH02607</t>
  </si>
  <si>
    <t>Wei Chen (firstflowergift@gmail.com)</t>
  </si>
  <si>
    <t>SH02608</t>
  </si>
  <si>
    <t>Wendy Carmean (wendycarmean@me.com)</t>
  </si>
  <si>
    <t>SH02609</t>
  </si>
  <si>
    <t>Wendy Garcia Euceda (wendyeuceda@aol.com)</t>
  </si>
  <si>
    <t>SH02610</t>
  </si>
  <si>
    <t>Wendy Rockcastle (wjrockcastle@rockca...)</t>
  </si>
  <si>
    <t>SH02611</t>
  </si>
  <si>
    <t>Wendy White (lwtrucking2@att.net)</t>
  </si>
  <si>
    <t>SH02612</t>
  </si>
  <si>
    <t>Wendy Williams (threesistersfarm50@ya...)</t>
  </si>
  <si>
    <t>SH02613</t>
  </si>
  <si>
    <t>Wesley Butler (wesleyjr1956@gmail.com)</t>
  </si>
  <si>
    <t>SH02614</t>
  </si>
  <si>
    <t>Weston Roberts (shopmarigoldflowers@g...)</t>
  </si>
  <si>
    <t>SH02615</t>
  </si>
  <si>
    <t>Weston Roberts (westonwroberts@gmail.com)</t>
  </si>
  <si>
    <t>SH02616</t>
  </si>
  <si>
    <t>Weston Roberts (wroberts@holycitycoll...)</t>
  </si>
  <si>
    <t>SH02617</t>
  </si>
  <si>
    <t>Whitney Amburn (wamburn@aol.com)</t>
  </si>
  <si>
    <t>SH02618</t>
  </si>
  <si>
    <t>Will Conway (stoneacresfarm393@gmail.com)</t>
  </si>
  <si>
    <t>SH02619</t>
  </si>
  <si>
    <t>SH02620</t>
  </si>
  <si>
    <t>Will Jenkins (dirthouseflowers@gmail.com)</t>
  </si>
  <si>
    <t>SH02621</t>
  </si>
  <si>
    <t>William Kent (haikutofu@yahoo.com)</t>
  </si>
  <si>
    <t>SH02622</t>
  </si>
  <si>
    <t>William Schwochow (bschwochow@woh.rr.com)</t>
  </si>
  <si>
    <t>SH02623</t>
  </si>
  <si>
    <t>William Serritslev (admin@solvangcpa.com)</t>
  </si>
  <si>
    <t>SH02624</t>
  </si>
  <si>
    <t>William Sherrill (kirksherrill@gmail.com)</t>
  </si>
  <si>
    <t>SH02625</t>
  </si>
  <si>
    <t>Windee Price (events@occasions2celebr...)</t>
  </si>
  <si>
    <t>SH02626</t>
  </si>
  <si>
    <t>Windsor Mack (windyshousekeeping@gmai...)</t>
  </si>
  <si>
    <t>SH02627</t>
  </si>
  <si>
    <t>Winnie Sample (billwinnie1@msn.com)</t>
  </si>
  <si>
    <t>SH02628</t>
  </si>
  <si>
    <t>wm brison (wmbrison@comcast.net)</t>
  </si>
  <si>
    <t>SH02629</t>
  </si>
  <si>
    <t>Womble Jennifer (jwomble@sbcglobal.net)</t>
  </si>
  <si>
    <t>SH02630</t>
  </si>
  <si>
    <t>SH02631</t>
  </si>
  <si>
    <t>Wynne Wright (sixteensprigs@gmail.com)</t>
  </si>
  <si>
    <t>SH02632</t>
  </si>
  <si>
    <t>ximena munoz botina (ellieflowersfl@g...)</t>
  </si>
  <si>
    <t>SH02633</t>
  </si>
  <si>
    <t>YADIRA Miranda (yadira2367@icloud.com)</t>
  </si>
  <si>
    <t>SH02634</t>
  </si>
  <si>
    <t>SH02635</t>
  </si>
  <si>
    <t>Yamilet Rodriguez (flakar54@gmail.com)</t>
  </si>
  <si>
    <t>SH02636</t>
  </si>
  <si>
    <t>Yamileth Lorenzo-Pelaez (ylorenzo200@...)</t>
  </si>
  <si>
    <t>SH02637</t>
  </si>
  <si>
    <t>Yanet Garcia (yanetgarcia02@icloud.com)</t>
  </si>
  <si>
    <t>SH02638</t>
  </si>
  <si>
    <t>Yen Nguyen (ezaifloral@gmail.com)</t>
  </si>
  <si>
    <t>SH02639</t>
  </si>
  <si>
    <t>Yeni Espinal (yespinalhe@gmail.com)</t>
  </si>
  <si>
    <t>SH02640</t>
  </si>
  <si>
    <t>yenni otero (yotero2020@gmail.com)</t>
  </si>
  <si>
    <t>SH02641</t>
  </si>
  <si>
    <t>Yessica Garcia (jessik_candanosa@hotm...)</t>
  </si>
  <si>
    <t>SH02642</t>
  </si>
  <si>
    <t>Yifat Mabary (mabary.yifat@gmail.com)</t>
  </si>
  <si>
    <t>SH02643</t>
  </si>
  <si>
    <t>Yingshuang Xu (liana070702@gmail.com)</t>
  </si>
  <si>
    <t>SH02644</t>
  </si>
  <si>
    <t>Yoselin Gonzalez (yoselinsolano@yahoo...)</t>
  </si>
  <si>
    <t>SH02645</t>
  </si>
  <si>
    <t>yunsong li (yl1861@nyu.edu)</t>
  </si>
  <si>
    <t>SH02646</t>
  </si>
  <si>
    <t>Yvette Frazier (ysdevents@yahoo.com)</t>
  </si>
  <si>
    <t>SH02647</t>
  </si>
  <si>
    <t>Yvonne Deatherage (yvonnenc@icloud.com)</t>
  </si>
  <si>
    <t>SH02648</t>
  </si>
  <si>
    <t>SH02649</t>
  </si>
  <si>
    <t>Zeolah Oglesby (zeolaho@gmail.com)</t>
  </si>
  <si>
    <t>SH02650</t>
  </si>
  <si>
    <t>Zhanna Andreyanov (zandreyanov@yahoo.com)</t>
  </si>
  <si>
    <t>SH02651</t>
  </si>
  <si>
    <t>Zoullin Ballman (zballman01@yahoo.com)</t>
  </si>
  <si>
    <t>SH02652</t>
  </si>
  <si>
    <t>Zuly Morales (zullymmorales@aol.com)</t>
  </si>
  <si>
    <t>SH02653</t>
  </si>
  <si>
    <t>Arika Monteilh (arika98@yahoo.com)</t>
  </si>
  <si>
    <t>SH02654</t>
  </si>
  <si>
    <t>Dorothy Prokopovich (annlove2915@yaho...)</t>
  </si>
  <si>
    <t>SH02655</t>
  </si>
  <si>
    <t>Sarah Joslow (sjoslow@me.com)</t>
  </si>
  <si>
    <t>SH02656</t>
  </si>
  <si>
    <t>Erika Roman (aroman632@gmail.com)</t>
  </si>
  <si>
    <t>SH02657</t>
  </si>
  <si>
    <t>cortney Pfeiffer (camccomas@hotmail.com)</t>
  </si>
  <si>
    <t>SH02658</t>
  </si>
  <si>
    <t>Megan Hunt (meganghunt25@gmail.com)</t>
  </si>
  <si>
    <t>SH02659</t>
  </si>
  <si>
    <t>Erika Roman (eroman08@gmail.com)</t>
  </si>
  <si>
    <t>SH02660</t>
  </si>
  <si>
    <t>Cindy Smith-Putnam (bleedingheartflow...)</t>
  </si>
  <si>
    <t>SH02661</t>
  </si>
  <si>
    <t>Melissa Gryspeerdt (melisgrysp@gmail.com)</t>
  </si>
  <si>
    <t>SH02662</t>
  </si>
  <si>
    <t>Calliope Bosen (calliopebosen@gmail.com)</t>
  </si>
  <si>
    <t>SH02663</t>
  </si>
  <si>
    <t>Betty Mcguffey (acountryrose@comcast.net)</t>
  </si>
  <si>
    <t>SH02664</t>
  </si>
  <si>
    <t>Ed Webber (ed@jerichomountainfarms.com)</t>
  </si>
  <si>
    <t>SH02665</t>
  </si>
  <si>
    <t>Vicki McCullough (vickimccullough@yah...)</t>
  </si>
  <si>
    <t>SH02666</t>
  </si>
  <si>
    <t>VANESSA LAPLANTE (dreamweddingandplan...)</t>
  </si>
  <si>
    <t>SH02667</t>
  </si>
  <si>
    <t>Carlos Cabrera (cabrerahcarlos@gmail.com)</t>
  </si>
  <si>
    <t>SH02668</t>
  </si>
  <si>
    <t>Katie Nemeth (opengatefarmwestport@gm...)</t>
  </si>
  <si>
    <t>SH02669</t>
  </si>
  <si>
    <t>Liza Fiorentinos (info@luludi.net)</t>
  </si>
  <si>
    <t>SH02670</t>
  </si>
  <si>
    <t>SH02671</t>
  </si>
  <si>
    <t>Kelly Fleming (flemingkelly@gmail.com)</t>
  </si>
  <si>
    <t>SH02672</t>
  </si>
  <si>
    <t>SH02673</t>
  </si>
  <si>
    <t>SH02674</t>
  </si>
  <si>
    <t>SH02675</t>
  </si>
  <si>
    <t>Diana Moore (diana@ddthmg.com)</t>
  </si>
  <si>
    <t>SH02676</t>
  </si>
  <si>
    <t>Hector Torres (exoticflowersbyhector@...)</t>
  </si>
  <si>
    <t>SH02677</t>
  </si>
  <si>
    <t>Jessica Quick (hi@storylinesfloralco.com)</t>
  </si>
  <si>
    <t>SH02678</t>
  </si>
  <si>
    <t>Mercy Gallegos (gallegosmercy@yahoo.com)</t>
  </si>
  <si>
    <t>SH02679</t>
  </si>
  <si>
    <t>SH02680</t>
  </si>
  <si>
    <t>Patricia Florist) (westgatep@comcast.net)</t>
  </si>
  <si>
    <t>SH02681</t>
  </si>
  <si>
    <t>SH02682</t>
  </si>
  <si>
    <t>Cindy Henderson (cindyhenderson4453@g...)</t>
  </si>
  <si>
    <t>SH02683</t>
  </si>
  <si>
    <t>Liz Tinter flowers@olmstedfallscuttinggarden.com</t>
  </si>
  <si>
    <t>SH02684</t>
  </si>
  <si>
    <t>Rosalie Graham (rrgraham@lighttube.net)</t>
  </si>
  <si>
    <t>SH02685</t>
  </si>
  <si>
    <t>Jannie Kleiver (mesoo24@hotmail.com)</t>
  </si>
  <si>
    <t>SH02686</t>
  </si>
  <si>
    <t>Chandler Rossi (chandler@davidsdaught...)</t>
  </si>
  <si>
    <t>SH02687</t>
  </si>
  <si>
    <t>Mary OConnell (paradisefarmschool@gma...)</t>
  </si>
  <si>
    <t>SH02688</t>
  </si>
  <si>
    <t>SH02689</t>
  </si>
  <si>
    <t>Shohreh Parsa (mpt1346@gmail.com)</t>
  </si>
  <si>
    <t>SH02690</t>
  </si>
  <si>
    <t>deb ellison (debellison2@gmail.com)</t>
  </si>
  <si>
    <t>SH02691</t>
  </si>
  <si>
    <t>Cynthia Kunsa (honeybgirl83@yahoo.com)</t>
  </si>
  <si>
    <t>SH02692</t>
  </si>
  <si>
    <t>Darlene Durbin (darlene@omcfriends.com)</t>
  </si>
  <si>
    <t>SH02693</t>
  </si>
  <si>
    <t>Amy Kohan (amykohan@comcast.net)</t>
  </si>
  <si>
    <t>SH02694</t>
  </si>
  <si>
    <t>Emily Conable (ecconable@yahoo.com)</t>
  </si>
  <si>
    <t>SH02695</t>
  </si>
  <si>
    <t>Panhia Hicks (plor637@gmail.com)</t>
  </si>
  <si>
    <t>SH02696</t>
  </si>
  <si>
    <t>Katharine Mitchell (foxie@mitchell-in...)</t>
  </si>
  <si>
    <t>SH02697</t>
  </si>
  <si>
    <t>David Cousins (dcousins@qx.net)</t>
  </si>
  <si>
    <t>SH02698</t>
  </si>
  <si>
    <t>Eric Reiner (ericreiner@comcast.net)</t>
  </si>
  <si>
    <t>SH02699</t>
  </si>
  <si>
    <t>Tammy Chapman (hello@littlesistersfar...)</t>
  </si>
  <si>
    <t>SH02700</t>
  </si>
  <si>
    <t>Anne Burnett (annembur@gmail.com)</t>
  </si>
  <si>
    <t>SH02701</t>
  </si>
  <si>
    <t>Nacole Stacey (nacolestacey@yahoo.com)</t>
  </si>
  <si>
    <t>SH02702</t>
  </si>
  <si>
    <t>Linda Quade (quadelinda@hughes.net)</t>
  </si>
  <si>
    <t>SH02703</t>
  </si>
  <si>
    <t>Jing Chu (info@sunnyflorists.com)</t>
  </si>
  <si>
    <t>SH02704</t>
  </si>
  <si>
    <t>Jakob Hovhannisyan (hakobchs@gmail.com)</t>
  </si>
  <si>
    <t>SH02705</t>
  </si>
  <si>
    <t>MITZI ALEXANDER (absolutely_flowers@s...)</t>
  </si>
  <si>
    <t>SH02706</t>
  </si>
  <si>
    <t>Amanda Noll (amandamnoll@gmail.com)</t>
  </si>
  <si>
    <t>SH02707</t>
  </si>
  <si>
    <t>Corine DeFrancesco (defrancescofarmst...)</t>
  </si>
  <si>
    <t>SH02708</t>
  </si>
  <si>
    <t>Mallory McGrath (mallory@honest-flowe...)</t>
  </si>
  <si>
    <t>SH02709</t>
  </si>
  <si>
    <t>Tarak Choksi (tchoksi@hotmail.com)</t>
  </si>
  <si>
    <t>SH02710</t>
  </si>
  <si>
    <t>Three Floral (flowers@threesistersfloral)</t>
  </si>
  <si>
    <t>SH02711</t>
  </si>
  <si>
    <t>Joseph King (jjking52@yahoo.com)</t>
  </si>
  <si>
    <t>SH02712</t>
  </si>
  <si>
    <t>Lisa Gartley Black (lblackssmonte@comcas)</t>
  </si>
  <si>
    <t>SH02713</t>
  </si>
  <si>
    <t>Kayla Brock (ruthsfloristbykb@gmail.com)</t>
  </si>
  <si>
    <t>SH02714</t>
  </si>
  <si>
    <t>Remy Brault (labellumflowers@gmail.com)</t>
  </si>
  <si>
    <t>SH02715</t>
  </si>
  <si>
    <t>Teresa Posey (troseyposey@gmail.com)</t>
  </si>
  <si>
    <t>SH02716</t>
  </si>
  <si>
    <t>Lauren McGovern (lem92@aol.com)</t>
  </si>
  <si>
    <t>SH02717</t>
  </si>
  <si>
    <t>Daniel Marroquin (dmarroquin86@hotmail.c)</t>
  </si>
  <si>
    <t>SH02718</t>
  </si>
  <si>
    <t>Misrak Woldehana (misrak.decor@gmail.com)</t>
  </si>
  <si>
    <t>SH02719</t>
  </si>
  <si>
    <t>Jay Rutig (uroflor@aol.com)</t>
  </si>
  <si>
    <t>SH02720</t>
  </si>
  <si>
    <t>Christina Gildred (christina@ccfloralstu)</t>
  </si>
  <si>
    <t>SH02721</t>
  </si>
  <si>
    <t>Michelle Ellsworth (michpip04@aol.com)</t>
  </si>
  <si>
    <t>SH02722</t>
  </si>
  <si>
    <t>Christina DeLoach (cncrosby86@gmail.com)</t>
  </si>
  <si>
    <t>SH02723</t>
  </si>
  <si>
    <t>Wendy Bolton (wendy-bolton@live.com)</t>
  </si>
  <si>
    <t>SH02724</t>
  </si>
  <si>
    <t>Debra Helton (heltondebra13@gmail.com)</t>
  </si>
  <si>
    <t>SH02725</t>
  </si>
  <si>
    <t>Jeffrey Boylan (jjpb1063@comcast.net)</t>
  </si>
  <si>
    <t>SH02726</t>
  </si>
  <si>
    <t>Denise Moeller (dmoe39@gmail.com)</t>
  </si>
  <si>
    <t>SH02727</t>
  </si>
  <si>
    <t>Adrienne David (adavid7030@gmail.com)</t>
  </si>
  <si>
    <t>SH02728</t>
  </si>
  <si>
    <t>Fatima Bazzi (info@studioterrain.com)</t>
  </si>
  <si>
    <t>SH02729</t>
  </si>
  <si>
    <t>Briana Bentley(bribri101005@icloud.com)</t>
  </si>
  <si>
    <t>SH02730</t>
  </si>
  <si>
    <t>Patrick Higgins (patrick@artisticfloralsi</t>
  </si>
  <si>
    <t>SH02731</t>
  </si>
  <si>
    <t>Kathy Courson (kathycourson@yahoo.com)</t>
  </si>
  <si>
    <t>SH02732</t>
  </si>
  <si>
    <t>Ann Costa (anncosta16@gmail.com)</t>
  </si>
  <si>
    <t>SH02733</t>
  </si>
  <si>
    <t>Ruslan Chyhryn (buzokflowersllc@gmail...)</t>
  </si>
  <si>
    <t>SH02734</t>
  </si>
  <si>
    <t>Emily Singh (sweeneysfloralshop@gmail...)</t>
  </si>
  <si>
    <t>SH02735</t>
  </si>
  <si>
    <t>Andrea Hayes (andrea@theflowertree.net)</t>
  </si>
  <si>
    <t>SH02736</t>
  </si>
  <si>
    <t>Maxwell Verhey (coo@mykdmarket.com)</t>
  </si>
  <si>
    <t>SH02737</t>
  </si>
  <si>
    <t>SH02738</t>
  </si>
  <si>
    <t>Nikki Mackenzie (nikki@magpieblossoms...)</t>
  </si>
  <si>
    <t>SH02739</t>
  </si>
  <si>
    <t>Emily Martineau (emartineau819@gmail.com)</t>
  </si>
  <si>
    <t>SH02740</t>
  </si>
  <si>
    <t>Caitlyn Wiederhoeft (caitlynshannanbe...)</t>
  </si>
  <si>
    <t>SH02741</t>
  </si>
  <si>
    <t>Leah Filomena (info@bubblesandbloomsn...)</t>
  </si>
  <si>
    <t>SH02742</t>
  </si>
  <si>
    <t>Athina Xirogiannis (axirogiannis61@gm...)</t>
  </si>
  <si>
    <t>SH02743</t>
  </si>
  <si>
    <t>Caterina Gibson (cathygibson65@gmail.com)</t>
  </si>
  <si>
    <t>SH02744</t>
  </si>
  <si>
    <t>Aleksandra Mele (leksamele@gmail.com)</t>
  </si>
  <si>
    <t>SH02745</t>
  </si>
  <si>
    <t>KATHERINE NGUYEN (kthyhanguyen@gmail.com)</t>
  </si>
  <si>
    <t>SH02746</t>
  </si>
  <si>
    <t>Shauna Self (shaunaself@gmail.com)</t>
  </si>
  <si>
    <t>SH02747</t>
  </si>
  <si>
    <t>Malene Cothran (marlenec@cannatas.com)</t>
  </si>
  <si>
    <t>SH02748</t>
  </si>
  <si>
    <t>Kelly Robertson (kkrobertson82@gmail.com)</t>
  </si>
  <si>
    <t>SH02749</t>
  </si>
  <si>
    <t>Mayra Magana (flowerspacificl@gmail.com)</t>
  </si>
  <si>
    <t>SH02750</t>
  </si>
  <si>
    <t>Thuan Hong (thuan.hong@lambweston.com)</t>
  </si>
  <si>
    <t>SH02751</t>
  </si>
  <si>
    <t>SH02752</t>
  </si>
  <si>
    <t>Robert Cash (Rcash@rdcmwservices.com)</t>
  </si>
  <si>
    <t>SH02753</t>
  </si>
  <si>
    <t>Shannon LaVoie (shannon@raresparrow.com)</t>
  </si>
  <si>
    <t>SH02754</t>
  </si>
  <si>
    <t>Cameron Helsel (chelsel@cidsfoodmarke...)</t>
  </si>
  <si>
    <t>SH02755</t>
  </si>
  <si>
    <t>April Fritz (sherrysflowershop@yahoo.com)</t>
  </si>
  <si>
    <t>SH02756</t>
  </si>
  <si>
    <t>Gianna Mazza (gmazza612@gmail.com)</t>
  </si>
  <si>
    <t>SH02757</t>
  </si>
  <si>
    <t>Tore Kragerud (tkragerud@gmail.com)</t>
  </si>
  <si>
    <t>SH02758</t>
  </si>
  <si>
    <t>Kelly Marble (kelly@marbleandcompany.com)</t>
  </si>
  <si>
    <t>SH02759</t>
  </si>
  <si>
    <t>Madeline Clark (madelineclark5@gmail.com)</t>
  </si>
  <si>
    <t>SH02760</t>
  </si>
  <si>
    <t>Jim Hodge (jhodge01@yahoo.com)</t>
  </si>
  <si>
    <t>SH02761</t>
  </si>
  <si>
    <t>SH02762</t>
  </si>
  <si>
    <t>Lori Bradshaw (restoreonellc@gmail.com)</t>
  </si>
  <si>
    <t>SH02763</t>
  </si>
  <si>
    <t>Katie Robertson (katie@yarrowfloralco...)</t>
  </si>
  <si>
    <t>SH02764</t>
  </si>
  <si>
    <t>Nicholas Henley (nhenley@elgaucho.com)</t>
  </si>
  <si>
    <t>SH02765</t>
  </si>
  <si>
    <t>RENA Izyaguyev (flowersbyrena@gmail.com)</t>
  </si>
  <si>
    <t>SH02766</t>
  </si>
  <si>
    <t>Hannah Brzozowski (hannah.brzozowski@...)</t>
  </si>
  <si>
    <t>SH02767</t>
  </si>
  <si>
    <t>Jennifer Smith (jsmith@karenannquinla...)</t>
  </si>
  <si>
    <t>SH02768</t>
  </si>
  <si>
    <t>Elizabeth Calihan (ecalihan@yahoo.com)</t>
  </si>
  <si>
    <t>SH02769</t>
  </si>
  <si>
    <t>Marie Kitchen (mk411@mac.com)</t>
  </si>
  <si>
    <t>SH02770</t>
  </si>
  <si>
    <t>Ted Raymond (ted@davidbrownflowers.com)</t>
  </si>
  <si>
    <t>SH02771</t>
  </si>
  <si>
    <t>Becky O'Brien (2beckyobrien@gmail.com)</t>
  </si>
  <si>
    <t>SH02772</t>
  </si>
  <si>
    <t>Donell McMullen (donellmcmullen@gmail...)</t>
  </si>
  <si>
    <t>SH02773</t>
  </si>
  <si>
    <t>elizabeth jaime (elizabethvjaime@gmai...)</t>
  </si>
  <si>
    <t>SH02774</t>
  </si>
  <si>
    <t>Olga Garrido (ogarrido@cs-nri.com)</t>
  </si>
  <si>
    <t>SH02775</t>
  </si>
  <si>
    <t>Olga Rodriguez(olgalopez2288@icloud.com)</t>
  </si>
  <si>
    <t>SH02776</t>
  </si>
  <si>
    <t>Ulysses Grant Dietz (ulysses.dietz@gm...)</t>
  </si>
  <si>
    <t>SH02777</t>
  </si>
  <si>
    <t>Haley Graber (haleynicole.graber@gmai...)</t>
  </si>
  <si>
    <t>SH02778</t>
  </si>
  <si>
    <t>Tenna Griffin (tennagriffin@gmail.com)</t>
  </si>
  <si>
    <t>SH02779</t>
  </si>
  <si>
    <t>Lisa Grim (lgrim@silosontablerock.com)</t>
  </si>
  <si>
    <t>SH02780</t>
  </si>
  <si>
    <t>Tammy Ho (khanhtamdl@yahoo.com)</t>
  </si>
  <si>
    <t>SH02781</t>
  </si>
  <si>
    <t>michelle rose (michelle@minkaflowers.com)</t>
  </si>
  <si>
    <t>SH02782</t>
  </si>
  <si>
    <t>Deanna Tran (dluu_124@yahoo.com)</t>
  </si>
  <si>
    <t>SH02783</t>
  </si>
  <si>
    <t>Brigido Garcia (brigidomartinez2010@g...)</t>
  </si>
  <si>
    <t>SH02784</t>
  </si>
  <si>
    <t>heidi dziubla (heidi@floraldesignbyhe...)</t>
  </si>
  <si>
    <t>SH02785</t>
  </si>
  <si>
    <t>Cody Van Ness (vannesslindsey@hotmail...)</t>
  </si>
  <si>
    <t>SH02786</t>
  </si>
  <si>
    <t>Sandra Ceballos (pimenteloddie@yahoo.com)</t>
  </si>
  <si>
    <t>SH02787</t>
  </si>
  <si>
    <t>Cynthia Humphrey (cynthiahumphrey@me.com)</t>
  </si>
  <si>
    <t>SH02788</t>
  </si>
  <si>
    <t>Tricia Benton (Tbenton@floralsandboar...)</t>
  </si>
  <si>
    <t>SH02789</t>
  </si>
  <si>
    <t>Lydia Itsell (lydia.itsell@ingka.ikea...)</t>
  </si>
  <si>
    <t>SH02790</t>
  </si>
  <si>
    <t>Rita Attisha (itsfestivedeco@gmail.com)</t>
  </si>
  <si>
    <t>SH02791</t>
  </si>
  <si>
    <t>Kenneth Miranda (kennethmiranda510@gm...)</t>
  </si>
  <si>
    <t>SH02793</t>
  </si>
  <si>
    <t>SH02794</t>
  </si>
  <si>
    <t>tj greco (tgreco@mfgpc.com)</t>
  </si>
  <si>
    <t>SH02795</t>
  </si>
  <si>
    <t>Susan Coccia (susan@petals-parties.com)</t>
  </si>
  <si>
    <t>SH02796</t>
  </si>
  <si>
    <t>Jenna Penticoff-Falkum (jpentico@scad...)</t>
  </si>
  <si>
    <t>SH02797</t>
  </si>
  <si>
    <t>Debbie Corey (debbiecorey@gmail.com)</t>
  </si>
  <si>
    <t>SH02798</t>
  </si>
  <si>
    <t>Neiman Hill (neimantalbothill2@yahoo.com)</t>
  </si>
  <si>
    <t>SH02799</t>
  </si>
  <si>
    <t>SH02800</t>
  </si>
  <si>
    <t>Linda Stoddard (Lleonar2@twcny.rr.com)</t>
  </si>
  <si>
    <t>SH02801</t>
  </si>
  <si>
    <t>John Varvarigos (jordan@wellingtonflo...)</t>
  </si>
  <si>
    <t>SH02802</t>
  </si>
  <si>
    <t>Hope Creature (hope@creatures-plants-...)</t>
  </si>
  <si>
    <t>SH02803</t>
  </si>
  <si>
    <t>benjamin vazquez (cocofreshflowers@gm...)</t>
  </si>
  <si>
    <t>SH02804</t>
  </si>
  <si>
    <t>Gloria Marroquin (marroquin.joy@gmail...)</t>
  </si>
  <si>
    <t>SH02805</t>
  </si>
  <si>
    <t>SH02806</t>
  </si>
  <si>
    <t>Fabio Arruda (fabio.arruda04@gmail.com)</t>
  </si>
  <si>
    <t>SH02807</t>
  </si>
  <si>
    <t>Aaron Way (mraaronway@gmail.com)</t>
  </si>
  <si>
    <t>SH02808</t>
  </si>
  <si>
    <t>Flowers By Rena @ co</t>
  </si>
  <si>
    <t>SH02809</t>
  </si>
  <si>
    <t>Peggy Sensabaugh (peggyann30294@gmail...)</t>
  </si>
  <si>
    <t>SH02810</t>
  </si>
  <si>
    <t>Rachel ZEIGLER (rrzeigler56@gmail.com)</t>
  </si>
  <si>
    <t>SH02811</t>
  </si>
  <si>
    <t>Erika Roman (eroman@concretepetals.com)</t>
  </si>
  <si>
    <t>SH02812</t>
  </si>
  <si>
    <t>Mary Harrell (jharrell.am@gmail.com)</t>
  </si>
  <si>
    <t>SH02813</t>
  </si>
  <si>
    <t>SH02814</t>
  </si>
  <si>
    <t>Chelsea Cheung (chelseatcheung@gmail.com)</t>
  </si>
  <si>
    <t>SH02815</t>
  </si>
  <si>
    <t>Laura Waring (lauraandrobert@knology.net)</t>
  </si>
  <si>
    <t>SH02816</t>
  </si>
  <si>
    <t>Amy Murray (downtownfloralconc@gmail.com)</t>
  </si>
  <si>
    <t>SH02817</t>
  </si>
  <si>
    <t>MaSheila Brown (masheila.brown@gmail.com)</t>
  </si>
  <si>
    <t>SH02818</t>
  </si>
  <si>
    <t>Maria Gonzalez (mari_gonzalez2921@yah...)</t>
  </si>
  <si>
    <t>SH02819</t>
  </si>
  <si>
    <t>Melvin Stoltzfus (melcent@ibyfax.com)</t>
  </si>
  <si>
    <t>SH02820</t>
  </si>
  <si>
    <t>kristin Katsourakis (thesocialstudiol...)</t>
  </si>
  <si>
    <t>SH02821</t>
  </si>
  <si>
    <t>Kyusung Kang (divinepure@gmail.com)</t>
  </si>
  <si>
    <t>SH02822</t>
  </si>
  <si>
    <t>Marie Amerson(marie_amerson@hotmail.com)</t>
  </si>
  <si>
    <t>SH02823</t>
  </si>
  <si>
    <t>Tami Abernathy (tami@thebloomingbride)</t>
  </si>
  <si>
    <t>SH02824</t>
  </si>
  <si>
    <t>Tara korjeski (tarak821@gmail.com)</t>
  </si>
  <si>
    <t>SH02825</t>
  </si>
  <si>
    <t>SH02826</t>
  </si>
  <si>
    <t>SH02827</t>
  </si>
  <si>
    <t>SH02828</t>
  </si>
  <si>
    <t>Paula Stallard (pstallard@christchurc..)</t>
  </si>
  <si>
    <t>SH02829</t>
  </si>
  <si>
    <t>Pedro Sengsone (thecbdplusstore@outlo..)</t>
  </si>
  <si>
    <t>SH02830</t>
  </si>
  <si>
    <t>Chanthavy Keovilay Abrams (bloomfield..)</t>
  </si>
  <si>
    <t>SH02831</t>
  </si>
  <si>
    <t>SH02832</t>
  </si>
  <si>
    <t>SH02833</t>
  </si>
  <si>
    <t>SH02834</t>
  </si>
  <si>
    <t>Kimberly Gutowsky (kimberly.melton@gm..)</t>
  </si>
  <si>
    <t>SH02836</t>
  </si>
  <si>
    <t>SH02837</t>
  </si>
  <si>
    <t>SH02838</t>
  </si>
  <si>
    <t>Stephanie Herrera (sherrera0312@yahoo..)</t>
  </si>
  <si>
    <t>SH02839</t>
  </si>
  <si>
    <t>Crystal Vue (crystalvue98@gmail.com)</t>
  </si>
  <si>
    <t>SH02840</t>
  </si>
  <si>
    <t>Christina Browning (crbrowning4660@ou..)</t>
  </si>
  <si>
    <t>SH02841</t>
  </si>
  <si>
    <t>Luke Esford esfordfamily@gmail.com</t>
  </si>
  <si>
    <t>SH02842</t>
  </si>
  <si>
    <t>Robert McLaughlin kristine@floridafreshevents.com</t>
  </si>
  <si>
    <t>SH02843</t>
  </si>
  <si>
    <t>Natanya Piper natanyapiper@gmail.com</t>
  </si>
  <si>
    <t>SH02844</t>
  </si>
  <si>
    <t>Laura Azevedo threelittlebudsfarm@gmail.com</t>
  </si>
  <si>
    <t>SH02845</t>
  </si>
  <si>
    <t>Nancy Weibye bsbouquets@aol.com</t>
  </si>
  <si>
    <t>SH02846</t>
  </si>
  <si>
    <t>Kathy Sexton kathysexton5252@gmail.com</t>
  </si>
  <si>
    <t>SH02847</t>
  </si>
  <si>
    <t>Muffie DoNaldson muffie@abideawhile.com</t>
  </si>
  <si>
    <t>SH02848</t>
  </si>
  <si>
    <t>James Van Acker vanackerp544@gmail.com</t>
  </si>
  <si>
    <t>SH02849</t>
  </si>
  <si>
    <t>Lacie Fallin fictitious.flowers@gmail.com</t>
  </si>
  <si>
    <t>SH02850</t>
  </si>
  <si>
    <t>Aarika Osborne jessicasattic.designs@yahoo.com</t>
  </si>
  <si>
    <t>SH02851</t>
  </si>
  <si>
    <t>orders@etc.studio</t>
  </si>
  <si>
    <t>SH02852</t>
  </si>
  <si>
    <t>Wilma Stacey missnmar@aol.com</t>
  </si>
  <si>
    <t>SH02853</t>
  </si>
  <si>
    <t>sanela jenkins liadavis@gmail.com</t>
  </si>
  <si>
    <t>SH02854</t>
  </si>
  <si>
    <t>Lynn Reuschel lynn.reuschel@gmail.com</t>
  </si>
  <si>
    <t>SH02855</t>
  </si>
  <si>
    <t>Mary Sirisky flowercottagesc@yahoo.com</t>
  </si>
  <si>
    <t>SH02856</t>
  </si>
  <si>
    <t>Martha Beckort mjbeckort@gmail.com</t>
  </si>
  <si>
    <t>SH02857</t>
  </si>
  <si>
    <t>Julie Aijala info@bloomfloraldesign.com</t>
  </si>
  <si>
    <t>SH02858</t>
  </si>
  <si>
    <t>Lane Doyle lane.ldf@gmail.com</t>
  </si>
  <si>
    <t>SH02859</t>
  </si>
  <si>
    <t>Keyanna McClarty keyanna_mcclarty@yahoo.com</t>
  </si>
  <si>
    <t>SH02860</t>
  </si>
  <si>
    <t>janie merritt jmaburkhalter@gmail.com</t>
  </si>
  <si>
    <t>SH02861</t>
  </si>
  <si>
    <t>Tonya Rich lastingimpressions145@gmail.com</t>
  </si>
  <si>
    <t>SH02862</t>
  </si>
  <si>
    <t>laura slovich peaceandpetalsflorist@gmail.com</t>
  </si>
  <si>
    <t>SH02863</t>
  </si>
  <si>
    <t>lynette adams lynettea1120@yahoo.com</t>
  </si>
  <si>
    <t>SH02864</t>
  </si>
  <si>
    <t>Kelly Warden aperfectbloom@yahoo.com</t>
  </si>
  <si>
    <t>SH02865</t>
  </si>
  <si>
    <t>Alexandra Morton sunkissedfloral24@gmail.com</t>
  </si>
  <si>
    <t>SH02866</t>
  </si>
  <si>
    <t>David Long davidlonginteriors@gmail.com</t>
  </si>
  <si>
    <t>SH02867</t>
  </si>
  <si>
    <t>Susan Flowers sflow239@yahoo.com</t>
  </si>
  <si>
    <t>SH02868</t>
  </si>
  <si>
    <t>Abby Brooks blackdogbloomsmaine@gmail.com</t>
  </si>
  <si>
    <t>SH02869</t>
  </si>
  <si>
    <t>SH02870</t>
  </si>
  <si>
    <t>Bird Haven Greenhouse dradzik@jolietpark.org</t>
  </si>
  <si>
    <t>SH02871</t>
  </si>
  <si>
    <t>Kathryn Fekete kathryn.fekete@gmail.com</t>
  </si>
  <si>
    <t>SH02872</t>
  </si>
  <si>
    <t>Rebecca Zorn beccazorndesigns@gmail.com</t>
  </si>
  <si>
    <t>SH02873</t>
  </si>
  <si>
    <t>Susan Strait suestrait17@gmail.com</t>
  </si>
  <si>
    <t>SH02874</t>
  </si>
  <si>
    <t>SH02875</t>
  </si>
  <si>
    <t>Lizette Estrada lizzettees@icloud.com</t>
  </si>
  <si>
    <t>SH02876</t>
  </si>
  <si>
    <t>Melyna Stinson melynadixiestinson@gmail.com</t>
  </si>
  <si>
    <t>SH02877</t>
  </si>
  <si>
    <t>Joann Hackman Hackman1983@comcast.net</t>
  </si>
  <si>
    <t>SH02878</t>
  </si>
  <si>
    <t>Victoria Wallace hrmyinclr@gmail.com</t>
  </si>
  <si>
    <t>SH02879</t>
  </si>
  <si>
    <t>Angela Chen flowers@jephry.com</t>
  </si>
  <si>
    <t>SH02880</t>
  </si>
  <si>
    <t>Juli Martinez juli@hopecommunityms.com</t>
  </si>
  <si>
    <t>SH02881</t>
  </si>
  <si>
    <t>bella vu bellavu01@gmail.com</t>
  </si>
  <si>
    <t>SH02882</t>
  </si>
  <si>
    <t>Dawna Sherrell lattaflowershop@yahoo.com</t>
  </si>
  <si>
    <t>SH02883</t>
  </si>
  <si>
    <t>Sandra Bemis sssbemis@msn.com</t>
  </si>
  <si>
    <t>SH02884</t>
  </si>
  <si>
    <t>Colleen Clausen aprilsgardendurango@gmail.com</t>
  </si>
  <si>
    <t>SH02885</t>
  </si>
  <si>
    <t>Jennifer Boyer jennifer@jenbs.com</t>
  </si>
  <si>
    <t>SH02886</t>
  </si>
  <si>
    <t>Marsha Stipp stippm@usd413.org</t>
  </si>
  <si>
    <t>SH02887</t>
  </si>
  <si>
    <t>Brent Wride bwride@rqn.com</t>
  </si>
  <si>
    <t>SH02888</t>
  </si>
  <si>
    <t>Gwyneth Murphy gmurphy4209@icloud.com</t>
  </si>
  <si>
    <t>SH02889</t>
  </si>
  <si>
    <t>Shelley Kentrikon Noufaro olga@designyourdayevents.com</t>
  </si>
  <si>
    <t>SH02890</t>
  </si>
  <si>
    <t>Helen Griffin helengriffin48@gmail.com</t>
  </si>
  <si>
    <t>SH02891</t>
  </si>
  <si>
    <t>Sydney Stewart sydneyrae2121@gmail.com</t>
  </si>
  <si>
    <t>SH02892</t>
  </si>
  <si>
    <t>Frances Lidwell Frances@mdssf.org</t>
  </si>
  <si>
    <t>SH02893</t>
  </si>
  <si>
    <t>Sergio Rochet sales@solmaryfp.com</t>
  </si>
  <si>
    <t>SH02894</t>
  </si>
  <si>
    <t>Heather Simunich HSIMUNICH@AUTOFOL.COM</t>
  </si>
  <si>
    <t>SH02895</t>
  </si>
  <si>
    <t>vkshw7@gmail.com</t>
  </si>
  <si>
    <t>SH02896</t>
  </si>
  <si>
    <t>Heriberto Granados queenflowersclt@gmail.com</t>
  </si>
  <si>
    <t>SH02897</t>
  </si>
  <si>
    <t>Concepcion Bencomo conchita.bencomo@live.com</t>
  </si>
  <si>
    <t>SH02898</t>
  </si>
  <si>
    <t>Keiko Tamura hyejatamura@clearwatercasino.com</t>
  </si>
  <si>
    <t>SH02899</t>
  </si>
  <si>
    <t>Daisy Benson dbenson221@hotmail.com</t>
  </si>
  <si>
    <t>SH02900</t>
  </si>
  <si>
    <t>Melissa Higgins bloomsbymela@gmail.com</t>
  </si>
  <si>
    <t>SH02901</t>
  </si>
  <si>
    <t>Anuja Shukla anuja.shuk21@gmail.com</t>
  </si>
  <si>
    <t>SH02902</t>
  </si>
  <si>
    <t>Rachel Schipper rjwall2233@gmail.com</t>
  </si>
  <si>
    <t>SH02903</t>
  </si>
  <si>
    <t>Mary Spry marybethspry@gmail.com</t>
  </si>
  <si>
    <t>SH02904</t>
  </si>
  <si>
    <t>Keith Cook keith@zerbos.com</t>
  </si>
  <si>
    <t>SH02905</t>
  </si>
  <si>
    <t>Stacy Parsons canningqueen@yahoo.com</t>
  </si>
  <si>
    <t>SH02906</t>
  </si>
  <si>
    <t>lnmelcher@usfamily.net</t>
  </si>
  <si>
    <t>SH02907</t>
  </si>
  <si>
    <t>Lacy Showers lacychanelle@yahoo.com</t>
  </si>
  <si>
    <t>SH02908</t>
  </si>
  <si>
    <t>Lisa Stout-Bashioum lisastoutbashioum@gmail.com</t>
  </si>
  <si>
    <t>SH02909</t>
  </si>
  <si>
    <t>Mary Kay Brekke mkbrekke24@icloud.com</t>
  </si>
  <si>
    <t>SH02910</t>
  </si>
  <si>
    <t>Ashley Mather matherashley@gmail.com</t>
  </si>
  <si>
    <t>SH02911</t>
  </si>
  <si>
    <t>Candii Mediina candiimedina@icloud.com</t>
  </si>
  <si>
    <t>SH02912</t>
  </si>
  <si>
    <t>Jessica Giles sedgefieldflorist@yahoo.com</t>
  </si>
  <si>
    <t>SH02913</t>
  </si>
  <si>
    <t>SH02914</t>
  </si>
  <si>
    <t>SH02915</t>
  </si>
  <si>
    <t>SH02916</t>
  </si>
  <si>
    <t>SH02917</t>
  </si>
  <si>
    <t>SH02918</t>
  </si>
  <si>
    <t>Tanner Irwin trirwin04@gmail.com</t>
  </si>
  <si>
    <t>SH02919</t>
  </si>
  <si>
    <t>Jennifer Hoffman lemoncrate_gal@hotmail.com</t>
  </si>
  <si>
    <t>SH02920</t>
  </si>
  <si>
    <t>Tom Swiatek pestcontrolpb@gmail.com</t>
  </si>
  <si>
    <t>SH02921</t>
  </si>
  <si>
    <t>SH02922</t>
  </si>
  <si>
    <t>ayman rustom terrflora@gmail.com</t>
  </si>
  <si>
    <t>SH02923</t>
  </si>
  <si>
    <t>katharine@artsforlifenc.org</t>
  </si>
  <si>
    <t>SH02924</t>
  </si>
  <si>
    <t>SH02925</t>
  </si>
  <si>
    <t>Martha Ramirez ramirezmartha35@yahoo.com</t>
  </si>
  <si>
    <t>SH02926</t>
  </si>
  <si>
    <t>Ryan Foster ryan@gillespiesflowers.com</t>
  </si>
  <si>
    <t>SH02927</t>
  </si>
  <si>
    <t>Nikki Hoover hoovers213@yahoo.com</t>
  </si>
  <si>
    <t>SH02928</t>
  </si>
  <si>
    <t>Roselyn Myers rmoynetmyers@gmail.com</t>
  </si>
  <si>
    <t>SH02929</t>
  </si>
  <si>
    <t>Blanche Butler bbutler0882@gmail.com</t>
  </si>
  <si>
    <t>SH02930</t>
  </si>
  <si>
    <t>Adriana Martinez beatrizmartinezas14@gmail.com</t>
  </si>
  <si>
    <t>SH02931</t>
  </si>
  <si>
    <t>SH02932</t>
  </si>
  <si>
    <t>susan blum susanmblum@hotmail.com</t>
  </si>
  <si>
    <t>SH02933</t>
  </si>
  <si>
    <t>bean4444@aol.com</t>
  </si>
  <si>
    <t>SH02934</t>
  </si>
  <si>
    <t>Charaye Dickson charaye@paulmichaelhome.com</t>
  </si>
  <si>
    <t>SH02935</t>
  </si>
  <si>
    <t>Jan Edwards 54nanajan@gmail.com</t>
  </si>
  <si>
    <t>SH02936</t>
  </si>
  <si>
    <t>Eileen Glynn-Tucker eglynntucker@gmail.com</t>
  </si>
  <si>
    <t>SH02937</t>
  </si>
  <si>
    <t>Katie Aurand backmtnflowerfarm@gmail.com</t>
  </si>
  <si>
    <t>SH02938</t>
  </si>
  <si>
    <t>John Conner jacon13@aol.com</t>
  </si>
  <si>
    <t>SH02939</t>
  </si>
  <si>
    <t>Anthony Bruno ajbruno68@gmail.com</t>
  </si>
  <si>
    <t>SH02940</t>
  </si>
  <si>
    <t>Judy Wilson judy.gaspardwilson@yahoo.com</t>
  </si>
  <si>
    <t>SH02941</t>
  </si>
  <si>
    <t>Hallie Thompson thompson.hallie@gmail.com</t>
  </si>
  <si>
    <t>SH02942</t>
  </si>
  <si>
    <t>SH02943</t>
  </si>
  <si>
    <t>FLEURETTE LLC fleurettedamour@gmail.com</t>
  </si>
  <si>
    <t>SH02944</t>
  </si>
  <si>
    <t>Donna Goings donnagoings@gmail.com</t>
  </si>
  <si>
    <t>SH02945</t>
  </si>
  <si>
    <t>Chloe Regino chloe.regino@gmail.com</t>
  </si>
  <si>
    <t>SH02946</t>
  </si>
  <si>
    <t>SH02947</t>
  </si>
  <si>
    <t>Adriana Osorio adrianaosoriotx@yahoo.com</t>
  </si>
  <si>
    <t>SH02948</t>
  </si>
  <si>
    <t>Lisa Gillies Lisaraegillies@gmail.com</t>
  </si>
  <si>
    <t>SH02949</t>
  </si>
  <si>
    <t>Teresa McCalop info@totallybeautifulmoments.com</t>
  </si>
  <si>
    <t>SH02950</t>
  </si>
  <si>
    <t>Kimberly Gutowsky the.rosie.laine@gmail.com</t>
  </si>
  <si>
    <t>SH02951</t>
  </si>
  <si>
    <t>JOSHY JOSEPH joshyjoseph5339@gmail.com</t>
  </si>
  <si>
    <t>SH02952</t>
  </si>
  <si>
    <t>SH02953</t>
  </si>
  <si>
    <t>SH02954</t>
  </si>
  <si>
    <t>SH02955</t>
  </si>
  <si>
    <t>Erica Armstrong eaastrong@gmail.com</t>
  </si>
  <si>
    <t>SH02956</t>
  </si>
  <si>
    <t>SH02957</t>
  </si>
  <si>
    <t>SH02958</t>
  </si>
  <si>
    <t>Morgan Gump wildflwrevents@gmail.com</t>
  </si>
  <si>
    <t>SH02959</t>
  </si>
  <si>
    <t>Carrie Schmidt carrie.afy@gmail.com</t>
  </si>
  <si>
    <t>SH02960</t>
  </si>
  <si>
    <t>Michelle Petrone purchasing@wcs.org</t>
  </si>
  <si>
    <t>SH02961</t>
  </si>
  <si>
    <t>Kathrine Rockne-Truxall cwtrux@earthlink.net</t>
  </si>
  <si>
    <t>SH02962</t>
  </si>
  <si>
    <t>Shailah Pelto shailah@samaraflorals.com</t>
  </si>
  <si>
    <t>SH02963</t>
  </si>
  <si>
    <t>Dawn Duran dawnduran41@yahoo.com</t>
  </si>
  <si>
    <t>SH02964</t>
  </si>
  <si>
    <t>SH02965</t>
  </si>
  <si>
    <t>SH02966</t>
  </si>
  <si>
    <t>SH02967</t>
  </si>
  <si>
    <t>SH02968</t>
  </si>
  <si>
    <t>SH02969</t>
  </si>
  <si>
    <t>Brandi Bosserman brandi@bosserhouseblooms.com</t>
  </si>
  <si>
    <t>SH02970</t>
  </si>
  <si>
    <t>Mark Douglas r.mark.douglas@gmail.com</t>
  </si>
  <si>
    <t>SH02971</t>
  </si>
  <si>
    <t>Susan Blum suzyblum3@gmail.com</t>
  </si>
  <si>
    <t>SH02972</t>
  </si>
  <si>
    <t>kathleen lewis kblewis260@gmail.com</t>
  </si>
  <si>
    <t>SH02973</t>
  </si>
  <si>
    <t>CATHERINE MURNIGHAN cathy@mwmanagementgroup.com</t>
  </si>
  <si>
    <t>SH02974</t>
  </si>
  <si>
    <t>Danny Wells danny@wylieflowershop.com</t>
  </si>
  <si>
    <t>SH02975</t>
  </si>
  <si>
    <t>CARA Osier sunflower89@midconetwork.com</t>
  </si>
  <si>
    <t>SH02976</t>
  </si>
  <si>
    <t>Mollyrose Wright mollyroseabbott@gmail.com</t>
  </si>
  <si>
    <t>SH02977</t>
  </si>
  <si>
    <t>Jayeson Tkac tkacjayeson@yahoo.com</t>
  </si>
  <si>
    <t>SH02978</t>
  </si>
  <si>
    <t>caitlyn rylander fleurderye@gmail.com</t>
  </si>
  <si>
    <t>SH02979</t>
  </si>
  <si>
    <t>pedro sengsone thecbdplusstore@outlook.com</t>
  </si>
  <si>
    <t>SH02980</t>
  </si>
  <si>
    <t>Ronald Flores rodan2722@sbcglobal.net</t>
  </si>
  <si>
    <t>SH02981</t>
  </si>
  <si>
    <t>Angela Concepcion info@charlestonflowergirl.com</t>
  </si>
  <si>
    <t>SH02982</t>
  </si>
  <si>
    <t>Michelle Evans shop@theglacierlily.com</t>
  </si>
  <si>
    <t>SH02983</t>
  </si>
  <si>
    <t>Rebeca Lagunas rebecalagunas@yahoo.com</t>
  </si>
  <si>
    <t>SH02984</t>
  </si>
  <si>
    <t>SH02985</t>
  </si>
  <si>
    <t>amy toussaint amytou777@gmail.com</t>
  </si>
  <si>
    <t>SH02986</t>
  </si>
  <si>
    <t>Mark Williams marywilliams5511@gmail.com</t>
  </si>
  <si>
    <t>SH02987</t>
  </si>
  <si>
    <t>Angela McNutt button.mcnutt@gmail.com</t>
  </si>
  <si>
    <t>SH02988</t>
  </si>
  <si>
    <t>Eddie Gosman egosman77@gmail.com</t>
  </si>
  <si>
    <t>SH02989</t>
  </si>
  <si>
    <t>KATHY SETTLE settle92@icloud.com</t>
  </si>
  <si>
    <t>SH02990</t>
  </si>
  <si>
    <t>Branson Maxwell bransonmaxwell11@gmail.com</t>
  </si>
  <si>
    <t>SH02991</t>
  </si>
  <si>
    <t>Jessica Schirmer pocketsfullofposey@gmail.com</t>
  </si>
  <si>
    <t>SH02992</t>
  </si>
  <si>
    <t>Christopher Powers cpowersr2@md.metrocast.net</t>
  </si>
  <si>
    <t>SH02993</t>
  </si>
  <si>
    <t>Stacee Puller stacee@choiceplantings.com</t>
  </si>
  <si>
    <t>SH02994</t>
  </si>
  <si>
    <t>Lacia VanSlyke flsup@bennettsgreenhouse.com</t>
  </si>
  <si>
    <t>SH02995</t>
  </si>
  <si>
    <t>Elizabeth Kvamso bakerstreetblooms@gmail.com</t>
  </si>
  <si>
    <t>SH02996</t>
  </si>
  <si>
    <t>Katharine Griffiths kgriff@prodigy.net</t>
  </si>
  <si>
    <t>SH02997</t>
  </si>
  <si>
    <t>Lauren Williams hillcountryhive@gmail.com</t>
  </si>
  <si>
    <t>SH02998</t>
  </si>
  <si>
    <t>CHRIS GRANGER c.smithgranger@gmail.com</t>
  </si>
  <si>
    <t>SH02999</t>
  </si>
  <si>
    <t>Leann Surz leann@raimondihg.com</t>
  </si>
  <si>
    <t>SH03000</t>
  </si>
  <si>
    <t>Mary Higgins mary@accentinbrentwood.com</t>
  </si>
  <si>
    <t>SH03001</t>
  </si>
  <si>
    <t>Zdravko Sulaver dvudrag@gmail.com</t>
  </si>
  <si>
    <t>SH03002</t>
  </si>
  <si>
    <t>Andy Keaton kortho66@gmail.com</t>
  </si>
  <si>
    <t>SH03003</t>
  </si>
  <si>
    <t>Romane Recalde romane.recalde@gmail.com</t>
  </si>
  <si>
    <t>SH03004</t>
  </si>
  <si>
    <t>Jayne Altimari jmaaltimari@gmail.com</t>
  </si>
  <si>
    <t>SH03005</t>
  </si>
  <si>
    <t>William Pendziwiatr plumpenz@epix.net</t>
  </si>
  <si>
    <t>SH03006</t>
  </si>
  <si>
    <t>Esther Contreras econtreras1220@sbcglobal.net</t>
  </si>
  <si>
    <t>SH03007</t>
  </si>
  <si>
    <t>LYNN BOLAND ldboland@gmail.com</t>
  </si>
  <si>
    <t>SH03008</t>
  </si>
  <si>
    <t>Carole LaVigne info@edgewaterhomeandgarden.com</t>
  </si>
  <si>
    <t>SH03009</t>
  </si>
  <si>
    <t>Kelly Sullivan kellysullivanart@gmail.com</t>
  </si>
  <si>
    <t>SH03010</t>
  </si>
  <si>
    <t>Rosario Fiesta chatto107@gmail.com</t>
  </si>
  <si>
    <t>SH03011</t>
  </si>
  <si>
    <t>SH03012</t>
  </si>
  <si>
    <t>Aurora Albrand registryinfo@yahoo.com</t>
  </si>
  <si>
    <t>SH03013</t>
  </si>
  <si>
    <t>Lauren Donovan (lrdonovan19@yahoo.com)</t>
  </si>
  <si>
    <t>SH03014</t>
  </si>
  <si>
    <t>Ken Stamper kentwoodnurseries@gmail.com</t>
  </si>
  <si>
    <t>SH03015</t>
  </si>
  <si>
    <t>Malachi Curtis malachicurtis@burke.k12.nc.us</t>
  </si>
  <si>
    <t>SH03016</t>
  </si>
  <si>
    <t>Cynthia Shemela shemela7777@gmail.com</t>
  </si>
  <si>
    <t>SH03017</t>
  </si>
  <si>
    <t>Lucinda Ostrander c_ostrander@comcast.net</t>
  </si>
  <si>
    <t>SH03018</t>
  </si>
  <si>
    <t>Angela Steinberg angelasteinberg7@gmail.com</t>
  </si>
  <si>
    <t>SH03019</t>
  </si>
  <si>
    <t>Laura Flower flowerlaura3@gmail.com</t>
  </si>
  <si>
    <t>SH03020</t>
  </si>
  <si>
    <t>Mona Turakhia mturakhia22@gmail.com</t>
  </si>
  <si>
    <t>SH03021</t>
  </si>
  <si>
    <t>Deborah De La Flor ddelaflor@aol.com</t>
  </si>
  <si>
    <t>SH03022</t>
  </si>
  <si>
    <t>David Schmidt dms@rfdny.com</t>
  </si>
  <si>
    <t>SH03023</t>
  </si>
  <si>
    <t>Karyn Rapp krapp@brookgreen.org</t>
  </si>
  <si>
    <t>SH03024</t>
  </si>
  <si>
    <t>Betty Pue bewrightier1943@gmail.com</t>
  </si>
  <si>
    <t>SH03025</t>
  </si>
  <si>
    <t>Vista Cheesman sthelierfarm@gmail.com</t>
  </si>
  <si>
    <t>SH03026</t>
  </si>
  <si>
    <t>Natalia Jimenez nataliajimenez@gmail.com</t>
  </si>
  <si>
    <t>SH03027</t>
  </si>
  <si>
    <t>Marliese Mosley marliesemosley3@gmail.com</t>
  </si>
  <si>
    <t>SH03028</t>
  </si>
  <si>
    <t>Carla Ballard carla@precioustimesevents.com</t>
  </si>
  <si>
    <t>SH03029</t>
  </si>
  <si>
    <t>Matthew Miranda mjmiranda@ag.tamu.edu</t>
  </si>
  <si>
    <t>SH03030</t>
  </si>
  <si>
    <t>Jet Visneski pevjlv@comcast.net</t>
  </si>
  <si>
    <t>SH03031</t>
  </si>
  <si>
    <t>Christine Cummings cummings680@msn.com</t>
  </si>
  <si>
    <t>SH03032</t>
  </si>
  <si>
    <t>Shannon Nowell shannonnowell@yahoo.com</t>
  </si>
  <si>
    <t>SH03033</t>
  </si>
  <si>
    <t>Debbie N. businessmgr@sacredheartsparish.org</t>
  </si>
  <si>
    <t>SH03034</t>
  </si>
  <si>
    <t>Terri Pellegrino terri.pellegrino@nuvancehealth.org</t>
  </si>
  <si>
    <t>SH03035</t>
  </si>
  <si>
    <t>ROBIN SIEPRAWSKI facilities@logantrd.com</t>
  </si>
  <si>
    <t>SH03036</t>
  </si>
  <si>
    <t>Sarah Lamphere sarah@fastsailors.com</t>
  </si>
  <si>
    <t>SH03037</t>
  </si>
  <si>
    <t>Steve Brown susanh@pgisales.com</t>
  </si>
  <si>
    <t>SH03038</t>
  </si>
  <si>
    <t>Michael Gasper mike.gasper.mg@gmail.com</t>
  </si>
  <si>
    <t>SH03039</t>
  </si>
  <si>
    <t>Shannon Nehoda shannon.nehoda@gmail.com</t>
  </si>
  <si>
    <t>SH03040</t>
  </si>
  <si>
    <t>Daniela Azer contact@partycoveclay.com</t>
  </si>
  <si>
    <t>SH03041</t>
  </si>
  <si>
    <t>Tom Delcambre tjdelcambre@icloud.com</t>
  </si>
  <si>
    <t>SH03042</t>
  </si>
  <si>
    <t>Sandra Cheney sandy0350@gmail.com</t>
  </si>
  <si>
    <t>SH03043</t>
  </si>
  <si>
    <t>Carole Mariez pegulu carole.mp@icloud.com</t>
  </si>
  <si>
    <t>SH03044</t>
  </si>
  <si>
    <t>SH03045</t>
  </si>
  <si>
    <t>Windy Ellis ellisw477@gmail.com</t>
  </si>
  <si>
    <t>SH03046</t>
  </si>
  <si>
    <t>Jennifer Gruszka bloomsonpoint@gmail.com</t>
  </si>
  <si>
    <t>SH03047</t>
  </si>
  <si>
    <t>Kara Acri karaallison1@gmail.com</t>
  </si>
  <si>
    <t>SH03048</t>
  </si>
  <si>
    <t>Penny Fricke pfricke7@hotmail.com</t>
  </si>
  <si>
    <t>SH03049</t>
  </si>
  <si>
    <t>Kristen Sparboe kristen@gainans.com</t>
  </si>
  <si>
    <t>SH03050</t>
  </si>
  <si>
    <t>Julie Petruzzi julie.petruzzi@zitomedia.com</t>
  </si>
  <si>
    <t>SH03051</t>
  </si>
  <si>
    <t>Elaine M Pontone epontone@gmail.com</t>
  </si>
  <si>
    <t>SH03052</t>
  </si>
  <si>
    <t>Michelle Johnson michellejohnson1022@gmail.com</t>
  </si>
  <si>
    <t>SH03053</t>
  </si>
  <si>
    <t>Lindsey White Hello@bloominggaylesnwa.com</t>
  </si>
  <si>
    <t>SH03054</t>
  </si>
  <si>
    <t>SHARON LYLE cateringpats@yahoo.com</t>
  </si>
  <si>
    <t>SH03055</t>
  </si>
  <si>
    <t>Cindy Wood woodcindy20@gmail.com</t>
  </si>
  <si>
    <t>SH03056</t>
  </si>
  <si>
    <t>SH03057</t>
  </si>
  <si>
    <t>Sarah Lambrecht (flowers@blairflorist.com)</t>
  </si>
  <si>
    <t>SH03058</t>
  </si>
  <si>
    <t>Mireida Martinez blmsandbynd10@yahoo.com</t>
  </si>
  <si>
    <t>SH03059</t>
  </si>
  <si>
    <t>Amy Livingston alivingston@thelaurelgroup.net</t>
  </si>
  <si>
    <t>SH03060</t>
  </si>
  <si>
    <t>Crystal Ruiz crystalruiz430@gmail.com</t>
  </si>
  <si>
    <t>SH03061</t>
  </si>
  <si>
    <t>SH03062</t>
  </si>
  <si>
    <t>SH03063</t>
  </si>
  <si>
    <t>SH03064</t>
  </si>
  <si>
    <t>SH03065</t>
  </si>
  <si>
    <t>SH03066</t>
  </si>
  <si>
    <t>SH03067</t>
  </si>
  <si>
    <t>SH03068</t>
  </si>
  <si>
    <t>April Hopkins aprilhrice@mac.com</t>
  </si>
  <si>
    <t>SH03069</t>
  </si>
  <si>
    <t>SH03070</t>
  </si>
  <si>
    <t>SH03071</t>
  </si>
  <si>
    <t>SH03072</t>
  </si>
  <si>
    <t>SH03073</t>
  </si>
  <si>
    <t>SH03074</t>
  </si>
  <si>
    <t>SH03075</t>
  </si>
  <si>
    <t>SH03076</t>
  </si>
  <si>
    <t>SH03077</t>
  </si>
  <si>
    <t>SH03078</t>
  </si>
  <si>
    <t>SH03079</t>
  </si>
  <si>
    <t>SH03080</t>
  </si>
  <si>
    <t>SH03081</t>
  </si>
  <si>
    <t>SH03082</t>
  </si>
  <si>
    <t>SH03083</t>
  </si>
  <si>
    <t>SH03084</t>
  </si>
  <si>
    <t>SH03085</t>
  </si>
  <si>
    <t>SH03086</t>
  </si>
  <si>
    <t>SH03087</t>
  </si>
  <si>
    <t>SH03088</t>
  </si>
  <si>
    <t>SH03089</t>
  </si>
  <si>
    <t>SH03090</t>
  </si>
  <si>
    <t>SH03091</t>
  </si>
  <si>
    <t>SH03092</t>
  </si>
  <si>
    <t>SH03093</t>
  </si>
  <si>
    <t>SH03094</t>
  </si>
  <si>
    <t>SH03095</t>
  </si>
  <si>
    <t>SH03096</t>
  </si>
  <si>
    <t>Laura Baierwalter planting@optonline.net</t>
  </si>
  <si>
    <t>SH03097</t>
  </si>
  <si>
    <t>SH03098</t>
  </si>
  <si>
    <t>Hailey Pearson delectablydetailed@gmail.com</t>
  </si>
  <si>
    <t>SH03099</t>
  </si>
  <si>
    <t>Zacharie Izyaguyev zackizyaguyev16@gmail.com</t>
  </si>
  <si>
    <t>SH03100</t>
  </si>
  <si>
    <t>Linda Rowe lindabrowe@verizon.net</t>
  </si>
  <si>
    <t>SH03101</t>
  </si>
  <si>
    <t>Adrienne Ehlert-Bashista passalongsfarm@gmail.com</t>
  </si>
  <si>
    <t>SH03102</t>
  </si>
  <si>
    <t>Lauren Imbruglia deeplyrootedridgewood@gmail.com</t>
  </si>
  <si>
    <t>SH03103</t>
  </si>
  <si>
    <t>Tracy Robbins-Garrison SunnyHunnyFarms@gmail.com</t>
  </si>
  <si>
    <t>SH03104</t>
  </si>
  <si>
    <t>Jeni Tyson jeni@thequietseed.com</t>
  </si>
  <si>
    <t>SH03105</t>
  </si>
  <si>
    <t>Missy Pacha mdrinnen5@comcast.net</t>
  </si>
  <si>
    <t>SH03106</t>
  </si>
  <si>
    <t>Robert Dery bob.dery72@gmail.com</t>
  </si>
  <si>
    <t>SH03107</t>
  </si>
  <si>
    <t>sarah spruill sarahcspruill@gmail.com</t>
  </si>
  <si>
    <t>SH03108</t>
  </si>
  <si>
    <t>Jill Shrum truetnvol@aol.com</t>
  </si>
  <si>
    <t>SH03109</t>
  </si>
  <si>
    <t>Alison Lorenz coyotethedog@msn.com</t>
  </si>
  <si>
    <t>SH03110</t>
  </si>
  <si>
    <t>Janet Wheeler (jrw4psu@gmail.com)</t>
  </si>
  <si>
    <t>SH03111</t>
  </si>
  <si>
    <t>Anne Chang (flowerboutique8471@gmail.com)</t>
  </si>
  <si>
    <t>SH03112</t>
  </si>
  <si>
    <t>SH03113</t>
  </si>
  <si>
    <t>Jenny Greenup (jennygreenup@gmail.com)</t>
  </si>
  <si>
    <t>SH03114</t>
  </si>
  <si>
    <t>Lauren Cline laurenhcline@gmail.com</t>
  </si>
  <si>
    <t>SH03115</t>
  </si>
  <si>
    <t>Jorge Lopez bmarrufo@atziriflowersusa.com</t>
  </si>
  <si>
    <t>SH03116</t>
  </si>
  <si>
    <t>Sarah Sarah Aguilar saraha@oursaviorssalem.org</t>
  </si>
  <si>
    <t>SH03117</t>
  </si>
  <si>
    <t>RONA HARDEN rfharden@gmail.com</t>
  </si>
  <si>
    <t>SH03118</t>
  </si>
  <si>
    <t>Ning Ta Hsu ningtahsu@gmail.com</t>
  </si>
  <si>
    <t>SH03119</t>
  </si>
  <si>
    <t>Diem Civin bloomsbydiem@gmail.com</t>
  </si>
  <si>
    <t>SH03120</t>
  </si>
  <si>
    <t>Frank Gallo kellyanne0929@gmail.com</t>
  </si>
  <si>
    <t>SH03121</t>
  </si>
  <si>
    <t>SH03122</t>
  </si>
  <si>
    <t>Aurelio Gonzalez sandibelgonz@gmail.com</t>
  </si>
  <si>
    <t>SH03123</t>
  </si>
  <si>
    <t>Daniel Carney carlislegardenclub@gmail.com</t>
  </si>
  <si>
    <t>SH03124</t>
  </si>
  <si>
    <t>SH03125</t>
  </si>
  <si>
    <t>Gerald Oldham jesusfreak92@ymail.com</t>
  </si>
  <si>
    <t>SH03126</t>
  </si>
  <si>
    <t>WILLIAM METHLIE billmethlie@comcast.net</t>
  </si>
  <si>
    <t>SH03127</t>
  </si>
  <si>
    <t>Tinker Garcia junebug.nursery@outlook.com</t>
  </si>
  <si>
    <t>SH03128</t>
  </si>
  <si>
    <t>Luke Palmerlee purchaser@topiarius.com</t>
  </si>
  <si>
    <t>SH03129</t>
  </si>
  <si>
    <t>Jessica Castaneda gaaabby_679@hotmail.com</t>
  </si>
  <si>
    <t>SH03130</t>
  </si>
  <si>
    <t>Mike Vande Vrede bethany@nbplants.com</t>
  </si>
  <si>
    <t>SH03131</t>
  </si>
  <si>
    <t>Nancy Muenzler thegreenhouse@cox.net</t>
  </si>
  <si>
    <t>SH03132</t>
  </si>
  <si>
    <t>theodore zois theodore@aristonflowers.com</t>
  </si>
  <si>
    <t>SH03133</t>
  </si>
  <si>
    <t>Brett Johnson (brettj100@hotmail.com)</t>
  </si>
  <si>
    <t>SH03134</t>
  </si>
  <si>
    <t>Laura Lybek (lauralybek@gmail.com)</t>
  </si>
  <si>
    <t>SH03135</t>
  </si>
  <si>
    <t>susanna walter hello@blossombaydesign.com</t>
  </si>
  <si>
    <t>SH03136</t>
  </si>
  <si>
    <t>ELisha mayes elisha@plumeriami.com</t>
  </si>
  <si>
    <t>SH03137</t>
  </si>
  <si>
    <t>george papadelis amanda@tellys.com</t>
  </si>
  <si>
    <t>SH03138</t>
  </si>
  <si>
    <t>Jairo Huerta ninjamonkey541@gmail.com</t>
  </si>
  <si>
    <t>SH03139</t>
  </si>
  <si>
    <t>hillary munro hillaryjmunro@gmail.com</t>
  </si>
  <si>
    <t>SH03140</t>
  </si>
  <si>
    <t>SH03141</t>
  </si>
  <si>
    <t>SH03142</t>
  </si>
  <si>
    <t>SH03143</t>
  </si>
  <si>
    <t>Andrew Miller Miller sales@dsmflorist.com</t>
  </si>
  <si>
    <t>SH03144</t>
  </si>
  <si>
    <t>Jin KIM conroyf15@gmail.com</t>
  </si>
  <si>
    <t>SH03145</t>
  </si>
  <si>
    <t>Lorie Vanwinkle blossomkhardt24@gmail.com</t>
  </si>
  <si>
    <t>SH03146</t>
  </si>
  <si>
    <t>Lauren Marzullo burghbouquets@gmail.com</t>
  </si>
  <si>
    <t>SH03147</t>
  </si>
  <si>
    <t>Jodi Lambert thewhitewillowevents@gmail.com</t>
  </si>
  <si>
    <t>SH03148</t>
  </si>
  <si>
    <t>Kelly Gibson kellygibson2010@yahoo.com</t>
  </si>
  <si>
    <t>SH03149</t>
  </si>
  <si>
    <t>Susan Stout ssstout260@aol.com</t>
  </si>
  <si>
    <t>SH03150</t>
  </si>
  <si>
    <t>SH03151</t>
  </si>
  <si>
    <t>Brian Owen bgowen13@gmail.com</t>
  </si>
  <si>
    <t>SH03152</t>
  </si>
  <si>
    <t>brett Johnson brettj100@hotmail.com</t>
  </si>
  <si>
    <t>SH03153</t>
  </si>
  <si>
    <t>Jason Beckerman jason@westbrae-nursery.com</t>
  </si>
  <si>
    <t>SH03154</t>
  </si>
  <si>
    <t>Rita Flint ritatflint@bellsouth.net</t>
  </si>
  <si>
    <t>SH03155</t>
  </si>
  <si>
    <t>Kelly Smith info@mexicoroadflorist.com</t>
  </si>
  <si>
    <t>SH03156</t>
  </si>
  <si>
    <t>Laura Benson etsymegan81@gmail.com</t>
  </si>
  <si>
    <t>SH03157</t>
  </si>
  <si>
    <t>SH03158</t>
  </si>
  <si>
    <t>Raquel Sowa raquel_veron@yahoo.com</t>
  </si>
  <si>
    <t>SH03159</t>
  </si>
  <si>
    <t>SH03160</t>
  </si>
  <si>
    <t>Laura Lybek lauralybek@gmail.com</t>
  </si>
  <si>
    <t>SH03161</t>
  </si>
  <si>
    <t>Patrick Meadows patrickmeadows26@gmail.com</t>
  </si>
  <si>
    <t>SH03162</t>
  </si>
  <si>
    <t>SH03163</t>
  </si>
  <si>
    <t>Kit Ward kward@plantscape.com</t>
  </si>
  <si>
    <t>SH03164</t>
  </si>
  <si>
    <t>SH03165</t>
  </si>
  <si>
    <t>Lori Kay sueb@upc.org</t>
  </si>
  <si>
    <t>SH03166</t>
  </si>
  <si>
    <t>Delaney Hicks dhicks@hsvbg.org</t>
  </si>
  <si>
    <t>SH03167</t>
  </si>
  <si>
    <t>Patty Parker windinthewillows@gmail.com</t>
  </si>
  <si>
    <t>SH03168</t>
  </si>
  <si>
    <t>Whitney Dickerson whitneybradford@gmail.com</t>
  </si>
  <si>
    <t>SH03169</t>
  </si>
  <si>
    <t>Tammy Chapman theglassjarstore@gmail.com</t>
  </si>
  <si>
    <t>SH03170</t>
  </si>
  <si>
    <t>Angeline Ansorie angeline@megalestari.com</t>
  </si>
  <si>
    <t>SH03171</t>
  </si>
  <si>
    <t>Luis Munoz luis@balltagawa.com</t>
  </si>
  <si>
    <t>SH03172</t>
  </si>
  <si>
    <t>Carolina Sabogal info@risingstart.org</t>
  </si>
  <si>
    <t>SH03173</t>
  </si>
  <si>
    <t>Sarah Ruczynski s_ruczynski@comcast.net</t>
  </si>
  <si>
    <t>SH03174</t>
  </si>
  <si>
    <t>Sara Gardner chickgardner@yahoo.com</t>
  </si>
  <si>
    <t>SH03175</t>
  </si>
  <si>
    <t>SH03176</t>
  </si>
  <si>
    <t>Donna Mitchell donnaruthmitchell@gmail.com</t>
  </si>
  <si>
    <t>SH03177</t>
  </si>
  <si>
    <t>Sheryl Pedrick spedrick@ladewgardens.com</t>
  </si>
  <si>
    <t>SH03178</t>
  </si>
  <si>
    <t>Olivia Berner olivia.berner33@gmail.com</t>
  </si>
  <si>
    <t>SH03179</t>
  </si>
  <si>
    <t>leonard cohen lenny@petalsandstemsflorist.com</t>
  </si>
  <si>
    <t>SH03180</t>
  </si>
  <si>
    <t>alejandra perez alejandraperez470@gmail.com</t>
  </si>
  <si>
    <t>SH03181</t>
  </si>
  <si>
    <t>Eliya Ushkevich mypeonika@gmail.com</t>
  </si>
  <si>
    <t>SH03182</t>
  </si>
  <si>
    <t>Phyllis Graser phyllyg4@gmail.com</t>
  </si>
  <si>
    <t>SH03183</t>
  </si>
  <si>
    <t>Tiffany Culpepper tiffany@rootsandwillow.com</t>
  </si>
  <si>
    <t>SH03184</t>
  </si>
  <si>
    <t>Susan Williams suewilliams322@gmail.com</t>
  </si>
  <si>
    <t>SH03185</t>
  </si>
  <si>
    <t>SH03186</t>
  </si>
  <si>
    <t>Erika Roman eroman@concretepetals.com</t>
  </si>
  <si>
    <t>SH03187</t>
  </si>
  <si>
    <t>SH03188</t>
  </si>
  <si>
    <t>Scott Chang sc350z@yahoo.com</t>
  </si>
  <si>
    <t>SH03189</t>
  </si>
  <si>
    <t>Lesley Judd juddla@cobleskill.edu</t>
  </si>
  <si>
    <t>SH03190</t>
  </si>
  <si>
    <t>SH03191</t>
  </si>
  <si>
    <t>Ada Lyle hamawilo@gmail.com</t>
  </si>
  <si>
    <t>SH03192</t>
  </si>
  <si>
    <t>Jason Cannon shadystonepots@gmail.com</t>
  </si>
  <si>
    <t>SH03193</t>
  </si>
  <si>
    <t>SH03194</t>
  </si>
  <si>
    <t>Nicole Rodriguez greencavendar1996@gmail.com</t>
  </si>
  <si>
    <t>SH03195</t>
  </si>
  <si>
    <t>Ryan McNulty ryan@mcnultyoutdoors.com</t>
  </si>
  <si>
    <t>SH03196</t>
  </si>
  <si>
    <t>Peter Engel engelpg@gmail.com</t>
  </si>
  <si>
    <t>SH03197</t>
  </si>
  <si>
    <t>Brandi Bates bbates318@gmail.com</t>
  </si>
  <si>
    <t>SH03198</t>
  </si>
  <si>
    <t>SH03199</t>
  </si>
  <si>
    <t>Rebecca Logan lcoffe@aol.com</t>
  </si>
  <si>
    <t>SH03200</t>
  </si>
  <si>
    <t>Patrick Ehlers patrick@plantaffair.com</t>
  </si>
  <si>
    <t>SH03201</t>
  </si>
  <si>
    <t>Shelley Berger kentrikon2004@msn.com</t>
  </si>
  <si>
    <t>SH03202</t>
  </si>
  <si>
    <t>Wynn Herndon dtherndon@cox.net</t>
  </si>
  <si>
    <t>SH03203</t>
  </si>
  <si>
    <t>SH03204</t>
  </si>
  <si>
    <t>bree speicher admin@realspeicher.com</t>
  </si>
  <si>
    <t>SH03205</t>
  </si>
  <si>
    <t>Valerie Campbell val_campbell@yahoo.com</t>
  </si>
  <si>
    <t>SH03206</t>
  </si>
  <si>
    <t>Missy Robinson moosefeathers@sbcglobal.net</t>
  </si>
  <si>
    <t>SH03207</t>
  </si>
  <si>
    <t>David Kurtz dandlzest4life@gmail.com</t>
  </si>
  <si>
    <t>SH03208</t>
  </si>
  <si>
    <t>Jane Klinefelter jane@zuzusflowers.com</t>
  </si>
  <si>
    <t>SH03209</t>
  </si>
  <si>
    <t>Linda T Batson mylastnerve@verizon.net</t>
  </si>
  <si>
    <t>SH03210</t>
  </si>
  <si>
    <t>Laura May info@thegardencenterbyaos.com</t>
  </si>
  <si>
    <t>SH03211</t>
  </si>
  <si>
    <t>jamie.waddingham@northpolk.org  jamie.waddingham@northpolk.</t>
  </si>
  <si>
    <t>SH03212</t>
  </si>
  <si>
    <t>Amanda H-Rippert info@wildwoodbyaranda.com</t>
  </si>
  <si>
    <t>SH03213</t>
  </si>
  <si>
    <t>Susan Coulter susan_coulter@yahoo.com</t>
  </si>
  <si>
    <t>SH03214</t>
  </si>
  <si>
    <t>Arlette Wiege arlette.wiege@gmail.com</t>
  </si>
  <si>
    <t>SH03215</t>
  </si>
  <si>
    <t>Lauren Brown Laurenbrown1@cox.net</t>
  </si>
  <si>
    <t>SH03216</t>
  </si>
  <si>
    <t>Abigail Eckstein aeckstein@higbeeschool.com</t>
  </si>
  <si>
    <t>SH03217</t>
  </si>
  <si>
    <t>Cally Johnson cally@springcreeknursery.net</t>
  </si>
  <si>
    <t>SH03218</t>
  </si>
  <si>
    <t>Jean Shuler bj.shuler@att.net</t>
  </si>
  <si>
    <t>SH03219</t>
  </si>
  <si>
    <t>Laura Smith bunns888@yahoo.com</t>
  </si>
  <si>
    <t>SH03220</t>
  </si>
  <si>
    <t>Cathy Seras (cathyseras@gmail.com)</t>
  </si>
  <si>
    <t>SH03221</t>
  </si>
  <si>
    <t>Allison Kantor randomart7777@gmail.com</t>
  </si>
  <si>
    <t>SH03222</t>
  </si>
  <si>
    <t>al newsom al@good-dirt.com</t>
  </si>
  <si>
    <t>SH03223</t>
  </si>
  <si>
    <t>Kyle Brown kelli@lsbco.com</t>
  </si>
  <si>
    <t>SH03224</t>
  </si>
  <si>
    <t>Henry Cronister jr theflowerfactor1@gmail.com</t>
  </si>
  <si>
    <t>SH03225</t>
  </si>
  <si>
    <t>John D Faerber jfaerber@lakehousecdga.com</t>
  </si>
  <si>
    <t>SH03226</t>
  </si>
  <si>
    <t>Sandra Williams smckwms@gmail.com</t>
  </si>
  <si>
    <t>SH03227</t>
  </si>
  <si>
    <t>SH03228</t>
  </si>
  <si>
    <t>Heidi Monosmith (hmonosmith@icloud.com)</t>
  </si>
  <si>
    <t>SH03229</t>
  </si>
  <si>
    <t>Pamela McIntyre pamusic_5@msn.com</t>
  </si>
  <si>
    <t>SH03230</t>
  </si>
  <si>
    <t>Mary Kay Sherman givingtree_gifts@yahoo.com</t>
  </si>
  <si>
    <t>SH03231</t>
  </si>
  <si>
    <t>Mandi McClone mccloman@bonduel.k12.wi.us</t>
  </si>
  <si>
    <t>SH03232</t>
  </si>
  <si>
    <t>Chris Warwick cw@ranch101flowers.com</t>
  </si>
  <si>
    <t>SH03233</t>
  </si>
  <si>
    <t>Clint Whitney gm@glendalecc.com</t>
  </si>
  <si>
    <t>SH03234</t>
  </si>
  <si>
    <t>Anita Stix artemisflorals@gmail.com</t>
  </si>
  <si>
    <t>SH03235</t>
  </si>
  <si>
    <t>Huan Vo huan@cymnow.com</t>
  </si>
  <si>
    <t>SH03236</t>
  </si>
  <si>
    <t>Laura Barcelo info@indyviolins.com</t>
  </si>
  <si>
    <t>SH03237</t>
  </si>
  <si>
    <t>Ranee Mortis raneemortis@gmail.com</t>
  </si>
  <si>
    <t>SH03238</t>
  </si>
  <si>
    <t>Irina Shmalko lasenteur.nyc@gmail.com</t>
  </si>
  <si>
    <t>SH03239</t>
  </si>
  <si>
    <t>Greer High jfarmer@greenville.k12.sc.us</t>
  </si>
  <si>
    <t>SH03240</t>
  </si>
  <si>
    <t>SH03241</t>
  </si>
  <si>
    <t>SH03242</t>
  </si>
  <si>
    <t>Chelsea Flynn cflynn@dylanscandybar.com</t>
  </si>
  <si>
    <t>SH03243</t>
  </si>
  <si>
    <t>Ruth raizin ruthhome@teleport.com</t>
  </si>
  <si>
    <t>SH03244</t>
  </si>
  <si>
    <t>Sophie Divozzo msa.divozzo@gmail.com</t>
  </si>
  <si>
    <t>SH03245</t>
  </si>
  <si>
    <t>NIGUEL ATTONG ray@acehomesupply.com</t>
  </si>
  <si>
    <t>SH03246</t>
  </si>
  <si>
    <t>Connie Everett fernwoodgc2@att.net</t>
  </si>
  <si>
    <t>SH03247</t>
  </si>
  <si>
    <t>STEPHANIE BEGUELIN stephbeguelin19@gmail.com</t>
  </si>
  <si>
    <t>SH03248</t>
  </si>
  <si>
    <t>Carmen Ocasio csocasio123@gmail.com</t>
  </si>
  <si>
    <t>SH03249</t>
  </si>
  <si>
    <t>Gail Dickerson deborahdickerson35@gmail.com</t>
  </si>
  <si>
    <t>SH03250</t>
  </si>
  <si>
    <t>Cindy Lindstrom clindstrom11@gmail.com</t>
  </si>
  <si>
    <t>SH03251</t>
  </si>
  <si>
    <t>Jeanmarie Patterson jmp618@tampabay.rr.com</t>
  </si>
  <si>
    <t>SH03252</t>
  </si>
  <si>
    <t>Lori Friend frienergy4@gmail.com</t>
  </si>
  <si>
    <t>SH03253</t>
  </si>
  <si>
    <t>Vic Smirnow vicanddrew@mac.com</t>
  </si>
  <si>
    <t>SH03254</t>
  </si>
  <si>
    <t>Melisa Duckett duckettma@gmail.com</t>
  </si>
  <si>
    <t>SH03255</t>
  </si>
  <si>
    <t>Carlye Howard carlye.howard@rockybrands.com</t>
  </si>
  <si>
    <t>SH03256</t>
  </si>
  <si>
    <t>GABRIELA TREVINO garzasfloraloffice@hotmail.com</t>
  </si>
  <si>
    <t>SH03257</t>
  </si>
  <si>
    <t>Jeremy Davis msangie1@live.com</t>
  </si>
  <si>
    <t>SH03258</t>
  </si>
  <si>
    <t>Linda Magoto lclementsmagoto@comcast.net</t>
  </si>
  <si>
    <t>SH03259</t>
  </si>
  <si>
    <t>SH03260</t>
  </si>
  <si>
    <t>Carol Ferrentino cferren295@aol.com</t>
  </si>
  <si>
    <t>SH03261</t>
  </si>
  <si>
    <t>shuai wang angelaforistus@gmail.com</t>
  </si>
  <si>
    <t>SH03262</t>
  </si>
  <si>
    <t>Julie Tseng jtseng55@gmail.com</t>
  </si>
  <si>
    <t>SH03263</t>
  </si>
  <si>
    <t>UK MOREDOCK cherrycreekflorist@gmail.com</t>
  </si>
  <si>
    <t>SH03264</t>
  </si>
  <si>
    <t>Whitney Meyer blacksseedstore@gmail.com</t>
  </si>
  <si>
    <t>SH03265</t>
  </si>
  <si>
    <t>Melanie Herr melaniemichelle75@outlook.com</t>
  </si>
  <si>
    <t>SH03266</t>
  </si>
  <si>
    <t>Anna Dunn desantia28@gmail.com</t>
  </si>
  <si>
    <t>SH03267</t>
  </si>
  <si>
    <t>Gregory Gambuti greg@mainwholesaleflorist.com</t>
  </si>
  <si>
    <t>SH03268</t>
  </si>
  <si>
    <t>Bernard Presutti bdpresutti@gmail.com</t>
  </si>
  <si>
    <t>SH03269</t>
  </si>
  <si>
    <t>Mitchel Lopez citysupermarket6@yahoo.com</t>
  </si>
  <si>
    <t>SH03270</t>
  </si>
  <si>
    <t>Lori O'Connell lorioc13@hotmail.com</t>
  </si>
  <si>
    <t>SH03271</t>
  </si>
  <si>
    <t>orianny martinez info@onaraballoons.com</t>
  </si>
  <si>
    <t>SH03272</t>
  </si>
  <si>
    <t>Sarah Ewing marigold.provisions@gmail.com</t>
  </si>
  <si>
    <t>SH03273</t>
  </si>
  <si>
    <t>SH03274</t>
  </si>
  <si>
    <t>Marcia Moore mdmoore916@gmail.com</t>
  </si>
  <si>
    <t>SH03275</t>
  </si>
  <si>
    <t>Sr Deborah Rose Rosado srdeborahrose@allsaintssisters.org</t>
  </si>
  <si>
    <t>SH03276</t>
  </si>
  <si>
    <t>April Smith aprilsfloraldesign@gmail.com</t>
  </si>
  <si>
    <t>SH03277</t>
  </si>
  <si>
    <t>SH03278</t>
  </si>
  <si>
    <t>SH03279</t>
  </si>
  <si>
    <t>jamie rehm jjrehm68@gmail.com</t>
  </si>
  <si>
    <t>SH03280</t>
  </si>
  <si>
    <t>Debbie Money money.debbie@gmail.com</t>
  </si>
  <si>
    <t>SH03281</t>
  </si>
  <si>
    <t>SH03282</t>
  </si>
  <si>
    <t>Janet Hennessey yodabird1@hotmail.com</t>
  </si>
  <si>
    <t>SH03283</t>
  </si>
  <si>
    <t>Heather Bergherr heatherbergherr@gmail.com</t>
  </si>
  <si>
    <t>SH03284</t>
  </si>
  <si>
    <t>Sheri Underwood sheriunderwood1111@gmail.com</t>
  </si>
  <si>
    <t>SH03285</t>
  </si>
  <si>
    <t>Mary Harrell jmhrl@aol.com</t>
  </si>
  <si>
    <t>SH03286</t>
  </si>
  <si>
    <t>Sherri Panarella sherriapanarella@yahoo.com</t>
  </si>
  <si>
    <t>SH03287</t>
  </si>
  <si>
    <t>SH03288</t>
  </si>
  <si>
    <t>SH03289</t>
  </si>
  <si>
    <t>Guillermo Rojas chilo123mix@gmail.com</t>
  </si>
  <si>
    <t>SH03290</t>
  </si>
  <si>
    <t>SH03291</t>
  </si>
  <si>
    <t>SH03292</t>
  </si>
  <si>
    <t>SH03293</t>
  </si>
  <si>
    <t>Deborah Corrao hoorays@aol.com</t>
  </si>
  <si>
    <t>SH03294</t>
  </si>
  <si>
    <t>SH03295</t>
  </si>
  <si>
    <t>Michael Haley sam293@comcast.net</t>
  </si>
  <si>
    <t>SH03296</t>
  </si>
  <si>
    <t>SH03297</t>
  </si>
  <si>
    <t>Guillermo Castro mguillermo94@gmail.com</t>
  </si>
  <si>
    <t>SH03298</t>
  </si>
  <si>
    <t>Vanessa Smith vsmith006@comcast.net</t>
  </si>
  <si>
    <t>SH03299</t>
  </si>
  <si>
    <t>Ron Zayac canterburycgardens@gmail.com</t>
  </si>
  <si>
    <t>SH03300</t>
  </si>
  <si>
    <t>Cathy Seras cathyseras@gmail.com</t>
  </si>
  <si>
    <t>SH03301</t>
  </si>
  <si>
    <t>Victoria Stienstra v_stienstra@hotmail.com</t>
  </si>
  <si>
    <t>SH03302</t>
  </si>
  <si>
    <t>Chrystal Murphy everlastingarden4@gmail.com</t>
  </si>
  <si>
    <t>SH03303</t>
  </si>
  <si>
    <t>Ann Palmer palmer.berg@gmail.com</t>
  </si>
  <si>
    <t>SH03304</t>
  </si>
  <si>
    <t>Takahide Tanaka seijiltd@gmail.com</t>
  </si>
  <si>
    <t>SH03305</t>
  </si>
  <si>
    <t>Brandiann Garcia Salinas greetings@esteromarket.com</t>
  </si>
  <si>
    <t>SH03306</t>
  </si>
  <si>
    <t>Rodolfo Gato roddy.gato@dynaserv.com</t>
  </si>
  <si>
    <t>SH03307</t>
  </si>
  <si>
    <t>SH03308</t>
  </si>
  <si>
    <t>TAMMY BLOM mom@blomcentral.com</t>
  </si>
  <si>
    <t>SH03309</t>
  </si>
  <si>
    <t>Dianna Fresella dfresella@gmail.com</t>
  </si>
  <si>
    <t>SH03310</t>
  </si>
  <si>
    <t>Jon Harrison jmh.llc@gmail.com</t>
  </si>
  <si>
    <t>SH03311</t>
  </si>
  <si>
    <t>John Snyder theplantman@roadrunner.com</t>
  </si>
  <si>
    <t>SH03312</t>
  </si>
  <si>
    <t>Emily St. Lifer estlifer@ramahberkshires.org</t>
  </si>
  <si>
    <t>SH03313</t>
  </si>
  <si>
    <t>Scott smeed everybloominthing@comcast.net</t>
  </si>
  <si>
    <t>SH03314</t>
  </si>
  <si>
    <t>SH03315</t>
  </si>
  <si>
    <t>Bradley Johnson brad.johnson@frauenshuh.com</t>
  </si>
  <si>
    <t>SH03316</t>
  </si>
  <si>
    <t>Brenetta Cox brencox2010@hotmail.com</t>
  </si>
  <si>
    <t>SH03317</t>
  </si>
  <si>
    <t>Stephanie Delaney landscape_by_steph@yahoo.com</t>
  </si>
  <si>
    <t>SH03318</t>
  </si>
  <si>
    <t>Michael Ruiz totalcontrolpestcontrol@hotmail.com</t>
  </si>
  <si>
    <t>SH03319</t>
  </si>
  <si>
    <t>Molly Kemink info@theflowerhouseholland.com</t>
  </si>
  <si>
    <t>SH03320</t>
  </si>
  <si>
    <t>Andrea Pike carolinaseasosnnursery@gmail.com</t>
  </si>
  <si>
    <t>SH03321</t>
  </si>
  <si>
    <t>Patrick Casey casey174@comcast.net</t>
  </si>
  <si>
    <t>SH03322</t>
  </si>
  <si>
    <t>Kelli Matthews kmatthews@sanjose.org</t>
  </si>
  <si>
    <t>SH03323</t>
  </si>
  <si>
    <t>SH03324</t>
  </si>
  <si>
    <t>Elenora McGahee elenorakell@gmail.com</t>
  </si>
  <si>
    <t>SH03325</t>
  </si>
  <si>
    <t>Jan Fuller janfuller21@gmail.com</t>
  </si>
  <si>
    <t>SH03326</t>
  </si>
  <si>
    <t>Jill Rizzo hello@wildseasonflorals.com</t>
  </si>
  <si>
    <t>SH03327</t>
  </si>
  <si>
    <t>Sujin Kim skim@sycamorechurch.org</t>
  </si>
  <si>
    <t>SH03328</t>
  </si>
  <si>
    <t>Joy Gregory chloescollections@gmail.com</t>
  </si>
  <si>
    <t>SH03329</t>
  </si>
  <si>
    <t>Susan Velazquez magnoliasflowersfl@gmail.com</t>
  </si>
  <si>
    <t>SH03330</t>
  </si>
  <si>
    <t>Kate sheridan Chung chung.katesheridan@gmail.com</t>
  </si>
  <si>
    <t>SH03331</t>
  </si>
  <si>
    <t>SH03332</t>
  </si>
  <si>
    <t>Katherine Tommerup misscommunikate@hotmail.com</t>
  </si>
  <si>
    <t>SH03333</t>
  </si>
  <si>
    <t>Kristy Ehlers drkristyosu@gmail.com</t>
  </si>
  <si>
    <t>SH03334</t>
  </si>
  <si>
    <t>Sybil Smith sdsmith752@gmail.com</t>
  </si>
  <si>
    <t>SH03335</t>
  </si>
  <si>
    <t>SH03336</t>
  </si>
  <si>
    <t>Melanie Herr danschantz2024@outlook.com</t>
  </si>
  <si>
    <t>SH03337</t>
  </si>
  <si>
    <t>stanton ezzell thefloristsupplyshop.401lw@simplelogin.com</t>
  </si>
  <si>
    <t>SH03338</t>
  </si>
  <si>
    <t>SH03339</t>
  </si>
  <si>
    <t>SH03340</t>
  </si>
  <si>
    <t>Adam Skowronek baileyeobiz@gmail.com</t>
  </si>
  <si>
    <t>SH03341</t>
  </si>
  <si>
    <t>SH03342</t>
  </si>
  <si>
    <t>Cassidy Bishop cassidy.p.rasmusson@k12.nd.us</t>
  </si>
  <si>
    <t>SH03343</t>
  </si>
  <si>
    <t>Juana H Guzhnay jbsolutions59@gmail.com</t>
  </si>
  <si>
    <t>SH03344</t>
  </si>
  <si>
    <t>Jessica Street butterflyhousehospice@gmail.com</t>
  </si>
  <si>
    <t>SH03345</t>
  </si>
  <si>
    <t>Kimberly Whitworth flowerbouquet123@icloud.com</t>
  </si>
  <si>
    <t>SH03346</t>
  </si>
  <si>
    <t>Tina Williamson williamsoneventflorals@gmail.com</t>
  </si>
  <si>
    <t>SH03347</t>
  </si>
  <si>
    <t>CODY YERIAN cody@crosstownpromotional.com</t>
  </si>
  <si>
    <t>SH03348</t>
  </si>
  <si>
    <t>Catherine m kinworthy kinworthycat@gmail.com</t>
  </si>
  <si>
    <t>SH03349</t>
  </si>
  <si>
    <t>SH03350</t>
  </si>
  <si>
    <t>Kelly Booth sono412@yahoo.com</t>
  </si>
  <si>
    <t>SH03351</t>
  </si>
  <si>
    <t>SH03352</t>
  </si>
  <si>
    <t>Cynthia Campbell eckersflowers@gmail.com</t>
  </si>
  <si>
    <t>SH03353</t>
  </si>
  <si>
    <t>SH03354</t>
  </si>
  <si>
    <t>SH03355</t>
  </si>
  <si>
    <t>Jon McGann jmcgann@brookgreen.org</t>
  </si>
  <si>
    <t>SH03356</t>
  </si>
  <si>
    <t>Patricia Heimann tpheimann@juno.com</t>
  </si>
  <si>
    <t>SH03357</t>
  </si>
  <si>
    <t>Nina Brahman hello@ilovetus.com</t>
  </si>
  <si>
    <t>SH03358</t>
  </si>
  <si>
    <t>David Giurleo david.giurleo@gmail.com</t>
  </si>
  <si>
    <t>SH03359</t>
  </si>
  <si>
    <t>mark larabel mlarabel53@gmail.com</t>
  </si>
  <si>
    <t>SH03360</t>
  </si>
  <si>
    <t>Devony Scott shopposhpetals@gmail.com</t>
  </si>
  <si>
    <t>SH03361</t>
  </si>
  <si>
    <t>Mary Barone marylbarone@gmail.com</t>
  </si>
  <si>
    <t>SH03362</t>
  </si>
  <si>
    <t>John Varvarigos jordan@wellingtonflorist.com</t>
  </si>
  <si>
    <t>SH03363</t>
  </si>
  <si>
    <t>Roxane Allen roxane.allen@icic-usa.com</t>
  </si>
  <si>
    <t>SH03364</t>
  </si>
  <si>
    <t>SH03365</t>
  </si>
  <si>
    <t>SH03366</t>
  </si>
  <si>
    <t>Roseann Purden rosieishere@icloud.com</t>
  </si>
  <si>
    <t>SH03367</t>
  </si>
  <si>
    <t>SH03368</t>
  </si>
  <si>
    <t>Sarah Miller smiller@smithersoasis.com</t>
  </si>
  <si>
    <t>SH03369</t>
  </si>
  <si>
    <t>Kat Hills kathills@me.com</t>
  </si>
  <si>
    <t>SH03370</t>
  </si>
  <si>
    <t>trina daniel mooresflower@gmail.com</t>
  </si>
  <si>
    <t>SH03371</t>
  </si>
  <si>
    <t>Sandra Vogel williamsflorist@gmail.com</t>
  </si>
  <si>
    <t>SH03372</t>
  </si>
  <si>
    <t>SH03373</t>
  </si>
  <si>
    <t>Chad McKay chad_mckay@wilmington.edu</t>
  </si>
  <si>
    <t>SH03374</t>
  </si>
  <si>
    <t>Gloria Marroquin marroquin.joy@gmail.com</t>
  </si>
  <si>
    <t>SH03375</t>
  </si>
  <si>
    <t>Brett Smith srenee.salazar@gmail.com</t>
  </si>
  <si>
    <t>SH03376</t>
  </si>
  <si>
    <t>Lesly Villalobos leslyv647@gmail.com</t>
  </si>
  <si>
    <t>SH03377</t>
  </si>
  <si>
    <t>Kari Souder kcsouder@gmail.com</t>
  </si>
  <si>
    <t>SH03378</t>
  </si>
  <si>
    <t>Quinn Snyder quinn@lqflowers.com</t>
  </si>
  <si>
    <t>SH03379</t>
  </si>
  <si>
    <t>SH03380</t>
  </si>
  <si>
    <t>Bryan Steib bryans504@msn.com</t>
  </si>
  <si>
    <t>SH03381</t>
  </si>
  <si>
    <t>Jonathan Walsh jonwalshuf@gmail.com</t>
  </si>
  <si>
    <t>SH03382</t>
  </si>
  <si>
    <t>Shelby Dasenbrock burklandswedding@gmail.com</t>
  </si>
  <si>
    <t>SH03383</t>
  </si>
  <si>
    <t>SH03384</t>
  </si>
  <si>
    <t>Charles Moreno ifmcharles@gmail.com</t>
  </si>
  <si>
    <t>SH03385</t>
  </si>
  <si>
    <t>Anna Williford hernandoflowers@gmail.com</t>
  </si>
  <si>
    <t>SH03386</t>
  </si>
  <si>
    <t>SH03387</t>
  </si>
  <si>
    <t>Staci Bryant customerservice@expressions24-7.com</t>
  </si>
  <si>
    <t>SH03388</t>
  </si>
  <si>
    <t>Elaine Rembold elaine.rembold@gmail.com</t>
  </si>
  <si>
    <t>SH03389</t>
  </si>
  <si>
    <t>Alexa Goglanian hello@wearecranky.com</t>
  </si>
  <si>
    <t>SH03390</t>
  </si>
  <si>
    <t>SH03391</t>
  </si>
  <si>
    <t>SH03392</t>
  </si>
  <si>
    <t>SH03393</t>
  </si>
  <si>
    <t>SH03394</t>
  </si>
  <si>
    <t>SH03395</t>
  </si>
  <si>
    <t>SH03396</t>
  </si>
  <si>
    <t>SH03397</t>
  </si>
  <si>
    <t>SH03398</t>
  </si>
  <si>
    <t>SH03399</t>
  </si>
  <si>
    <t>SH03400</t>
  </si>
  <si>
    <t>SH03401</t>
  </si>
  <si>
    <t>Katherine Janicki ksjanicki@gmail.com</t>
  </si>
  <si>
    <t>SH03402</t>
  </si>
  <si>
    <t>Ben Jameson ben@springvalleybc.org</t>
  </si>
  <si>
    <t>SH03403</t>
  </si>
  <si>
    <t>Jeff Reynebeau mreynebeau1@gmail.com</t>
  </si>
  <si>
    <t>SH03404</t>
  </si>
  <si>
    <t>Nicholas Degennaro n.degennaro13@outlook.com</t>
  </si>
  <si>
    <t>SH03405</t>
  </si>
  <si>
    <t>Seung Yang initialsky@gmail.com</t>
  </si>
  <si>
    <t>SH03406</t>
  </si>
  <si>
    <t>Nahlah Saab nona_queenoflove10@yahoo.com</t>
  </si>
  <si>
    <t>SH03407</t>
  </si>
  <si>
    <t>SH03408</t>
  </si>
  <si>
    <t>Sara Bohorquez sales@yourcherryblossom.shop</t>
  </si>
  <si>
    <t>SH03409</t>
  </si>
  <si>
    <t>Patricia Lindsey pottedorchid@aol.com</t>
  </si>
  <si>
    <t>SH03410</t>
  </si>
  <si>
    <t>Lisa Phillips scott@piedmontflowers.com</t>
  </si>
  <si>
    <t>SH03411</t>
  </si>
  <si>
    <t>SH03412</t>
  </si>
  <si>
    <t>Helen Kirk hsollee@yahoo.com</t>
  </si>
  <si>
    <t>SH03413</t>
  </si>
  <si>
    <t>SH03414</t>
  </si>
  <si>
    <t>Cindy Lindstrom cindy@panzicos.com</t>
  </si>
  <si>
    <t>SH03415</t>
  </si>
  <si>
    <t>SH03416</t>
  </si>
  <si>
    <t>Joy Hamby joydhamby@gmail.com</t>
  </si>
  <si>
    <t>SH03417</t>
  </si>
  <si>
    <t>Donald Bokman don@dwellersoul.com</t>
  </si>
  <si>
    <t>SH03418</t>
  </si>
  <si>
    <t>Kristin Wolter wofield29@gmail.com</t>
  </si>
  <si>
    <t>SH03419</t>
  </si>
  <si>
    <t>SH03420</t>
  </si>
  <si>
    <t>Moira Johnson mgj517@gmail.com</t>
  </si>
  <si>
    <t>SH03421</t>
  </si>
  <si>
    <t>Anthony Diglio lisa.bradley95@gmail.com</t>
  </si>
  <si>
    <t>SH03422</t>
  </si>
  <si>
    <t>cntbjp@yahoo.com</t>
  </si>
  <si>
    <t>SH03423</t>
  </si>
  <si>
    <t>Quan Am Nam Monastery quanamnamhaimonastery@gmail.com</t>
  </si>
  <si>
    <t>SH03424</t>
  </si>
  <si>
    <t>SH03425</t>
  </si>
  <si>
    <t>Gwen Price Gwenprice56@gmail.com</t>
  </si>
  <si>
    <t>SH03426</t>
  </si>
  <si>
    <t>Christopher Melton cmelt198588@gmail.com</t>
  </si>
  <si>
    <t>SH03427</t>
  </si>
  <si>
    <t>PAIGE MCGUFFEY paige@welovemoss.com</t>
  </si>
  <si>
    <t>SH03428</t>
  </si>
  <si>
    <t>brenda ray petalmehome@gmail.com</t>
  </si>
  <si>
    <t>SH03429</t>
  </si>
  <si>
    <t>Sierra George sierracgeorge@gmail.com</t>
  </si>
  <si>
    <t>SH03430</t>
  </si>
  <si>
    <t>Abigail Manny hogtide@comcast.net</t>
  </si>
  <si>
    <t>SH03431</t>
  </si>
  <si>
    <t>Nikki Bales nikki@wilcoxnursery.com</t>
  </si>
  <si>
    <t>SH03432</t>
  </si>
  <si>
    <t>Stanley West stan@djnursery.com</t>
  </si>
  <si>
    <t>SH03433</t>
  </si>
  <si>
    <t>Michael Kooiman michaelskooiman@gmail.com</t>
  </si>
  <si>
    <t>SH03434</t>
  </si>
  <si>
    <t>Cassidy Dickerson janinesflowers@gmail.com</t>
  </si>
  <si>
    <t>SH03435</t>
  </si>
  <si>
    <t>Kandyce Parsons slaton.heirloom@gmail.com</t>
  </si>
  <si>
    <t>SH03436</t>
  </si>
  <si>
    <t>Kelli Maberry kelli.maberry@ag.tamu.edu</t>
  </si>
  <si>
    <t>SH03437</t>
  </si>
  <si>
    <t>laura Feytser laura.feytser@gmail.com</t>
  </si>
  <si>
    <t>SH03438</t>
  </si>
  <si>
    <t>JoMarah C info@no1flowersbyjo.com</t>
  </si>
  <si>
    <t>SH03439</t>
  </si>
  <si>
    <t>Ethel Powell ethelpowell@gmail.com</t>
  </si>
  <si>
    <t>SH03440</t>
  </si>
  <si>
    <t>Judith Anderson livininpa@msn.com</t>
  </si>
  <si>
    <t>SH03441</t>
  </si>
  <si>
    <t>Margaret Holder mckeemargo35@gmail.com</t>
  </si>
  <si>
    <t>SH03442</t>
  </si>
  <si>
    <t>Jason Faia umer@globalsupplynet.com</t>
  </si>
  <si>
    <t>SH03443</t>
  </si>
  <si>
    <t>Jodi Knotts jodi.knotts@myactv.net</t>
  </si>
  <si>
    <t>SH03444</t>
  </si>
  <si>
    <t>Sonia Watkins-Davis swatkinsdavis@gmail.com</t>
  </si>
  <si>
    <t>SH03445</t>
  </si>
  <si>
    <t>Amelia Missaghi info@the-petal.com</t>
  </si>
  <si>
    <t>SH03446</t>
  </si>
  <si>
    <t>SH03447</t>
  </si>
  <si>
    <t>Karin Kane karinkane@umpquabank.com</t>
  </si>
  <si>
    <t>SH03448</t>
  </si>
  <si>
    <t>Abby Hitchler bcoffice@boonecentral.esu7.org</t>
  </si>
  <si>
    <t>SH03449</t>
  </si>
  <si>
    <t>SH03450</t>
  </si>
  <si>
    <t>Kim Westmoreland efyflowers2@att.net</t>
  </si>
  <si>
    <t>SH03451</t>
  </si>
  <si>
    <t>Stefanie Fleming stefaniejfleming@gmail.com</t>
  </si>
  <si>
    <t>SH03452</t>
  </si>
  <si>
    <t>nancy waltman nmomhro@aol.com</t>
  </si>
  <si>
    <t>SH03453</t>
  </si>
  <si>
    <t>SH03454</t>
  </si>
  <si>
    <t>Annie Williams anniesun927@gmail.com</t>
  </si>
  <si>
    <t>SH03455</t>
  </si>
  <si>
    <t>suzanne black flora_savage@yahoo.com</t>
  </si>
  <si>
    <t>SH03456</t>
  </si>
  <si>
    <t>John Slivon john.slivon@comcast.net</t>
  </si>
  <si>
    <t>SH03457</t>
  </si>
  <si>
    <t>SH03458</t>
  </si>
  <si>
    <t>Jaymie Nielsen jaymiewo@yahoo.com</t>
  </si>
  <si>
    <t>SH03459</t>
  </si>
  <si>
    <t>Janith Taylor jdtgwt34@gmail.com</t>
  </si>
  <si>
    <t>SH03460</t>
  </si>
  <si>
    <t>Pat Frazier ppfarminfo@gmail.com</t>
  </si>
  <si>
    <t>SH03461</t>
  </si>
  <si>
    <t>Diane Listort listorda@eckerd.edu</t>
  </si>
  <si>
    <t>SH03462</t>
  </si>
  <si>
    <t>maria pale palemaria83@gmail.com</t>
  </si>
  <si>
    <t>SH03463</t>
  </si>
  <si>
    <t>SH03464</t>
  </si>
  <si>
    <t>Charlie homes produce-vests-0z@icloud.com</t>
  </si>
  <si>
    <t>SH03465</t>
  </si>
  <si>
    <t>Courtney Terrell courtneyterrell@hotmail.com</t>
  </si>
  <si>
    <t>SH03466</t>
  </si>
  <si>
    <t>SH03467</t>
  </si>
  <si>
    <t>Helen Griffin villageshoppe1999@gmail.com</t>
  </si>
  <si>
    <t>SH03468</t>
  </si>
  <si>
    <t>Sam Edwards megglesa1@gmail.com</t>
  </si>
  <si>
    <t>SH03469</t>
  </si>
  <si>
    <t>SH03470</t>
  </si>
  <si>
    <t>Lane Doyle colind.ldf@gmail.com</t>
  </si>
  <si>
    <t>SH03471</t>
  </si>
  <si>
    <t>alejandra cook ale@houseofmargotblair.com</t>
  </si>
  <si>
    <t>SH03472</t>
  </si>
  <si>
    <t>brushandbloomsllc@gmail.com</t>
  </si>
  <si>
    <t>SH03473</t>
  </si>
  <si>
    <t>Dawna Sherrell dbelle7@yahoo.com</t>
  </si>
  <si>
    <t>SH03474</t>
  </si>
  <si>
    <t>SH03475</t>
  </si>
  <si>
    <t>James Pittman drjamespittman@aol.com</t>
  </si>
  <si>
    <t>SH03476</t>
  </si>
  <si>
    <t>Minhe Zheng nayizhihe@gmail.com</t>
  </si>
  <si>
    <t>SH03477</t>
  </si>
  <si>
    <t>Brian Townsend hcw1019@gmail.com</t>
  </si>
  <si>
    <t>SH03478</t>
  </si>
  <si>
    <t>Monica Jean Howard howardmonicaj@aol.com</t>
  </si>
  <si>
    <t>SH03479</t>
  </si>
  <si>
    <t>elizabeth Dufresne lizannedufresne@gmail.com</t>
  </si>
  <si>
    <t>SH03480</t>
  </si>
  <si>
    <t>Madelyn Taylor metperidot@gmail.com</t>
  </si>
  <si>
    <t>SH03481</t>
  </si>
  <si>
    <t>louise andrews landrews@powerhousemechanical.com</t>
  </si>
  <si>
    <t>SH03482</t>
  </si>
  <si>
    <t>Eric Wieland chiefwieland@roadrunner.com</t>
  </si>
  <si>
    <t>SH03483</t>
  </si>
  <si>
    <t>Jeanna Bailey floralmatters@yahoo.com</t>
  </si>
  <si>
    <t>SH03484</t>
  </si>
  <si>
    <t>Angelica Carvalho Borborema Castro borborema3@hotmail.com</t>
  </si>
  <si>
    <t>SH03485</t>
  </si>
  <si>
    <t>Lawrence Shoup mshoup60@aol.com</t>
  </si>
  <si>
    <t>SH03486</t>
  </si>
  <si>
    <t>Go FLowers JAX LLC gotflowersjax@gmail.com</t>
  </si>
  <si>
    <t>SH03487</t>
  </si>
  <si>
    <t>Anne Taylor Schaaf annetschaaf@gmail.com</t>
  </si>
  <si>
    <t>SH03488</t>
  </si>
  <si>
    <t>Steve Skinner sgskinny@gmail.com</t>
  </si>
  <si>
    <t>SH03489</t>
  </si>
  <si>
    <t>Gina C. Diamond gdfcflowers@gmail.com</t>
  </si>
  <si>
    <t>SH03490</t>
  </si>
  <si>
    <t>Aileen Moore aileenmoore@secondpreslr.org</t>
  </si>
  <si>
    <t>SH03491</t>
  </si>
  <si>
    <t>Sarah Hollon sarah@bernsgardencenter.com</t>
  </si>
  <si>
    <t>SH03492</t>
  </si>
  <si>
    <t>Callie Dyer calliesflowershop@gmail.com</t>
  </si>
  <si>
    <t>SH03493</t>
  </si>
  <si>
    <t>Yanique Shaw bostonflowercompany@gmail.com</t>
  </si>
  <si>
    <t>SH03494</t>
  </si>
  <si>
    <t>Amanda Blissit amanda@blume-haus.com</t>
  </si>
  <si>
    <t>SH03495</t>
  </si>
  <si>
    <t>Donna Rutherford donnarutherford.0908@gmail.com</t>
  </si>
  <si>
    <t>SH03496</t>
  </si>
  <si>
    <t>Amanda Pfeifer apfeifer@stpatselkhorn.org</t>
  </si>
  <si>
    <t>SH03497</t>
  </si>
  <si>
    <t>George Alderete pa_alderete@hotmail.com</t>
  </si>
  <si>
    <t>SH03498</t>
  </si>
  <si>
    <t>Judith lynnflorist04@gmail.com lynnflorist04@gmail.com</t>
  </si>
  <si>
    <t>SH03499</t>
  </si>
  <si>
    <t>Anne Marie Larson amlarson1830@gmail.com</t>
  </si>
  <si>
    <t>SH03500</t>
  </si>
  <si>
    <t>Melissa Cargal cargalcmc@yahoo.com</t>
  </si>
  <si>
    <t>SH03501</t>
  </si>
  <si>
    <t>SH03502</t>
  </si>
  <si>
    <t>SH03503</t>
  </si>
  <si>
    <t>SH03504</t>
  </si>
  <si>
    <t>Linda Kleiss lindakleiss@gmail.com</t>
  </si>
  <si>
    <t>SH03505</t>
  </si>
  <si>
    <t>Yvette Frazier ysdevents@yahoo.com</t>
  </si>
  <si>
    <t>SH03506</t>
  </si>
  <si>
    <t>SH03507</t>
  </si>
  <si>
    <t>Joann Gsell donna@russosfruitandveg.com</t>
  </si>
  <si>
    <t>SH03508</t>
  </si>
  <si>
    <t>Hannah James hannahjames92@gmail.com</t>
  </si>
  <si>
    <t>SH03509</t>
  </si>
  <si>
    <t>David Flack george@bountifulacres.com</t>
  </si>
  <si>
    <t>SH03510</t>
  </si>
  <si>
    <t>Janna Pemberton Schmidt pembertons@pembertonsgreenhouses.com</t>
  </si>
  <si>
    <t>SH03511</t>
  </si>
  <si>
    <t>Ann Bailey ann_bailey3370@yahoo.com</t>
  </si>
  <si>
    <t>SH03512</t>
  </si>
  <si>
    <t>Finn O’Hara fynn@onalarkpictures.com</t>
  </si>
  <si>
    <t>SH03513</t>
  </si>
  <si>
    <t>Lauren Sierra hello@thefloristsupplyshop.com</t>
  </si>
  <si>
    <t>SH03514</t>
  </si>
  <si>
    <t>Brenda Webb theflowernookshop@gmail.com</t>
  </si>
  <si>
    <t>SH03515</t>
  </si>
  <si>
    <t>Courtney Sauer courtney@abbygarden.com</t>
  </si>
  <si>
    <t>SH03516</t>
  </si>
  <si>
    <t>Kelley Byars byars.kelley@gmail.com</t>
  </si>
  <si>
    <t>SH03517</t>
  </si>
  <si>
    <t>SH03518</t>
  </si>
  <si>
    <t>Ashley Hendrex ashleyhendrex@gmail.com</t>
  </si>
  <si>
    <t>SH03519</t>
  </si>
  <si>
    <t>Mirna Benitez mbenitez84@hotmail.com</t>
  </si>
  <si>
    <t>SH03520</t>
  </si>
  <si>
    <t>Rodney Kerr rodneykerr@msn.com</t>
  </si>
  <si>
    <t>SH03521</t>
  </si>
  <si>
    <t>Jordan Littrell jordan@gracemj.org</t>
  </si>
  <si>
    <t>SH03522</t>
  </si>
  <si>
    <t>Annie Whalen awhalen@guidosfreshmarketplace.com</t>
  </si>
  <si>
    <t>SH03523</t>
  </si>
  <si>
    <t>Douglas Gemmell douggml@hotmail.com</t>
  </si>
  <si>
    <t>SH03524</t>
  </si>
  <si>
    <t>Melissa LaRose melissa.larose@wasatchpeaksranch.com</t>
  </si>
  <si>
    <t>SH03525</t>
  </si>
  <si>
    <t>SH03526</t>
  </si>
  <si>
    <t>SH03527</t>
  </si>
  <si>
    <t>Carolina Escobar carolinaescobar0617@gmail.com</t>
  </si>
  <si>
    <t>SH03528</t>
  </si>
  <si>
    <t>Jennifer Litterst jenlitterst@gmail.com</t>
  </si>
  <si>
    <t>SH03529</t>
  </si>
  <si>
    <t>Lauren Shipp laurenshipp@sbcglobal.net</t>
  </si>
  <si>
    <t>SH03530</t>
  </si>
  <si>
    <t>SH03531</t>
  </si>
  <si>
    <t>Sarah Vieck sarah@jmrfarms.com</t>
  </si>
  <si>
    <t>SH03532</t>
  </si>
  <si>
    <t>Lisa Taylor lisataylor303@gmail.com</t>
  </si>
  <si>
    <t>SH03533</t>
  </si>
  <si>
    <t>Sherrie Graves sherrie@gracelife.com</t>
  </si>
  <si>
    <t>SH03534</t>
  </si>
  <si>
    <t>Theresa Greenwood sec@saccfl.org</t>
  </si>
  <si>
    <t>SH03535</t>
  </si>
  <si>
    <t>Betty Mcguffey acountryrose@comcast.net</t>
  </si>
  <si>
    <t>SH03536</t>
  </si>
  <si>
    <t>Kathleen Kempf kitkats41@aol.com</t>
  </si>
  <si>
    <t>SH03537</t>
  </si>
  <si>
    <t>Nicole Hartman nicole@catholicshrineatlanta.org</t>
  </si>
  <si>
    <t>SH03538</t>
  </si>
  <si>
    <t>SH03539</t>
  </si>
  <si>
    <t>Eilene Maupin maupin@comcast.net</t>
  </si>
  <si>
    <t>SH03540</t>
  </si>
  <si>
    <t>Elizabeth Tews contact@heartlandstoremn.com</t>
  </si>
  <si>
    <t>SH03541</t>
  </si>
  <si>
    <t>Sarah Werner brian@bergamotandivy.com</t>
  </si>
  <si>
    <t>SH03542</t>
  </si>
  <si>
    <t>Rebecca Flores bloomsbybeccaflores@gmail.com</t>
  </si>
  <si>
    <t>SH03543</t>
  </si>
  <si>
    <t>lillian de la flor info@dollysflorist.com</t>
  </si>
  <si>
    <t>SH03544</t>
  </si>
  <si>
    <t>Emily Singh sweeneysfloralshop@gmail.com</t>
  </si>
  <si>
    <t>SH03545</t>
  </si>
  <si>
    <t>Mike Cashwiler mcashwiler@shady-maple.com</t>
  </si>
  <si>
    <t>SH03546</t>
  </si>
  <si>
    <t>mayelin alfonso maycrazybloom@gmail.com</t>
  </si>
  <si>
    <t>SH03547</t>
  </si>
  <si>
    <t>Ly Pham lyp303@yahoo.com</t>
  </si>
  <si>
    <t>SH03548</t>
  </si>
  <si>
    <t>Scott Atwood atwoodscottn@gmail.com</t>
  </si>
  <si>
    <t>SH03549</t>
  </si>
  <si>
    <t>Rhea Sarsfield rheasarsfield@yahoo.com</t>
  </si>
  <si>
    <t>SH03550</t>
  </si>
  <si>
    <t>Cynthia McGovern johncynthia1@verizon.net</t>
  </si>
  <si>
    <t>SH03551</t>
  </si>
  <si>
    <t>Lorry Werner lorrywfloral@gmail.com</t>
  </si>
  <si>
    <t>SH03552</t>
  </si>
  <si>
    <t>SH03553</t>
  </si>
  <si>
    <t>SH03554</t>
  </si>
  <si>
    <t>SH03555</t>
  </si>
  <si>
    <t>Emily Cavey ecavey@hm1842.com</t>
  </si>
  <si>
    <t>SH03556</t>
  </si>
  <si>
    <t>Mora Farag morafarag@gmail.com</t>
  </si>
  <si>
    <t>SH03557</t>
  </si>
  <si>
    <t>Jessica Cheatham anniecheatham@hotmail.com</t>
  </si>
  <si>
    <t>SH03558</t>
  </si>
  <si>
    <t>Victoria Murray mainstreetfloralduncan@gmail.com</t>
  </si>
  <si>
    <t>SH03559</t>
  </si>
  <si>
    <t>C Briton-Jones cmbritonjones@gmail.com</t>
  </si>
  <si>
    <t>SH03560</t>
  </si>
  <si>
    <t>Hilary Atamian gracegardensfloral@gmail.com</t>
  </si>
  <si>
    <t>SH03561</t>
  </si>
  <si>
    <t>Kay A hello@sisuflorals.com</t>
  </si>
  <si>
    <t>SH03562</t>
  </si>
  <si>
    <t>SH03563</t>
  </si>
  <si>
    <t>SH03564</t>
  </si>
  <si>
    <t>SH03565</t>
  </si>
  <si>
    <t>Leslie Bell lesliegrowingcompany@gmail.com</t>
  </si>
  <si>
    <t>SH03566</t>
  </si>
  <si>
    <t>Lance Hoopai ljhoopai@gmail.com</t>
  </si>
  <si>
    <t>SH03567</t>
  </si>
  <si>
    <t>Candice Szarzec hello@thepetalandthestem.com</t>
  </si>
  <si>
    <t>SH03568</t>
  </si>
  <si>
    <t>SH03569</t>
  </si>
  <si>
    <t>Sara Slingerland sslingerland@floracraft.com</t>
  </si>
  <si>
    <t>SH03570</t>
  </si>
  <si>
    <t>Siying Zhu sunshinesjzk@gmail.com</t>
  </si>
  <si>
    <t>SH03571</t>
  </si>
  <si>
    <t>Micki Houston mickisflorist@optonline.net</t>
  </si>
  <si>
    <t>SH03572</t>
  </si>
  <si>
    <t>Miranda Bergeron mirandashawaryn@yahoo.com</t>
  </si>
  <si>
    <t>SH03573</t>
  </si>
  <si>
    <t>Ashley Joiner veesflowersmonroe@gmail.com</t>
  </si>
  <si>
    <t>SH03574</t>
  </si>
  <si>
    <t>Laney Vivo laneyvivo@yahoo.com</t>
  </si>
  <si>
    <t>SH03575</t>
  </si>
  <si>
    <t>Bernard Carvajal meljeff88@aol.com</t>
  </si>
  <si>
    <t>SH03576</t>
  </si>
  <si>
    <t>Krista Gardent kristagardent@yahoo.com</t>
  </si>
  <si>
    <t>SH03577</t>
  </si>
  <si>
    <t>SH03578</t>
  </si>
  <si>
    <t>Chasity Coffey chasityl359@gmail.com</t>
  </si>
  <si>
    <t>SH03579</t>
  </si>
  <si>
    <t>Cynthia Creighton creighton954@aol.com</t>
  </si>
  <si>
    <t>SH03580</t>
  </si>
  <si>
    <t>Helen Le angie_le81@yahoo.com</t>
  </si>
  <si>
    <t>SH03581</t>
  </si>
  <si>
    <t>Neil Perry neilaperry70@gmail.com</t>
  </si>
  <si>
    <t>SH03582</t>
  </si>
  <si>
    <t>Shelly Brand brandshelly70@gmail.com</t>
  </si>
  <si>
    <t>SH03583</t>
  </si>
  <si>
    <t>Brocha Feigelstock brochagf@gmail.com</t>
  </si>
  <si>
    <t>SH03584</t>
  </si>
  <si>
    <t>Jose Garcia flodimsales@gmail.com</t>
  </si>
  <si>
    <t>SH03585</t>
  </si>
  <si>
    <t>Wayman Winters flowers618@yahoo.com</t>
  </si>
  <si>
    <t>SH03586</t>
  </si>
  <si>
    <t>Matthew Aguiar mattag95@yahoo.com</t>
  </si>
  <si>
    <t>SH03587</t>
  </si>
  <si>
    <t>Anna Sheehy annawiddess@gmail.com</t>
  </si>
  <si>
    <t>SH03588</t>
  </si>
  <si>
    <t>Dan Pham daniellepham501@gmail.com</t>
  </si>
  <si>
    <t>SH03589</t>
  </si>
  <si>
    <t>jo-ann holston agomez-zuniga@trinitywildcats.com</t>
  </si>
  <si>
    <t>SH03590</t>
  </si>
  <si>
    <t>Joan Tanis joan.tanis@yahoo.com</t>
  </si>
  <si>
    <t>SH03591</t>
  </si>
  <si>
    <t>MARIA SAUCEDO dominosblooms22@gmail.com</t>
  </si>
  <si>
    <t>SH03592</t>
  </si>
  <si>
    <t>Yovany Vivar giovanni86.gv@gmail.com</t>
  </si>
  <si>
    <t>SH03593</t>
  </si>
  <si>
    <t>Brooklyn DeMoss brooklynbattle@gmail.com</t>
  </si>
  <si>
    <t>SH03594</t>
  </si>
  <si>
    <t>Adam Kaplan adam@rewilddc.com</t>
  </si>
  <si>
    <t>SH03595</t>
  </si>
  <si>
    <t>SH03596</t>
  </si>
  <si>
    <t>David Boulton dboulton65@gmail.com</t>
  </si>
  <si>
    <t>SH03597</t>
  </si>
  <si>
    <t>Heather Sullivan heather@durocherflorist.com</t>
  </si>
  <si>
    <t>SH03598</t>
  </si>
  <si>
    <t>Karri Mohr themohrs94@msn.com</t>
  </si>
  <si>
    <t>SH03599</t>
  </si>
  <si>
    <t>Francis Araujo faq1621@gmail.com</t>
  </si>
  <si>
    <t>SH03600</t>
  </si>
  <si>
    <t>Marge Wright margewright@yahoo.com</t>
  </si>
  <si>
    <t>SH03601</t>
  </si>
  <si>
    <t>Shelby Horton roanokeflorist@ymail.com</t>
  </si>
  <si>
    <t>SH03602</t>
  </si>
  <si>
    <t>ANDREW TAMAJON andrew.tamajon@yahoo.com</t>
  </si>
  <si>
    <t>SH03603</t>
  </si>
  <si>
    <t>Colette Fudge charwell1@gmail.com</t>
  </si>
  <si>
    <t>SH03604</t>
  </si>
  <si>
    <t>Debbie Samford dsamford@sbcglobal.net</t>
  </si>
  <si>
    <t>SH03605</t>
  </si>
  <si>
    <t>George Sanders georgeleosanders@gmail.com</t>
  </si>
  <si>
    <t>SH03606</t>
  </si>
  <si>
    <t>Amy Wilde rimyfamfarm@gmail.com</t>
  </si>
  <si>
    <t>SH03607</t>
  </si>
  <si>
    <t>MICHELLE SUMMERES yoursignatureevents.ms@gmail.com</t>
  </si>
  <si>
    <t>SH03608</t>
  </si>
  <si>
    <t>Josefa Miranda mirandajosie@comcast.net</t>
  </si>
  <si>
    <t>SH03609</t>
  </si>
  <si>
    <t>RENA Izyaguyev flowersbyrena@gmail.com</t>
  </si>
  <si>
    <t>SH03610</t>
  </si>
  <si>
    <t>jonathon kennedy jon.hirnis@gmail.com</t>
  </si>
  <si>
    <t>SH03611</t>
  </si>
  <si>
    <t>Melissa Floyd melsblossoms@gmail.com</t>
  </si>
  <si>
    <t>SH03612</t>
  </si>
  <si>
    <t>Maria Del Refugio Garcia mdrgarc017@gmail.com</t>
  </si>
  <si>
    <t>SH03613</t>
  </si>
  <si>
    <t>Jennifer Hewson dgflowerstudio@gmail.com</t>
  </si>
  <si>
    <t>SH03614</t>
  </si>
  <si>
    <t>Sarah McCarthy sowhatstudios.htr@gmail.com</t>
  </si>
  <si>
    <t>SH03615</t>
  </si>
  <si>
    <t>Chris Clark chris@theflowerbed.net</t>
  </si>
  <si>
    <t>SH03616</t>
  </si>
  <si>
    <t>Karen Ritchey sunshineritchey57@gmail.com</t>
  </si>
  <si>
    <t>SH03617</t>
  </si>
  <si>
    <t>Vickie Malget thornoriginals@yahoo.com</t>
  </si>
  <si>
    <t>SH03618</t>
  </si>
  <si>
    <t>Sheryl Meisel spurplecm@gmail.com</t>
  </si>
  <si>
    <t>SH03619</t>
  </si>
  <si>
    <t>SH03620</t>
  </si>
  <si>
    <t>Yuliya Shestakov ulcha1985@hotmail.com</t>
  </si>
  <si>
    <t>SH03621</t>
  </si>
  <si>
    <t>Tammy Pitts tpitts@strandace.com</t>
  </si>
  <si>
    <t>SH03622</t>
  </si>
  <si>
    <t>Janis Koperski floral07@brstores.com</t>
  </si>
  <si>
    <t>SH03623</t>
  </si>
  <si>
    <t>Megan Mitchell team@sunrisefloral.com</t>
  </si>
  <si>
    <t>SH03624</t>
  </si>
  <si>
    <t>George Wong waimoy4@gmail.com</t>
  </si>
  <si>
    <t>SH03625</t>
  </si>
  <si>
    <t>Shawna Mang shawna.mang@gmail.com</t>
  </si>
  <si>
    <t>SH03626</t>
  </si>
  <si>
    <t>Julie Lockhart juliestrinkets@hotmail.com</t>
  </si>
  <si>
    <t>SH03627</t>
  </si>
  <si>
    <t>SH03628</t>
  </si>
  <si>
    <t>Heather Muto heatherlmuto@gmail.com</t>
  </si>
  <si>
    <t>SH03629</t>
  </si>
  <si>
    <t>Jamie Jones jamie@chattanoogaflowermarket.com</t>
  </si>
  <si>
    <t>SH03630</t>
  </si>
  <si>
    <t>Sabrina Southerly sabrina@solowholesalefloral.com</t>
  </si>
  <si>
    <t>SH03631</t>
  </si>
  <si>
    <t>Ashly Maria ashlym1207@gmail.com</t>
  </si>
  <si>
    <t>SH03632</t>
  </si>
  <si>
    <t>Jason Tang planetjasont@yahoo.com</t>
  </si>
  <si>
    <t>SH03633</t>
  </si>
  <si>
    <t>Larry Cheever cheeversflowers@coxinet.net</t>
  </si>
  <si>
    <t>SH03634</t>
  </si>
  <si>
    <t>Mel Robbins robbins61@cox.net</t>
  </si>
  <si>
    <t>SH03635</t>
  </si>
  <si>
    <t>Hannah Guilford hannahplowden@gmail.com</t>
  </si>
  <si>
    <t>SH03636</t>
  </si>
  <si>
    <t>SH03637</t>
  </si>
  <si>
    <t>SH03638</t>
  </si>
  <si>
    <t>Erica Chan eg056972@yahoo.com</t>
  </si>
  <si>
    <t>SH03639</t>
  </si>
  <si>
    <t>Kathy Way kathy@abideawhile.com</t>
  </si>
  <si>
    <t>SH03640</t>
  </si>
  <si>
    <t>SH03641</t>
  </si>
  <si>
    <t>Dennis Kleinmann sbranly@stveronica.net</t>
  </si>
  <si>
    <t>SH03642</t>
  </si>
  <si>
    <t>Lucy Phipps lucy@mayflowersofredbank.com</t>
  </si>
  <si>
    <t>SH03643</t>
  </si>
  <si>
    <t>sarah lambrecht flowers@blairflorist.com</t>
  </si>
  <si>
    <t>SH03644</t>
  </si>
  <si>
    <t>Lurdis Contreras alexisalondra@aol.com</t>
  </si>
  <si>
    <t>SH03645</t>
  </si>
  <si>
    <t>Dawn Henry henry.dawn@ymail.com</t>
  </si>
  <si>
    <t>SH03646</t>
  </si>
  <si>
    <t>Bea Balmaseda bea@bea-flowers.com</t>
  </si>
  <si>
    <t>SH03647</t>
  </si>
  <si>
    <t>Donna Daum donna.daum@outlook.com</t>
  </si>
  <si>
    <t>SH03648</t>
  </si>
  <si>
    <t>Roberta Kansteiner rskclothes@gmail.com</t>
  </si>
  <si>
    <t>SH03649</t>
  </si>
  <si>
    <t>Joyce Austring reneeaustring@gmail.com</t>
  </si>
  <si>
    <t>SH03650</t>
  </si>
  <si>
    <t>Stacie Lee Banks sbanks@leesflowerandcard.com</t>
  </si>
  <si>
    <t>SH03651</t>
  </si>
  <si>
    <t>Carmen Navarro carmennavarro1971uriel@gmail.com</t>
  </si>
  <si>
    <t>SH03652</t>
  </si>
  <si>
    <t>Lori Davidson loridavidson@fairpoint.net</t>
  </si>
  <si>
    <t>SH03653</t>
  </si>
  <si>
    <t>SH03654</t>
  </si>
  <si>
    <t>GEORGE KIRCHHOFFER georgemoravianflorist@gmail.com</t>
  </si>
  <si>
    <t>SH03655</t>
  </si>
  <si>
    <t>Nataliya Zaslavskaya nflowers49@gmail.com</t>
  </si>
  <si>
    <t>SH03656</t>
  </si>
  <si>
    <t>William Matson kenyonavefloral@aol.com</t>
  </si>
  <si>
    <t>SH03657</t>
  </si>
  <si>
    <t>john p varvarigos john@wellingtonflorist.com</t>
  </si>
  <si>
    <t>SH03658</t>
  </si>
  <si>
    <t>Alana Brookfield alana@brookfield-blooms.com</t>
  </si>
  <si>
    <t>SH03659</t>
  </si>
  <si>
    <t>Tony Milam tony.sunnystreet@gmail.com</t>
  </si>
  <si>
    <t>SH03660</t>
  </si>
  <si>
    <t>Dan Urbanik theurbfarm@gmail.com</t>
  </si>
  <si>
    <t>SH03661</t>
  </si>
  <si>
    <t>SH03662</t>
  </si>
  <si>
    <t>SH03663</t>
  </si>
  <si>
    <t>Shauna Torres shaunat2123@gmail.com</t>
  </si>
  <si>
    <t>SH03664</t>
  </si>
  <si>
    <t>Christine Adams popeyeswife@aol.com</t>
  </si>
  <si>
    <t>SH03665</t>
  </si>
  <si>
    <t>Judy Burkholder rcb88@bellsouth.net</t>
  </si>
  <si>
    <t>SH03666</t>
  </si>
  <si>
    <t>SH03667</t>
  </si>
  <si>
    <t>AMY SURBURG surburg@mediacombb.net</t>
  </si>
  <si>
    <t>SH03668</t>
  </si>
  <si>
    <t>Elizabeth Bryant elizabethmbryant@mac.com</t>
  </si>
  <si>
    <t>SH03669</t>
  </si>
  <si>
    <t>Alisa Atayants alisata88@gmail.com</t>
  </si>
  <si>
    <t>SH03670</t>
  </si>
  <si>
    <t>Becky VanWinkle wilderacres@yahoo.com</t>
  </si>
  <si>
    <t>SH03671</t>
  </si>
  <si>
    <t>Mohamed Aboutaleb apolloynot@gmail.com</t>
  </si>
  <si>
    <t>SH03672</t>
  </si>
  <si>
    <t>Hope Goodwin 2quarterhorse@gmail.com</t>
  </si>
  <si>
    <t>SH03673</t>
  </si>
  <si>
    <t>Scott Dickerson kconradflowers@gmail.com</t>
  </si>
  <si>
    <t>SH03674</t>
  </si>
  <si>
    <t>Rana Khamraeva lunaflowerllc.denver@gmail.com</t>
  </si>
  <si>
    <t>SH03675</t>
  </si>
  <si>
    <t>anna longueil albitritto@yahoo.com</t>
  </si>
  <si>
    <t>SH03676</t>
  </si>
  <si>
    <t>Jessica Pitts pittspetalsdesigns@gmail.com</t>
  </si>
  <si>
    <t>SH03677</t>
  </si>
  <si>
    <t>Shane Robinson s.robinson@sunnyvf.com</t>
  </si>
  <si>
    <t>SH03678</t>
  </si>
  <si>
    <t>Elaina Anders elainaanders@gmail.com</t>
  </si>
  <si>
    <t>SH03679</t>
  </si>
  <si>
    <t>Brenda McGhee brendamlee70@yahoo.com</t>
  </si>
  <si>
    <t>SH03680</t>
  </si>
  <si>
    <t>Maureen Huggins valleyflowersshop@gmail.com</t>
  </si>
  <si>
    <t>SH03681</t>
  </si>
  <si>
    <t>Angie Wright angie@embellisheddetailsva.com</t>
  </si>
  <si>
    <t>SH03682</t>
  </si>
  <si>
    <t>SH03683</t>
  </si>
  <si>
    <t>Bethany Kramer bethanykramer2141@hotmail.com</t>
  </si>
  <si>
    <t>SH03684</t>
  </si>
  <si>
    <t>cortney Pfeiffer camccomas@hotmail.com</t>
  </si>
  <si>
    <t>SH03685</t>
  </si>
  <si>
    <t>Anna Pfirman events@ncazaleafestival.org</t>
  </si>
  <si>
    <t>SH03686</t>
  </si>
  <si>
    <t>Brandy Adams 3abcadams@gmail.com</t>
  </si>
  <si>
    <t>SH03687</t>
  </si>
  <si>
    <t>SH03688</t>
  </si>
  <si>
    <t>Peggy Wilkerson in2uflowersandgifts@hotmail.com</t>
  </si>
  <si>
    <t>SH03689</t>
  </si>
  <si>
    <t>Shell Iwen shell@emmetsburggreenhouse.com</t>
  </si>
  <si>
    <t>SH03690</t>
  </si>
  <si>
    <t>Vicki Boldon boldonent@yahoo.com</t>
  </si>
  <si>
    <t>SH03691</t>
  </si>
  <si>
    <t>Kelly Shaffer rusticrose15@gmail.com</t>
  </si>
  <si>
    <t>SH03692</t>
  </si>
  <si>
    <t>PAMELA GRISHAM pgris92003@aol.com</t>
  </si>
  <si>
    <t>SH03693</t>
  </si>
  <si>
    <t>SH03694</t>
  </si>
  <si>
    <t>Cindy Needham cindyneedham65@yahoo.com</t>
  </si>
  <si>
    <t>SH03695</t>
  </si>
  <si>
    <t>Darla Van Winkle darla@stadiumflowers.com</t>
  </si>
  <si>
    <t>SH03696</t>
  </si>
  <si>
    <t>Moti Azreal amfloral@hotmail.com</t>
  </si>
  <si>
    <t>SH03697</t>
  </si>
  <si>
    <t>anita wisniowiecka michael.bonner@compass-usa.com</t>
  </si>
  <si>
    <t>SH03698</t>
  </si>
  <si>
    <t>Angie Lapp humbleflowers@hotmail.com</t>
  </si>
  <si>
    <t>SH03699</t>
  </si>
  <si>
    <t>NELL SHEHEE wandahendricks@rose-neath.com</t>
  </si>
  <si>
    <t>SH03700</t>
  </si>
  <si>
    <t>Fonda Sara zuzusparkslope@aol.com</t>
  </si>
  <si>
    <t>SH03701</t>
  </si>
  <si>
    <t>SH03702</t>
  </si>
  <si>
    <t>SH03703</t>
  </si>
  <si>
    <t>SH03704</t>
  </si>
  <si>
    <t>John Sweet jsweet998@outlook.com</t>
  </si>
  <si>
    <t>SH03705</t>
  </si>
  <si>
    <t>Jeffrey Kistler warnersgreenhouse@gmail.com</t>
  </si>
  <si>
    <t>SH03706</t>
  </si>
  <si>
    <t>SH03707</t>
  </si>
  <si>
    <t>Shannon Brown fioredamoreflorist@gmail.com</t>
  </si>
  <si>
    <t>SH03708</t>
  </si>
  <si>
    <t>COURTNEY JENSEN fortingage@fortingage.com</t>
  </si>
  <si>
    <t>SH03709</t>
  </si>
  <si>
    <t>Marivel Escalante marivelescalante092@yahoo.com</t>
  </si>
  <si>
    <t>SH03710</t>
  </si>
  <si>
    <t>Taylor Bale taylor.bale@thebouqs.com</t>
  </si>
  <si>
    <t>SH03711</t>
  </si>
  <si>
    <t>SH03712</t>
  </si>
  <si>
    <t>SH03713</t>
  </si>
  <si>
    <t>Kathryn Brock villageflorist@comcast.net</t>
  </si>
  <si>
    <t>SH03714</t>
  </si>
  <si>
    <t>Misrak Woldehana misrak.decor@gmail.com</t>
  </si>
  <si>
    <t>SH03715</t>
  </si>
  <si>
    <t>Erica Levengood ericas.garden.floraldesign@gmail.com</t>
  </si>
  <si>
    <t>SH03716</t>
  </si>
  <si>
    <t>DWayne Darnell dbdi@bellsouth.net</t>
  </si>
  <si>
    <t>SH03717</t>
  </si>
  <si>
    <t>Brittany Marshall acupfull.cupcakes@gmail.com</t>
  </si>
  <si>
    <t>SH03718</t>
  </si>
  <si>
    <t>Christi Armstrong orders@mumstheword.florist</t>
  </si>
  <si>
    <t>SH03719</t>
  </si>
  <si>
    <t>SH03720</t>
  </si>
  <si>
    <t>Jess Hebert jessicahebertcolor@gmail.com</t>
  </si>
  <si>
    <t>SH03721</t>
  </si>
  <si>
    <t>SH03722</t>
  </si>
  <si>
    <t>three Floral flowers@threesistersfloral.com</t>
  </si>
  <si>
    <t>SH03723</t>
  </si>
  <si>
    <t>SH03724</t>
  </si>
  <si>
    <t>SH03725</t>
  </si>
  <si>
    <t>Mary Killen bellarosafloralstudio@gmail.com</t>
  </si>
  <si>
    <t>SH03726</t>
  </si>
  <si>
    <t>Sarah Choi schoi@elgaucho.com</t>
  </si>
  <si>
    <t>SH03727</t>
  </si>
  <si>
    <t>SH03728</t>
  </si>
  <si>
    <t>SH03729</t>
  </si>
  <si>
    <t>Rafe Tenbarge uctrianglepr@gmail.com</t>
  </si>
  <si>
    <t>SH03730</t>
  </si>
  <si>
    <t>Raines Plambeck raines.plambeck@gmail.com</t>
  </si>
  <si>
    <t>SH03731</t>
  </si>
  <si>
    <t>AnnMarie Gaynor flowerladie63@gmail.com</t>
  </si>
  <si>
    <t>SH03732</t>
  </si>
  <si>
    <t>SH03733</t>
  </si>
  <si>
    <t>SH03734</t>
  </si>
  <si>
    <t>SH03735</t>
  </si>
  <si>
    <t>Pamela Van Soest pvansoest123@gmail.com</t>
  </si>
  <si>
    <t>SH03736</t>
  </si>
  <si>
    <t>Janice Cohn beegumcreekflowerfarm@gmail.com</t>
  </si>
  <si>
    <t>SH03737</t>
  </si>
  <si>
    <t>Mary Hoffman info@sweetpeawaunakee.com</t>
  </si>
  <si>
    <t>SH03738</t>
  </si>
  <si>
    <t>Anne Winnett winnettannie@gmail.com</t>
  </si>
  <si>
    <t>SH03739</t>
  </si>
  <si>
    <t>Timothy Harton coopersflorist@aol.com</t>
  </si>
  <si>
    <t>SH03740</t>
  </si>
  <si>
    <t>Betsy Faust bch538@aol.com</t>
  </si>
  <si>
    <t>SH03741</t>
  </si>
  <si>
    <t>SH03742</t>
  </si>
  <si>
    <t>Carol Hoover oakwinds@gmail.com</t>
  </si>
  <si>
    <t>SH03743</t>
  </si>
  <si>
    <t>Anna Weaver anna@countrybarn.net</t>
  </si>
  <si>
    <t>SH03744</t>
  </si>
  <si>
    <t>Shelby Sharp shelby@shelbylynnfloral.com</t>
  </si>
  <si>
    <t>SH03745</t>
  </si>
  <si>
    <t>Casey Rowe rowefloral@gmail.com</t>
  </si>
  <si>
    <t>SH03746</t>
  </si>
  <si>
    <t>Cynthia Am fleurishatelierchicago@gmail.com</t>
  </si>
  <si>
    <t>SH03747</t>
  </si>
  <si>
    <t>YAN KONG chloetracy.ky@gmail.com</t>
  </si>
  <si>
    <t>SH03748</t>
  </si>
  <si>
    <t>Marcia Leshe marcia@pocketfullofpetals.com</t>
  </si>
  <si>
    <t>SH03749</t>
  </si>
  <si>
    <t>Lesley Admana lesleyadmana@gmail.com</t>
  </si>
  <si>
    <t>SH03750</t>
  </si>
  <si>
    <t>carey howe careylynnhowe@gmail.com</t>
  </si>
  <si>
    <t>SH03751</t>
  </si>
  <si>
    <t>Lorie Riggenbach lorie.riggenbach@gmail.com</t>
  </si>
  <si>
    <t>SH03752</t>
  </si>
  <si>
    <t>Samantha Kathrens beverleybrownboutique@gmail.com</t>
  </si>
  <si>
    <t>SH03753</t>
  </si>
  <si>
    <t>hello@vintagegreendesign.com</t>
  </si>
  <si>
    <t>SH03754</t>
  </si>
  <si>
    <t>Grainne McAvey gmack3169@gmail.com</t>
  </si>
  <si>
    <t>SH03755</t>
  </si>
  <si>
    <t>SH03756</t>
  </si>
  <si>
    <t>JEN SEMMLER hello@plantshoppe.com</t>
  </si>
  <si>
    <t>SH03757</t>
  </si>
  <si>
    <t>Michelle Ochoa mochoa0214@gmail.com</t>
  </si>
  <si>
    <t>SH03758</t>
  </si>
  <si>
    <t>Stephanie Bowling stephaniebowling85@ymail.com</t>
  </si>
  <si>
    <t>SH03759</t>
  </si>
  <si>
    <t>Nancy Beesley talkin2nancyb@aol.com</t>
  </si>
  <si>
    <t>SH03760</t>
  </si>
  <si>
    <t>Karen Abrahamson karen@doublerflorist.com</t>
  </si>
  <si>
    <t>SH03761</t>
  </si>
  <si>
    <t>SH03762</t>
  </si>
  <si>
    <t>William Schmearer meltingwes@aol.com</t>
  </si>
  <si>
    <t>SH03763</t>
  </si>
  <si>
    <t>Alma Rodriguez alma@ptownflowers.com</t>
  </si>
  <si>
    <t>SH03764</t>
  </si>
  <si>
    <t>Jacquelyn Williams (flowerpatch_sikestonmo@hotmail.com)</t>
  </si>
  <si>
    <t>SH03765</t>
  </si>
  <si>
    <t>Karen Martin noelle.boardman@unitypoint.org</t>
  </si>
  <si>
    <t>SH03766</t>
  </si>
  <si>
    <t>Joe Hill blackcharger48@gmail.com</t>
  </si>
  <si>
    <t>SH03767</t>
  </si>
  <si>
    <t>WENDY PORTERFIELD wendyphh@gmsil.com</t>
  </si>
  <si>
    <t>SH03768</t>
  </si>
  <si>
    <t>Garden City Floral hello@gardencityfloral.com</t>
  </si>
  <si>
    <t>SH03769</t>
  </si>
  <si>
    <t>Susan O'Connor 2susan.oconnor@gmail.com</t>
  </si>
  <si>
    <t>SH03770</t>
  </si>
  <si>
    <t>Brad Scoggins thegreenflamingoatl@gmail.com</t>
  </si>
  <si>
    <t>SH03771</t>
  </si>
  <si>
    <t>Courtney Gregory arvadaflowers@gmail.com</t>
  </si>
  <si>
    <t>SH03772</t>
  </si>
  <si>
    <t>Melanie Bachmeier melaniebachmeier@ymail.com</t>
  </si>
  <si>
    <t>SH03773</t>
  </si>
  <si>
    <t>Alanna Garcia ajae.garcia@gmail.com</t>
  </si>
  <si>
    <t>SH03774</t>
  </si>
  <si>
    <t>Choryeon Kim oliviakim.flower@gmail.com</t>
  </si>
  <si>
    <t>SH03775</t>
  </si>
  <si>
    <t>Jenna Spiniolas jenna@ridgeviewdesignco.com</t>
  </si>
  <si>
    <t>SH03776</t>
  </si>
  <si>
    <t>Anakaren Zempoalteca info@paolasflowers.com</t>
  </si>
  <si>
    <t>SH03777</t>
  </si>
  <si>
    <t>Tom Cao tom.cao@planoflowerama.com</t>
  </si>
  <si>
    <t>SH03778</t>
  </si>
  <si>
    <t>Glenn Christiansen glenn.christiansen@cafebonappetit.com</t>
  </si>
  <si>
    <t>SH03779</t>
  </si>
  <si>
    <t>Adina Salinger tangledrootsfloral@gmail.com</t>
  </si>
  <si>
    <t>SH03780</t>
  </si>
  <si>
    <t>Jacquelyn Williams flowerpatch_sikestonmo@hotmail.com</t>
  </si>
  <si>
    <t>SH03781</t>
  </si>
  <si>
    <t>Jessica Byrnes longstemfs@gmail.com</t>
  </si>
  <si>
    <t>SH03782</t>
  </si>
  <si>
    <t>Mary Toth mary.toth@nbgs.org</t>
  </si>
  <si>
    <t>SH03783</t>
  </si>
  <si>
    <t>Christina Barringer christina.barringer@yahoo.com</t>
  </si>
  <si>
    <t>SH03784</t>
  </si>
  <si>
    <t>Ankitha Kota strands-28-borough@icloud.com</t>
  </si>
  <si>
    <t>SH03785</t>
  </si>
  <si>
    <t>Frank Gallo fgalloflorist@gmail.com</t>
  </si>
  <si>
    <t>SH03786</t>
  </si>
  <si>
    <t>SH03787</t>
  </si>
  <si>
    <t>Anne Meore ameore@planthropy.com</t>
  </si>
  <si>
    <t>SH03788</t>
  </si>
  <si>
    <t>Grace Erickson hello@theyellowflowertruck.com</t>
  </si>
  <si>
    <t>SH03789</t>
  </si>
  <si>
    <t>Sonia Beecher sonia.beecher@comcast.net</t>
  </si>
  <si>
    <t>SH03790</t>
  </si>
  <si>
    <t>Scott A Wilson jesssilva09@yahoo.com</t>
  </si>
  <si>
    <t>SH03791</t>
  </si>
  <si>
    <t>SH03792</t>
  </si>
  <si>
    <t>SH03793</t>
  </si>
  <si>
    <t>Deborah Stone stonehollowfarm@me.com</t>
  </si>
  <si>
    <t>SH03794</t>
  </si>
  <si>
    <t>Mirim Estrada mimisprettyroses@gmail.com</t>
  </si>
  <si>
    <t>SH03795</t>
  </si>
  <si>
    <t>thomas spedale tom@spedales.com</t>
  </si>
  <si>
    <t>SH03796</t>
  </si>
  <si>
    <t>Ellen Weatherholt posegatefarms@gmail.com</t>
  </si>
  <si>
    <t>SH03797</t>
  </si>
  <si>
    <t>Nicki Reyes nicki_kg@yahoo.com</t>
  </si>
  <si>
    <t>SH03798</t>
  </si>
  <si>
    <t>jayne densmore flowersbyleslie@outlook.com</t>
  </si>
  <si>
    <t>SH03799</t>
  </si>
  <si>
    <t>SH03800</t>
  </si>
  <si>
    <t>Robin Craven robinsnestfloral@outlook.com</t>
  </si>
  <si>
    <t>SH03801</t>
  </si>
  <si>
    <t>Brad Manning brad.manning@venusetfleur.com</t>
  </si>
  <si>
    <t>SH03802</t>
  </si>
  <si>
    <t>mark webb wwsuppliers@yahoo.com</t>
  </si>
  <si>
    <t>SH03803</t>
  </si>
  <si>
    <t>Threesha Lawrence Nation unforgettablefloraldesigns@gmail.c</t>
  </si>
  <si>
    <t>SH03804</t>
  </si>
  <si>
    <t>Alexa Boyt media@mhenrydesign.com</t>
  </si>
  <si>
    <t>SH03805</t>
  </si>
  <si>
    <t>Kristin Androvic kristin.floralcreations@gmail.com</t>
  </si>
  <si>
    <t>SH03806</t>
  </si>
  <si>
    <t>April Chastain aprilsflowersonmain@yahoo.com</t>
  </si>
  <si>
    <t>SH03807</t>
  </si>
  <si>
    <t>Donna Titus dltflowers@yahoo.com</t>
  </si>
  <si>
    <t>SH03808</t>
  </si>
  <si>
    <t>Kyle Seaman seabird360@gmail.com</t>
  </si>
  <si>
    <t>SH03809</t>
  </si>
  <si>
    <t>james lamer lucastlamer@gmail.com</t>
  </si>
  <si>
    <t>SH03810</t>
  </si>
  <si>
    <t>SH03811</t>
  </si>
  <si>
    <t>SH03812</t>
  </si>
  <si>
    <t>Kamille Martin bettsmade@gmail.com</t>
  </si>
  <si>
    <t>SH03813</t>
  </si>
  <si>
    <t>Nicky Sengsone lbv_wholesale@outlook.com</t>
  </si>
  <si>
    <t>SH03814</t>
  </si>
  <si>
    <t>Destinie Lacy destinie@wylieflowershop.com</t>
  </si>
  <si>
    <t>SH03815</t>
  </si>
  <si>
    <t>Marilyn Pilger 4allseasonsflowers@sbcglobal.net</t>
  </si>
  <si>
    <t>SH03816</t>
  </si>
  <si>
    <t>Norma Hernandez-Cruz nehernan@ncsu.edu</t>
  </si>
  <si>
    <t>SH03817</t>
  </si>
  <si>
    <t>Joanna Sauvage jojosflair@gmail.com</t>
  </si>
  <si>
    <t>SH03818</t>
  </si>
  <si>
    <t>Lindsay Walker rflowershop@bellsouth.net</t>
  </si>
  <si>
    <t>SH03819</t>
  </si>
  <si>
    <t>Zach Jones bearded.bouquet@gmail.com</t>
  </si>
  <si>
    <t>SH03820</t>
  </si>
  <si>
    <t>Detra brock detrabrock@comcast.net</t>
  </si>
  <si>
    <t>SH03821</t>
  </si>
  <si>
    <t>SH03822</t>
  </si>
  <si>
    <t>Catherine Conway greenleaffloralco@gmail.com</t>
  </si>
  <si>
    <t>SH03823</t>
  </si>
  <si>
    <t>Renee C Rowe coquillegardencenter@gmail.com</t>
  </si>
  <si>
    <t>SH03824</t>
  </si>
  <si>
    <t>Cynthia Gulledge peaceloveandflowersllc@outlook.com</t>
  </si>
  <si>
    <t>SH03825</t>
  </si>
  <si>
    <t>Kristen Jochem kjochem@noma.org</t>
  </si>
  <si>
    <t>SH03826</t>
  </si>
  <si>
    <t>SH03827</t>
  </si>
  <si>
    <t>SH03828</t>
  </si>
  <si>
    <t>Leilani Dehghan leilani.dehghan@gmail.com</t>
  </si>
  <si>
    <t>SH03829</t>
  </si>
  <si>
    <t>Eileen miura fujikami1919@gmail.com</t>
  </si>
  <si>
    <t>SH03830</t>
  </si>
  <si>
    <t>Kameron Lebo kameronkml2000@gmail.com</t>
  </si>
  <si>
    <t>SH03831</t>
  </si>
  <si>
    <t>Denise Pierle info@lovinggraceflowers.com</t>
  </si>
  <si>
    <t>SH03832</t>
  </si>
  <si>
    <t>Hannah Lee inthemeadowatl@gmail.com</t>
  </si>
  <si>
    <t>SH03833</t>
  </si>
  <si>
    <t>Angie Leazer angieleazer@gmail.com</t>
  </si>
  <si>
    <t>SH03834</t>
  </si>
  <si>
    <t>SH03835</t>
  </si>
  <si>
    <t>SH03836</t>
  </si>
  <si>
    <t>SH03837</t>
  </si>
  <si>
    <t>SH03838</t>
  </si>
  <si>
    <t>SH03839</t>
  </si>
  <si>
    <t>SH03840</t>
  </si>
  <si>
    <t>SH03841</t>
  </si>
  <si>
    <t>SH03842</t>
  </si>
  <si>
    <t>SH03843</t>
  </si>
  <si>
    <t>SH03844</t>
  </si>
  <si>
    <t>SH03845</t>
  </si>
  <si>
    <t>SH03846</t>
  </si>
  <si>
    <t>SH03847</t>
  </si>
  <si>
    <t>SH03848</t>
  </si>
  <si>
    <t>SH03849</t>
  </si>
  <si>
    <t>SH03850</t>
  </si>
  <si>
    <t>SH03851</t>
  </si>
  <si>
    <t>SH03852</t>
  </si>
  <si>
    <t>SH03853</t>
  </si>
  <si>
    <t>SH03854</t>
  </si>
  <si>
    <t>SH03855</t>
  </si>
  <si>
    <t>SH03856</t>
  </si>
  <si>
    <t>SH03857</t>
  </si>
  <si>
    <t>SH03858</t>
  </si>
  <si>
    <t>SH03859</t>
  </si>
  <si>
    <t>SH03860</t>
  </si>
  <si>
    <t>SH03861</t>
  </si>
  <si>
    <t>SH03862</t>
  </si>
  <si>
    <t>SH03863</t>
  </si>
  <si>
    <t>SH03864</t>
  </si>
  <si>
    <t>Tyler Burfeind tyler@mumsflowers.net</t>
  </si>
  <si>
    <t>SH03865</t>
  </si>
  <si>
    <t>Claudia Pine claudia.hemphill.pine@gmail.com</t>
  </si>
  <si>
    <t>SH03866</t>
  </si>
  <si>
    <t>Andrea Hayes andrea@theflowertree.net</t>
  </si>
  <si>
    <t>SH03867</t>
  </si>
  <si>
    <t>Tina Rodewald t-rode@outlook.com</t>
  </si>
  <si>
    <t>SH03868</t>
  </si>
  <si>
    <t>Lisa Urich lisaurich517@gmail.com</t>
  </si>
  <si>
    <t>SH03869</t>
  </si>
  <si>
    <t>Debra Golden goldend@connorsstate.edu</t>
  </si>
  <si>
    <t>SH03870</t>
  </si>
  <si>
    <t>Kaitlin Austin kaitlin@brooksfloralco.com</t>
  </si>
  <si>
    <t>SH03871</t>
  </si>
  <si>
    <t>Lindsey Murphy-Seelye lindseyseelye@att.net</t>
  </si>
  <si>
    <t>SH03872</t>
  </si>
  <si>
    <t>Mary Ellen Howie mimicpc@yahoo.com</t>
  </si>
  <si>
    <t>SH03873</t>
  </si>
  <si>
    <t>Nataliia Shynderuk natashynderuk3@gmail.com</t>
  </si>
  <si>
    <t>SH03874</t>
  </si>
  <si>
    <t>Kathy Brazier kathy.brazier@yahoo.com</t>
  </si>
  <si>
    <t>SH03875</t>
  </si>
  <si>
    <t>Arnita Medley mommomsfaepllc@gmail.com</t>
  </si>
  <si>
    <t>SH03876</t>
  </si>
  <si>
    <t>Eric Miles esmiles500@gmail.com</t>
  </si>
  <si>
    <t>SH03877</t>
  </si>
  <si>
    <t>Janette Stenstrom janette@allthingscakeshop.com</t>
  </si>
  <si>
    <t>SH03878</t>
  </si>
  <si>
    <t>Barbara Kiffin barbkiffin@compoundrestaurant.com</t>
  </si>
  <si>
    <t>SH03879</t>
  </si>
  <si>
    <t>IULIIA IVANOVA yusyusofie@gmail.com</t>
  </si>
  <si>
    <t>SH03880</t>
  </si>
  <si>
    <t>Shelby Phillips shelbyhardin0531@gmail.com</t>
  </si>
  <si>
    <t>SH03881</t>
  </si>
  <si>
    <t>Marilyn Cederoth mac365@mac.com</t>
  </si>
  <si>
    <t>SH03882</t>
  </si>
  <si>
    <t>Megan Justice meganjustice86@yahoo.com</t>
  </si>
  <si>
    <t>SH03883</t>
  </si>
  <si>
    <t>Regina Davis Ginasflowershop@yahoo.com</t>
  </si>
  <si>
    <t>SH03884</t>
  </si>
  <si>
    <t>Isabel Zavala isabelzavala9713@gmail.com</t>
  </si>
  <si>
    <t>SH03885</t>
  </si>
  <si>
    <t>Cindy Galvin helensflowers1@gmail.com</t>
  </si>
  <si>
    <t>SH03886</t>
  </si>
  <si>
    <t>micharl owen justcgp@yahoo.com</t>
  </si>
  <si>
    <t>SH03887</t>
  </si>
  <si>
    <t>Cathy clark cathyclarkteam@outlook.com</t>
  </si>
  <si>
    <t>SH03888</t>
  </si>
  <si>
    <t>Julie Mak jmak125@hotmail.com</t>
  </si>
  <si>
    <t>SH03889</t>
  </si>
  <si>
    <t>Kevin Brazile royalfloraldesign@hotmail.com</t>
  </si>
  <si>
    <t>SH03890</t>
  </si>
  <si>
    <t>Sharon Rosen srosenrn@comcast.net</t>
  </si>
  <si>
    <t>SH03891</t>
  </si>
  <si>
    <t>Danielle Sessa danielle028@optimum.net</t>
  </si>
  <si>
    <t>SH03892</t>
  </si>
  <si>
    <t>Sheri Scott aceofvaseflowers@gmail.com</t>
  </si>
  <si>
    <t>SH03893</t>
  </si>
  <si>
    <t>Julia Benitez calla.floral.studio@gmail.com</t>
  </si>
  <si>
    <t>SH03894</t>
  </si>
  <si>
    <t>Anita Lopez alopezn80@gmail.com</t>
  </si>
  <si>
    <t>SH03895</t>
  </si>
  <si>
    <t>Nathan Ward nathan_wayne_10@yahoo.com</t>
  </si>
  <si>
    <t>SH03896</t>
  </si>
  <si>
    <t>Deborah Asiago deborahasiago@gmail.com</t>
  </si>
  <si>
    <t>SH03897</t>
  </si>
  <si>
    <t>Nadiya de la Fuente orchideeart305@gmail.com</t>
  </si>
  <si>
    <t>SH03898</t>
  </si>
  <si>
    <t>Diane Andrade dbsa12@aol.com</t>
  </si>
  <si>
    <t>SH03899</t>
  </si>
  <si>
    <t>Paola Gonzalez paolaileana92@gmail.com</t>
  </si>
  <si>
    <t>SH03900</t>
  </si>
  <si>
    <t>Robyn Burtell flagstafffruitcreation@gmail.com</t>
  </si>
  <si>
    <t>SH03901</t>
  </si>
  <si>
    <t>Irene Emanuel nearlyperfect@sbcglobal.net</t>
  </si>
  <si>
    <t>SH03902</t>
  </si>
  <si>
    <t>Rachel McAdams rachel@suzanneflower.com</t>
  </si>
  <si>
    <t>SH03903</t>
  </si>
  <si>
    <t>judi whitson jude3733@gmail.com</t>
  </si>
  <si>
    <t>SH03904</t>
  </si>
  <si>
    <t>Amy Williamson email@bbfsag.com</t>
  </si>
  <si>
    <t>SH03905</t>
  </si>
  <si>
    <t>Vira Yurkevych virayurkevyh@yahoo.com</t>
  </si>
  <si>
    <t>SH03906</t>
  </si>
  <si>
    <t>Dorothy Prokopovich annlove2915@yahoo.com</t>
  </si>
  <si>
    <t>SH03907</t>
  </si>
  <si>
    <t>Debbie Renner tullahomaflowers@edge.net</t>
  </si>
  <si>
    <t>SH03908</t>
  </si>
  <si>
    <t>marlo pisa heavenlyflorist@gmail.com</t>
  </si>
  <si>
    <t>SH03909</t>
  </si>
  <si>
    <t>kate hockett plantedfloraldesign@gmail.com</t>
  </si>
  <si>
    <t>SH03910</t>
  </si>
  <si>
    <t>Shanna Rye shannarye5@gmail.com</t>
  </si>
  <si>
    <t>SH03911</t>
  </si>
  <si>
    <t>Susan Halbert atelierbotanicals@gmail.com</t>
  </si>
  <si>
    <t>SH03912</t>
  </si>
  <si>
    <t>Amanda Grimes amandaeg76@icloud.com</t>
  </si>
  <si>
    <t>SH03913</t>
  </si>
  <si>
    <t>Lori Brock ilvcubs@hotmail.com</t>
  </si>
  <si>
    <t>SH03914</t>
  </si>
  <si>
    <t>Andry Tovar de gamez gbhflowersevents@gmail.com</t>
  </si>
  <si>
    <t>SH03915</t>
  </si>
  <si>
    <t>Jennifer Teets jennifer@merryandbrightcelebrations.com</t>
  </si>
  <si>
    <t>SH03916</t>
  </si>
  <si>
    <t>Laurel Day dosomethinglady@gmail.com</t>
  </si>
  <si>
    <t>SH03917</t>
  </si>
  <si>
    <t>Jennifer Layne Mann lamppostco@gmail.com</t>
  </si>
  <si>
    <t>SH03918</t>
  </si>
  <si>
    <t>Kati Calhoun kati.calhoun@kentsgrocery.com</t>
  </si>
  <si>
    <t>SH03919</t>
  </si>
  <si>
    <t>Lily Peterson lily@flowershopchs.com</t>
  </si>
  <si>
    <t>SH03920</t>
  </si>
  <si>
    <t>Crestwood Flowers crestwoodflowers@gmail.com</t>
  </si>
  <si>
    <t>SH03921</t>
  </si>
  <si>
    <t>Linda Solis linda.solis@franciskurkdjian.com</t>
  </si>
  <si>
    <t>SH03922</t>
  </si>
  <si>
    <t>Anael Lafser campbellflorist@gmail.com</t>
  </si>
  <si>
    <t>SH03923</t>
  </si>
  <si>
    <t>Ana Hernandez anaa.hrdz92@gmail.com</t>
  </si>
  <si>
    <t>SH03924</t>
  </si>
  <si>
    <t>Maria Bran mbran@amandasflowers.net</t>
  </si>
  <si>
    <t>SH03925</t>
  </si>
  <si>
    <t>Araceli Gutierrez aracelimuro@icloud.com</t>
  </si>
  <si>
    <t>SH03926</t>
  </si>
  <si>
    <t>Amber Gelbaugh ambergelbaugh@gmail.com</t>
  </si>
  <si>
    <t>SH03927</t>
  </si>
  <si>
    <t>Alberta Friscia-Watkins albertafrisciawatkins@gmail.com</t>
  </si>
  <si>
    <t>SH03928</t>
  </si>
  <si>
    <t>Jayne c wilson jcdens@outlook.com</t>
  </si>
  <si>
    <t>SH03929</t>
  </si>
  <si>
    <t>Claudette Wellons cmwellons@yahoo.com</t>
  </si>
  <si>
    <t>SH03930</t>
  </si>
  <si>
    <t>Jeffrey Simon simoncpa@sbcglobal.net</t>
  </si>
  <si>
    <t>SH03931</t>
  </si>
  <si>
    <t>Hope Jones hope_jones09@yahoo.com</t>
  </si>
  <si>
    <t>SH03932</t>
  </si>
  <si>
    <t>Angie Matlock angiematlock@bellsouth.net</t>
  </si>
  <si>
    <t>SH03933</t>
  </si>
  <si>
    <t>Sandra Roush sroush@integratedlifechoices.com</t>
  </si>
  <si>
    <t>SH03934</t>
  </si>
  <si>
    <t>Susan Standley susanstandleymt@gmail.com</t>
  </si>
  <si>
    <t>SH03935</t>
  </si>
  <si>
    <t>mcristi77@atascocitaflorist.com</t>
  </si>
  <si>
    <t>SH03936</t>
  </si>
  <si>
    <t>Lori Lee beautyinflowers79@gmail.com</t>
  </si>
  <si>
    <t>SH03937</t>
  </si>
  <si>
    <t>Vanessa Gilbert modernwestfloral@gmail.com</t>
  </si>
  <si>
    <t>SH03938</t>
  </si>
  <si>
    <t>Cody Barden codybarden1980@gmail.com</t>
  </si>
  <si>
    <t>SH03939</t>
  </si>
  <si>
    <t>James R Alexander awesomeblossomstx@gmail.com</t>
  </si>
  <si>
    <t>SH03940</t>
  </si>
  <si>
    <t>Lesa Davis dlflorist@yahoo.com</t>
  </si>
  <si>
    <t>SH03941</t>
  </si>
  <si>
    <t>Hailee Kate Locke haileekate1328@gmail.com</t>
  </si>
  <si>
    <t>SH03942</t>
  </si>
  <si>
    <t>Mark L. Hans marklhans@pm.me</t>
  </si>
  <si>
    <t>SH03943</t>
  </si>
  <si>
    <t>edwin michel sweeneystflowerco@gmail.com</t>
  </si>
  <si>
    <t>SH03944</t>
  </si>
  <si>
    <t>Stephanie Krumm amongthewildflowersllc@gmail.com</t>
  </si>
  <si>
    <t>SH03945</t>
  </si>
  <si>
    <t>Darlene Phillips darbphillips@hotmail.com</t>
  </si>
  <si>
    <t>SH03946</t>
  </si>
  <si>
    <t>Molly Kemink mollyakemink@gmail.com</t>
  </si>
  <si>
    <t>SH03947</t>
  </si>
  <si>
    <t>Myra Harbour myra@flowersandinvitations.com</t>
  </si>
  <si>
    <t>SH03948</t>
  </si>
  <si>
    <t>Kacie Lear klear@clarkscuttingedge.com</t>
  </si>
  <si>
    <t>SH03949</t>
  </si>
  <si>
    <t>ANA DASILVA mirian.flowers50@gmail.com</t>
  </si>
  <si>
    <t>SH03950</t>
  </si>
  <si>
    <t>LISMAR CALLEJA adolfoscreation@gmail.com</t>
  </si>
  <si>
    <t>SH03951</t>
  </si>
  <si>
    <t>Nancy Lindahl nancy.lindahl@parchmentschools.org</t>
  </si>
  <si>
    <t>SH03952</t>
  </si>
  <si>
    <t>Gina Lazzaro ginal@uncleg.com</t>
  </si>
  <si>
    <t>SH03953</t>
  </si>
  <si>
    <t>Stephanie Leon contact@leonsfloral.com</t>
  </si>
  <si>
    <t>SH03954</t>
  </si>
  <si>
    <t>Gwen Hersha gwensgreens@gmail.com</t>
  </si>
  <si>
    <t>SH03955</t>
  </si>
  <si>
    <t>Karen Pifher frazeefloral@gmail.com</t>
  </si>
  <si>
    <t>SH03956</t>
  </si>
  <si>
    <t>Nelly Gonzalez nelly.gonzalezmunguia@gmail.com</t>
  </si>
  <si>
    <t>SH03957</t>
  </si>
  <si>
    <t>Marissa Woolery marissa@foundfloraldesign.com</t>
  </si>
  <si>
    <t>SH03958</t>
  </si>
  <si>
    <t>erin Keegan keegan740@gmail.com</t>
  </si>
  <si>
    <t>SH03959</t>
  </si>
  <si>
    <t>Brynn Larsen bloomsandco@gmail.com</t>
  </si>
  <si>
    <t>SH03960</t>
  </si>
  <si>
    <t>Leslie Robertson abcmember3@gmail.com</t>
  </si>
  <si>
    <t>SH03961</t>
  </si>
  <si>
    <t>Lauren Mccone lbmccone@blendedfarms.com</t>
  </si>
  <si>
    <t>SH03962</t>
  </si>
  <si>
    <t>Meagan Schlecht info@sasquatchacresnd.com</t>
  </si>
  <si>
    <t>SH03963</t>
  </si>
  <si>
    <t>Tamika Washington tamika.washington@wholefoods.com</t>
  </si>
  <si>
    <t>SH03964</t>
  </si>
  <si>
    <t>lori Knight lakesidebloomsnorfolkva@gmail.com</t>
  </si>
  <si>
    <t>SH03965</t>
  </si>
  <si>
    <t>Maria Calle johncalle29@gmail.com</t>
  </si>
  <si>
    <t>SH03966</t>
  </si>
  <si>
    <t>Kim McMorrough baylorflowers@yahoo.com</t>
  </si>
  <si>
    <t>SH03967</t>
  </si>
  <si>
    <t>omer scott budjam@netscape.com</t>
  </si>
  <si>
    <t>SH03968</t>
  </si>
  <si>
    <t>Rita Freeman freemanrita1@gmail.com</t>
  </si>
  <si>
    <t>SH03969</t>
  </si>
  <si>
    <t>Monica Pappalardo nmp0411@gmail.com</t>
  </si>
  <si>
    <t>SH03970</t>
  </si>
  <si>
    <t>SH03971</t>
  </si>
  <si>
    <t>Juliana Marica ticheck@yahoo.com</t>
  </si>
  <si>
    <t>SH03972</t>
  </si>
  <si>
    <t>Sian Lott sianlottyoga@gmail.com</t>
  </si>
  <si>
    <t>SH03973</t>
  </si>
  <si>
    <t>Stacey Heindl stacey@trinityihc.co</t>
  </si>
  <si>
    <t>SH03974</t>
  </si>
  <si>
    <t>Keitlyn Torres keitlynitorres@icloud.com</t>
  </si>
  <si>
    <t>SH03975</t>
  </si>
  <si>
    <t>Marlene McConnell marlenefornow@gmail.com</t>
  </si>
  <si>
    <t>SH03976</t>
  </si>
  <si>
    <t>Kallie Durden kalliedurden@yahoo.com</t>
  </si>
  <si>
    <t>SH03977</t>
  </si>
  <si>
    <t>Megan Petersen meganjpetersen@gmail.com</t>
  </si>
  <si>
    <t>SH03978</t>
  </si>
  <si>
    <t>Sharon Mitchell sjmice@yahoo.com</t>
  </si>
  <si>
    <t>SH03979</t>
  </si>
  <si>
    <t>april johnson alasdairny@gmail.com</t>
  </si>
  <si>
    <t>SH03980</t>
  </si>
  <si>
    <t>Cindy Dantus cindydantus@gmail.com</t>
  </si>
  <si>
    <t>SH03981</t>
  </si>
  <si>
    <t>Auton Pat pat.auton2@aol.com</t>
  </si>
  <si>
    <t>SH03982</t>
  </si>
  <si>
    <t>Kristin Shelton klucks11@sbcglobal.net</t>
  </si>
  <si>
    <t>SH03983</t>
  </si>
  <si>
    <t>Martin Guy mvt071459@yahoo.com</t>
  </si>
  <si>
    <t>SH03984</t>
  </si>
  <si>
    <t>Jennie Davis theysay5000@yahoo.com</t>
  </si>
  <si>
    <t>SH03985</t>
  </si>
  <si>
    <t>Grace Woodward gracewoodward1@gmail.com</t>
  </si>
  <si>
    <t>SH03986</t>
  </si>
  <si>
    <t>Jean Davis jeamldavis@gmail.com</t>
  </si>
  <si>
    <t>SH03987</t>
  </si>
  <si>
    <t>Colie Collen colie@flower-scout.com</t>
  </si>
  <si>
    <t>SH03988</t>
  </si>
  <si>
    <t>Rebecca Sadlowski sadlowski.rebecca@gmail.com</t>
  </si>
  <si>
    <t>SH03989</t>
  </si>
  <si>
    <t>NOEL HONG ocgraceflowers@gmail.com</t>
  </si>
  <si>
    <t>SH03990</t>
  </si>
  <si>
    <t>Erin Vance erinvance0@gmail.com</t>
  </si>
  <si>
    <t>SH03991</t>
  </si>
  <si>
    <t>Amelia Breslin danielleprinzivalli@gmail.com</t>
  </si>
  <si>
    <t>SH03992</t>
  </si>
  <si>
    <t>Margate Community Church mccsecretary777@gmail.com</t>
  </si>
  <si>
    <t>SH03993</t>
  </si>
  <si>
    <t>Brian Smyser smyfarm@comcast.net</t>
  </si>
  <si>
    <t>SH03994</t>
  </si>
  <si>
    <t>VICKY ROTUNNO vickyrotunno@gmail.com</t>
  </si>
  <si>
    <t>SH03995</t>
  </si>
  <si>
    <t>Esmeralda Patino esmepatino16@gimel.com</t>
  </si>
  <si>
    <t>SH03996</t>
  </si>
  <si>
    <t>Samantha Edge sedge8195@gmail.com</t>
  </si>
  <si>
    <t>SH03997</t>
  </si>
  <si>
    <t>Sandy Blanco 5348debbies_bloomers@msn.com</t>
  </si>
  <si>
    <t>SH03998</t>
  </si>
  <si>
    <t>David Kolehmainen davidkoleh@yahoo.com</t>
  </si>
  <si>
    <t>SH03999</t>
  </si>
  <si>
    <t>Amelia Austin ameliahamilton23@gmail.com</t>
  </si>
  <si>
    <t>SH04000</t>
  </si>
  <si>
    <t>Steven Schermerhorn steven@thegardenstop.us</t>
  </si>
  <si>
    <t>SH04001</t>
  </si>
  <si>
    <t>Sherryl Toney sherryl@fleurdenurre.com</t>
  </si>
  <si>
    <t>SH04002</t>
  </si>
  <si>
    <t>Susana Castro elegantcreationsbysue@gmail.com</t>
  </si>
  <si>
    <t>SH04003</t>
  </si>
  <si>
    <t>Cosette Clair cozyclair@cfsbrands.com</t>
  </si>
  <si>
    <t>SH04004</t>
  </si>
  <si>
    <t>Tara Vinson shop@groundedplantandfloral.com</t>
  </si>
  <si>
    <t>SH04005</t>
  </si>
  <si>
    <t>Michelle Murch mmurch@willowvalley.org</t>
  </si>
  <si>
    <t>SH04006</t>
  </si>
  <si>
    <t>Krista Aston kaston@willowvalley.org</t>
  </si>
  <si>
    <t>SH04007</t>
  </si>
  <si>
    <t>maria arevalo mane@theblossomexpress.com</t>
  </si>
  <si>
    <t>SH04008</t>
  </si>
  <si>
    <t>Jessica Splaine jsplaine25@gmail.com</t>
  </si>
  <si>
    <t>SH04009</t>
  </si>
  <si>
    <t>Tim Grant jmcgstbk@aol.com</t>
  </si>
  <si>
    <t>SH04010</t>
  </si>
  <si>
    <t>Anna Geinosky thefloweryardnc@gmail.com</t>
  </si>
  <si>
    <t>SH04011</t>
  </si>
  <si>
    <t>Julie Houston jhh@swblaw.com</t>
  </si>
  <si>
    <t>SH04012</t>
  </si>
  <si>
    <t>Merle Setren mhsetren@gmail.com</t>
  </si>
  <si>
    <t>SH04013</t>
  </si>
  <si>
    <t>Anthony Noberini andstudio22@gmail.com</t>
  </si>
  <si>
    <t>SH04014</t>
  </si>
  <si>
    <t>Denice Brelsford redriley222@gmail.com</t>
  </si>
  <si>
    <t>SH04015</t>
  </si>
  <si>
    <t>Lynsey Blair lynsey@lcbrealty.com</t>
  </si>
  <si>
    <t>SH04016</t>
  </si>
  <si>
    <t>Louesa Snyder louesasnyder@yahoo.com</t>
  </si>
  <si>
    <t>SH04017</t>
  </si>
  <si>
    <t>Chandler Rossi chandlerrossi923@gmail.com</t>
  </si>
  <si>
    <t>SH04018</t>
  </si>
  <si>
    <t>Michelle Tauber mtngirlflowerco@gmail.com</t>
  </si>
  <si>
    <t>SH04019</t>
  </si>
  <si>
    <t>Amy Jones adjones708@gmail.com</t>
  </si>
  <si>
    <t>SH04020</t>
  </si>
  <si>
    <t>Chris Giglio chris@florafineflowers.com</t>
  </si>
  <si>
    <t>SH04021</t>
  </si>
  <si>
    <t>Anthony 12/06/1988 anthonyg@opal-olive.com</t>
  </si>
  <si>
    <t>SH04022</t>
  </si>
  <si>
    <t>Allyson Jones allyrjones@yahoo.com</t>
  </si>
  <si>
    <t>SH04023</t>
  </si>
  <si>
    <t>Laura Hoy mrivero@sunshinebouquet.com</t>
  </si>
  <si>
    <t>SH04024</t>
  </si>
  <si>
    <t>Alba Lopez albadylan.al@gmail.com</t>
  </si>
  <si>
    <t>SH04025</t>
  </si>
  <si>
    <t>Julie Driscoll julie@gardenonthesquare.com</t>
  </si>
  <si>
    <t>SH04026</t>
  </si>
  <si>
    <t>Stavroula Logothetis logo4111@verizon.net</t>
  </si>
  <si>
    <t>SH04027</t>
  </si>
  <si>
    <t>Katherine Hinton bgfloralandevents@gmail.com</t>
  </si>
  <si>
    <t>SH04028</t>
  </si>
  <si>
    <t>Jane Johnston janiej03@gmail.com</t>
  </si>
  <si>
    <t>SH04029</t>
  </si>
  <si>
    <t>Elizabeth Patterson etroy222@aol.com</t>
  </si>
  <si>
    <t>SH04030</t>
  </si>
  <si>
    <t>Lisa Gillies floralbylisa@gmail.com</t>
  </si>
  <si>
    <t>SH04031</t>
  </si>
  <si>
    <t>Samantha Ford sambobateman13@gmail.com</t>
  </si>
  <si>
    <t>SH04032</t>
  </si>
  <si>
    <t>Steve Gunderson Sgun511@gmail.com</t>
  </si>
  <si>
    <t>SH04033</t>
  </si>
  <si>
    <t>Emily He yuanahaii@gmail.com</t>
  </si>
  <si>
    <t>SH04034</t>
  </si>
  <si>
    <t>Paula Henson paula@abovethedirtgardenshop.com</t>
  </si>
  <si>
    <t>SH04035</t>
  </si>
  <si>
    <t>Stacey Rayburn astorybookwedding@yahoo.com</t>
  </si>
  <si>
    <t>SH04036</t>
  </si>
  <si>
    <t>ester aron bloomboutiqueeinc@gmail.com</t>
  </si>
  <si>
    <t>SH04037</t>
  </si>
  <si>
    <t>Joyce Wager joycewager49@gmail.com</t>
  </si>
  <si>
    <t>SH04038</t>
  </si>
  <si>
    <t>Cole Buys colebuysdesign@gmail.com</t>
  </si>
  <si>
    <t>SH04039</t>
  </si>
  <si>
    <t>Vicki Markham vmarkham@ussugar.com</t>
  </si>
  <si>
    <t>SH04040</t>
  </si>
  <si>
    <t>Melissa Koslosky thegreenbrick141@yahoo.com</t>
  </si>
  <si>
    <t>SH04041</t>
  </si>
  <si>
    <t>Jordan Burrows bloomsbyburrows@gmail.com</t>
  </si>
  <si>
    <t>SH04042</t>
  </si>
  <si>
    <t>Heather Burns Heatherb7242020@gmail.com</t>
  </si>
  <si>
    <t>SH04043</t>
  </si>
  <si>
    <t>Sasha Kanno sashakanno@mac.com</t>
  </si>
  <si>
    <t>SH04044</t>
  </si>
  <si>
    <t>Sarah Ruuska luteysmqt@yahoo.com</t>
  </si>
  <si>
    <t>SH04045</t>
  </si>
  <si>
    <t>RICHARD KOZLOWSKI flakozlo@verizon.net</t>
  </si>
  <si>
    <t>SH04046</t>
  </si>
  <si>
    <t>Amelia Lewis amelia@genesismasterofevents.com</t>
  </si>
  <si>
    <t>SH04047</t>
  </si>
  <si>
    <t>Rachel Detrick rachel@flowerboysindy.com</t>
  </si>
  <si>
    <t>SH04048</t>
  </si>
  <si>
    <t>Sharon C Jones patsflorist@outlook.com</t>
  </si>
  <si>
    <t>SH04049</t>
  </si>
  <si>
    <t>Suzanne B Smith shopannas121@gmail.com</t>
  </si>
  <si>
    <t>SH04050</t>
  </si>
  <si>
    <t>Dania Lopez 6dlopez50@gmail.com</t>
  </si>
  <si>
    <t>SH04051</t>
  </si>
  <si>
    <t>Dina Bennet Roe dinabennetroe@gmail.com</t>
  </si>
  <si>
    <t>SH04052</t>
  </si>
  <si>
    <t>Elizabeth Mendieta chikifruitbionicos@gmail.com</t>
  </si>
  <si>
    <t>SH04053</t>
  </si>
  <si>
    <t>Charlene Smith berrie0403@gmail.com</t>
  </si>
  <si>
    <t>SH04054</t>
  </si>
  <si>
    <t>Titus Jones adclandscaper@gmail.com</t>
  </si>
  <si>
    <t>SH04055</t>
  </si>
  <si>
    <t>Vickie Cussins robvicc@aol.com</t>
  </si>
  <si>
    <t>SH04056</t>
  </si>
  <si>
    <t>Deborah Leighton debby@chezleighton.com</t>
  </si>
  <si>
    <t>SH04057</t>
  </si>
  <si>
    <t>Amy Murray downtownfloralconc@gmail.com</t>
  </si>
  <si>
    <t>SH04058</t>
  </si>
  <si>
    <t>Anne Yao flowersbytiffanyllc@gmail.com</t>
  </si>
  <si>
    <t>SH04059</t>
  </si>
  <si>
    <t>Lydia Bartoszek lydia.nelson@gmail.com</t>
  </si>
  <si>
    <t>SH04060</t>
  </si>
  <si>
    <t>Haley Mitchell haleyxcopter@yahoo.com</t>
  </si>
  <si>
    <t>SH04061</t>
  </si>
  <si>
    <t>Jacquelyn Flynt cannon1893@aol.com</t>
  </si>
  <si>
    <t>SH04062</t>
  </si>
  <si>
    <t>Karen Weser kweser@verizon.net</t>
  </si>
  <si>
    <t>SH04063</t>
  </si>
  <si>
    <t>Janicka Hinds janicka997@gmail.com</t>
  </si>
  <si>
    <t>SH04064</t>
  </si>
  <si>
    <t>Sheila H Miller hamiltonsheila76@yahoo.com</t>
  </si>
  <si>
    <t>SH04065</t>
  </si>
  <si>
    <t>Lee Matalone hello@fieldfloraldesign.com</t>
  </si>
  <si>
    <t>SH04066</t>
  </si>
  <si>
    <t>Ximena Karadima ximena@stpaulweston.org</t>
  </si>
  <si>
    <t>SH04067</t>
  </si>
  <si>
    <t>JoLynn DiGrazia westside_ministries@yahoo.com</t>
  </si>
  <si>
    <t>SH04068</t>
  </si>
  <si>
    <t>Terri Miller terri@catoosaflowers.com</t>
  </si>
  <si>
    <t>SH04069</t>
  </si>
  <si>
    <t>Amanda Harris jacobandamandasue@gmail.com</t>
  </si>
  <si>
    <t>SH04070</t>
  </si>
  <si>
    <t>Camille Eugenio riocamille.e@gmail.com</t>
  </si>
  <si>
    <t>SH04071</t>
  </si>
  <si>
    <t>Kathryn Feinmann kfeinmann@gmail.com</t>
  </si>
  <si>
    <t>SH04072</t>
  </si>
  <si>
    <t>Arash Esmaeili billowingblooms@gmail.com</t>
  </si>
  <si>
    <t>SH04073</t>
  </si>
  <si>
    <t>Patricia Wrobleski kays_floral@att.net</t>
  </si>
  <si>
    <t>SH04074</t>
  </si>
  <si>
    <t>Michael Mauriello mike@mauriello.org</t>
  </si>
  <si>
    <t>SH04075</t>
  </si>
  <si>
    <t>Emily Cafaro emily.cafaro@archny.org</t>
  </si>
  <si>
    <t>SH04076</t>
  </si>
  <si>
    <t>Yelena Riches yriches@gmail.com</t>
  </si>
  <si>
    <t>SH04077</t>
  </si>
  <si>
    <t>Samantha Killingbeck samantha@mainstreetfloralcadillac.com</t>
  </si>
  <si>
    <t>SH04078</t>
  </si>
  <si>
    <t>Abbas Momin fashionflowerscharlotte@gmail.com</t>
  </si>
  <si>
    <t>SH04079</t>
  </si>
  <si>
    <t>Kirstin Musterer krstnsy@aol.com</t>
  </si>
  <si>
    <t>SH04080</t>
  </si>
  <si>
    <t>Debbie Honsey rae.homsey@cox.net</t>
  </si>
  <si>
    <t>SH04081</t>
  </si>
  <si>
    <t>Jesse Meyer jessejmeyer@yahoo.com</t>
  </si>
  <si>
    <t>SH04082</t>
  </si>
  <si>
    <t>Tawana Schlegel tawana@tawanaschlegeldesign.com</t>
  </si>
  <si>
    <t>SH04083</t>
  </si>
  <si>
    <t>Sarah Schaller sschaller@sargent.k12.co.us</t>
  </si>
  <si>
    <t>SH04084</t>
  </si>
  <si>
    <t>Suzanne Burgess suzanneb2751@gmail.com</t>
  </si>
  <si>
    <t>SH04085</t>
  </si>
  <si>
    <t>Pamela Robinson clemsonrobinson@gmail.com</t>
  </si>
  <si>
    <t>SH04086</t>
  </si>
  <si>
    <t>lisabates6202@comcast.net</t>
  </si>
  <si>
    <t>SH04087</t>
  </si>
  <si>
    <t>Anne Thies designstlouis@gmail.com</t>
  </si>
  <si>
    <t>SH04088</t>
  </si>
  <si>
    <t>Claudia Russell claudiaspearlflorist@yahoo.com</t>
  </si>
  <si>
    <t>SH04089</t>
  </si>
  <si>
    <t>komi hatazaki khatazaki@gmail.com</t>
  </si>
  <si>
    <t>SH04090</t>
  </si>
  <si>
    <t>KELLIE CONNOLLY kelliemconnolly93@yahoo.com</t>
  </si>
  <si>
    <t>SH04091</t>
  </si>
  <si>
    <t>Emma Espey wildrootsplants@gmail.com</t>
  </si>
  <si>
    <t>SH04092</t>
  </si>
  <si>
    <t>Theresa Schulte theresaschulte@yahoo.com</t>
  </si>
  <si>
    <t>SH04093</t>
  </si>
  <si>
    <t>Daphne Schlesinger daphneshlezz@gmail.com</t>
  </si>
  <si>
    <t>SH04094</t>
  </si>
  <si>
    <t>Eliya Ushkevich eliyaushkevichhh@gmail.com</t>
  </si>
  <si>
    <t>SH04095</t>
  </si>
  <si>
    <t>Kim Canole kcanole@ymail.com</t>
  </si>
  <si>
    <t>SH04096</t>
  </si>
  <si>
    <t>Susannah Marshall susannah@ipa.net</t>
  </si>
  <si>
    <t>SH04097</t>
  </si>
  <si>
    <t>Joe Davis jdavis@rutledgeanddavis.com</t>
  </si>
  <si>
    <t>SH04098</t>
  </si>
  <si>
    <t>Althea Wiles althea@roseofsharonar.com</t>
  </si>
  <si>
    <t>SH04099</t>
  </si>
  <si>
    <t>Jessica Sequeira info@northwardfloral.com</t>
  </si>
  <si>
    <t>SH04100</t>
  </si>
  <si>
    <t>Karen Andersen-Thatcher kjthatcher@mac.com</t>
  </si>
  <si>
    <t>SH04101</t>
  </si>
  <si>
    <t>Hector Torres exoticflowersbyhector@gmail.com</t>
  </si>
  <si>
    <t>SH04102</t>
  </si>
  <si>
    <t>Marie Dufort hello@furiosaflowers.com</t>
  </si>
  <si>
    <t>SH04103</t>
  </si>
  <si>
    <t>Pierre Simpson pacsimpson93@yahoo.com</t>
  </si>
  <si>
    <t>SH04104</t>
  </si>
  <si>
    <t>Sarah Soltis sarah@bafloristonline.com</t>
  </si>
  <si>
    <t>SH04105</t>
  </si>
  <si>
    <t>Erin Gillespie eginv@yachtchandlers.com</t>
  </si>
  <si>
    <t>SH04106</t>
  </si>
  <si>
    <t>Michele Klink klinkct@gmail.com</t>
  </si>
  <si>
    <t>SH04107</t>
  </si>
  <si>
    <t>Bryan Lawson blossomabdtaste@gmail.com</t>
  </si>
  <si>
    <t>SH04108</t>
  </si>
  <si>
    <t>Rhonda Rendon rjr012757@aol.com</t>
  </si>
  <si>
    <t>SH04109</t>
  </si>
  <si>
    <t>Karyn Smith hautemaman@gmail.com</t>
  </si>
  <si>
    <t>SH04110</t>
  </si>
  <si>
    <t>DeeDee Erfurdt djerfurdt@gmail.com</t>
  </si>
  <si>
    <t>SH04111</t>
  </si>
  <si>
    <t>Ryan Nicholson ryan.nicholson@eventproducers.com</t>
  </si>
  <si>
    <t>SH04112</t>
  </si>
  <si>
    <t>Sara Hoffman sara.fred.hoffman@gmail.com</t>
  </si>
  <si>
    <t>SH04113</t>
  </si>
  <si>
    <t>Kelley Vanderstel kelley.wynnsfloral@gmail.com</t>
  </si>
  <si>
    <t>SH04114</t>
  </si>
  <si>
    <t>Alice Coston amc@btsp.org</t>
  </si>
  <si>
    <t>SH04115</t>
  </si>
  <si>
    <t>Joy Chambless cakeladyofga@gmail.com</t>
  </si>
  <si>
    <t>SH04116</t>
  </si>
  <si>
    <t>olivia prevatt oliviaprevatt@gmail.com</t>
  </si>
  <si>
    <t>SH04117</t>
  </si>
  <si>
    <t>Debbie Smith junipergalleries@gmail.com</t>
  </si>
  <si>
    <t>SH04118</t>
  </si>
  <si>
    <t>Tammy Kunze info@capeflorist.com</t>
  </si>
  <si>
    <t>SH04119</t>
  </si>
  <si>
    <t>Kriste Jones kristejones@aol.com</t>
  </si>
  <si>
    <t>SH04120</t>
  </si>
  <si>
    <t>Liza Fiorentinos info@luludi.net</t>
  </si>
  <si>
    <t>SH04121</t>
  </si>
  <si>
    <t>Sarah Tynon smontana24@yahoo.com</t>
  </si>
  <si>
    <t>SH04122</t>
  </si>
  <si>
    <t>Joyce Taylor joycetaylorint@gmail.com</t>
  </si>
  <si>
    <t>SH04123</t>
  </si>
  <si>
    <t>Daniel Alexander daflowerama@gmail.com</t>
  </si>
  <si>
    <t>SH04124</t>
  </si>
  <si>
    <t>Sarah Sallee franki@salleeproductions.com</t>
  </si>
  <si>
    <t>SH04125</t>
  </si>
  <si>
    <t>Morgan Meyer morgan_170@hotmail.com</t>
  </si>
  <si>
    <t>SH04126</t>
  </si>
  <si>
    <t>Brianne Pittenger hello@callalaneflorals.com</t>
  </si>
  <si>
    <t>SH04127</t>
  </si>
  <si>
    <t>Cindy Charles cindybcharles@gmail.com</t>
  </si>
  <si>
    <t>SH04128</t>
  </si>
  <si>
    <t>SH04129</t>
  </si>
  <si>
    <t>Fr. Epifanios stnektarios@citlink.net</t>
  </si>
  <si>
    <t>SH04130</t>
  </si>
  <si>
    <t>Holly Pilcavage holly@evergreenwb.com</t>
  </si>
  <si>
    <t>SH04131</t>
  </si>
  <si>
    <t>Christy Kotter photographybychr@gmail.com</t>
  </si>
  <si>
    <t>SH04132</t>
  </si>
  <si>
    <t>Erica Douglas erica@straight8logistics.com</t>
  </si>
  <si>
    <t>SH04133</t>
  </si>
  <si>
    <t>Don Holloway pth37064@msn.com</t>
  </si>
  <si>
    <t>SH04134</t>
  </si>
  <si>
    <t>Dana Lietzke Dana2890@yahoo.com</t>
  </si>
  <si>
    <t>SH04135</t>
  </si>
  <si>
    <t>Jake Powers stuartpowers23@gmail.com</t>
  </si>
  <si>
    <t>SH04136</t>
  </si>
  <si>
    <t>Rebecca Olsen olsenr@live.com</t>
  </si>
  <si>
    <t>SH04137</t>
  </si>
  <si>
    <t>JOYCE DIBBLE quailrunflowers@gmail.com</t>
  </si>
  <si>
    <t>SH04138</t>
  </si>
  <si>
    <t>Lauren Thomas laurenjrowell@gmail.com</t>
  </si>
  <si>
    <t>SH04139</t>
  </si>
  <si>
    <t>Pheng Moua phengmoua@yahoo.com</t>
  </si>
  <si>
    <t>SH04140</t>
  </si>
  <si>
    <t>Julia Ahrndt ae.eventflorals@gmail.com</t>
  </si>
  <si>
    <t>SH04141</t>
  </si>
  <si>
    <t>Carol Wright c-wright00@sbcglobal.net</t>
  </si>
  <si>
    <t>SH04142</t>
  </si>
  <si>
    <t>Melissa White helliott3921@gmail.com</t>
  </si>
  <si>
    <t>SH04143</t>
  </si>
  <si>
    <t>Ali Haroon ALI@DAVISANDSAWIN.COM</t>
  </si>
  <si>
    <t>SH04144</t>
  </si>
  <si>
    <t>Leslie LeFranc llefranc324@gmail.com</t>
  </si>
  <si>
    <t>SH04145</t>
  </si>
  <si>
    <t>Ada Salinas ciervos.usuario-7g@icloud.com</t>
  </si>
  <si>
    <t>SH04146</t>
  </si>
  <si>
    <t>mariette brown bbrown@imperialdade.com</t>
  </si>
  <si>
    <t>SH04147</t>
  </si>
  <si>
    <t>EDWIN CABRERA deyrisalazar@gmail.com</t>
  </si>
  <si>
    <t>SH04148</t>
  </si>
  <si>
    <t>Jessica Baker admin@paolifirecompany.org</t>
  </si>
  <si>
    <t>SH04149</t>
  </si>
  <si>
    <t>Kerin Smollen kerin@flowerandtwine.com</t>
  </si>
  <si>
    <t>SH04150</t>
  </si>
  <si>
    <t>Moriah DeFraites mellenbogen27@gmail.com</t>
  </si>
  <si>
    <t>SH04151</t>
  </si>
  <si>
    <t>Daniel Udovenko designs@couturederoses.com</t>
  </si>
  <si>
    <t>SH04152</t>
  </si>
  <si>
    <t>Natia Gabisonia natiagabisonia11@gmail.com</t>
  </si>
  <si>
    <t>SH04153</t>
  </si>
  <si>
    <t>Rosario Rivas ashleyrivas0133@gmail.com</t>
  </si>
  <si>
    <t>SH04154</t>
  </si>
  <si>
    <t>Carolyn Kelly carolynsflowersandgifts2@gmail.com</t>
  </si>
  <si>
    <t>SH04155</t>
  </si>
  <si>
    <t>Kelie Mayfield tradeaccounts@marsculture.com</t>
  </si>
  <si>
    <t>SH04156</t>
  </si>
  <si>
    <t>Taylor Fowler taylor@eversomething.com</t>
  </si>
  <si>
    <t>SH04157</t>
  </si>
  <si>
    <t>lisa macleod scituateflowers@comcast.net</t>
  </si>
  <si>
    <t>SH04158</t>
  </si>
  <si>
    <t>Debi Vitaglian events@theevergladesclub.org</t>
  </si>
  <si>
    <t>SH04159</t>
  </si>
  <si>
    <t>Donna Hebein donna@hebein.com</t>
  </si>
  <si>
    <t>SH04160</t>
  </si>
  <si>
    <t>Nora Lakhani theflowerbasketvt@gmail.com</t>
  </si>
  <si>
    <t>SH04161</t>
  </si>
  <si>
    <t>cyd toups cydtoups@yahoo.com</t>
  </si>
  <si>
    <t>SH04162</t>
  </si>
  <si>
    <t>Carolyn Farias jocafarias@earthlink.net</t>
  </si>
  <si>
    <t>SH04163</t>
  </si>
  <si>
    <t>Charlotte Visbeck charlottevisbeck@gmail.com</t>
  </si>
  <si>
    <t>SH04164</t>
  </si>
  <si>
    <t>Jennifer Greenwald petdr2008@yahoo.com</t>
  </si>
  <si>
    <t>SH04165</t>
  </si>
  <si>
    <t>Debra Seibert seibertd83@gmail.com</t>
  </si>
  <si>
    <t>SH04166</t>
  </si>
  <si>
    <t>Kitty Robinson kittydeane@verizon.net</t>
  </si>
  <si>
    <t>SH04167</t>
  </si>
  <si>
    <t>Carla Fussell cullmanflorist@gmail.com</t>
  </si>
  <si>
    <t>SH04168</t>
  </si>
  <si>
    <t>Mary Piccirella marypiccirella75@gmail.com</t>
  </si>
  <si>
    <t>SH04169</t>
  </si>
  <si>
    <t>Alia Karr aliasarrayofflowers@gmail.com</t>
  </si>
  <si>
    <t>SH04170</t>
  </si>
  <si>
    <t>Sarah Ruuska luteysflowers@gmail.com</t>
  </si>
  <si>
    <t>SH04171</t>
  </si>
  <si>
    <t>Jacobi Cogburn jacobi_us@yahoo.com</t>
  </si>
  <si>
    <t>SH04172</t>
  </si>
  <si>
    <t>SERGIO GONZALEZ flowershacktx@gmail.com</t>
  </si>
  <si>
    <t>SH04173</t>
  </si>
  <si>
    <t>Sydney Alexander sydney.alexander@thistlefarms.org</t>
  </si>
  <si>
    <t>SH04174</t>
  </si>
  <si>
    <t>ray gormley rgormley@verizon.net</t>
  </si>
  <si>
    <t>SH04175</t>
  </si>
  <si>
    <t>Katie Johnson katie@alicesflowers.com</t>
  </si>
  <si>
    <t>SH04176</t>
  </si>
  <si>
    <t>casey kaufmann mountjoyflorals@gmail.com</t>
  </si>
  <si>
    <t>SH04177</t>
  </si>
  <si>
    <t>Mallory Browne mallorynbrowne@gmail.com</t>
  </si>
  <si>
    <t>SH04178</t>
  </si>
  <si>
    <t>Pat Lor pclor888@hotmail.com</t>
  </si>
  <si>
    <t>SH04179</t>
  </si>
  <si>
    <t>Juliann Jaffe juliann_jaffe@comcast.net</t>
  </si>
  <si>
    <t>SH04180</t>
  </si>
  <si>
    <t>John Rapini jrapini@longwoodgardens.org</t>
  </si>
  <si>
    <t>SH04181</t>
  </si>
  <si>
    <t>Micheline Roy bonjour@frissonmaison.com</t>
  </si>
  <si>
    <t>SH04182</t>
  </si>
  <si>
    <t>Susie Brennan susieinthecity@aol.com</t>
  </si>
  <si>
    <t>SH04183</t>
  </si>
  <si>
    <t>Melissa Brock tcuflorist@yahoo.com</t>
  </si>
  <si>
    <t>SH04184</t>
  </si>
  <si>
    <t>Marseilles Deaguero rootsandfruitsjuicery@outlook.com</t>
  </si>
  <si>
    <t>SH04185</t>
  </si>
  <si>
    <t>sandy frazer sandyfrazer@gmail.com</t>
  </si>
  <si>
    <t>SH04186</t>
  </si>
  <si>
    <t>Jackson McWaters racheldavintee@gmail.com</t>
  </si>
  <si>
    <t>SH04187</t>
  </si>
  <si>
    <t>Jennifer Park Cox jenniferparkcox@yahoo.com</t>
  </si>
  <si>
    <t>SH04188</t>
  </si>
  <si>
    <t>Chad Abbott abbott663@gmail.com</t>
  </si>
  <si>
    <t>SH04189</t>
  </si>
  <si>
    <t>Angelina Villarreal angievillarreal917@gmail.com</t>
  </si>
  <si>
    <t>SH04190</t>
  </si>
  <si>
    <t>Nikiya Gregg nikiyagregg@gmail.com</t>
  </si>
  <si>
    <t>SH04191</t>
  </si>
  <si>
    <t>Marianne Franko marianne.franko@gmail.com</t>
  </si>
  <si>
    <t>SH04192</t>
  </si>
  <si>
    <t>james melvin flmelvin@bellsouth.net</t>
  </si>
  <si>
    <t>SH04193</t>
  </si>
  <si>
    <t>Adrienne David adavid7030@gmail.com</t>
  </si>
  <si>
    <t>SH04194</t>
  </si>
  <si>
    <t>Joanna Beachy sjbeachy@iceweb.net</t>
  </si>
  <si>
    <t>SH04195</t>
  </si>
  <si>
    <t>Mark Frye mrk483@cs.com</t>
  </si>
  <si>
    <t>SH04196</t>
  </si>
  <si>
    <t>denton harden dentonh43@gmail.com</t>
  </si>
  <si>
    <t>SH04197</t>
  </si>
  <si>
    <t>Rita OConnell ritao1@msn.com</t>
  </si>
  <si>
    <t>SH04198</t>
  </si>
  <si>
    <t>Jill Lamkin jill@bancap.com</t>
  </si>
  <si>
    <t>SH04199</t>
  </si>
  <si>
    <t>Valerie Georgoulopoulos valerie@sophiasgreekpantry.com</t>
  </si>
  <si>
    <t>SH04200</t>
  </si>
  <si>
    <t>Becca Brendler hi@beccabrendler.com</t>
  </si>
  <si>
    <t>SH04201</t>
  </si>
  <si>
    <t>L Litchmore westminsterflorist1@yahoo.com</t>
  </si>
  <si>
    <t>SH04202</t>
  </si>
  <si>
    <t>Sara Martelo sari@smcreativeco.com</t>
  </si>
  <si>
    <t>SH04203</t>
  </si>
  <si>
    <t>Bella DiPietro bdipietro@360pr.plus</t>
  </si>
  <si>
    <t>SH04204</t>
  </si>
  <si>
    <t>Ann Stokes stokesranch97@gmail.com</t>
  </si>
  <si>
    <t>SH04205</t>
  </si>
  <si>
    <t>Barrett Green barrettlgreen@gmail.com</t>
  </si>
  <si>
    <t>SH04206</t>
  </si>
  <si>
    <t>Gary Pincus sitceco@gmail.com</t>
  </si>
  <si>
    <t>SH04207</t>
  </si>
  <si>
    <t>Maria Ianiro maria@wilddovesfloristry.com</t>
  </si>
  <si>
    <t>SH04208</t>
  </si>
  <si>
    <t>Chloe Mortaud chloe_mortaud@yahoo.fr</t>
  </si>
  <si>
    <t>SH04209</t>
  </si>
  <si>
    <t>Holly Weatherford gholly37@yahoo.com</t>
  </si>
  <si>
    <t>SH04210</t>
  </si>
  <si>
    <t>Denise Buckbee wildflowerspecialeventsdesign@gmail.com</t>
  </si>
  <si>
    <t>SH04211</t>
  </si>
  <si>
    <t>Jira Saithanoo plantcornernyc@gmail.com</t>
  </si>
  <si>
    <t>SH04212</t>
  </si>
  <si>
    <t>Lisa Dietz openairflowersllc@gmail.com</t>
  </si>
  <si>
    <t>SH04213</t>
  </si>
  <si>
    <t>Cynthia Smith cindysweddingdecor@gmail.com</t>
  </si>
  <si>
    <t>SH04214</t>
  </si>
  <si>
    <t>Kathy Meyer kathy.meyer@khpfoundation.org</t>
  </si>
  <si>
    <t>SH04215</t>
  </si>
  <si>
    <t>Brenda Smith bren23smith@gmail.com</t>
  </si>
  <si>
    <t>SH04216</t>
  </si>
  <si>
    <t>Jennifer Limerick jenniferbur0603@gmail.com</t>
  </si>
  <si>
    <t>SH04217</t>
  </si>
  <si>
    <t>Anita Trapold myrubybloom7@gmail.com</t>
  </si>
  <si>
    <t>SH04218</t>
  </si>
  <si>
    <t>Zen Dim rosedim@gmail.com</t>
  </si>
  <si>
    <t>SH04219</t>
  </si>
  <si>
    <t>Judith Doak judy16024@hotmail.com</t>
  </si>
  <si>
    <t>SH04220</t>
  </si>
  <si>
    <t>Cornelia Washington headstartsenior72@yahoo.com</t>
  </si>
  <si>
    <t>SH04221</t>
  </si>
  <si>
    <t>TAZZO MANIAN matthewflynn237@gmail.com</t>
  </si>
  <si>
    <t>SH04222</t>
  </si>
  <si>
    <t>Kryse Sredenschek krysations@aol.com</t>
  </si>
  <si>
    <t>SH04223</t>
  </si>
  <si>
    <t>Maria Perperidis perperidis6@gmail.com</t>
  </si>
  <si>
    <t>SH04224</t>
  </si>
  <si>
    <t>Kira Tialavea laiekira@gmail.com</t>
  </si>
  <si>
    <t>SH04225</t>
  </si>
  <si>
    <t>Stephanie Biagini slbiagini@gmail.com</t>
  </si>
  <si>
    <t>SH04226</t>
  </si>
  <si>
    <t>Jodi Hepton heptons@msn.com</t>
  </si>
  <si>
    <t>SH04227</t>
  </si>
  <si>
    <t>Tanner Kinkel info@flowersbymarylou.com</t>
  </si>
  <si>
    <t>SH04228</t>
  </si>
  <si>
    <t>Adrian Varela adrian@sinplicitycatering.com</t>
  </si>
  <si>
    <t>SH04229</t>
  </si>
  <si>
    <t>Julie Oxford ladycalfrope@yahoo.com</t>
  </si>
  <si>
    <t>SH04230</t>
  </si>
  <si>
    <t>Jodi Fogel info@Foresthillsflorist.com</t>
  </si>
  <si>
    <t>SH04231</t>
  </si>
  <si>
    <t>Maggy Cook maggy.cook@foxroach.com</t>
  </si>
  <si>
    <t>SH04232</t>
  </si>
  <si>
    <t>Wesley Butler wesleyjr1956@gmail.com</t>
  </si>
  <si>
    <t>SH04233</t>
  </si>
  <si>
    <t>Michael Pedone runningwolves1@outlook.com</t>
  </si>
  <si>
    <t>SH04234</t>
  </si>
  <si>
    <t>Kathryn Davidson yorkflowerart@icloud.com</t>
  </si>
  <si>
    <t>SH04235</t>
  </si>
  <si>
    <t>Josefa Castro galleryflowershopfl@gmail.com</t>
  </si>
  <si>
    <t>SH04236</t>
  </si>
  <si>
    <t>Mark Cook mark@trinitylutheranchurch.org</t>
  </si>
  <si>
    <t>SH04237</t>
  </si>
  <si>
    <t>Mark Schaefering markaschaefering@sbcglobal.net</t>
  </si>
  <si>
    <t>SH04238</t>
  </si>
  <si>
    <t>C. Pat Phillips phillipspat417@gmail.com</t>
  </si>
  <si>
    <t>SH04239</t>
  </si>
  <si>
    <t>Cathy Milnik cmilnik@saint-cyril.com</t>
  </si>
  <si>
    <t>SH04240</t>
  </si>
  <si>
    <t>Rosemary Griffin rosemary.griffin@archny.org</t>
  </si>
  <si>
    <t>SH04241</t>
  </si>
  <si>
    <t>Terri O'Connor terri@roseandblossom.com</t>
  </si>
  <si>
    <t>SH04242</t>
  </si>
  <si>
    <t>Timothy Gould ddiego@longwoodgardens.org</t>
  </si>
  <si>
    <t>SH04243</t>
  </si>
  <si>
    <t>Florist Florist herrington@greenoakms.com</t>
  </si>
  <si>
    <t>SH04244</t>
  </si>
  <si>
    <t>CRIS GARCIA c.s.licona@gmail.com</t>
  </si>
  <si>
    <t>SH04245</t>
  </si>
  <si>
    <t>Tomika Ashley dachosen1_54@hotmail.com</t>
  </si>
  <si>
    <t>SH04246</t>
  </si>
  <si>
    <t>Hannah Crenshaw hannah.i.crenshaw@gmail.com</t>
  </si>
  <si>
    <t>SH04247</t>
  </si>
  <si>
    <t>sam@the-mad-florist.com</t>
  </si>
  <si>
    <t>SH04248</t>
  </si>
  <si>
    <t>Keith Jackson kajaxon@gmail.com</t>
  </si>
  <si>
    <t>SH04249</t>
  </si>
  <si>
    <t>heidi dziubla heidi@floraldesignbyheidi.com</t>
  </si>
  <si>
    <t>SH04250</t>
  </si>
  <si>
    <t>Joseph Schroeder woodsedgeapples@msn.com</t>
  </si>
  <si>
    <t>SH04251</t>
  </si>
  <si>
    <t>SH04252</t>
  </si>
  <si>
    <t>Kim Hawkins alpineinc@midrivers.com</t>
  </si>
  <si>
    <t>SH04253</t>
  </si>
  <si>
    <t>Jeanne Smiczek info@backtothefuchsia.net</t>
  </si>
  <si>
    <t>SH04254</t>
  </si>
  <si>
    <t>Hannah Wilhelm hannahwilhelm1997@gmail.com</t>
  </si>
  <si>
    <t>SH04255</t>
  </si>
  <si>
    <t>Cathy Clark lunenburgflowersandgifts@gmail.com</t>
  </si>
  <si>
    <t>SH04256</t>
  </si>
  <si>
    <t>Adriana Zuniga las.flores.mgm@gmail.com</t>
  </si>
  <si>
    <t>SH04257</t>
  </si>
  <si>
    <t>MARVIN MITCHELL mmitchell506@aol.com</t>
  </si>
  <si>
    <t>SH04258</t>
  </si>
  <si>
    <t>Linda Calvert allinbloomandmore@gmail.com</t>
  </si>
  <si>
    <t>SH04259</t>
  </si>
  <si>
    <t>Richard Nagel rich.nagel@outlook.com</t>
  </si>
  <si>
    <t>SH04260</t>
  </si>
  <si>
    <t>Mindi Graver jmcegraver@aol.com</t>
  </si>
  <si>
    <t>SH04261</t>
  </si>
  <si>
    <t>Anthony DiStasio madistasio81@gmail.com</t>
  </si>
  <si>
    <t>SH04262</t>
  </si>
  <si>
    <t>Robert Kuznik robertkuznik@me.com</t>
  </si>
  <si>
    <t>SH04263</t>
  </si>
  <si>
    <t>Cindy Withrow cwithrow@saintannparish.org</t>
  </si>
  <si>
    <t>SH04264</t>
  </si>
  <si>
    <t>Leigh Fonseca leigh@loveandgreens.com</t>
  </si>
  <si>
    <t>SH04265</t>
  </si>
  <si>
    <t>Daniel Jose Perez POleo betweenflowersdesign@gmail.com</t>
  </si>
  <si>
    <t>SH04266</t>
  </si>
  <si>
    <t>Julie Robinson julierobinsonwv@gmail.com</t>
  </si>
  <si>
    <t>SH04267</t>
  </si>
  <si>
    <t>Georgia Shepard flowerfieldflorist@sbcglobal.net</t>
  </si>
  <si>
    <t>SH04268</t>
  </si>
  <si>
    <t>Joy Holway joylynnholway@gmail.com</t>
  </si>
  <si>
    <t>SH04269</t>
  </si>
  <si>
    <t>Kimberly White kim.white7232@gmail.com</t>
  </si>
  <si>
    <t>SH04270</t>
  </si>
  <si>
    <t>Melissa Meisner m_meisner@yahoo.com</t>
  </si>
  <si>
    <t>SH04271</t>
  </si>
  <si>
    <t>Betsy Doyle betsyadoyle@aol.com</t>
  </si>
  <si>
    <t>SH04272</t>
  </si>
  <si>
    <t>Sarah Choi agapeflower.studio25@gmail.com</t>
  </si>
  <si>
    <t>SH04273</t>
  </si>
  <si>
    <t>Joseph DeCaro jld0017@yahoo.com</t>
  </si>
  <si>
    <t>SH04274</t>
  </si>
  <si>
    <t>Katherine Sanford kdriver9@gmail.com</t>
  </si>
  <si>
    <t>SH04275</t>
  </si>
  <si>
    <t>Merideth Tall merideth.tall@gmail.com</t>
  </si>
  <si>
    <t>SH04276</t>
  </si>
  <si>
    <t>meredith dibattista jmdiba@comcast.net</t>
  </si>
  <si>
    <t>SH04277</t>
  </si>
  <si>
    <t>Joan Roszak roszak.joan@gmail.com</t>
  </si>
  <si>
    <t>SH04278</t>
  </si>
  <si>
    <t>Bill Maginnis billmaginnis@verizon.net</t>
  </si>
  <si>
    <t>SH04279</t>
  </si>
  <si>
    <t>Joseph Herres jherres@cypresslakeumc.com</t>
  </si>
  <si>
    <t>SH04280</t>
  </si>
  <si>
    <t>Kristen Cruz church@redeemerstuart.com</t>
  </si>
  <si>
    <t>SH04281</t>
  </si>
  <si>
    <t>troy schultz troy@schultzflorists.com</t>
  </si>
  <si>
    <t>SH04282</t>
  </si>
  <si>
    <t>Kathryn Culbertson kaitlynroxx@gmail.com</t>
  </si>
  <si>
    <t>SH04283</t>
  </si>
  <si>
    <t>Allison Battinelli batt44@optonline.net</t>
  </si>
  <si>
    <t>SH04284</t>
  </si>
  <si>
    <t>Dallas Hayes dkfloral@yahoo.com</t>
  </si>
  <si>
    <t>SH04285</t>
  </si>
  <si>
    <t>Sally Cook jilldorothyallen@gmail.com</t>
  </si>
  <si>
    <t>SH04286</t>
  </si>
  <si>
    <t>Lauren Elligsen lauren_elligsen21@hotmail.com</t>
  </si>
  <si>
    <t>SH04287</t>
  </si>
  <si>
    <t>Shelley Haefner shelleymdelaney@gmail.com</t>
  </si>
  <si>
    <t>SH04288</t>
  </si>
  <si>
    <t>hyejin kim hyejin7078@gmail.com</t>
  </si>
  <si>
    <t>SH04289</t>
  </si>
  <si>
    <t>Lauren Carrabs lauves30@yahoo.com</t>
  </si>
  <si>
    <t>SH04290</t>
  </si>
  <si>
    <t>Jean Pennington joe-jean@jjpennington.com</t>
  </si>
  <si>
    <t>SH04291</t>
  </si>
  <si>
    <t>Mary Higgins gowareagles@comcast.net</t>
  </si>
  <si>
    <t>SH04292</t>
  </si>
  <si>
    <t>Mary Pelzer Bradley mary.pelzer@dc.gov</t>
  </si>
  <si>
    <t>SH04293</t>
  </si>
  <si>
    <t>Bryant Her bryant@wahmongfarmers.com</t>
  </si>
  <si>
    <t>SH04294</t>
  </si>
  <si>
    <t>Melissa Brophy melissabrophy@thegreeneryinc.com</t>
  </si>
  <si>
    <t>SH04295</t>
  </si>
  <si>
    <t>Stacy Wempen stacy@wempensgarden.com</t>
  </si>
  <si>
    <t>SH04296</t>
  </si>
  <si>
    <t>Hailee Green lovebuggardens25@gmail.com</t>
  </si>
  <si>
    <t>SH04297</t>
  </si>
  <si>
    <t>Francesca Miles ffmiles40@gmail.com</t>
  </si>
  <si>
    <t>SH04298</t>
  </si>
  <si>
    <t>Debbie Kitchen creativetouchfloral1990@gmail.com</t>
  </si>
  <si>
    <t>SH04299</t>
  </si>
  <si>
    <t>Denise Beaver fourbeavers@yahoo.com</t>
  </si>
  <si>
    <t>SH04300</t>
  </si>
  <si>
    <t>Connie Keene connieandcompanyllc@gmail.com</t>
  </si>
  <si>
    <t>SH04301</t>
  </si>
  <si>
    <t>Diane Llywelyn rooster7656@gmail.com</t>
  </si>
  <si>
    <t>SH04302</t>
  </si>
  <si>
    <t>TRACEY STASICK rtcgstacy@aol.com</t>
  </si>
  <si>
    <t>SH04303</t>
  </si>
  <si>
    <t>ANN ONEAL annoneal16@gmail.com</t>
  </si>
  <si>
    <t>SH04304</t>
  </si>
  <si>
    <t>Nancy Schauer nancyschauer@me.com</t>
  </si>
  <si>
    <t>SH04305</t>
  </si>
  <si>
    <t>Leigh LaMarca la@threethirtyflowers.com</t>
  </si>
  <si>
    <t>SH04306</t>
  </si>
  <si>
    <t>Jaqueline Cruz jaquiflamenco@gmail.com</t>
  </si>
  <si>
    <t>SH04307</t>
  </si>
  <si>
    <t>Nika Matsko ncmats@hotmail.com</t>
  </si>
  <si>
    <t>SH04308</t>
  </si>
  <si>
    <t>Stephen DOnofrio steverenod@gmail.com</t>
  </si>
  <si>
    <t>SH04309</t>
  </si>
  <si>
    <t>Andrew Walker walkera405@gmail.com</t>
  </si>
  <si>
    <t>SH04310</t>
  </si>
  <si>
    <t>NATALIE LYNCH natalielynch03@hotmail.com</t>
  </si>
  <si>
    <t>SH04311</t>
  </si>
  <si>
    <t>Melinda Elder theouthouse30@gmail.com</t>
  </si>
  <si>
    <t>SH04312</t>
  </si>
  <si>
    <t>Jennifer Farber thewayolph@gmail.com</t>
  </si>
  <si>
    <t>SH04313</t>
  </si>
  <si>
    <t>Nicholas Coward nicholas.coward@gmail.com</t>
  </si>
  <si>
    <t>SH04314</t>
  </si>
  <si>
    <t>JILL SIDA jillnimz@me.com</t>
  </si>
  <si>
    <t>SH04315</t>
  </si>
  <si>
    <t>Danielle Prinzivalli norristowncreativeflowers@gmail.com</t>
  </si>
  <si>
    <t>SH04316</t>
  </si>
  <si>
    <t>Dinah Tunnell dinahtunnell@yahoo.com</t>
  </si>
  <si>
    <t>SH04317</t>
  </si>
  <si>
    <t>Sebrell Smith sebrell@sebrellsmith.com</t>
  </si>
  <si>
    <t>SH04318</t>
  </si>
  <si>
    <t>cindy henderson cnflower@sbcglobal.net</t>
  </si>
  <si>
    <t>SH04319</t>
  </si>
  <si>
    <t>Amanda Ciliento stonebrook451@gmail.com</t>
  </si>
  <si>
    <t>SH04320</t>
  </si>
  <si>
    <t>Jennifer Dye forgetmenot.nwa@gmail.com</t>
  </si>
  <si>
    <t>SH04321</t>
  </si>
  <si>
    <t>Lesley Admana hello@talulot.com</t>
  </si>
  <si>
    <t>SH04322</t>
  </si>
  <si>
    <t>Alli Motley alliryanwinter@gmail.com</t>
  </si>
  <si>
    <t>SH04323</t>
  </si>
  <si>
    <t>Barbra Love barbraslove@gmail.com</t>
  </si>
  <si>
    <t>SH04324</t>
  </si>
  <si>
    <t>Francisco Cabrera staciescreations3@gmail.com</t>
  </si>
  <si>
    <t>SH04325</t>
  </si>
  <si>
    <t>Caroline Helmick c.helmick99@gmail.com</t>
  </si>
  <si>
    <t>SH04326</t>
  </si>
  <si>
    <t>Bilal Gilbertie bilal_antonio@yahoo.com</t>
  </si>
  <si>
    <t>SH04327</t>
  </si>
  <si>
    <t>SH04328</t>
  </si>
  <si>
    <t>tim Wynn kelley.wynnsflora@gmail.com</t>
  </si>
  <si>
    <t>SH04329</t>
  </si>
  <si>
    <t>Johanna E Hise johannahise@gmail.com</t>
  </si>
  <si>
    <t>SH04330</t>
  </si>
  <si>
    <t>Kellie Ann Thomas kqthomas@comcast.net</t>
  </si>
  <si>
    <t>SH04331</t>
  </si>
  <si>
    <t>Casey McCollum caseym@plantperfect.com</t>
  </si>
  <si>
    <t>SH04332</t>
  </si>
  <si>
    <t>Sylvia Leslie butterflyplace@comcast.net</t>
  </si>
  <si>
    <t>SH04333</t>
  </si>
  <si>
    <t>SH04334</t>
  </si>
  <si>
    <t>Morgan Barker morganosu@gmail.com</t>
  </si>
  <si>
    <t>SH04335</t>
  </si>
  <si>
    <t>Fatima Bazzi info@studioterrain.com</t>
  </si>
  <si>
    <t>SH04336</t>
  </si>
  <si>
    <t>Le boutique Fleurs shop@leboutiquefleurs.com</t>
  </si>
  <si>
    <t>SH04337</t>
  </si>
  <si>
    <t>Margaret Kortina jmjgkortina@msn.com</t>
  </si>
  <si>
    <t>SH04338</t>
  </si>
  <si>
    <t>Diana Cano dcano8901@gmail.com</t>
  </si>
  <si>
    <t>SH04339</t>
  </si>
  <si>
    <t>Tiana Fisher theflowerbucket21@yahoo.com</t>
  </si>
  <si>
    <t>SH04340</t>
  </si>
  <si>
    <t>Kristine Schmucker kschmucker6@gmail.com</t>
  </si>
  <si>
    <t>SH04341</t>
  </si>
  <si>
    <t>Tom Mantle tommantle@gmail.com</t>
  </si>
  <si>
    <t>SH04342</t>
  </si>
  <si>
    <t>Emily Patrick emily@carolinaflowers.com</t>
  </si>
  <si>
    <t>SH04343</t>
  </si>
  <si>
    <t>Samantha Stoffers flowers@bouquetsandmore.com</t>
  </si>
  <si>
    <t>SH04344</t>
  </si>
  <si>
    <t>Dung Tran dtatran@gmail.com</t>
  </si>
  <si>
    <t>SH04345</t>
  </si>
  <si>
    <t>Frank Potee fpotee@comcast.net</t>
  </si>
  <si>
    <t>SH04346</t>
  </si>
  <si>
    <t>BELEM HARO belemh@sbcglobal.net</t>
  </si>
  <si>
    <t>SH04347</t>
  </si>
  <si>
    <t>James Yaughn cannonhouse608@gmail.com</t>
  </si>
  <si>
    <t>SH04348</t>
  </si>
  <si>
    <t>dawn lopez dlopez@veldkamps.com</t>
  </si>
  <si>
    <t>SH04349</t>
  </si>
  <si>
    <t>Mary Clare Slaught mollyslaught@gmail.com</t>
  </si>
  <si>
    <t>SH04350</t>
  </si>
  <si>
    <t>Patrice Gausselin patrice@blufftonflorist.com</t>
  </si>
  <si>
    <t>SH04351</t>
  </si>
  <si>
    <t>Thea Parsons theaben@aol.com</t>
  </si>
  <si>
    <t>SH04352</t>
  </si>
  <si>
    <t>Linda Kocher lindatopflorist@gmail.com</t>
  </si>
  <si>
    <t>SH04353</t>
  </si>
  <si>
    <t>Rodney Hayes rodneyfhayes@yahoo.com</t>
  </si>
  <si>
    <t>SH04354</t>
  </si>
  <si>
    <t>Kaitlyn Luce florencefloralsco@gmail.com</t>
  </si>
  <si>
    <t>SH04355</t>
  </si>
  <si>
    <t>Michael Kelly mike@kbfinancialinc.com</t>
  </si>
  <si>
    <t>SH04356</t>
  </si>
  <si>
    <t>Raymond Cappel rcappel1@cinci.rr.com</t>
  </si>
  <si>
    <t>SH04357</t>
  </si>
  <si>
    <t>Melanie Makrigianni agios1994@gmail.com</t>
  </si>
  <si>
    <t>SH04358</t>
  </si>
  <si>
    <t>Kristen Davis kristen.davis35@gmail.com</t>
  </si>
  <si>
    <t>SH04359</t>
  </si>
  <si>
    <t>Ting Xu alicetingxu@yahoo.com</t>
  </si>
  <si>
    <t>SH04360</t>
  </si>
  <si>
    <t>KIMBERLY GRAHAM FlowerBeeFloralSupply@gmail.com</t>
  </si>
  <si>
    <t>SH04361</t>
  </si>
  <si>
    <t>Dana Pagano danampagano@gmail.com</t>
  </si>
  <si>
    <t>SH04362</t>
  </si>
  <si>
    <t>Melissa Czerwein melissaczerwein@yahoo.com</t>
  </si>
  <si>
    <t>SH04363</t>
  </si>
  <si>
    <t>Lilian Toledo greynoldsflowershop@gmail.com</t>
  </si>
  <si>
    <t>SH04364</t>
  </si>
  <si>
    <t>PATRICK OBRIEN greenlawnpros@gmail.com</t>
  </si>
  <si>
    <t>SH04365</t>
  </si>
  <si>
    <t>Eric David Zegeer fatherericz@gmail.com</t>
  </si>
  <si>
    <t>SH04366</t>
  </si>
  <si>
    <t>Carole Jesiolowski carolejezz@gmail.com</t>
  </si>
  <si>
    <t>SH04367</t>
  </si>
  <si>
    <t>Nancy Higgins flowers@southerngardensflorist.com</t>
  </si>
  <si>
    <t>SH04368</t>
  </si>
  <si>
    <t>Frank Capurso frank@stablesgardens.com</t>
  </si>
  <si>
    <t>SH04369</t>
  </si>
  <si>
    <t>Kelley Ratchford kelratch@yahoo.com</t>
  </si>
  <si>
    <t>SH04370</t>
  </si>
  <si>
    <t>Michelle Guentner g.gardens@icloud.com</t>
  </si>
  <si>
    <t>SH04371</t>
  </si>
  <si>
    <t>Gayle Vincent pag2tn@gmail.com</t>
  </si>
  <si>
    <t>SH04372</t>
  </si>
  <si>
    <t>Lori Leppert lorileppert@youridahoflorist.com</t>
  </si>
  <si>
    <t>SH04373</t>
  </si>
  <si>
    <t>Barbara Sabine bjsabine@gmail.com</t>
  </si>
  <si>
    <t>SH04374</t>
  </si>
  <si>
    <t>Relk Forsloff info@vibrantvalleyfarm.com</t>
  </si>
  <si>
    <t>SH04375</t>
  </si>
  <si>
    <t>Meagan Davis mresecker09@gmail.com</t>
  </si>
  <si>
    <t>SH04376</t>
  </si>
  <si>
    <t>Thomas A Williams arcanumartfarm@gmail.com</t>
  </si>
  <si>
    <t>SH04377</t>
  </si>
  <si>
    <t>Krista Ostuno khostuno@gmail.com</t>
  </si>
  <si>
    <t>SH04378</t>
  </si>
  <si>
    <t>Edward Eck creekside094@gmail.com</t>
  </si>
  <si>
    <t>SH04379</t>
  </si>
  <si>
    <t>Gerald Gerdes jgerdes77@icloud.com</t>
  </si>
  <si>
    <t>SH04380</t>
  </si>
  <si>
    <t>shavara kroeker shavarakroeker@gmail.com</t>
  </si>
  <si>
    <t>SH04381</t>
  </si>
  <si>
    <t>Laura Hassell laura@naturelinkdesign.com</t>
  </si>
  <si>
    <t>SH04382</t>
  </si>
  <si>
    <t>Kelly Hawk wapakhaehnflorist@gmail.com</t>
  </si>
  <si>
    <t>SH04383</t>
  </si>
  <si>
    <t>John Meindl jmeindl66@gmail.com</t>
  </si>
  <si>
    <t>SH04384</t>
  </si>
  <si>
    <t>Leyly Bagherof leylynbagherof@gmail.com</t>
  </si>
  <si>
    <t>SH04385</t>
  </si>
  <si>
    <t>Christopher Collum chriscollum@flowerlandmidland.com</t>
  </si>
  <si>
    <t>SH04386</t>
  </si>
  <si>
    <t>Mary Stark Kendrick marystarkkendrick@gmail.com</t>
  </si>
  <si>
    <t>SH04387</t>
  </si>
  <si>
    <t>Warren Golde wgolde@aol.com</t>
  </si>
  <si>
    <t>SH04388</t>
  </si>
  <si>
    <t>Gina Mullen gina@ginamullen.com</t>
  </si>
  <si>
    <t>SH04389</t>
  </si>
  <si>
    <t>Sean OConnell viewmont01@outlook.com</t>
  </si>
  <si>
    <t>SH04390</t>
  </si>
  <si>
    <t>Donna Harkins mochelle.harkins@gmail.com</t>
  </si>
  <si>
    <t>SH04391</t>
  </si>
  <si>
    <t>Bob Krupinski emsfire151@aol.com</t>
  </si>
  <si>
    <t>SH04392</t>
  </si>
  <si>
    <t>Dustin Solomon info@pottingbenchmarket.com</t>
  </si>
  <si>
    <t>SH04393</t>
  </si>
  <si>
    <t>Madeline Sten msten451@gmail.com</t>
  </si>
  <si>
    <t>SH04394</t>
  </si>
  <si>
    <t>ROSEMEEN FIDAI theoneroses@yaboo.com</t>
  </si>
  <si>
    <t>SH04395</t>
  </si>
  <si>
    <t>Barrie Kuehnle barriekue0519@yahoo.com</t>
  </si>
  <si>
    <t>SH04396</t>
  </si>
  <si>
    <t>Laura Waring lauraandrobert@knology.net</t>
  </si>
  <si>
    <t>SH04397</t>
  </si>
  <si>
    <t>Lisa Piotti dannysfarmmarket@comcast.net</t>
  </si>
  <si>
    <t>SH04398</t>
  </si>
  <si>
    <t>Jackie Pliska jackiepliska@gmail.com</t>
  </si>
  <si>
    <t>SH04399</t>
  </si>
  <si>
    <t>Eliana Lopez macaseliana@gmail.com</t>
  </si>
  <si>
    <t>SH04400</t>
  </si>
  <si>
    <t>Christy Bowen christy@johnnysrv.com</t>
  </si>
  <si>
    <t>SH04401</t>
  </si>
  <si>
    <t>Deborah Hulse deb102685@aol.com</t>
  </si>
  <si>
    <t>SH04402</t>
  </si>
  <si>
    <t>Jacob Till j.till@dbqarch.org</t>
  </si>
  <si>
    <t>SH04403</t>
  </si>
  <si>
    <t>Connie Kearney conbill@aol.com</t>
  </si>
  <si>
    <t>SH04404</t>
  </si>
  <si>
    <t>nsabgaaboud@gmail.com</t>
  </si>
  <si>
    <t>SH04405</t>
  </si>
  <si>
    <t>Victoria Cairns victoriahcairns@gmail.com</t>
  </si>
  <si>
    <t>SH04406</t>
  </si>
  <si>
    <t>Wesley Wilson wrwilson41real@gmail.com</t>
  </si>
  <si>
    <t>SH04407</t>
  </si>
  <si>
    <t>Mary Hughes schneidersflowersandcaskets@yahoo.com</t>
  </si>
  <si>
    <t>SH04408</t>
  </si>
  <si>
    <t>Pam Brasch pam.brasch2320@gmail.com</t>
  </si>
  <si>
    <t>SH04409</t>
  </si>
  <si>
    <t>Kallie Durden theflowercompany21@gmail.com</t>
  </si>
  <si>
    <t>SH04410</t>
  </si>
  <si>
    <t>Teri Schols tschols@wavecable.com</t>
  </si>
  <si>
    <t>SH04411</t>
  </si>
  <si>
    <t>Marianne Clark mclark3130@gmail.com</t>
  </si>
  <si>
    <t>SH04412</t>
  </si>
  <si>
    <t>Kelly Redlin solaceflowerfarm@gmail.com</t>
  </si>
  <si>
    <t>SH04413</t>
  </si>
  <si>
    <t>Rebekah Humphreys smmocafenton@gmail.com</t>
  </si>
  <si>
    <t>SH04414</t>
  </si>
  <si>
    <t>Paul Picheloup derrickandpaul@gmail.com</t>
  </si>
  <si>
    <t>SH04415</t>
  </si>
  <si>
    <t>Sarah Stickel sstickel@blocs.org</t>
  </si>
  <si>
    <t>SH04416</t>
  </si>
  <si>
    <t>gail lieblang glieblang@gmail.com</t>
  </si>
  <si>
    <t>SH04417</t>
  </si>
  <si>
    <t>Michael Raykovics andy_raykovics@msn.com</t>
  </si>
  <si>
    <t>SH04418</t>
  </si>
  <si>
    <t>Kirby Davis bloomingacresfarmtn@gmail.com</t>
  </si>
  <si>
    <t>SH04419</t>
  </si>
  <si>
    <t>Deanna Turner deannaturner326@gmail.com</t>
  </si>
  <si>
    <t>SH04420</t>
  </si>
  <si>
    <t>Mo Xiong mxiong200@gmail.com</t>
  </si>
  <si>
    <t>SH04421</t>
  </si>
  <si>
    <t>Dorene Anderson doeanderson1816@gmail.com</t>
  </si>
  <si>
    <t>SH04422</t>
  </si>
  <si>
    <t>SH04423</t>
  </si>
  <si>
    <t>Gary Stamps admin@lakeoswegoflowers.com</t>
  </si>
  <si>
    <t>SH04424</t>
  </si>
  <si>
    <t>Michelle Lopez zepolmickey94@yahoo.com</t>
  </si>
  <si>
    <t>SH04425</t>
  </si>
  <si>
    <t>Mollie Uftring mollieuftring@gmail.com</t>
  </si>
  <si>
    <t>SH04426</t>
  </si>
  <si>
    <t>Kaya Magee kayamagee@me.com</t>
  </si>
  <si>
    <t>SH04427</t>
  </si>
  <si>
    <t>Marie Kitchen mk411@mac.com</t>
  </si>
  <si>
    <t>SH04428</t>
  </si>
  <si>
    <t>Kathleen Scott kathleen@fbcu.church</t>
  </si>
  <si>
    <t>SH04429</t>
  </si>
  <si>
    <t>michael derkits mderkits2@gmail.com</t>
  </si>
  <si>
    <t>SH04430</t>
  </si>
  <si>
    <t>Beth Costello Costello wecostello@gmail.com</t>
  </si>
  <si>
    <t>SH04431</t>
  </si>
  <si>
    <t>Kathleen Furman kkfurman@gmail.com</t>
  </si>
  <si>
    <t>SH04432</t>
  </si>
  <si>
    <t>mimi cummings giggles.wishful7r@icloud.com</t>
  </si>
  <si>
    <t>SH04433</t>
  </si>
  <si>
    <t>Dana Honeycutt lakehamiltonflorist@gmail.com</t>
  </si>
  <si>
    <t>SH04434</t>
  </si>
  <si>
    <t>Bessie Lowe bessie.lowe@yahoo.com</t>
  </si>
  <si>
    <t>SH04435</t>
  </si>
  <si>
    <t>Veronica Sallee bohobloomgirl@gmail.com</t>
  </si>
  <si>
    <t>SH04436</t>
  </si>
  <si>
    <t>Joyce Morris jomorris@nycap.rr.com</t>
  </si>
  <si>
    <t>SH04437</t>
  </si>
  <si>
    <t>Janet Glasner glasner.ra@juno.com</t>
  </si>
  <si>
    <t>SH04438</t>
  </si>
  <si>
    <t>Lynn McClain lynn@mcclainfinancial.net</t>
  </si>
  <si>
    <t>SH04439</t>
  </si>
  <si>
    <t>Paulette Tai Chun cramsay@taiflora.com</t>
  </si>
  <si>
    <t>SH04440</t>
  </si>
  <si>
    <t>Katelynn Ohrt kohrt@kcc.edu</t>
  </si>
  <si>
    <t>SH04441</t>
  </si>
  <si>
    <t>Alexis Campbell campbellcreativefloralco@gmail.com</t>
  </si>
  <si>
    <t>SH04442</t>
  </si>
  <si>
    <t>Tracy Wheeler caddyraddy@yahoo.com</t>
  </si>
  <si>
    <t>SH04443</t>
  </si>
  <si>
    <t>Vince Herbert vinnieherbert1001@hotmail.com</t>
  </si>
  <si>
    <t>SH04444</t>
  </si>
  <si>
    <t>Lara Horgan larahorgan@gmail.com</t>
  </si>
  <si>
    <t>SH04445</t>
  </si>
  <si>
    <t>Susan Toomey sgtoomey@aol.com</t>
  </si>
  <si>
    <t>SH04446</t>
  </si>
  <si>
    <t>Megan Rudroff megan@rudylaneflowerfarm.com</t>
  </si>
  <si>
    <t>SH04447</t>
  </si>
  <si>
    <t>Vanessa Medina theflowerbasketoc@gmail.com</t>
  </si>
  <si>
    <t>SH04448</t>
  </si>
  <si>
    <t>Walfre Martinez walfrejmm@gmail.com</t>
  </si>
  <si>
    <t>SH04449</t>
  </si>
  <si>
    <t>Samantha Lineberger sgs94062@gmail.com</t>
  </si>
  <si>
    <t>SH04450</t>
  </si>
  <si>
    <t>MAry DUffy mygems2009@aol.com</t>
  </si>
  <si>
    <t>SH04451</t>
  </si>
  <si>
    <t>Kristin Wolter kristin@everbloomdesign.com</t>
  </si>
  <si>
    <t>SH04452</t>
  </si>
  <si>
    <t>Amanda Sedlacek asedlacek@yanktonmedicalclinic.com</t>
  </si>
  <si>
    <t>SH04453</t>
  </si>
  <si>
    <t>STEPHANIE LATIMER fluff121075@yahoo.com</t>
  </si>
  <si>
    <t>SH04454</t>
  </si>
  <si>
    <t>Ronald R. Flores rodan2722@sbcglobal.net</t>
  </si>
  <si>
    <t>SH04455</t>
  </si>
  <si>
    <t>Greg Wilt gawcoffee2@aol.com</t>
  </si>
  <si>
    <t>SH04456</t>
  </si>
  <si>
    <t>Gail Connor geescon@aol.com</t>
  </si>
  <si>
    <t>SH04457</t>
  </si>
  <si>
    <t>Trina Beckstrand whatagreatday365@gmail.com</t>
  </si>
  <si>
    <t>SH04458</t>
  </si>
  <si>
    <t>Boulder Blooms lily@boulderblooms.com</t>
  </si>
  <si>
    <t>SH04459</t>
  </si>
  <si>
    <t>Carla Walsh carlakwalsh@gmail.com</t>
  </si>
  <si>
    <t>SH04460</t>
  </si>
  <si>
    <t>Ashley Lewis ashchanell22@gmail.com</t>
  </si>
  <si>
    <t>SH04461</t>
  </si>
  <si>
    <t>Beverly Mueller beverlymueller@gmail.com</t>
  </si>
  <si>
    <t>SH04462</t>
  </si>
  <si>
    <t>Lilia Benavides lily@flowerkingdom.com</t>
  </si>
  <si>
    <t>SH04463</t>
  </si>
  <si>
    <t>Holly Wood hollywoodfloralanddesign@gmail.com</t>
  </si>
  <si>
    <t>SH04464</t>
  </si>
  <si>
    <t>Angie Lehman lehman855@gmail.com</t>
  </si>
  <si>
    <t>SH04465</t>
  </si>
  <si>
    <t>Maria Moore mamamoore@optonline.net</t>
  </si>
  <si>
    <t>SH04466</t>
  </si>
  <si>
    <t>Paddy Fitzpatrick fantasyandfairytalefloral@yahoo.com</t>
  </si>
  <si>
    <t>SH04467</t>
  </si>
  <si>
    <t>Kaylee espinoza espisflowers@outlook.com</t>
  </si>
  <si>
    <t>SH04468</t>
  </si>
  <si>
    <t>Tina Weldon tinaweldon@yahoo.com</t>
  </si>
  <si>
    <t>SH04469</t>
  </si>
  <si>
    <t>Tai Tipton yogamomtai@gmail.com</t>
  </si>
  <si>
    <t>SH04470</t>
  </si>
  <si>
    <t>Lindsay Napiorkowski glowsalon@live.com</t>
  </si>
  <si>
    <t>SH04471</t>
  </si>
  <si>
    <t>Timothy Thrailkill tlthrailkill@gmail.com</t>
  </si>
  <si>
    <t>SH04472</t>
  </si>
  <si>
    <t>Rowena Meyer rmeyer314@gmail.com</t>
  </si>
  <si>
    <t>SH04473</t>
  </si>
  <si>
    <t>Sue Blackall sue.blackall@spartaschools.org</t>
  </si>
  <si>
    <t>SH04474</t>
  </si>
  <si>
    <t>Suzanne Gover events@simplyblessedflowers.com</t>
  </si>
  <si>
    <t>SH04475</t>
  </si>
  <si>
    <t>Konen Casey stigma.and.style.collective@gmail.com</t>
  </si>
  <si>
    <t>SH04476</t>
  </si>
  <si>
    <t>Jennifer Harmon jennifer@jenniferharmonlaw.com</t>
  </si>
  <si>
    <t>SH04477</t>
  </si>
  <si>
    <t>Sasha Konell skonell719@gmail.com</t>
  </si>
  <si>
    <t>SH04478</t>
  </si>
  <si>
    <t>Quenby Jaus info@wentworthgreenhouses.com</t>
  </si>
  <si>
    <t>SH04479</t>
  </si>
  <si>
    <t>Machelle Holt machelle_holt@hotmail.com</t>
  </si>
  <si>
    <t>SH04480</t>
  </si>
  <si>
    <t>Maggie Scogg mscogg@meijergardens.org</t>
  </si>
  <si>
    <t>SH04481</t>
  </si>
  <si>
    <t>Diamond Cutz Customizing diamondcutzgifts@gmail.com</t>
  </si>
  <si>
    <t>SH04482</t>
  </si>
  <si>
    <t>Debbie Samford debbie.samford@comcast.net</t>
  </si>
  <si>
    <t>SH04483</t>
  </si>
  <si>
    <t>Michelle Summers dressme@zobellabride.com</t>
  </si>
  <si>
    <t>SH04484</t>
  </si>
  <si>
    <t>Rosacela Hilario roseh31@gmail.com</t>
  </si>
  <si>
    <t>SH04485</t>
  </si>
  <si>
    <t>Sierra Morton seedandsoulflowers@gmail.com</t>
  </si>
  <si>
    <t>SH04486</t>
  </si>
  <si>
    <t>Elizabeth Barber beth@whitepineandpetals.com</t>
  </si>
  <si>
    <t>SH04487</t>
  </si>
  <si>
    <t>Laney Joos laney@mumsflowers.net</t>
  </si>
  <si>
    <t>SH04488</t>
  </si>
  <si>
    <t>KAREN KING talltreefloraldesigns@gmail.com</t>
  </si>
  <si>
    <t>SH04489</t>
  </si>
  <si>
    <t>LOLA M SIMONTON lsimonton@suddenlink.net</t>
  </si>
  <si>
    <t>SH04490</t>
  </si>
  <si>
    <t>Racheal Burger rachealreneeburger@gmail.com</t>
  </si>
  <si>
    <t>SH04491</t>
  </si>
  <si>
    <t>Kimberly Rappolt rappoltzoo1@yahoo.com</t>
  </si>
  <si>
    <t>SH04492</t>
  </si>
  <si>
    <t>Tracy Wood woodtracy3@gmail.com</t>
  </si>
  <si>
    <t>SH04493</t>
  </si>
  <si>
    <t>Rafael Gomez rafael.gomezdelatorre@tessacorporation.com</t>
  </si>
  <si>
    <t>SH04494</t>
  </si>
  <si>
    <t>Sara Watts saral.sandifer10@gmail.com</t>
  </si>
  <si>
    <t>SH04495</t>
  </si>
  <si>
    <t>David Hernandez davidandbear@icloud.com</t>
  </si>
  <si>
    <t>SH04496</t>
  </si>
  <si>
    <t>Evelyn Sypien eve.sypien@joniandfriends.org</t>
  </si>
  <si>
    <t>SH04497</t>
  </si>
  <si>
    <t>Kelle Williams kellewilliams4485@att.net</t>
  </si>
  <si>
    <t>SH04498</t>
  </si>
  <si>
    <t>Cathy Sweatmon powerman04@windstream.net</t>
  </si>
  <si>
    <t>SH04499</t>
  </si>
  <si>
    <t>Jiyeon Kuk laforetflower@gmail.com</t>
  </si>
  <si>
    <t>SH04500</t>
  </si>
  <si>
    <t>Sandra McCormack 20mccormack15@gmail.com</t>
  </si>
  <si>
    <t>SH04501</t>
  </si>
  <si>
    <t>Minerva de la Arena mdfloralsesigns@gmail.com</t>
  </si>
  <si>
    <t>SH04502</t>
  </si>
  <si>
    <t>Karen Suleski mkjbs26@gmail.com</t>
  </si>
  <si>
    <t>SH04503</t>
  </si>
  <si>
    <t>Tracey Trombley ttrom314@gmail.com</t>
  </si>
  <si>
    <t>SH04504</t>
  </si>
  <si>
    <t>James Romano jromano@infinite-harvest.com</t>
  </si>
  <si>
    <t>SH04505</t>
  </si>
  <si>
    <t>Richard Brancifort houseofflora@sbcglobal.net</t>
  </si>
  <si>
    <t>SH04506</t>
  </si>
  <si>
    <t>Amy Wildman contact@schrammsflowers.com</t>
  </si>
  <si>
    <t>SH04507</t>
  </si>
  <si>
    <t>Antonia cano antoniacano13@yahoo.com</t>
  </si>
  <si>
    <t>SH04508</t>
  </si>
  <si>
    <t>remy brault labellumflowers@gmail.com</t>
  </si>
  <si>
    <t>SH04509</t>
  </si>
  <si>
    <t>Joanna Davis joannarose85@yahoo.com</t>
  </si>
  <si>
    <t>SH04510</t>
  </si>
  <si>
    <t>Pamlea Holley info@designhouseofflowers.com</t>
  </si>
  <si>
    <t>SH04511</t>
  </si>
  <si>
    <t>Kayla Fuller kbsn13@gmail.com</t>
  </si>
  <si>
    <t>SH04512</t>
  </si>
  <si>
    <t>DENISE TIMM denise@bostdorffs.com</t>
  </si>
  <si>
    <t>SH04513</t>
  </si>
  <si>
    <t>Jackie Twitchell petallionfloral@gmail.com</t>
  </si>
  <si>
    <t>SH04514</t>
  </si>
  <si>
    <t>Ella Danenberg edanenberg@hallbergengineering.com</t>
  </si>
  <si>
    <t>SH04515</t>
  </si>
  <si>
    <t>Donna Sievers donna@pineappleplanet.com</t>
  </si>
  <si>
    <t>SH04516</t>
  </si>
  <si>
    <t>Dawn Casale dawncasale35@gmail.com</t>
  </si>
  <si>
    <t>SH04517</t>
  </si>
  <si>
    <t>Marne Mailhot mmailhot83@yahoo.com</t>
  </si>
  <si>
    <t>SH04518</t>
  </si>
  <si>
    <t>Richard Numata marianumata@gmail.com</t>
  </si>
  <si>
    <t>SH04519</t>
  </si>
  <si>
    <t>SH04520</t>
  </si>
  <si>
    <t>Molly McLaughlin mollymclaughlin1414@gmail.com</t>
  </si>
  <si>
    <t>SH04521</t>
  </si>
  <si>
    <t>Jennifer Shea rjshea08@gmail.com</t>
  </si>
  <si>
    <t>SH04522</t>
  </si>
  <si>
    <t>robert zavodny lilacgardenskent@gmail.com</t>
  </si>
  <si>
    <t>SH04523</t>
  </si>
  <si>
    <t>Tracy Britton tracytbritton@gmail.com</t>
  </si>
  <si>
    <t>SH04524</t>
  </si>
  <si>
    <t>Bao Lee leeba012@gmail.com</t>
  </si>
  <si>
    <t>SH04525</t>
  </si>
  <si>
    <t>Karen Baranski stevekaren87@aol.com</t>
  </si>
  <si>
    <t>SH04526</t>
  </si>
  <si>
    <t>Melissa Durham mebe_sc@yahoo.com</t>
  </si>
  <si>
    <t>SH04527</t>
  </si>
  <si>
    <t>Sarah Nelson sarahlnelson86@gmail.com</t>
  </si>
  <si>
    <t>SH04528</t>
  </si>
  <si>
    <t>Laura Pascarella designs@laurasflowerboutique.com</t>
  </si>
  <si>
    <t>SH04529</t>
  </si>
  <si>
    <t>Gemma Lewis contact@flowersonbaystreet.com</t>
  </si>
  <si>
    <t>SH04530</t>
  </si>
  <si>
    <t>Michelle Machado beckman.machado@gmail.com</t>
  </si>
  <si>
    <t>SH04531</t>
  </si>
  <si>
    <t>Rachel Henderson rachel_l_henderson@hotmail.com</t>
  </si>
  <si>
    <t>SH04532</t>
  </si>
  <si>
    <t>Angelina Perry angelina@perrysflorist.com</t>
  </si>
  <si>
    <t>SH04533</t>
  </si>
  <si>
    <t>Candida Berger magueeflowershop@gmail.com</t>
  </si>
  <si>
    <t>SH04534</t>
  </si>
  <si>
    <t>Kathryn Bradley thevioletroseok@gmail.com</t>
  </si>
  <si>
    <t>SH04535</t>
  </si>
  <si>
    <t>Amanda Griffith afisch78@hotmail.com</t>
  </si>
  <si>
    <t>SH04536</t>
  </si>
  <si>
    <t>Yana Portnova info@flowerandflourstudio.com</t>
  </si>
  <si>
    <t>SH04537</t>
  </si>
  <si>
    <t>Lonnie Svedin lonnie.svedin@gmail.com</t>
  </si>
  <si>
    <t>SH04538</t>
  </si>
  <si>
    <t>Jordan Howell jordan@hillsdalebuds.com</t>
  </si>
  <si>
    <t>SH04539</t>
  </si>
  <si>
    <t>Leah Filomena info@bubblesandbloomsnc.com</t>
  </si>
  <si>
    <t>SH04540</t>
  </si>
  <si>
    <t>Norma Gaspar jasminesflowersandgifts@outlook.com</t>
  </si>
  <si>
    <t>SH04541</t>
  </si>
  <si>
    <t>Kelleigh Sontag gardencityfloralandgifts@gmail.com</t>
  </si>
  <si>
    <t>SH04542</t>
  </si>
  <si>
    <t>Brianna Wise briannawise2@gmail.com</t>
  </si>
  <si>
    <t>SH04543</t>
  </si>
  <si>
    <t>Tracy Sell tsell@stmteachers.org</t>
  </si>
  <si>
    <t>SH04544</t>
  </si>
  <si>
    <t>Nancy Lewis n.lewis10@atlanticbb.net</t>
  </si>
  <si>
    <t>SH04545</t>
  </si>
  <si>
    <t>Elaine M Pontone epontone@optonline.net</t>
  </si>
  <si>
    <t>SH04546</t>
  </si>
  <si>
    <t>Hilary Collingwood hilarycollingwood228@gmail.com</t>
  </si>
  <si>
    <t>SH04547</t>
  </si>
  <si>
    <t>Tera Staten staten.tera@gmail.com</t>
  </si>
  <si>
    <t>SH04548</t>
  </si>
  <si>
    <t>Elizabeth Sessions easessions@gmail.com</t>
  </si>
  <si>
    <t>SH04549</t>
  </si>
  <si>
    <t>Lucy Kempton lkempton2020@gmail.com</t>
  </si>
  <si>
    <t>SH04550</t>
  </si>
  <si>
    <t>Lisa Powell lisapowell0812@gmail.com</t>
  </si>
  <si>
    <t>SH04551</t>
  </si>
  <si>
    <t>Luminita Vollmer luminita.vollmer@gmail.com</t>
  </si>
  <si>
    <t>SH04552</t>
  </si>
  <si>
    <t>Casey Rowe kcflower3@gmail.com</t>
  </si>
  <si>
    <t>SH04553</t>
  </si>
  <si>
    <t>Alfred Arroyo Ochoa specialtouchflowers1@gmail.com</t>
  </si>
  <si>
    <t>SH04554</t>
  </si>
  <si>
    <t>Carole Murray carolemurray37@gmail.com</t>
  </si>
  <si>
    <t>SH04555</t>
  </si>
  <si>
    <t>BOB MORROW bandtflorist@brtc.net</t>
  </si>
  <si>
    <t>SH04556</t>
  </si>
  <si>
    <t>Brenda Yager atheron43@hotmail.com</t>
  </si>
  <si>
    <t>SH04557</t>
  </si>
  <si>
    <t>lindsay White lindsay.devoerealty@gmail.com</t>
  </si>
  <si>
    <t>SH04558</t>
  </si>
  <si>
    <t>Lorene Lanza aroyalbloom@yahoo.com</t>
  </si>
  <si>
    <t>SH04559</t>
  </si>
  <si>
    <t>Ana Allen tallen1@elp.rr.com</t>
  </si>
  <si>
    <t>SH04560</t>
  </si>
  <si>
    <t>Krishna Brown happyfatskinnygirl@gmail.com</t>
  </si>
  <si>
    <t>SH04561</t>
  </si>
  <si>
    <t>Kim Jemison kimesflowers@gmail.com</t>
  </si>
  <si>
    <t>SH04562</t>
  </si>
  <si>
    <t>Linda Davis keylock@windstream.net</t>
  </si>
  <si>
    <t>SH04563</t>
  </si>
  <si>
    <t>BONNIE CARLSON bkc320@gmail.com</t>
  </si>
  <si>
    <t>SH04564</t>
  </si>
  <si>
    <t>Holly Black holly.black1011@gmail.com</t>
  </si>
  <si>
    <t>SH04565</t>
  </si>
  <si>
    <t>Elizabeth Markle emmarkle@hotmail.com</t>
  </si>
  <si>
    <t>SH04566</t>
  </si>
  <si>
    <t>Mireida Martinez mireidamartinez@yahoo.com</t>
  </si>
  <si>
    <t>SH04567</t>
  </si>
  <si>
    <t>Wendy Cartony wendycartony@gmail.com</t>
  </si>
  <si>
    <t>SH04568</t>
  </si>
  <si>
    <t>Linda Namba lsnamba1@gmail.com</t>
  </si>
  <si>
    <t>SH04569</t>
  </si>
  <si>
    <t>Stefhany Christensen stefhanyguadarrama@yahoo.com</t>
  </si>
  <si>
    <t>SH04570</t>
  </si>
  <si>
    <t>Cesar Ortega authentic_jr@icloud.com</t>
  </si>
  <si>
    <t>SH04571</t>
  </si>
  <si>
    <t>Pam Cartwright pamcartwright113@gmail.com</t>
  </si>
  <si>
    <t>SH04572</t>
  </si>
  <si>
    <t>Sāj Floral and Home shannon@sajfloraldesignco.com</t>
  </si>
  <si>
    <t>SH04573</t>
  </si>
  <si>
    <t>Corina Mendoza mizz.corina2011@gmail.com</t>
  </si>
  <si>
    <t>SH04574</t>
  </si>
  <si>
    <t>bruce walentowski flowersfromtheheartcrandon@gmail.com</t>
  </si>
  <si>
    <t>SH04575</t>
  </si>
  <si>
    <t>Cullen Handfelt cullen@pineyrose.com</t>
  </si>
  <si>
    <t>SH04576</t>
  </si>
  <si>
    <t>Karla Eifler karlaeifler@gmail.com</t>
  </si>
  <si>
    <t>SH04577</t>
  </si>
  <si>
    <t>Sian Lott sianlott@gmail.com</t>
  </si>
  <si>
    <t>SH04578</t>
  </si>
  <si>
    <t>Lindsey White lgwhite2009@yahoo.com</t>
  </si>
  <si>
    <t>SH04579</t>
  </si>
  <si>
    <t>Lea Ruiz-Ramonn fleursdelea@gmail.com</t>
  </si>
  <si>
    <t>SH04580</t>
  </si>
  <si>
    <t>Blanca joya drajoya1@gmail.com</t>
  </si>
  <si>
    <t>SH04581</t>
  </si>
  <si>
    <t>REBECCA MCGHEE lilyofthevalley82@yahoo.com</t>
  </si>
  <si>
    <t>SH04582</t>
  </si>
  <si>
    <t>Cheryl Kopyt thekopyts25@gmail.com</t>
  </si>
  <si>
    <t>SH04583</t>
  </si>
  <si>
    <t>Shelby Horton shelbyahorton@gmail.com</t>
  </si>
  <si>
    <t>SH04584</t>
  </si>
  <si>
    <t>Linda Schoeniger rlrlranch1314@yahoo.com</t>
  </si>
  <si>
    <t>SH04585</t>
  </si>
  <si>
    <t>Ronee Kruger roneek@ymail.com</t>
  </si>
  <si>
    <t>SH04586</t>
  </si>
  <si>
    <t>Kim Jacobi jacobi7@cox.net</t>
  </si>
  <si>
    <t>SH04587</t>
  </si>
  <si>
    <t>William Minard wminard@scarsdalegolfclub.org</t>
  </si>
  <si>
    <t>SH04588</t>
  </si>
  <si>
    <t>Bianca Norville hello@sistersinbloomqc.com</t>
  </si>
  <si>
    <t>SH04589</t>
  </si>
  <si>
    <t>Holli Hambright bellesoulflorals@gmail.com</t>
  </si>
  <si>
    <t>SH04590</t>
  </si>
  <si>
    <t>Sheila Scott scottsaw22@gmail.com</t>
  </si>
  <si>
    <t>SH04591</t>
  </si>
  <si>
    <t>vicky rotunno vickyr@alsflorist.com</t>
  </si>
  <si>
    <t>SH04592</t>
  </si>
  <si>
    <t>Donna Genua dgb1129@gmail.com</t>
  </si>
  <si>
    <t>SH04593</t>
  </si>
  <si>
    <t>Kristen Bullard fullbloomtx@gmail.com</t>
  </si>
  <si>
    <t>SH04594</t>
  </si>
  <si>
    <t>Susan Lundy lundsu3011@gmail.com</t>
  </si>
  <si>
    <t>SH04595</t>
  </si>
  <si>
    <t>Barbara Hunter bhbarbhunter@gmail.com</t>
  </si>
  <si>
    <t>SH04596</t>
  </si>
  <si>
    <t>Laura Aukerman paigesfloral@gmail.com</t>
  </si>
  <si>
    <t>SH04597</t>
  </si>
  <si>
    <t>Tamira Blair blairhillnursery@gmail.com</t>
  </si>
  <si>
    <t>SH04598</t>
  </si>
  <si>
    <t>Alissa Futhey info@chartreusefloral.com</t>
  </si>
  <si>
    <t>SH04599</t>
  </si>
  <si>
    <t>Donna Marshall donnamarshall629@gmail.com</t>
  </si>
  <si>
    <t>SH04600</t>
  </si>
  <si>
    <t>Kortney Johnson kojohnson1224@gmail.com</t>
  </si>
  <si>
    <t>SH04601</t>
  </si>
  <si>
    <t>Sherri Bittner bittner.sherri@yahoo.com</t>
  </si>
  <si>
    <t>SH04602</t>
  </si>
  <si>
    <t>Christian Mays christiandaniele85@gmail.com</t>
  </si>
  <si>
    <t>SH04603</t>
  </si>
  <si>
    <t>Leah R Brownlee lduvall96@yahoo.com</t>
  </si>
  <si>
    <t>SH04604</t>
  </si>
  <si>
    <t>Patricia Eason patriciaeason@tampabay.rr.com</t>
  </si>
  <si>
    <t>SH04605</t>
  </si>
  <si>
    <t>Karen Wenig wenig6560@gmail.com</t>
  </si>
  <si>
    <t>SH04606</t>
  </si>
  <si>
    <t>Ken Yasuhara minka87@gmail.com</t>
  </si>
  <si>
    <t>SH04607</t>
  </si>
  <si>
    <t>Kendall Ross krstraessle@gmail.com</t>
  </si>
  <si>
    <t>SH04608</t>
  </si>
  <si>
    <t>Melanie Gazzolo melanie@neptunefestival.com</t>
  </si>
  <si>
    <t>SH04609</t>
  </si>
  <si>
    <t>Betty Frierson floristbettyshop@gmail.com</t>
  </si>
  <si>
    <t>SH04610</t>
  </si>
  <si>
    <t>Alba Fuentes fuentes.alba01@gmail.com</t>
  </si>
  <si>
    <t>SH04611</t>
  </si>
  <si>
    <t>Terrie Westman terrie.westman@gmail.com</t>
  </si>
  <si>
    <t>SH04612</t>
  </si>
  <si>
    <t>Ivy Spraker ivy_spraker@hotmail.com</t>
  </si>
  <si>
    <t>SH04613</t>
  </si>
  <si>
    <t>Sintia Gomar flowersbycynthia2024@gmail.com</t>
  </si>
  <si>
    <t>SH04614</t>
  </si>
  <si>
    <t>Jennifer Jones encoreflowerswaverly@gmail.com</t>
  </si>
  <si>
    <t>SH04615</t>
  </si>
  <si>
    <t>Annie Barry westtownflowergirl@gmail.com</t>
  </si>
  <si>
    <t>SH04616</t>
  </si>
  <si>
    <t>Julian Saavedra artandgardencorp@gmail.com</t>
  </si>
  <si>
    <t>SH04617</t>
  </si>
  <si>
    <t>Jennifer McCann peeblesflowershop@gmail.com</t>
  </si>
  <si>
    <t>SH04618</t>
  </si>
  <si>
    <t>Chelsea Wrobel chelseawrobel@gmail.com</t>
  </si>
  <si>
    <t>SH04619</t>
  </si>
  <si>
    <t>Zoe Tomar info@boulderblooms.com</t>
  </si>
  <si>
    <t>SH04620</t>
  </si>
  <si>
    <t>Lori Brock lorimbrock@gmail.com</t>
  </si>
  <si>
    <t>SH04621</t>
  </si>
  <si>
    <t>ADELE NEWTON adelenewton@msn.com</t>
  </si>
  <si>
    <t>SH04622</t>
  </si>
  <si>
    <t>Heather McBride hmcbride5@sbcglobal.net</t>
  </si>
  <si>
    <t>SH04623</t>
  </si>
  <si>
    <t>Mariia Kostiuk marykkozmyn@gmail.com</t>
  </si>
  <si>
    <t>SH04624</t>
  </si>
  <si>
    <t>Liana Correa (liana.correa2020@gmail.com)</t>
  </si>
  <si>
    <t>SH04625</t>
  </si>
  <si>
    <t>jessica chittenden hello@kaleidoscopefloral.com</t>
  </si>
  <si>
    <t>SH04626</t>
  </si>
  <si>
    <t>Jill Lamkin jill@downtownmanhattanbeach.com</t>
  </si>
  <si>
    <t>SH04627</t>
  </si>
  <si>
    <t>Jimmy Burrage jimmy@marvelsflowers.com</t>
  </si>
  <si>
    <t>SH04628</t>
  </si>
  <si>
    <t>Melody Homan melodiapons@gmail.com</t>
  </si>
  <si>
    <t>SH04629</t>
  </si>
  <si>
    <t>SH04630</t>
  </si>
  <si>
    <t>Erin Porter Malinowski erinkelly1683@gmail.com</t>
  </si>
  <si>
    <t>SH04631</t>
  </si>
  <si>
    <t>Brenda Dolhanczyk imagineflorida@gmail.com</t>
  </si>
  <si>
    <t>SH04632</t>
  </si>
  <si>
    <t>Ms Luscious lushcreateri@gmail.com</t>
  </si>
  <si>
    <t>SH04633</t>
  </si>
  <si>
    <t>Stephanie Scott Scott sscott.kco@gmail.com</t>
  </si>
  <si>
    <t>SH04634</t>
  </si>
  <si>
    <t>Danielle Thomas danielleng2023@gmail.com</t>
  </si>
  <si>
    <t>SH04635</t>
  </si>
  <si>
    <t>JENNY GREENUP info@greenupflowerfarm.com</t>
  </si>
  <si>
    <t>SH04636</t>
  </si>
  <si>
    <t>Allie Travis allietravis@ifcgllc.com</t>
  </si>
  <si>
    <t>SH04637</t>
  </si>
  <si>
    <t>Louie Gaspar swanseanursery@gmail.com</t>
  </si>
  <si>
    <t>SH04638</t>
  </si>
  <si>
    <t>Wendy Bass auboymom@gmail.com</t>
  </si>
  <si>
    <t>SH04639</t>
  </si>
  <si>
    <t>Nancie Corbett cosmosdale@hotmail.com</t>
  </si>
  <si>
    <t>SH04640</t>
  </si>
  <si>
    <t>Erica Crawford epsilonfloral@gmail.com</t>
  </si>
  <si>
    <t>SH04641</t>
  </si>
  <si>
    <t>Brooke Sofield brookelavair@yahoo.com</t>
  </si>
  <si>
    <t>SH04642</t>
  </si>
  <si>
    <t>Dehn's Flowers Inc Mishoe dehns@aol.com</t>
  </si>
  <si>
    <t>SH04643</t>
  </si>
  <si>
    <t>tiffany Martin info@bloomingbellesflowers.com</t>
  </si>
  <si>
    <t>SH04644</t>
  </si>
  <si>
    <t>val jacks saintalbansflorist@gmail.com</t>
  </si>
  <si>
    <t>SH04645</t>
  </si>
  <si>
    <t>Jennifer Marie Chastain bellajenniferbtw@gmail.com</t>
  </si>
  <si>
    <t>SH04646</t>
  </si>
  <si>
    <t>Lauren Lea Manhein laurenlea@llfloral.com</t>
  </si>
  <si>
    <t>SH04647</t>
  </si>
  <si>
    <t>Kristina Godio honeylushblooms@gmail.com</t>
  </si>
  <si>
    <t>SH04648</t>
  </si>
  <si>
    <t>Shauna Remily shaunaremily@outlook.com</t>
  </si>
  <si>
    <t>SH04649</t>
  </si>
  <si>
    <t>Brenda Liberti bleigh30@aol.com</t>
  </si>
  <si>
    <t>SH04650</t>
  </si>
  <si>
    <t>Anita Daniels rpfmasd@aol.com</t>
  </si>
  <si>
    <t>SH04651</t>
  </si>
  <si>
    <t>rey Rodriguez elreydeflores@gmail.com</t>
  </si>
  <si>
    <t>SH04652</t>
  </si>
  <si>
    <t>Christine Roloff christinenelsen78@gmail.com</t>
  </si>
  <si>
    <t>SH04653</t>
  </si>
  <si>
    <t>Edwin Colon edwin12colon@gmail.com</t>
  </si>
  <si>
    <t>SH04654</t>
  </si>
  <si>
    <t>Vanessa Velazquez veromar2003@gmail.com</t>
  </si>
  <si>
    <t>SH04655</t>
  </si>
  <si>
    <t>Chris Armstrong chrisdarmstrong77@gmail.com</t>
  </si>
  <si>
    <t>SH04656</t>
  </si>
  <si>
    <t>Jinling Quan floralgom@gmail.com</t>
  </si>
  <si>
    <t>SH04657</t>
  </si>
  <si>
    <t>Jamie Kind jamie@orchardnursery.com</t>
  </si>
  <si>
    <t>SH04658</t>
  </si>
  <si>
    <t>Dorthy Okpebholo colorpopballoonshop@gmail.com</t>
  </si>
  <si>
    <t>SH04659</t>
  </si>
  <si>
    <t>Jill Atkinson jsatkinson1@gmail.com</t>
  </si>
  <si>
    <t>SH04660</t>
  </si>
  <si>
    <t>Kaylee Walter kayleew@mymncu.org</t>
  </si>
  <si>
    <t>SH04661</t>
  </si>
  <si>
    <t>Darla Denton devindesigns@verizon.net</t>
  </si>
  <si>
    <t>SH04662</t>
  </si>
  <si>
    <t>Chris Jones jonesgreenhouses@gmail.com</t>
  </si>
  <si>
    <t>SH04663</t>
  </si>
  <si>
    <t>Kris Smith info@jonkersgarden.com</t>
  </si>
  <si>
    <t>SH04664</t>
  </si>
  <si>
    <t>Gina Hodges office@jesupcog.com</t>
  </si>
  <si>
    <t>SH04665</t>
  </si>
  <si>
    <t>Bridgit Westbrook bridgit.westbrook@gmail.com</t>
  </si>
  <si>
    <t>SH04666</t>
  </si>
  <si>
    <t>STEPHANIE JONES stephanie@robertanthonyflorist.com</t>
  </si>
  <si>
    <t>SH04667</t>
  </si>
  <si>
    <t>Laura Gillespie circusseed@gmail.com</t>
  </si>
  <si>
    <t>SH04668</t>
  </si>
  <si>
    <t>Jennifer Gruszka jennifer.gruszka@gmail.com</t>
  </si>
  <si>
    <t>SH04669</t>
  </si>
  <si>
    <t>Joann Moore jomoore39@gmail.com</t>
  </si>
  <si>
    <t>SH04670</t>
  </si>
  <si>
    <t>Kim Rolle rollewithme2@gmail.com</t>
  </si>
  <si>
    <t>SH04671</t>
  </si>
  <si>
    <t>Avery Sanderson sanderav14@gmail.com</t>
  </si>
  <si>
    <t>SH04672</t>
  </si>
  <si>
    <t>Gary Shaw shawgary674@gmail.com</t>
  </si>
  <si>
    <t>SH04673</t>
  </si>
  <si>
    <t>Brittany Weil brittanymweil@gmail.com</t>
  </si>
  <si>
    <t>SH04674</t>
  </si>
  <si>
    <t>Bryony Mattes-Harris bryonymh@gmail.com</t>
  </si>
  <si>
    <t>SH04675</t>
  </si>
  <si>
    <t>Elisama Nuncio elisamanuncio@gmail.com</t>
  </si>
  <si>
    <t>SH04676</t>
  </si>
  <si>
    <t>Hannah Flight hannahflight2@gmail.com</t>
  </si>
  <si>
    <t>SH04677</t>
  </si>
  <si>
    <t>Jolee Dennae dennaejolee@gmail.com</t>
  </si>
  <si>
    <t>SH04678</t>
  </si>
  <si>
    <t>Juhi Duggirala j.duggira@gmail.com</t>
  </si>
  <si>
    <t>SH04679</t>
  </si>
  <si>
    <t>Stefano Pipia facilities@hov.org</t>
  </si>
  <si>
    <t>SH04680</t>
  </si>
  <si>
    <t>SH04681</t>
  </si>
  <si>
    <t>Emily Schaefer emcschaefer@gmail.com</t>
  </si>
  <si>
    <t>SH04682</t>
  </si>
  <si>
    <t>Bryan Walkley Walkleylawok@outlook.com</t>
  </si>
  <si>
    <t>SH04683</t>
  </si>
  <si>
    <t>Serenity Floral serenityfloral111@gmail.com</t>
  </si>
  <si>
    <t>SH04684</t>
  </si>
  <si>
    <t>Deanna Garwol deanna@providencefarmcollective.org</t>
  </si>
  <si>
    <t>SH04685</t>
  </si>
  <si>
    <t>Tyler Robb pearlandtin@gmail.com</t>
  </si>
  <si>
    <t>SH04686</t>
  </si>
  <si>
    <t>Elizabeth Johnson ejohnson@wesleyanschool.org</t>
  </si>
  <si>
    <t>SH04687</t>
  </si>
  <si>
    <t>Casa Dodd tea4two66@gmail.com</t>
  </si>
  <si>
    <t>SH04688</t>
  </si>
  <si>
    <t>jamie rehm budfloralandhome@gmail.com</t>
  </si>
  <si>
    <t>SH04689</t>
  </si>
  <si>
    <t>Sutton Turner suttonturner@mac.com</t>
  </si>
  <si>
    <t>SH04690</t>
  </si>
  <si>
    <t>Rachel Fulton wrachels.wreaths@gmail.com</t>
  </si>
  <si>
    <t>SH04691</t>
  </si>
  <si>
    <t>Akiko Senda hannah@bloommaven.com</t>
  </si>
  <si>
    <t>SH04692</t>
  </si>
  <si>
    <t>Michael smith mikesmith8571@gmail.com</t>
  </si>
  <si>
    <t>SH04693</t>
  </si>
  <si>
    <t>Emily Davis emilyadavis.me@gmail.com</t>
  </si>
  <si>
    <t>SH04694</t>
  </si>
  <si>
    <t>Sydnee Lynde sydnee@onceuponadoodle.com</t>
  </si>
  <si>
    <t>SH04695</t>
  </si>
  <si>
    <t>Holly Beaumier growinghobby@gmail.com</t>
  </si>
  <si>
    <t>SH04696</t>
  </si>
  <si>
    <t>Tina Neely Brown neely@charter.net</t>
  </si>
  <si>
    <t>SH04697</t>
  </si>
  <si>
    <t>Carlie Kane thepetalpostfl@gmail.com</t>
  </si>
  <si>
    <t>SH04698</t>
  </si>
  <si>
    <t>Arielle Haim theflowershackorlando@gmail.com</t>
  </si>
  <si>
    <t>SH04699</t>
  </si>
  <si>
    <t>Paige Colston paige.colston2468@gmail.com</t>
  </si>
  <si>
    <t>SH04700</t>
  </si>
  <si>
    <t>Joshua Wataru fannys_flowers@yahoo.com</t>
  </si>
  <si>
    <t>SH04701</t>
  </si>
  <si>
    <t>Steven Gaines fullwood44@gmail.com</t>
  </si>
  <si>
    <t>SH04702</t>
  </si>
  <si>
    <t>Lisa Gillies lisaraegillies@gmail.com</t>
  </si>
  <si>
    <t>SH04703</t>
  </si>
  <si>
    <t>Jillian Barraclough jillleemdc@gmail.com</t>
  </si>
  <si>
    <t>SH04704</t>
  </si>
  <si>
    <t>Katie Aurand keshank@hotmail.com</t>
  </si>
  <si>
    <t>SH04705</t>
  </si>
  <si>
    <t>Rachel Martin rachel@ballardblossom.com</t>
  </si>
  <si>
    <t>SH04706</t>
  </si>
  <si>
    <t>SH04707</t>
  </si>
  <si>
    <t>Marisa Guerrero debbies_bloomers@msn.com</t>
  </si>
  <si>
    <t>SH04708</t>
  </si>
  <si>
    <t>Barbbi Demara demarab@okaloosaschools.com</t>
  </si>
  <si>
    <t>SH04709</t>
  </si>
  <si>
    <t>Destiny Trumble mamameflowershack@gmail.com</t>
  </si>
  <si>
    <t>SH04710</t>
  </si>
  <si>
    <t>Dorothy Kiely dorothyekiely@gmail.com</t>
  </si>
  <si>
    <t>SH04711</t>
  </si>
  <si>
    <t>Jayden Galindo jtgalindo03@gmail.com</t>
  </si>
  <si>
    <t>SH04712</t>
  </si>
  <si>
    <t>Amy Dickerson amy@ccmiddlesex.com</t>
  </si>
  <si>
    <t>SH04713</t>
  </si>
  <si>
    <t>Jennifer Wing jennifer.wing@sbcglobal.net</t>
  </si>
  <si>
    <t>SH04714</t>
  </si>
  <si>
    <t>Rebecca Pisarcik rpisarcik10@gmail.com</t>
  </si>
  <si>
    <t>SH04715</t>
  </si>
  <si>
    <t>James Pearson jameafpearson@gmail.com</t>
  </si>
  <si>
    <t>SH04716</t>
  </si>
  <si>
    <t>James Adgate jimscape@aol.com</t>
  </si>
  <si>
    <t>SH04717</t>
  </si>
  <si>
    <t>Christen Montoya christen_s_montoya@nnmc.edu</t>
  </si>
  <si>
    <t>SH04718</t>
  </si>
  <si>
    <t>KATE WOODWARD kkatewoodward@gmail.com</t>
  </si>
  <si>
    <t>SH04719</t>
  </si>
  <si>
    <t>Hailey French pachamamafloraldesign@gmail.com</t>
  </si>
  <si>
    <t>SH04720</t>
  </si>
  <si>
    <t>Chelsea Wrobel chelsea@freedomfloral.com</t>
  </si>
  <si>
    <t>SH04721</t>
  </si>
  <si>
    <t>Karen Jooste kjooste@gmail.com</t>
  </si>
  <si>
    <t>SH04722</t>
  </si>
  <si>
    <t>Kailee Peterson kailee@nannygoatsandblooms.com</t>
  </si>
  <si>
    <t>SH04723</t>
  </si>
  <si>
    <t>Kimberly Goldstone kim@kentuckyblooms.com</t>
  </si>
  <si>
    <t>SH04724</t>
  </si>
  <si>
    <t>Cara Marshall cararamsey@hotmail.com</t>
  </si>
  <si>
    <t>SH04725</t>
  </si>
  <si>
    <t>Aida Saleh aidasal@hotmail.com</t>
  </si>
  <si>
    <t>SH04726</t>
  </si>
  <si>
    <t>Mai Xiong Thao maixiongthao6789@gmail.com</t>
  </si>
  <si>
    <t>SH04727</t>
  </si>
  <si>
    <t>Orlin Anderson III orand111@icloud.com</t>
  </si>
  <si>
    <t>SH04728</t>
  </si>
  <si>
    <t>Kimberly Johnson johnson.a.kimberly@gmail.com</t>
  </si>
  <si>
    <t>SH04729</t>
  </si>
  <si>
    <t>Sasha Kanno sasha@farmlot59.org</t>
  </si>
  <si>
    <t>SH04730</t>
  </si>
  <si>
    <t>Peyton Wells peytonwells@gmail.com</t>
  </si>
  <si>
    <t>SH04731</t>
  </si>
  <si>
    <t>Chelsey Sanders chelseyrae2006@hotmail.com</t>
  </si>
  <si>
    <t>SH04732</t>
  </si>
  <si>
    <t>Denise Davis mercyme78@yahoo.com</t>
  </si>
  <si>
    <t>SH04733</t>
  </si>
  <si>
    <t>Renee Williams reneemikewilliams@gmail.com</t>
  </si>
  <si>
    <t>SH04734</t>
  </si>
  <si>
    <t>Audrey Butler thegreenhouseoakharbor@live.com</t>
  </si>
  <si>
    <t>SH04735</t>
  </si>
  <si>
    <t>Allison Simmers simmersallison@gmail.com</t>
  </si>
  <si>
    <t>SH04736</t>
  </si>
  <si>
    <t>Ben McConnell ben@bouldinfoodforest.com</t>
  </si>
  <si>
    <t>SH04737</t>
  </si>
  <si>
    <t>Madele Miller madelem@gmail.com</t>
  </si>
  <si>
    <t>SH04738</t>
  </si>
  <si>
    <t>Thomas Lapham deweytom1@gmail.com</t>
  </si>
  <si>
    <t>SH04739</t>
  </si>
  <si>
    <t>Anita Stix anitastix@gmail.com</t>
  </si>
  <si>
    <t>SH04740</t>
  </si>
  <si>
    <t>Valerie Portillo vmaportillo@yahoo.com</t>
  </si>
  <si>
    <t>SH04741</t>
  </si>
  <si>
    <t>veronica chambers efam@clarawhitemission.org</t>
  </si>
  <si>
    <t>SH04742</t>
  </si>
  <si>
    <t>Sami Schmidt mobileminisllc@gmail.com</t>
  </si>
  <si>
    <t>SH04743</t>
  </si>
  <si>
    <t>Natalie Stendardo racefam2012@gmail.com</t>
  </si>
  <si>
    <t>SH04744</t>
  </si>
  <si>
    <t>Kris Calvert kris.wfs@yahoo.com</t>
  </si>
  <si>
    <t>SH04745</t>
  </si>
  <si>
    <t>Ruti Horn rutihorn@gmail.com</t>
  </si>
  <si>
    <t>SH04746</t>
  </si>
  <si>
    <t>Page McGavisk pmcgavisk@gmail.com</t>
  </si>
  <si>
    <t>SH04747</t>
  </si>
  <si>
    <t>Katie Jackson kjack91@hotmail.com</t>
  </si>
  <si>
    <t>SH04748</t>
  </si>
  <si>
    <t>Patricia Leaverton ksajjad@cbmove.com</t>
  </si>
  <si>
    <t>SH04749</t>
  </si>
  <si>
    <t>lisa jaroch coldframefarm@gmail.com</t>
  </si>
  <si>
    <t>SH04750</t>
  </si>
  <si>
    <t>Candice Anderson letsparty@pollenandpastry.com</t>
  </si>
  <si>
    <t>SH04751</t>
  </si>
  <si>
    <t>Tammy Espinosa mstopchow@gmail.com</t>
  </si>
  <si>
    <t>SH04752</t>
  </si>
  <si>
    <t>Marie Compare mtc6273@yahoo.com</t>
  </si>
  <si>
    <t>SH04753</t>
  </si>
  <si>
    <t>Cindy Henderson cindyhenderson4453@gmail.com</t>
  </si>
  <si>
    <t>SH04754</t>
  </si>
  <si>
    <t>Linda TURNER etzwife@hotmail.com</t>
  </si>
  <si>
    <t>SH04755</t>
  </si>
  <si>
    <t>sally montrey sallymontrey@aol.com</t>
  </si>
  <si>
    <t>SH04756</t>
  </si>
  <si>
    <t>Melani Trujillo mjbluebird15@gmail.com</t>
  </si>
  <si>
    <t>SH04757</t>
  </si>
  <si>
    <t>Yolanda Paredes totalfreedom.totalaccess@gmail.com</t>
  </si>
  <si>
    <t>SH04758</t>
  </si>
  <si>
    <t>Eva Marie Friedman eva.friedman@charter.net</t>
  </si>
  <si>
    <t>SH04759</t>
  </si>
  <si>
    <t>Izabela Kohoutek izakohoutek@gmail.com</t>
  </si>
  <si>
    <t>SH04760</t>
  </si>
  <si>
    <t>Khalilah Denney kdenney@denneysconsulting.com</t>
  </si>
  <si>
    <t>SH04761</t>
  </si>
  <si>
    <t>Cathy Rowden cmrowden17@gmail.com</t>
  </si>
  <si>
    <t>SH04762</t>
  </si>
  <si>
    <t>Valentina Stelya stelyaval@yahoo.com</t>
  </si>
  <si>
    <t>SH04763</t>
  </si>
  <si>
    <t>Jennings Brody info@parkerandotis.com</t>
  </si>
  <si>
    <t>SH04764</t>
  </si>
  <si>
    <t>mark daniels daniels_mark@yahoo.com</t>
  </si>
  <si>
    <t>SH04765</t>
  </si>
  <si>
    <t>SH04766</t>
  </si>
  <si>
    <t>raquel Corvino raquel@raquelcorvino.com</t>
  </si>
  <si>
    <t>SH04767</t>
  </si>
  <si>
    <t>LeAnne Esperas lkesperas@yahoo.com</t>
  </si>
  <si>
    <t>SH04768</t>
  </si>
  <si>
    <t>Marian Kellner marianfkellner@gmail.com</t>
  </si>
  <si>
    <t>SH04769</t>
  </si>
  <si>
    <t>Oscar Wong oscarwair@gmail.com</t>
  </si>
  <si>
    <t>SH04770</t>
  </si>
  <si>
    <t>Kristi Donnellon kdonnellon604@gmail.com</t>
  </si>
  <si>
    <t>SH04771</t>
  </si>
  <si>
    <t>Hanna Sjoberg hanna.sjoberg2@gmail.com</t>
  </si>
  <si>
    <t>SH04772</t>
  </si>
  <si>
    <t>Ruth Lightbourn ruthlightbourn@att.net</t>
  </si>
  <si>
    <t>SH04773</t>
  </si>
  <si>
    <t>Alina Crijanovschi malinacr04@gmail.com</t>
  </si>
  <si>
    <t>SH04774</t>
  </si>
  <si>
    <t>Dorit Tamir dorittamir60@gmail.com</t>
  </si>
  <si>
    <t>SH04775</t>
  </si>
  <si>
    <t>Dana Campbell 4nelsoncampbells@gmail.com</t>
  </si>
  <si>
    <t>SH04776</t>
  </si>
  <si>
    <t>Jeff Biggs jeffrey.biggs@ecolab.com</t>
  </si>
  <si>
    <t>SH04777</t>
  </si>
  <si>
    <t>Danielle Kuhns flowers@paradiseflowersmt.com</t>
  </si>
  <si>
    <t>SH04778</t>
  </si>
  <si>
    <t>Dionne Anderson arrangefloral.la@gmail.com</t>
  </si>
  <si>
    <t>SH04779</t>
  </si>
  <si>
    <t>Nuong Ho hnuong93@gmail.com</t>
  </si>
  <si>
    <t>SH04780</t>
  </si>
  <si>
    <t>Amy Miller amyemiller@gmail.com</t>
  </si>
  <si>
    <t>SH04781</t>
  </si>
  <si>
    <t>Jessica Goldsmith goldbudstudo@gmail.com</t>
  </si>
  <si>
    <t>SH04782</t>
  </si>
  <si>
    <t>Dianne Wakefield dwakefield423@gmail.com</t>
  </si>
  <si>
    <t>SH04783</t>
  </si>
  <si>
    <t>Thomas Durham tsd3338@bellsouth.net</t>
  </si>
  <si>
    <t>SH04784</t>
  </si>
  <si>
    <t>Nikki Ricci kinkkaya@gmail.com</t>
  </si>
  <si>
    <t>SH04785</t>
  </si>
  <si>
    <t>Melinda Workman melinda@gillespiesflowers.com</t>
  </si>
  <si>
    <t>SH04786</t>
  </si>
  <si>
    <t>Elizabeth Schaer rootedrkfd@gmail.com</t>
  </si>
  <si>
    <t>SH04787</t>
  </si>
  <si>
    <t>Kelli Sloan ksloan@iconnect-corp.com</t>
  </si>
  <si>
    <t>SH04788</t>
  </si>
  <si>
    <t>Lindsay Douville rangefloral7581@gmail.com</t>
  </si>
  <si>
    <t>SH04789</t>
  </si>
  <si>
    <t>Jackie Pate patecharlesjacki@bellsouth.net</t>
  </si>
  <si>
    <t>SH04790</t>
  </si>
  <si>
    <t>Shirley Anderson supplies@passionworks.org</t>
  </si>
  <si>
    <t>SH04791</t>
  </si>
  <si>
    <t>Lani Mobley lani@mumsflowers.net</t>
  </si>
  <si>
    <t>SH04792</t>
  </si>
  <si>
    <t>Wallace Greenhalgh wallaceagreenhalgh@gmail.com</t>
  </si>
  <si>
    <t>SH04793</t>
  </si>
  <si>
    <t>SH04794</t>
  </si>
  <si>
    <t>Kelsea Olivia kelsea@eastolivia.com</t>
  </si>
  <si>
    <t>SH04795</t>
  </si>
  <si>
    <t>Thomas Ward hhine@4rootsfarm.org</t>
  </si>
  <si>
    <t>SH04796</t>
  </si>
  <si>
    <t>Geoff Gill rochellegill0405@gmail.com</t>
  </si>
  <si>
    <t>SH04797</t>
  </si>
  <si>
    <t>Derbi Partridge acottageflorist@gmail.com</t>
  </si>
  <si>
    <t>SH04798</t>
  </si>
  <si>
    <t>Julie Daw bloomingfabulous15@gmail.com</t>
  </si>
  <si>
    <t>SH04799</t>
  </si>
  <si>
    <t>Gili Tamir gili082498@gmail.com</t>
  </si>
  <si>
    <t>SH04800</t>
  </si>
  <si>
    <t>Jill Webb jill.a.webb@gmail.com</t>
  </si>
  <si>
    <t>SH04801</t>
  </si>
  <si>
    <t>James McCarroll jenmccarroll@gmail.com</t>
  </si>
  <si>
    <t>SH04802</t>
  </si>
  <si>
    <t>Jay Gamble jayma85@hotmail.com</t>
  </si>
  <si>
    <t>SH04803</t>
  </si>
  <si>
    <t>Cotessa Solomon tessasr2001@yahoo.com</t>
  </si>
  <si>
    <t>SH04804</t>
  </si>
  <si>
    <t>Maria Victoria Chong mvchong206@gmail.com</t>
  </si>
  <si>
    <t>SH04805</t>
  </si>
  <si>
    <t>Wendy Hathaway sunsetbloomstx@gmail.com</t>
  </si>
  <si>
    <t>SH04806</t>
  </si>
  <si>
    <t>Katie Hermans katie@herbanbloom.com</t>
  </si>
  <si>
    <t>SH04807</t>
  </si>
  <si>
    <t>Mary Baker camptigirl@gmail.com</t>
  </si>
  <si>
    <t>SH04808</t>
  </si>
  <si>
    <t>Katherine Daigler kathydaigler@yahoo.com</t>
  </si>
  <si>
    <t>SH04809</t>
  </si>
  <si>
    <t>Hn Nagel hnvra09@yahoo.com</t>
  </si>
  <si>
    <t>SH04810</t>
  </si>
  <si>
    <t>Jesse Garza david@studio25decor.com</t>
  </si>
  <si>
    <t>SH04811</t>
  </si>
  <si>
    <t>Jess Hebert jessicahebert@gmail.com</t>
  </si>
  <si>
    <t>SH04812</t>
  </si>
  <si>
    <t>Mashal Mirza nmirza92@gmail.com</t>
  </si>
  <si>
    <t>SH04813</t>
  </si>
  <si>
    <t>Sage Devlin farbungalowfarm@gmail.com</t>
  </si>
  <si>
    <t>SH04814</t>
  </si>
  <si>
    <t>Marcela Olalde de Castillo marcela_mc@yahoo.com</t>
  </si>
  <si>
    <t>SH04815</t>
  </si>
  <si>
    <t>Juan Garcia boobearfactory.com@gmail.com</t>
  </si>
  <si>
    <t>SH04816</t>
  </si>
  <si>
    <t>Jean Monti jeanmonti1@gmail.com</t>
  </si>
  <si>
    <t>SH04817</t>
  </si>
  <si>
    <t>Jackie Wheelin mossbrookroots@gmail.com</t>
  </si>
  <si>
    <t>SH04818</t>
  </si>
  <si>
    <t>Kate Walsh katie@rootingforyouoregon.com</t>
  </si>
  <si>
    <t>SH04819</t>
  </si>
  <si>
    <t>Graciela Serna gmserna@sbcglobal.net</t>
  </si>
  <si>
    <t>SH04820</t>
  </si>
  <si>
    <t>Olivia Scully playgroundflowerstudio@gmail.com</t>
  </si>
  <si>
    <t>SH04821</t>
  </si>
  <si>
    <t>Kenny Stover kviii22@yahoo.com</t>
  </si>
  <si>
    <t>SH04822</t>
  </si>
  <si>
    <t>Francesco Tunzi frank.tunzi@yahoo.com</t>
  </si>
  <si>
    <t>SH04823</t>
  </si>
  <si>
    <t>SH04824</t>
  </si>
  <si>
    <t>Jeffrey hardwick jeff@encoreflorals.com</t>
  </si>
  <si>
    <t>SH04825</t>
  </si>
  <si>
    <t>Amanda Tutwiler sparrowsflowers@gmail.com</t>
  </si>
  <si>
    <t>SH04826</t>
  </si>
  <si>
    <t>Ploy Wu ployandaaron@gmail.com</t>
  </si>
  <si>
    <t>SH04827</t>
  </si>
  <si>
    <t>Tomika Ashley justbloomitllc@gmail.com</t>
  </si>
  <si>
    <t>SH04828</t>
  </si>
  <si>
    <t>Edgar Rangel ehflowers2@gmail.com</t>
  </si>
  <si>
    <t>SH04829</t>
  </si>
  <si>
    <t>Jessica Phongsymay jphongsymay@yahoo.com</t>
  </si>
  <si>
    <t>SH04830</t>
  </si>
  <si>
    <t>Sarah Linginfelter sarahlinginfelter@gmail.com</t>
  </si>
  <si>
    <t>SH04831</t>
  </si>
  <si>
    <t>Jennifer Schweidel jschweidel@gmail.com</t>
  </si>
  <si>
    <t>SH04832</t>
  </si>
  <si>
    <t>Kimberly Kuebrich hello@botanicalbarpnw.com</t>
  </si>
  <si>
    <t>SH04833</t>
  </si>
  <si>
    <t>Liz Pike pikeadvertising@comcast.net</t>
  </si>
  <si>
    <t>SH04834</t>
  </si>
  <si>
    <t>Leslie Copeland lcopeland1125@gmail.com</t>
  </si>
  <si>
    <t>SH04835</t>
  </si>
  <si>
    <t>Sandra Caicedo scaicedo1971@gmail.com</t>
  </si>
  <si>
    <t>Corporate Cust</t>
  </si>
  <si>
    <t>Infor Code</t>
  </si>
  <si>
    <t xml:space="preserve"> </t>
  </si>
  <si>
    <t>Native Wholesale INC</t>
  </si>
  <si>
    <t>Willys Greenhouses LTD</t>
  </si>
  <si>
    <t>Sequence</t>
  </si>
  <si>
    <t>Account</t>
  </si>
  <si>
    <t>Account Description</t>
  </si>
  <si>
    <t>Date</t>
  </si>
  <si>
    <t>Site</t>
  </si>
  <si>
    <t>Debit (Domestic)</t>
  </si>
  <si>
    <t>Credit (Domestic)</t>
  </si>
  <si>
    <t>Exchange Rate</t>
  </si>
  <si>
    <t>Debit (Foreign)</t>
  </si>
  <si>
    <t>Credit (Foreign)</t>
  </si>
  <si>
    <t>REFERENCE</t>
  </si>
  <si>
    <t>Allocation Transaction</t>
  </si>
  <si>
    <t>Posted From</t>
  </si>
  <si>
    <t>Posted From Site</t>
  </si>
  <si>
    <t>G/L Voucher</t>
  </si>
  <si>
    <t>Approver</t>
  </si>
  <si>
    <t>Cust/Vendor</t>
  </si>
  <si>
    <t>Name</t>
  </si>
  <si>
    <t>Invoice/Voucher</t>
  </si>
  <si>
    <t>Cancellation</t>
  </si>
  <si>
    <t>Invoice/Vch Seq</t>
  </si>
  <si>
    <t>Hierarchy</t>
  </si>
  <si>
    <t>Control Prefix</t>
  </si>
  <si>
    <t>Control Site</t>
  </si>
  <si>
    <t>Control Year</t>
  </si>
  <si>
    <t>Control Period</t>
  </si>
  <si>
    <t>Control Number</t>
  </si>
  <si>
    <t>Ref Control Prefix</t>
  </si>
  <si>
    <t>Ref Control Site</t>
  </si>
  <si>
    <t>Ref Control Year</t>
  </si>
  <si>
    <t>Ref Control Period</t>
  </si>
  <si>
    <t>Ref Control Number</t>
  </si>
  <si>
    <t>Document Number</t>
  </si>
  <si>
    <t>Check#</t>
  </si>
  <si>
    <t>Check Date</t>
  </si>
  <si>
    <t>Currency</t>
  </si>
  <si>
    <t>Bank Code</t>
  </si>
  <si>
    <t>Consolidated</t>
  </si>
  <si>
    <t>Nº artículo</t>
  </si>
  <si>
    <t>Descripción Item</t>
  </si>
  <si>
    <t>Cantidad</t>
  </si>
  <si>
    <t>Item (Manual)</t>
  </si>
  <si>
    <t>Item Description (manual)</t>
  </si>
  <si>
    <t>Analysis Attribute 6</t>
  </si>
  <si>
    <t>Analysis Attribute 7</t>
  </si>
  <si>
    <t>Analysis Attribute 8</t>
  </si>
  <si>
    <t>Analysis Attribute 9</t>
  </si>
  <si>
    <t>Analysis Attribute 10</t>
  </si>
  <si>
    <t>Analysis Attribute 11</t>
  </si>
  <si>
    <t>Analysis Attribute 12</t>
  </si>
  <si>
    <t>Analysis Attribute 13</t>
  </si>
  <si>
    <t>Analysis Attribute 14</t>
  </si>
  <si>
    <t>Analysis Attribute 15</t>
  </si>
  <si>
    <t>Bad Debt reserve</t>
  </si>
  <si>
    <t>SHGI</t>
  </si>
  <si>
    <t>Opening Balance</t>
  </si>
  <si>
    <t xml:space="preserve">          </t>
  </si>
  <si>
    <t>OBS Dist</t>
  </si>
  <si>
    <t>OB</t>
  </si>
  <si>
    <t>USD</t>
  </si>
  <si>
    <t>Yes</t>
  </si>
  <si>
    <t>Accrual A/R August 2024</t>
  </si>
  <si>
    <t>General</t>
  </si>
  <si>
    <t>GE</t>
  </si>
  <si>
    <t>Provision HH - Sept 2024</t>
  </si>
  <si>
    <t>Ajuste Provision Sep 2024</t>
  </si>
  <si>
    <t>Regsitro Provision Oct 2024</t>
  </si>
  <si>
    <t>Registro Provision Nov 2024</t>
  </si>
  <si>
    <t>Registro provision Dic</t>
  </si>
  <si>
    <t>Registro Prov Ene 2025</t>
  </si>
  <si>
    <t>Perdida esperada reserve 2024</t>
  </si>
  <si>
    <t>CT Dist</t>
  </si>
  <si>
    <t>CT</t>
  </si>
  <si>
    <t>Perdida esperada reserve 2025</t>
  </si>
  <si>
    <t>Provision CECL Feb</t>
  </si>
  <si>
    <t>Provision CECL Feb Ajuste ENE</t>
  </si>
  <si>
    <t>ARP 32025-Write off-Mauro3-20</t>
  </si>
  <si>
    <t>CA Dist</t>
  </si>
  <si>
    <t>CA</t>
  </si>
  <si>
    <t>Provision Mar 2025</t>
  </si>
  <si>
    <t>Provision Abril 2025</t>
  </si>
  <si>
    <t>ARP  123-Write off-Steven 5-13</t>
  </si>
  <si>
    <t>AR Dist</t>
  </si>
  <si>
    <t>HGI0115442</t>
  </si>
  <si>
    <t>AR</t>
  </si>
  <si>
    <t>ARP  53125-WriteOff-Julian 6-4</t>
  </si>
  <si>
    <t>HGI0121188</t>
  </si>
  <si>
    <t>HGI0119260</t>
  </si>
  <si>
    <t>HGI0126246</t>
  </si>
  <si>
    <t>HGI0125912</t>
  </si>
  <si>
    <t>HGI0125914</t>
  </si>
  <si>
    <t>HGI0126669</t>
  </si>
  <si>
    <t>Provision Mayo 2025</t>
  </si>
  <si>
    <t>Ajuste</t>
  </si>
  <si>
    <t>Fecha de Ajuste</t>
  </si>
  <si>
    <t>Provision Junio 2025</t>
  </si>
  <si>
    <t>ARP  71425-WriteOff-Mauro07-07</t>
  </si>
  <si>
    <t>INV0001154</t>
  </si>
  <si>
    <t>No</t>
  </si>
  <si>
    <t>NAC1766</t>
  </si>
  <si>
    <t>Another Bloomin' Nursery</t>
  </si>
  <si>
    <t>NAC1777</t>
  </si>
  <si>
    <t>Cottage Hill Nursery Inc</t>
  </si>
  <si>
    <t>NAC1782</t>
  </si>
  <si>
    <t>Roots Flower Company</t>
  </si>
  <si>
    <t>Provision Julio 2025</t>
  </si>
  <si>
    <t>Provision Agosto 2025</t>
  </si>
  <si>
    <t>Ajuste Provision Agosto 2025</t>
  </si>
  <si>
    <t>ARP  1234-WriteOff-Adolfo 9-28</t>
  </si>
  <si>
    <t>INV0002621</t>
  </si>
  <si>
    <t>INV0003977</t>
  </si>
  <si>
    <t>HGI0119907</t>
  </si>
  <si>
    <t>HGI0125791</t>
  </si>
  <si>
    <t>HGI0124508</t>
  </si>
  <si>
    <t>HGI0125445</t>
  </si>
  <si>
    <t>HGI0122285</t>
  </si>
  <si>
    <t>Ventas que llegaron a la siguiente agrupación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</si>
</sst>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#,##0.00;\-#,##0.00"/>
    <numFmt numFmtId="165" formatCode="0.0000%"/>
    <numFmt numFmtId="166" formatCode="0.000%"/>
    <numFmt numFmtId="167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B9C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7" borderId="0" applyNumberFormat="0" applyBorder="0" applyAlignment="0" applyProtection="0"/>
    <xf numFmtId="0" fontId="7" fillId="9" borderId="0" applyNumberFormat="0" applyBorder="0" applyAlignment="0" applyProtection="0"/>
  </cellStyleXfs>
  <cellXfs count="81">
    <xf numFmtId="0" fontId="0" fillId="0" borderId="0" xfId="0"/>
    <xf numFmtId="0" fontId="0" fillId="3" borderId="1" xfId="0" applyFill="1" applyBorder="1"/>
    <xf numFmtId="4" fontId="0" fillId="3" borderId="1" xfId="0" applyNumberFormat="1" applyFill="1" applyBorder="1"/>
    <xf numFmtId="0" fontId="0" fillId="0" borderId="1" xfId="0" applyBorder="1"/>
    <xf numFmtId="4" fontId="0" fillId="0" borderId="1" xfId="0" applyNumberFormat="1" applyBorder="1"/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3" borderId="1" xfId="0" applyFont="1" applyFill="1" applyBorder="1"/>
    <xf numFmtId="164" fontId="4" fillId="3" borderId="1" xfId="0" applyNumberFormat="1" applyFont="1" applyFill="1" applyBorder="1"/>
    <xf numFmtId="164" fontId="4" fillId="0" borderId="1" xfId="0" applyNumberFormat="1" applyFont="1" applyBorder="1"/>
    <xf numFmtId="164" fontId="4" fillId="4" borderId="1" xfId="0" applyNumberFormat="1" applyFont="1" applyFill="1" applyBorder="1"/>
    <xf numFmtId="49" fontId="2" fillId="3" borderId="1" xfId="0" applyNumberFormat="1" applyFont="1" applyFill="1" applyBorder="1"/>
    <xf numFmtId="164" fontId="4" fillId="2" borderId="1" xfId="0" applyNumberFormat="1" applyFont="1" applyFill="1" applyBorder="1"/>
    <xf numFmtId="49" fontId="2" fillId="2" borderId="1" xfId="0" applyNumberFormat="1" applyFont="1" applyFill="1" applyBorder="1"/>
    <xf numFmtId="164" fontId="4" fillId="5" borderId="1" xfId="0" applyNumberFormat="1" applyFont="1" applyFill="1" applyBorder="1"/>
    <xf numFmtId="49" fontId="2" fillId="6" borderId="1" xfId="0" applyNumberFormat="1" applyFont="1" applyFill="1" applyBorder="1"/>
    <xf numFmtId="164" fontId="4" fillId="6" borderId="1" xfId="0" applyNumberFormat="1" applyFont="1" applyFill="1" applyBorder="1"/>
    <xf numFmtId="4" fontId="3" fillId="3" borderId="1" xfId="0" applyNumberFormat="1" applyFont="1" applyFill="1" applyBorder="1"/>
    <xf numFmtId="4" fontId="3" fillId="0" borderId="1" xfId="0" applyNumberFormat="1" applyFont="1" applyBorder="1"/>
    <xf numFmtId="49" fontId="2" fillId="0" borderId="1" xfId="0" applyNumberFormat="1" applyFont="1" applyBorder="1"/>
    <xf numFmtId="14" fontId="0" fillId="0" borderId="0" xfId="0" applyNumberFormat="1"/>
    <xf numFmtId="14" fontId="3" fillId="0" borderId="1" xfId="0" applyNumberFormat="1" applyFont="1" applyBorder="1"/>
    <xf numFmtId="14" fontId="2" fillId="2" borderId="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5" borderId="9" xfId="0" applyFill="1" applyBorder="1"/>
    <xf numFmtId="0" fontId="0" fillId="5" borderId="0" xfId="0" applyFill="1"/>
    <xf numFmtId="0" fontId="0" fillId="5" borderId="10" xfId="0" applyFill="1" applyBorder="1"/>
    <xf numFmtId="0" fontId="0" fillId="0" borderId="11" xfId="0" applyBorder="1"/>
    <xf numFmtId="44" fontId="0" fillId="0" borderId="1" xfId="1" applyFont="1" applyBorder="1"/>
    <xf numFmtId="44" fontId="0" fillId="0" borderId="12" xfId="1" applyFont="1" applyBorder="1"/>
    <xf numFmtId="10" fontId="0" fillId="0" borderId="1" xfId="2" applyNumberFormat="1" applyFont="1" applyBorder="1"/>
    <xf numFmtId="9" fontId="0" fillId="0" borderId="1" xfId="2" applyFont="1" applyBorder="1"/>
    <xf numFmtId="9" fontId="0" fillId="0" borderId="12" xfId="2" applyFont="1" applyBorder="1"/>
    <xf numFmtId="0" fontId="0" fillId="0" borderId="13" xfId="0" applyBorder="1"/>
    <xf numFmtId="165" fontId="0" fillId="0" borderId="14" xfId="2" applyNumberFormat="1" applyFont="1" applyBorder="1"/>
    <xf numFmtId="9" fontId="0" fillId="0" borderId="14" xfId="2" applyFont="1" applyBorder="1"/>
    <xf numFmtId="9" fontId="0" fillId="0" borderId="15" xfId="2" applyFont="1" applyBorder="1"/>
    <xf numFmtId="0" fontId="6" fillId="0" borderId="16" xfId="0" applyFont="1" applyBorder="1"/>
    <xf numFmtId="166" fontId="6" fillId="0" borderId="17" xfId="2" applyNumberFormat="1" applyFont="1" applyBorder="1"/>
    <xf numFmtId="9" fontId="6" fillId="0" borderId="17" xfId="2" applyFont="1" applyBorder="1"/>
    <xf numFmtId="9" fontId="6" fillId="0" borderId="18" xfId="2" applyFont="1" applyBorder="1"/>
    <xf numFmtId="0" fontId="0" fillId="0" borderId="9" xfId="0" applyBorder="1"/>
    <xf numFmtId="44" fontId="0" fillId="0" borderId="0" xfId="1" applyFont="1" applyBorder="1"/>
    <xf numFmtId="44" fontId="0" fillId="0" borderId="10" xfId="1" applyFont="1" applyBorder="1"/>
    <xf numFmtId="10" fontId="0" fillId="0" borderId="0" xfId="2" applyNumberFormat="1" applyFont="1" applyBorder="1"/>
    <xf numFmtId="10" fontId="0" fillId="0" borderId="10" xfId="2" applyNumberFormat="1" applyFont="1" applyBorder="1"/>
    <xf numFmtId="167" fontId="0" fillId="0" borderId="14" xfId="2" applyNumberFormat="1" applyFont="1" applyBorder="1"/>
    <xf numFmtId="10" fontId="6" fillId="0" borderId="17" xfId="2" applyNumberFormat="1" applyFont="1" applyBorder="1"/>
    <xf numFmtId="167" fontId="6" fillId="0" borderId="17" xfId="2" applyNumberFormat="1" applyFont="1" applyBorder="1"/>
    <xf numFmtId="0" fontId="0" fillId="5" borderId="19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3" borderId="0" xfId="0" applyFill="1"/>
    <xf numFmtId="4" fontId="0" fillId="3" borderId="0" xfId="0" applyNumberFormat="1" applyFill="1"/>
    <xf numFmtId="4" fontId="0" fillId="0" borderId="0" xfId="0" applyNumberFormat="1"/>
    <xf numFmtId="44" fontId="0" fillId="3" borderId="0" xfId="1" applyFont="1" applyFill="1"/>
    <xf numFmtId="44" fontId="0" fillId="3" borderId="0" xfId="0" applyNumberFormat="1" applyFill="1"/>
    <xf numFmtId="44" fontId="0" fillId="0" borderId="0" xfId="1" applyFont="1"/>
    <xf numFmtId="44" fontId="0" fillId="0" borderId="0" xfId="0" applyNumberFormat="1"/>
    <xf numFmtId="44" fontId="0" fillId="0" borderId="0" xfId="1" applyFont="1" applyFill="1"/>
    <xf numFmtId="49" fontId="2" fillId="2" borderId="23" xfId="0" applyNumberFormat="1" applyFont="1" applyFill="1" applyBorder="1" applyAlignment="1">
      <alignment horizontal="center" vertical="center" wrapText="1"/>
    </xf>
    <xf numFmtId="0" fontId="0" fillId="0" borderId="25" xfId="0" applyBorder="1"/>
    <xf numFmtId="44" fontId="0" fillId="0" borderId="25" xfId="1" applyFont="1" applyBorder="1"/>
    <xf numFmtId="14" fontId="0" fillId="8" borderId="0" xfId="0" applyNumberFormat="1" applyFill="1"/>
    <xf numFmtId="0" fontId="0" fillId="8" borderId="0" xfId="0" applyFill="1"/>
    <xf numFmtId="0" fontId="0" fillId="8" borderId="24" xfId="0" applyFill="1" applyBorder="1"/>
    <xf numFmtId="44" fontId="0" fillId="8" borderId="24" xfId="1" applyFont="1" applyFill="1" applyBorder="1"/>
    <xf numFmtId="44" fontId="0" fillId="8" borderId="0" xfId="0" applyNumberFormat="1" applyFill="1"/>
    <xf numFmtId="44" fontId="0" fillId="8" borderId="0" xfId="1" applyFont="1" applyFill="1"/>
    <xf numFmtId="14" fontId="7" fillId="9" borderId="0" xfId="4" applyNumberFormat="1"/>
    <xf numFmtId="0" fontId="7" fillId="9" borderId="0" xfId="4"/>
    <xf numFmtId="44" fontId="7" fillId="9" borderId="0" xfId="4" applyNumberFormat="1"/>
    <xf numFmtId="0" fontId="7" fillId="9" borderId="1" xfId="4" applyBorder="1"/>
    <xf numFmtId="44" fontId="7" fillId="9" borderId="1" xfId="4" applyNumberFormat="1" applyBorder="1"/>
    <xf numFmtId="0" fontId="5" fillId="7" borderId="6" xfId="3" applyBorder="1" applyAlignment="1">
      <alignment horizontal="center"/>
    </xf>
    <xf numFmtId="0" fontId="5" fillId="7" borderId="7" xfId="3" applyBorder="1" applyAlignment="1">
      <alignment horizontal="center"/>
    </xf>
    <xf numFmtId="0" fontId="5" fillId="7" borderId="8" xfId="3" applyBorder="1" applyAlignment="1">
      <alignment horizontal="center"/>
    </xf>
  </cellXfs>
  <cellStyles count="5">
    <cellStyle name="Bueno" xfId="3" builtinId="26"/>
    <cellStyle name="Moneda" xfId="1" builtinId="4"/>
    <cellStyle name="Neutral" xfId="4" builtinId="28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F27E-FDD1-4168-B834-40D3E62BBD2B}">
  <dimension ref="A1:J6366"/>
  <sheetViews>
    <sheetView topLeftCell="A2561" zoomScale="85" zoomScaleNormal="85" workbookViewId="0">
      <selection activeCell="A2617" sqref="A2617"/>
    </sheetView>
  </sheetViews>
  <sheetFormatPr baseColWidth="10" defaultColWidth="11.42578125" defaultRowHeight="15" x14ac:dyDescent="0.25"/>
  <cols>
    <col min="1" max="1" width="15.28515625" style="20" customWidth="1"/>
    <col min="2" max="2" width="22.85546875" customWidth="1"/>
    <col min="3" max="3" width="60.28515625" bestFit="1" customWidth="1"/>
    <col min="4" max="4" width="14.85546875" bestFit="1" customWidth="1"/>
    <col min="5" max="10" width="15.7109375" bestFit="1" customWidth="1"/>
  </cols>
  <sheetData>
    <row r="1" spans="1:10" ht="23.45" customHeight="1" x14ac:dyDescent="0.25">
      <c r="A1" s="22" t="s">
        <v>0</v>
      </c>
      <c r="B1" s="64" t="s">
        <v>12387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 ht="15.75" x14ac:dyDescent="0.25">
      <c r="A2" s="21">
        <v>45322</v>
      </c>
      <c r="B2" t="str">
        <f>IFERROR(IF(VLOOKUP(C2,Hoja1!$B$1:$C$6191,2,0)="",_xlfn.XLOOKUP(C2,Hoja1!$B$2:$B$6191,Hoja1!$A$2:$A$6191),VLOOKUP(C2,Hoja1!$B$1:$C$6191,2,0)),"No esta en Infor")</f>
        <v>NAC1448</v>
      </c>
      <c r="C2" s="11" t="s">
        <v>9</v>
      </c>
      <c r="D2" s="8">
        <v>150649.82999999999</v>
      </c>
      <c r="E2" s="8">
        <v>6569</v>
      </c>
      <c r="F2" s="8">
        <v>15178.65</v>
      </c>
      <c r="G2" s="8">
        <v>5215.3900000000003</v>
      </c>
      <c r="H2" s="8">
        <v>3031.04</v>
      </c>
      <c r="I2" s="8">
        <v>2514</v>
      </c>
      <c r="J2" s="8">
        <v>183157.91</v>
      </c>
    </row>
    <row r="3" spans="1:10" ht="15.75" x14ac:dyDescent="0.25">
      <c r="A3" s="21">
        <v>45322</v>
      </c>
      <c r="B3" t="str">
        <f>IFERROR(IF(VLOOKUP(C3,Hoja1!$B$1:$C$6191,2,0)="",_xlfn.XLOOKUP(C3,Hoja1!$B$2:$B$6191,Hoja1!$A$2:$A$6191),VLOOKUP(C3,Hoja1!$B$1:$C$6191,2,0)),"No esta en Infor")</f>
        <v>NAC0456</v>
      </c>
      <c r="C3" s="11" t="s">
        <v>10</v>
      </c>
      <c r="D3" s="8">
        <v>2144.3200000000002</v>
      </c>
      <c r="E3" s="8">
        <v>0</v>
      </c>
      <c r="F3" s="8">
        <v>0</v>
      </c>
      <c r="G3" s="8">
        <v>1450.95</v>
      </c>
      <c r="H3" s="8">
        <v>0</v>
      </c>
      <c r="I3" s="8">
        <v>0</v>
      </c>
      <c r="J3" s="8">
        <v>3595.27</v>
      </c>
    </row>
    <row r="4" spans="1:10" ht="15.75" x14ac:dyDescent="0.25">
      <c r="A4" s="21">
        <v>45322</v>
      </c>
      <c r="B4" t="str">
        <f>IFERROR(IF(VLOOKUP(C4,Hoja1!$B$1:$C$6191,2,0)="",_xlfn.XLOOKUP(C4,Hoja1!$B$2:$B$6191,Hoja1!$A$2:$A$6191),VLOOKUP(C4,Hoja1!$B$1:$C$6191,2,0)),"No esta en Infor")</f>
        <v>NAC0476</v>
      </c>
      <c r="C4" s="11" t="s">
        <v>11</v>
      </c>
      <c r="D4" s="8">
        <v>334342.18</v>
      </c>
      <c r="E4" s="8">
        <v>1334.19</v>
      </c>
      <c r="F4" s="8">
        <v>10864.81</v>
      </c>
      <c r="G4" s="8">
        <v>-212</v>
      </c>
      <c r="H4" s="8">
        <v>0</v>
      </c>
      <c r="I4" s="8">
        <v>0</v>
      </c>
      <c r="J4" s="8">
        <v>346329.18</v>
      </c>
    </row>
    <row r="5" spans="1:10" ht="15.75" x14ac:dyDescent="0.25">
      <c r="A5" s="21">
        <v>45322</v>
      </c>
      <c r="B5" t="str">
        <f>IFERROR(IF(VLOOKUP(C5,Hoja1!$B$1:$C$6191,2,0)="",_xlfn.XLOOKUP(C5,Hoja1!$B$2:$B$6191,Hoja1!$A$2:$A$6191),VLOOKUP(C5,Hoja1!$B$1:$C$6191,2,0)),"No esta en Infor")</f>
        <v>NAC0483</v>
      </c>
      <c r="C5" s="11" t="s">
        <v>12</v>
      </c>
      <c r="D5" s="8">
        <v>3686.68</v>
      </c>
      <c r="E5" s="8">
        <v>4016.78</v>
      </c>
      <c r="F5" s="8">
        <v>1402.04</v>
      </c>
      <c r="G5" s="8">
        <v>5405.25</v>
      </c>
      <c r="H5" s="8">
        <v>12409.43</v>
      </c>
      <c r="I5" s="8">
        <v>0</v>
      </c>
      <c r="J5" s="8">
        <v>26920.18</v>
      </c>
    </row>
    <row r="6" spans="1:10" ht="15.75" x14ac:dyDescent="0.25">
      <c r="A6" s="21">
        <v>45322</v>
      </c>
      <c r="B6" t="str">
        <f>IFERROR(IF(VLOOKUP(C6,Hoja1!$B$1:$C$6191,2,0)="",_xlfn.XLOOKUP(C6,Hoja1!$B$2:$B$6191,Hoja1!$A$2:$A$6191),VLOOKUP(C6,Hoja1!$B$1:$C$6191,2,0)),"No esta en Infor")</f>
        <v>NAC0537</v>
      </c>
      <c r="C6" s="11" t="s">
        <v>13</v>
      </c>
      <c r="D6" s="8">
        <v>11861.77</v>
      </c>
      <c r="E6" s="8">
        <v>0</v>
      </c>
      <c r="F6" s="8">
        <v>713.36</v>
      </c>
      <c r="G6" s="8">
        <v>0</v>
      </c>
      <c r="H6" s="8">
        <v>0</v>
      </c>
      <c r="I6" s="8">
        <v>0</v>
      </c>
      <c r="J6" s="8">
        <v>12575.13</v>
      </c>
    </row>
    <row r="7" spans="1:10" ht="15.75" x14ac:dyDescent="0.25">
      <c r="A7" s="21">
        <v>45322</v>
      </c>
      <c r="B7" t="str">
        <f>IFERROR(IF(VLOOKUP(C7,Hoja1!$B$1:$C$6191,2,0)="",_xlfn.XLOOKUP(C7,Hoja1!$B$2:$B$6191,Hoja1!$A$2:$A$6191),VLOOKUP(C7,Hoja1!$B$1:$C$6191,2,0)),"No esta en Infor")</f>
        <v>NAC0556</v>
      </c>
      <c r="C7" s="11" t="s">
        <v>14</v>
      </c>
      <c r="D7" s="8">
        <v>0</v>
      </c>
      <c r="E7" s="8">
        <v>2983</v>
      </c>
      <c r="F7" s="8">
        <v>2606.13</v>
      </c>
      <c r="G7" s="8">
        <v>0</v>
      </c>
      <c r="H7" s="8">
        <v>0</v>
      </c>
      <c r="I7" s="8">
        <v>0</v>
      </c>
      <c r="J7" s="8">
        <v>5589.13</v>
      </c>
    </row>
    <row r="8" spans="1:10" ht="15.75" x14ac:dyDescent="0.25">
      <c r="A8" s="21">
        <v>45322</v>
      </c>
      <c r="B8" t="str">
        <f>IFERROR(IF(VLOOKUP(C8,Hoja1!$B$1:$C$6191,2,0)="",_xlfn.XLOOKUP(C8,Hoja1!$B$2:$B$6191,Hoja1!$A$2:$A$6191),VLOOKUP(C8,Hoja1!$B$1:$C$6191,2,0)),"No esta en Infor")</f>
        <v>NAC0573</v>
      </c>
      <c r="C8" s="11" t="s">
        <v>15</v>
      </c>
      <c r="D8" s="8">
        <v>2987.52</v>
      </c>
      <c r="E8" s="8">
        <v>1226.68</v>
      </c>
      <c r="F8" s="8">
        <v>2666.33</v>
      </c>
      <c r="G8" s="8">
        <v>0</v>
      </c>
      <c r="H8" s="8">
        <v>0</v>
      </c>
      <c r="I8" s="8">
        <v>0</v>
      </c>
      <c r="J8" s="8">
        <v>6880.53</v>
      </c>
    </row>
    <row r="9" spans="1:10" ht="15.75" x14ac:dyDescent="0.25">
      <c r="A9" s="21">
        <v>45322</v>
      </c>
      <c r="B9" t="str">
        <f>IFERROR(IF(VLOOKUP(C9,Hoja1!$B$1:$C$6191,2,0)="",_xlfn.XLOOKUP(C9,Hoja1!$B$2:$B$6191,Hoja1!$A$2:$A$6191),VLOOKUP(C9,Hoja1!$B$1:$C$6191,2,0)),"No esta en Infor")</f>
        <v>NAC0597</v>
      </c>
      <c r="C9" s="11" t="s">
        <v>1368</v>
      </c>
      <c r="D9" s="8">
        <v>0</v>
      </c>
      <c r="E9" s="8">
        <v>804.56</v>
      </c>
      <c r="F9" s="10">
        <v>488.2</v>
      </c>
      <c r="G9" s="8">
        <v>0</v>
      </c>
      <c r="H9" s="8">
        <v>0</v>
      </c>
      <c r="I9" s="8">
        <v>0</v>
      </c>
      <c r="J9" s="8">
        <v>1292.76</v>
      </c>
    </row>
    <row r="10" spans="1:10" ht="15.75" x14ac:dyDescent="0.25">
      <c r="A10" s="21">
        <v>45322</v>
      </c>
      <c r="B10" t="str">
        <f>IFERROR(IF(VLOOKUP(C10,Hoja1!$B$1:$C$6191,2,0)="",_xlfn.XLOOKUP(C10,Hoja1!$B$2:$B$6191,Hoja1!$A$2:$A$6191),VLOOKUP(C10,Hoja1!$B$1:$C$6191,2,0)),"No esta en Infor")</f>
        <v>NAC0610</v>
      </c>
      <c r="C10" s="11" t="s">
        <v>16</v>
      </c>
      <c r="D10" s="8">
        <v>60709.67</v>
      </c>
      <c r="E10" s="8">
        <v>24445.89</v>
      </c>
      <c r="F10" s="8">
        <v>242</v>
      </c>
      <c r="G10" s="8">
        <v>0</v>
      </c>
      <c r="H10" s="8">
        <v>0</v>
      </c>
      <c r="I10" s="8">
        <v>0</v>
      </c>
      <c r="J10" s="8">
        <v>85397.56</v>
      </c>
    </row>
    <row r="11" spans="1:10" ht="15.75" x14ac:dyDescent="0.25">
      <c r="A11" s="21">
        <v>45322</v>
      </c>
      <c r="B11" t="str">
        <f>IFERROR(IF(VLOOKUP(C11,Hoja1!$B$1:$C$6191,2,0)="",_xlfn.XLOOKUP(C11,Hoja1!$B$2:$B$6191,Hoja1!$A$2:$A$6191),VLOOKUP(C11,Hoja1!$B$1:$C$6191,2,0)),"No esta en Infor")</f>
        <v>CAN0006</v>
      </c>
      <c r="C11" s="11" t="s">
        <v>17</v>
      </c>
      <c r="D11" s="8">
        <v>29353.71</v>
      </c>
      <c r="E11" s="8">
        <v>71965.899999999994</v>
      </c>
      <c r="F11" s="8">
        <v>46267.63</v>
      </c>
      <c r="G11" s="8">
        <v>0</v>
      </c>
      <c r="H11" s="8">
        <v>0</v>
      </c>
      <c r="I11" s="8">
        <v>0</v>
      </c>
      <c r="J11" s="8">
        <v>147587.24</v>
      </c>
    </row>
    <row r="12" spans="1:10" ht="15.75" x14ac:dyDescent="0.25">
      <c r="A12" s="21">
        <v>45322</v>
      </c>
      <c r="B12" t="str">
        <f>IFERROR(IF(VLOOKUP(C12,Hoja1!$B$1:$C$6191,2,0)="",_xlfn.XLOOKUP(C12,Hoja1!$B$2:$B$6191,Hoja1!$A$2:$A$6191),VLOOKUP(C12,Hoja1!$B$1:$C$6191,2,0)),"No esta en Infor")</f>
        <v>NAC0641</v>
      </c>
      <c r="C12" s="11" t="s">
        <v>18</v>
      </c>
      <c r="D12" s="8">
        <v>0</v>
      </c>
      <c r="E12" s="8">
        <v>0</v>
      </c>
      <c r="F12" s="8">
        <v>363.64</v>
      </c>
      <c r="G12" s="8">
        <v>0</v>
      </c>
      <c r="H12" s="8">
        <v>0</v>
      </c>
      <c r="I12" s="8">
        <v>0</v>
      </c>
      <c r="J12" s="8">
        <v>363.64</v>
      </c>
    </row>
    <row r="13" spans="1:10" ht="15.75" x14ac:dyDescent="0.25">
      <c r="A13" s="21">
        <v>45322</v>
      </c>
      <c r="B13" t="str">
        <f>IFERROR(IF(VLOOKUP(C13,Hoja1!$B$1:$C$6191,2,0)="",_xlfn.XLOOKUP(C13,Hoja1!$B$2:$B$6191,Hoja1!$A$2:$A$6191),VLOOKUP(C13,Hoja1!$B$1:$C$6191,2,0)),"No esta en Infor")</f>
        <v>NAC0662</v>
      </c>
      <c r="C13" s="11" t="s">
        <v>19</v>
      </c>
      <c r="D13" s="8">
        <v>0</v>
      </c>
      <c r="E13" s="8">
        <v>0</v>
      </c>
      <c r="F13" s="8">
        <v>633.22</v>
      </c>
      <c r="G13" s="8">
        <v>0</v>
      </c>
      <c r="H13" s="8">
        <v>0</v>
      </c>
      <c r="I13" s="8">
        <v>0</v>
      </c>
      <c r="J13" s="8">
        <v>633.22</v>
      </c>
    </row>
    <row r="14" spans="1:10" ht="15.75" x14ac:dyDescent="0.25">
      <c r="A14" s="21">
        <v>45322</v>
      </c>
      <c r="B14" t="str">
        <f>IFERROR(IF(VLOOKUP(C14,Hoja1!$B$1:$C$6191,2,0)="",_xlfn.XLOOKUP(C14,Hoja1!$B$2:$B$6191,Hoja1!$A$2:$A$6191),VLOOKUP(C14,Hoja1!$B$1:$C$6191,2,0)),"No esta en Infor")</f>
        <v>No esta en Infor</v>
      </c>
      <c r="C14" s="11" t="s">
        <v>20</v>
      </c>
      <c r="D14" s="8">
        <v>2495.9299999999998</v>
      </c>
      <c r="E14" s="8">
        <v>0</v>
      </c>
      <c r="F14" s="8">
        <v>171.99</v>
      </c>
      <c r="G14" s="8">
        <v>0</v>
      </c>
      <c r="H14" s="8">
        <v>0</v>
      </c>
      <c r="I14" s="8">
        <v>0</v>
      </c>
      <c r="J14" s="8">
        <v>2667.92</v>
      </c>
    </row>
    <row r="15" spans="1:10" ht="15.75" x14ac:dyDescent="0.25">
      <c r="A15" s="21">
        <v>45322</v>
      </c>
      <c r="B15" t="str">
        <f>IFERROR(IF(VLOOKUP(C15,Hoja1!$B$1:$C$6191,2,0)="",_xlfn.XLOOKUP(C15,Hoja1!$B$2:$B$6191,Hoja1!$A$2:$A$6191),VLOOKUP(C15,Hoja1!$B$1:$C$6191,2,0)),"No esta en Infor")</f>
        <v>CAN0018</v>
      </c>
      <c r="C15" s="11" t="s">
        <v>21</v>
      </c>
      <c r="D15" s="8">
        <v>0</v>
      </c>
      <c r="E15" s="8">
        <v>18356.509999999998</v>
      </c>
      <c r="F15" s="8">
        <v>656.39</v>
      </c>
      <c r="G15" s="8">
        <v>0</v>
      </c>
      <c r="H15" s="8">
        <v>0</v>
      </c>
      <c r="I15" s="8">
        <v>0</v>
      </c>
      <c r="J15" s="8">
        <v>19012.900000000001</v>
      </c>
    </row>
    <row r="16" spans="1:10" ht="15.75" x14ac:dyDescent="0.25">
      <c r="A16" s="21">
        <v>45322</v>
      </c>
      <c r="B16" t="str">
        <f>IFERROR(IF(VLOOKUP(C16,Hoja1!$B$1:$C$6191,2,0)="",_xlfn.XLOOKUP(C16,Hoja1!$B$2:$B$6191,Hoja1!$A$2:$A$6191),VLOOKUP(C16,Hoja1!$B$1:$C$6191,2,0)),"No esta en Infor")</f>
        <v>NAC0844</v>
      </c>
      <c r="C16" s="11" t="s">
        <v>22</v>
      </c>
      <c r="D16" s="8">
        <v>0</v>
      </c>
      <c r="E16" s="8">
        <v>0</v>
      </c>
      <c r="F16" s="10">
        <v>63</v>
      </c>
      <c r="G16" s="8">
        <v>0</v>
      </c>
      <c r="H16" s="8">
        <v>0</v>
      </c>
      <c r="I16" s="8">
        <v>0</v>
      </c>
      <c r="J16" s="8">
        <v>63</v>
      </c>
    </row>
    <row r="17" spans="1:10" ht="15.75" x14ac:dyDescent="0.25">
      <c r="A17" s="21">
        <v>45322</v>
      </c>
      <c r="B17" t="str">
        <f>IFERROR(IF(VLOOKUP(C17,Hoja1!$B$1:$C$6191,2,0)="",_xlfn.XLOOKUP(C17,Hoja1!$B$2:$B$6191,Hoja1!$A$2:$A$6191),VLOOKUP(C17,Hoja1!$B$1:$C$6191,2,0)),"No esta en Infor")</f>
        <v>NAC0865</v>
      </c>
      <c r="C17" s="11" t="s">
        <v>23</v>
      </c>
      <c r="D17" s="8">
        <v>2815</v>
      </c>
      <c r="E17" s="8">
        <v>1802</v>
      </c>
      <c r="F17" s="8">
        <v>2184</v>
      </c>
      <c r="G17" s="8">
        <v>0</v>
      </c>
      <c r="H17" s="8">
        <v>0</v>
      </c>
      <c r="I17" s="8">
        <v>0</v>
      </c>
      <c r="J17" s="8">
        <v>6801</v>
      </c>
    </row>
    <row r="18" spans="1:10" ht="15.75" x14ac:dyDescent="0.25">
      <c r="A18" s="21">
        <v>45322</v>
      </c>
      <c r="B18" t="str">
        <f>IFERROR(IF(VLOOKUP(C18,Hoja1!$B$1:$C$6191,2,0)="",_xlfn.XLOOKUP(C18,Hoja1!$B$2:$B$6191,Hoja1!$A$2:$A$6191),VLOOKUP(C18,Hoja1!$B$1:$C$6191,2,0)),"No esta en Infor")</f>
        <v>NAC0880</v>
      </c>
      <c r="C18" s="11" t="s">
        <v>24</v>
      </c>
      <c r="D18" s="8">
        <v>11494.86</v>
      </c>
      <c r="E18" s="8">
        <v>0</v>
      </c>
      <c r="F18" s="8">
        <v>0</v>
      </c>
      <c r="G18" s="8">
        <v>1402.48</v>
      </c>
      <c r="H18" s="8">
        <v>0</v>
      </c>
      <c r="I18" s="8">
        <v>0</v>
      </c>
      <c r="J18" s="8">
        <v>12897.34</v>
      </c>
    </row>
    <row r="19" spans="1:10" ht="15.75" x14ac:dyDescent="0.25">
      <c r="A19" s="21">
        <v>45322</v>
      </c>
      <c r="B19" t="str">
        <f>IFERROR(IF(VLOOKUP(C19,Hoja1!$B$1:$C$6191,2,0)="",_xlfn.XLOOKUP(C19,Hoja1!$B$2:$B$6191,Hoja1!$A$2:$A$6191),VLOOKUP(C19,Hoja1!$B$1:$C$6191,2,0)),"No esta en Infor")</f>
        <v>NAC0897</v>
      </c>
      <c r="C19" s="11" t="s">
        <v>25</v>
      </c>
      <c r="D19" s="8">
        <v>0</v>
      </c>
      <c r="E19" s="8">
        <v>0</v>
      </c>
      <c r="F19" s="8">
        <v>300</v>
      </c>
      <c r="G19" s="8">
        <v>0</v>
      </c>
      <c r="H19" s="8">
        <v>0</v>
      </c>
      <c r="I19" s="8">
        <v>0</v>
      </c>
      <c r="J19" s="8">
        <v>300</v>
      </c>
    </row>
    <row r="20" spans="1:10" ht="15.75" x14ac:dyDescent="0.25">
      <c r="A20" s="21">
        <v>45322</v>
      </c>
      <c r="B20" t="str">
        <f>IFERROR(IF(VLOOKUP(C20,Hoja1!$B$1:$C$6191,2,0)="",_xlfn.XLOOKUP(C20,Hoja1!$B$2:$B$6191,Hoja1!$A$2:$A$6191),VLOOKUP(C20,Hoja1!$B$1:$C$6191,2,0)),"No esta en Infor")</f>
        <v>CAN0025</v>
      </c>
      <c r="C20" s="11" t="s">
        <v>26</v>
      </c>
      <c r="D20" s="8">
        <v>0</v>
      </c>
      <c r="E20" s="8">
        <v>2467.65</v>
      </c>
      <c r="F20" s="8">
        <v>14116.64</v>
      </c>
      <c r="G20" s="8">
        <v>0</v>
      </c>
      <c r="H20" s="8">
        <v>0</v>
      </c>
      <c r="I20" s="8">
        <v>0</v>
      </c>
      <c r="J20" s="8">
        <v>16584.29</v>
      </c>
    </row>
    <row r="21" spans="1:10" ht="15.75" x14ac:dyDescent="0.25">
      <c r="A21" s="21">
        <v>45322</v>
      </c>
      <c r="B21" t="str">
        <f>IFERROR(IF(VLOOKUP(C21,Hoja1!$B$1:$C$6191,2,0)="",_xlfn.XLOOKUP(C21,Hoja1!$B$2:$B$6191,Hoja1!$A$2:$A$6191),VLOOKUP(C21,Hoja1!$B$1:$C$6191,2,0)),"No esta en Infor")</f>
        <v>NAC0922</v>
      </c>
      <c r="C21" s="11" t="s">
        <v>27</v>
      </c>
      <c r="D21" s="8">
        <v>0</v>
      </c>
      <c r="E21" s="8">
        <v>0</v>
      </c>
      <c r="F21" s="8">
        <v>631.96</v>
      </c>
      <c r="G21" s="8">
        <v>0</v>
      </c>
      <c r="H21" s="8">
        <v>0</v>
      </c>
      <c r="I21" s="8">
        <v>0</v>
      </c>
      <c r="J21" s="8">
        <v>631.96</v>
      </c>
    </row>
    <row r="22" spans="1:10" ht="15.75" x14ac:dyDescent="0.25">
      <c r="A22" s="21">
        <v>45322</v>
      </c>
      <c r="B22" t="str">
        <f>IFERROR(IF(VLOOKUP(C22,Hoja1!$B$1:$C$6191,2,0)="",_xlfn.XLOOKUP(C22,Hoja1!$B$2:$B$6191,Hoja1!$A$2:$A$6191),VLOOKUP(C22,Hoja1!$B$1:$C$6191,2,0)),"No esta en Infor")</f>
        <v>NAC0953</v>
      </c>
      <c r="C22" s="11" t="s">
        <v>28</v>
      </c>
      <c r="D22" s="8">
        <v>-444.52</v>
      </c>
      <c r="E22" s="8">
        <v>2332.44</v>
      </c>
      <c r="F22" s="8">
        <v>225.74</v>
      </c>
      <c r="G22" s="8">
        <v>0</v>
      </c>
      <c r="H22" s="8">
        <v>0</v>
      </c>
      <c r="I22" s="8">
        <v>0</v>
      </c>
      <c r="J22" s="8">
        <v>2113.66</v>
      </c>
    </row>
    <row r="23" spans="1:10" ht="15.75" x14ac:dyDescent="0.25">
      <c r="A23" s="21">
        <v>45322</v>
      </c>
      <c r="B23" t="str">
        <f>IFERROR(IF(VLOOKUP(C23,Hoja1!$B$1:$C$6191,2,0)="",_xlfn.XLOOKUP(C23,Hoja1!$B$2:$B$6191,Hoja1!$A$2:$A$6191),VLOOKUP(C23,Hoja1!$B$1:$C$6191,2,0)),"No esta en Infor")</f>
        <v>NAC0988</v>
      </c>
      <c r="C23" s="11" t="s">
        <v>29</v>
      </c>
      <c r="D23" s="8">
        <v>74110</v>
      </c>
      <c r="E23" s="8">
        <v>189575.5</v>
      </c>
      <c r="F23" s="8">
        <v>9360</v>
      </c>
      <c r="G23" s="8">
        <v>0</v>
      </c>
      <c r="H23" s="8">
        <v>0</v>
      </c>
      <c r="I23" s="8">
        <v>0</v>
      </c>
      <c r="J23" s="8">
        <v>273045.5</v>
      </c>
    </row>
    <row r="24" spans="1:10" ht="15.75" x14ac:dyDescent="0.25">
      <c r="A24" s="21">
        <v>45322</v>
      </c>
      <c r="B24" t="str">
        <f>IFERROR(IF(VLOOKUP(C24,Hoja1!$B$1:$C$6191,2,0)="",_xlfn.XLOOKUP(C24,Hoja1!$B$2:$B$6191,Hoja1!$A$2:$A$6191),VLOOKUP(C24,Hoja1!$B$1:$C$6191,2,0)),"No esta en Infor")</f>
        <v>NAC1040</v>
      </c>
      <c r="C24" s="11" t="s">
        <v>30</v>
      </c>
      <c r="D24" s="8">
        <v>677051.53</v>
      </c>
      <c r="E24" s="8">
        <v>76445.84</v>
      </c>
      <c r="F24" s="8">
        <v>9267.2000000000007</v>
      </c>
      <c r="G24" s="8">
        <v>-0.2</v>
      </c>
      <c r="H24" s="8">
        <v>-14352</v>
      </c>
      <c r="I24" s="8">
        <v>-434</v>
      </c>
      <c r="J24" s="8">
        <v>747978.37</v>
      </c>
    </row>
    <row r="25" spans="1:10" ht="15.75" x14ac:dyDescent="0.25">
      <c r="A25" s="21">
        <v>45322</v>
      </c>
      <c r="B25" t="str">
        <f>IFERROR(IF(VLOOKUP(C25,Hoja1!$B$1:$C$6191,2,0)="",_xlfn.XLOOKUP(C25,Hoja1!$B$2:$B$6191,Hoja1!$A$2:$A$6191),VLOOKUP(C25,Hoja1!$B$1:$C$6191,2,0)),"No esta en Infor")</f>
        <v>CAN0035</v>
      </c>
      <c r="C25" s="11" t="s">
        <v>31</v>
      </c>
      <c r="D25" s="8">
        <v>9991.15</v>
      </c>
      <c r="E25" s="8">
        <v>5669.62</v>
      </c>
      <c r="F25" s="8">
        <v>1075.24</v>
      </c>
      <c r="G25" s="8">
        <v>0</v>
      </c>
      <c r="H25" s="8">
        <v>0</v>
      </c>
      <c r="I25" s="8">
        <v>0</v>
      </c>
      <c r="J25" s="8">
        <v>16736.009999999998</v>
      </c>
    </row>
    <row r="26" spans="1:10" ht="15.75" x14ac:dyDescent="0.25">
      <c r="A26" s="21">
        <v>45322</v>
      </c>
      <c r="B26" t="str">
        <f>IFERROR(IF(VLOOKUP(C26,Hoja1!$B$1:$C$6191,2,0)="",_xlfn.XLOOKUP(C26,Hoja1!$B$2:$B$6191,Hoja1!$A$2:$A$6191),VLOOKUP(C26,Hoja1!$B$1:$C$6191,2,0)),"No esta en Infor")</f>
        <v>NAC1105</v>
      </c>
      <c r="C26" s="11" t="s">
        <v>32</v>
      </c>
      <c r="D26" s="8">
        <v>2930.38</v>
      </c>
      <c r="E26" s="8">
        <v>4047.86</v>
      </c>
      <c r="F26" s="8">
        <v>5777.63</v>
      </c>
      <c r="G26" s="8">
        <v>561.35</v>
      </c>
      <c r="H26" s="8">
        <v>111.42</v>
      </c>
      <c r="I26" s="8">
        <v>0</v>
      </c>
      <c r="J26" s="8">
        <v>13428.64</v>
      </c>
    </row>
    <row r="27" spans="1:10" ht="15.75" x14ac:dyDescent="0.25">
      <c r="A27" s="21">
        <v>45322</v>
      </c>
      <c r="B27" t="str">
        <f>IFERROR(IF(VLOOKUP(C27,Hoja1!$B$1:$C$6191,2,0)="",_xlfn.XLOOKUP(C27,Hoja1!$B$2:$B$6191,Hoja1!$A$2:$A$6191),VLOOKUP(C27,Hoja1!$B$1:$C$6191,2,0)),"No esta en Infor")</f>
        <v>CAN0037</v>
      </c>
      <c r="C27" s="11" t="s">
        <v>687</v>
      </c>
      <c r="D27" s="8">
        <v>-4056.13</v>
      </c>
      <c r="E27" s="8">
        <v>88.14</v>
      </c>
      <c r="F27" s="8">
        <v>346.76</v>
      </c>
      <c r="G27" s="8">
        <v>0</v>
      </c>
      <c r="H27" s="8">
        <v>0</v>
      </c>
      <c r="I27" s="8">
        <v>0</v>
      </c>
      <c r="J27" s="8">
        <v>-3621.23</v>
      </c>
    </row>
    <row r="28" spans="1:10" ht="15.75" x14ac:dyDescent="0.25">
      <c r="A28" s="21">
        <v>45322</v>
      </c>
      <c r="B28" t="str">
        <f>IFERROR(IF(VLOOKUP(C28,Hoja1!$B$1:$C$6191,2,0)="",_xlfn.XLOOKUP(C28,Hoja1!$B$2:$B$6191,Hoja1!$A$2:$A$6191),VLOOKUP(C28,Hoja1!$B$1:$C$6191,2,0)),"No esta en Infor")</f>
        <v>NAC1146</v>
      </c>
      <c r="C28" s="11" t="s">
        <v>33</v>
      </c>
      <c r="D28" s="8">
        <v>1106.52</v>
      </c>
      <c r="E28" s="8">
        <v>1602.35</v>
      </c>
      <c r="F28" s="8">
        <v>413.91</v>
      </c>
      <c r="G28" s="8">
        <v>0</v>
      </c>
      <c r="H28" s="8">
        <v>0</v>
      </c>
      <c r="I28" s="8">
        <v>0</v>
      </c>
      <c r="J28" s="8">
        <v>3122.78</v>
      </c>
    </row>
    <row r="29" spans="1:10" ht="15.75" x14ac:dyDescent="0.25">
      <c r="A29" s="21">
        <v>45322</v>
      </c>
      <c r="B29" t="str">
        <f>IFERROR(IF(VLOOKUP(C29,Hoja1!$B$1:$C$6191,2,0)="",_xlfn.XLOOKUP(C29,Hoja1!$B$2:$B$6191,Hoja1!$A$2:$A$6191),VLOOKUP(C29,Hoja1!$B$1:$C$6191,2,0)),"No esta en Infor")</f>
        <v>NAC1167</v>
      </c>
      <c r="C29" s="11" t="s">
        <v>34</v>
      </c>
      <c r="D29" s="8">
        <v>0</v>
      </c>
      <c r="E29" s="8">
        <v>0</v>
      </c>
      <c r="F29" s="8">
        <v>4512</v>
      </c>
      <c r="G29" s="8">
        <v>0</v>
      </c>
      <c r="H29" s="8">
        <v>0</v>
      </c>
      <c r="I29" s="8">
        <v>0</v>
      </c>
      <c r="J29" s="8">
        <v>4512</v>
      </c>
    </row>
    <row r="30" spans="1:10" ht="15.75" x14ac:dyDescent="0.25">
      <c r="A30" s="21">
        <v>45322</v>
      </c>
      <c r="B30" t="str">
        <f>IFERROR(IF(VLOOKUP(C30,Hoja1!$B$1:$C$6191,2,0)="",_xlfn.XLOOKUP(C30,Hoja1!$B$2:$B$6191,Hoja1!$A$2:$A$6191),VLOOKUP(C30,Hoja1!$B$1:$C$6191,2,0)),"No esta en Infor")</f>
        <v>CAN0044</v>
      </c>
      <c r="C30" s="11" t="s">
        <v>35</v>
      </c>
      <c r="D30" s="8">
        <v>830.32</v>
      </c>
      <c r="E30" s="8">
        <v>45091.14</v>
      </c>
      <c r="F30" s="8">
        <v>16.899999999999999</v>
      </c>
      <c r="G30" s="8">
        <v>-11.19</v>
      </c>
      <c r="H30" s="8">
        <v>0</v>
      </c>
      <c r="I30" s="8">
        <v>0</v>
      </c>
      <c r="J30" s="8">
        <v>45927.17</v>
      </c>
    </row>
    <row r="31" spans="1:10" ht="15.75" x14ac:dyDescent="0.25">
      <c r="A31" s="21">
        <v>45322</v>
      </c>
      <c r="B31" t="str">
        <f>IFERROR(IF(VLOOKUP(C31,Hoja1!$B$1:$C$6191,2,0)="",_xlfn.XLOOKUP(C31,Hoja1!$B$2:$B$6191,Hoja1!$A$2:$A$6191),VLOOKUP(C31,Hoja1!$B$1:$C$6191,2,0)),"No esta en Infor")</f>
        <v>CAN0054</v>
      </c>
      <c r="C31" s="11" t="s">
        <v>36</v>
      </c>
      <c r="D31" s="8">
        <v>10180.83</v>
      </c>
      <c r="E31" s="8">
        <v>-69</v>
      </c>
      <c r="F31" s="8">
        <v>492.75</v>
      </c>
      <c r="G31" s="8">
        <v>0</v>
      </c>
      <c r="H31" s="8">
        <v>0</v>
      </c>
      <c r="I31" s="8">
        <v>0</v>
      </c>
      <c r="J31" s="8">
        <v>10604.58</v>
      </c>
    </row>
    <row r="32" spans="1:10" ht="15.75" x14ac:dyDescent="0.25">
      <c r="A32" s="21">
        <v>45322</v>
      </c>
      <c r="B32" t="str">
        <f>IFERROR(IF(VLOOKUP(C32,Hoja1!$B$1:$C$6191,2,0)="",_xlfn.XLOOKUP(C32,Hoja1!$B$2:$B$6191,Hoja1!$A$2:$A$6191),VLOOKUP(C32,Hoja1!$B$1:$C$6191,2,0)),"No esta en Infor")</f>
        <v>NAC1281</v>
      </c>
      <c r="C32" s="11" t="s">
        <v>37</v>
      </c>
      <c r="D32" s="8">
        <v>2203.38</v>
      </c>
      <c r="E32" s="8">
        <v>2055.84</v>
      </c>
      <c r="F32" s="8">
        <v>690.64</v>
      </c>
      <c r="G32" s="8">
        <v>246.11</v>
      </c>
      <c r="H32" s="8">
        <v>0</v>
      </c>
      <c r="I32" s="8">
        <v>0</v>
      </c>
      <c r="J32" s="8">
        <v>5195.97</v>
      </c>
    </row>
    <row r="33" spans="1:10" ht="15.75" x14ac:dyDescent="0.25">
      <c r="A33" s="21">
        <v>45322</v>
      </c>
      <c r="B33" t="str">
        <f>IFERROR(IF(VLOOKUP(C33,Hoja1!$B$1:$C$6191,2,0)="",_xlfn.XLOOKUP(C33,Hoja1!$B$2:$B$6191,Hoja1!$A$2:$A$6191),VLOOKUP(C33,Hoja1!$B$1:$C$6191,2,0)),"No esta en Infor")</f>
        <v>NAC1281</v>
      </c>
      <c r="C33" s="11" t="s">
        <v>38</v>
      </c>
      <c r="D33" s="8">
        <v>0</v>
      </c>
      <c r="E33" s="10">
        <v>607.67999999999995</v>
      </c>
      <c r="F33" s="8">
        <v>0</v>
      </c>
      <c r="G33" s="8">
        <v>682.22</v>
      </c>
      <c r="H33" s="8">
        <v>0</v>
      </c>
      <c r="I33" s="8">
        <v>0</v>
      </c>
      <c r="J33" s="8">
        <v>1289.9000000000001</v>
      </c>
    </row>
    <row r="34" spans="1:10" ht="15.75" x14ac:dyDescent="0.25">
      <c r="A34" s="21">
        <v>45322</v>
      </c>
      <c r="B34" t="str">
        <f>IFERROR(IF(VLOOKUP(C34,Hoja1!$B$1:$C$6191,2,0)="",_xlfn.XLOOKUP(C34,Hoja1!$B$2:$B$6191,Hoja1!$A$2:$A$6191),VLOOKUP(C34,Hoja1!$B$1:$C$6191,2,0)),"No esta en Infor")</f>
        <v>NAC1281</v>
      </c>
      <c r="C34" s="11" t="s">
        <v>39</v>
      </c>
      <c r="D34" s="8">
        <v>767.27</v>
      </c>
      <c r="E34" s="8">
        <v>417.45</v>
      </c>
      <c r="F34" s="8">
        <v>460</v>
      </c>
      <c r="G34" s="8">
        <v>0</v>
      </c>
      <c r="H34" s="8">
        <v>0</v>
      </c>
      <c r="I34" s="8">
        <v>0</v>
      </c>
      <c r="J34" s="8">
        <v>1644.72</v>
      </c>
    </row>
    <row r="35" spans="1:10" ht="15.75" x14ac:dyDescent="0.25">
      <c r="A35" s="21">
        <v>45322</v>
      </c>
      <c r="B35" t="str">
        <f>IFERROR(IF(VLOOKUP(C35,Hoja1!$B$1:$C$6191,2,0)="",_xlfn.XLOOKUP(C35,Hoja1!$B$2:$B$6191,Hoja1!$A$2:$A$6191),VLOOKUP(C35,Hoja1!$B$1:$C$6191,2,0)),"No esta en Infor")</f>
        <v>NAC1281</v>
      </c>
      <c r="C35" s="11" t="s">
        <v>40</v>
      </c>
      <c r="D35" s="14">
        <v>1189.8800000000001</v>
      </c>
      <c r="E35" s="14">
        <v>473.19</v>
      </c>
      <c r="F35" s="8">
        <v>216.33</v>
      </c>
      <c r="G35" s="8">
        <v>0</v>
      </c>
      <c r="H35" s="8">
        <v>0</v>
      </c>
      <c r="I35" s="8">
        <v>0</v>
      </c>
      <c r="J35" s="8">
        <v>2762.5</v>
      </c>
    </row>
    <row r="36" spans="1:10" ht="15.75" x14ac:dyDescent="0.25">
      <c r="A36" s="21">
        <v>45322</v>
      </c>
      <c r="B36" t="str">
        <f>IFERROR(IF(VLOOKUP(C36,Hoja1!$B$1:$C$6191,2,0)="",_xlfn.XLOOKUP(C36,Hoja1!$B$2:$B$6191,Hoja1!$A$2:$A$6191),VLOOKUP(C36,Hoja1!$B$1:$C$6191,2,0)),"No esta en Infor")</f>
        <v>NAC1281</v>
      </c>
      <c r="C36" s="11" t="s">
        <v>41</v>
      </c>
      <c r="D36" s="8">
        <v>0</v>
      </c>
      <c r="E36" s="10">
        <v>202.86</v>
      </c>
      <c r="F36" s="8">
        <v>137.12</v>
      </c>
      <c r="G36" s="8">
        <v>300.48</v>
      </c>
      <c r="H36" s="8">
        <v>0</v>
      </c>
      <c r="I36" s="8">
        <v>0</v>
      </c>
      <c r="J36" s="8">
        <v>640.46</v>
      </c>
    </row>
    <row r="37" spans="1:10" ht="15.75" x14ac:dyDescent="0.25">
      <c r="A37" s="21">
        <v>45322</v>
      </c>
      <c r="B37" t="str">
        <f>IFERROR(IF(VLOOKUP(C37,Hoja1!$B$1:$C$6191,2,0)="",_xlfn.XLOOKUP(C37,Hoja1!$B$2:$B$6191,Hoja1!$A$2:$A$6191),VLOOKUP(C37,Hoja1!$B$1:$C$6191,2,0)),"No esta en Infor")</f>
        <v>NAC1281</v>
      </c>
      <c r="C37" s="11" t="s">
        <v>42</v>
      </c>
      <c r="D37" s="8">
        <v>0</v>
      </c>
      <c r="E37" s="8">
        <v>568.86</v>
      </c>
      <c r="F37" s="8">
        <v>0</v>
      </c>
      <c r="G37" s="8">
        <v>262.91000000000003</v>
      </c>
      <c r="H37" s="8">
        <v>0</v>
      </c>
      <c r="I37" s="8">
        <v>0</v>
      </c>
      <c r="J37" s="8">
        <v>831.77</v>
      </c>
    </row>
    <row r="38" spans="1:10" ht="15.75" x14ac:dyDescent="0.25">
      <c r="A38" s="21">
        <v>45322</v>
      </c>
      <c r="B38" t="str">
        <f>IFERROR(IF(VLOOKUP(C38,Hoja1!$B$1:$C$6191,2,0)="",_xlfn.XLOOKUP(C38,Hoja1!$B$2:$B$6191,Hoja1!$A$2:$A$6191),VLOOKUP(C38,Hoja1!$B$1:$C$6191,2,0)),"No esta en Infor")</f>
        <v>NAC1281</v>
      </c>
      <c r="C38" s="11" t="s">
        <v>43</v>
      </c>
      <c r="D38" s="8">
        <v>0</v>
      </c>
      <c r="E38" s="8">
        <v>479.94</v>
      </c>
      <c r="F38" s="8">
        <v>176.95</v>
      </c>
      <c r="G38" s="8">
        <v>456.59</v>
      </c>
      <c r="H38" s="8">
        <v>0</v>
      </c>
      <c r="I38" s="8">
        <v>0</v>
      </c>
      <c r="J38" s="8">
        <v>1113.48</v>
      </c>
    </row>
    <row r="39" spans="1:10" ht="15.75" x14ac:dyDescent="0.25">
      <c r="A39" s="21">
        <v>45322</v>
      </c>
      <c r="B39" t="str">
        <f>IFERROR(IF(VLOOKUP(C39,Hoja1!$B$1:$C$6191,2,0)="",_xlfn.XLOOKUP(C39,Hoja1!$B$2:$B$6191,Hoja1!$A$2:$A$6191),VLOOKUP(C39,Hoja1!$B$1:$C$6191,2,0)),"No esta en Infor")</f>
        <v>NAC1281</v>
      </c>
      <c r="C39" s="11" t="s">
        <v>44</v>
      </c>
      <c r="D39" s="8">
        <v>270.68</v>
      </c>
      <c r="E39" s="14">
        <v>265.66000000000003</v>
      </c>
      <c r="F39" s="8">
        <v>0</v>
      </c>
      <c r="G39" s="8">
        <v>0</v>
      </c>
      <c r="H39" s="8">
        <v>208.55</v>
      </c>
      <c r="I39" s="8">
        <v>0</v>
      </c>
      <c r="J39" s="8">
        <v>1163.6400000000001</v>
      </c>
    </row>
    <row r="40" spans="1:10" ht="15.75" x14ac:dyDescent="0.25">
      <c r="A40" s="21">
        <v>45322</v>
      </c>
      <c r="B40" t="str">
        <f>IFERROR(IF(VLOOKUP(C40,Hoja1!$B$1:$C$6191,2,0)="",_xlfn.XLOOKUP(C40,Hoja1!$B$2:$B$6191,Hoja1!$A$2:$A$6191),VLOOKUP(C40,Hoja1!$B$1:$C$6191,2,0)),"No esta en Infor")</f>
        <v>NAC1281</v>
      </c>
      <c r="C40" s="11" t="s">
        <v>45</v>
      </c>
      <c r="D40" s="14">
        <v>1052.1099999999999</v>
      </c>
      <c r="E40" s="8">
        <v>0</v>
      </c>
      <c r="F40" s="8">
        <v>447.93</v>
      </c>
      <c r="G40" s="14">
        <v>505.8</v>
      </c>
      <c r="H40" s="8">
        <v>0</v>
      </c>
      <c r="I40" s="8">
        <v>0</v>
      </c>
      <c r="J40" s="8">
        <v>3288.42</v>
      </c>
    </row>
    <row r="41" spans="1:10" ht="15.75" x14ac:dyDescent="0.25">
      <c r="A41" s="21">
        <v>45322</v>
      </c>
      <c r="B41" t="str">
        <f>IFERROR(IF(VLOOKUP(C41,Hoja1!$B$1:$C$6191,2,0)="",_xlfn.XLOOKUP(C41,Hoja1!$B$2:$B$6191,Hoja1!$A$2:$A$6191),VLOOKUP(C41,Hoja1!$B$1:$C$6191,2,0)),"No esta en Infor")</f>
        <v>NAC1292</v>
      </c>
      <c r="C41" s="11" t="s">
        <v>46</v>
      </c>
      <c r="D41" s="8">
        <v>42405</v>
      </c>
      <c r="E41" s="8">
        <v>-1325</v>
      </c>
      <c r="F41" s="8">
        <v>2625</v>
      </c>
      <c r="G41" s="8">
        <v>0</v>
      </c>
      <c r="H41" s="8">
        <v>0</v>
      </c>
      <c r="I41" s="8">
        <v>0</v>
      </c>
      <c r="J41" s="8">
        <v>43705</v>
      </c>
    </row>
    <row r="42" spans="1:10" ht="15.75" x14ac:dyDescent="0.25">
      <c r="A42" s="21">
        <v>45322</v>
      </c>
      <c r="B42" t="str">
        <f>IFERROR(IF(VLOOKUP(C42,Hoja1!$B$1:$C$6191,2,0)="",_xlfn.XLOOKUP(C42,Hoja1!$B$2:$B$6191,Hoja1!$A$2:$A$6191),VLOOKUP(C42,Hoja1!$B$1:$C$6191,2,0)),"No esta en Infor")</f>
        <v>No esta en Infor</v>
      </c>
      <c r="C42" s="11" t="s">
        <v>47</v>
      </c>
      <c r="D42" s="8">
        <v>4000</v>
      </c>
      <c r="E42" s="8">
        <v>0</v>
      </c>
      <c r="F42" s="8">
        <v>39</v>
      </c>
      <c r="G42" s="8">
        <v>0</v>
      </c>
      <c r="H42" s="8">
        <v>0</v>
      </c>
      <c r="I42" s="8">
        <v>0</v>
      </c>
      <c r="J42" s="8">
        <v>4039</v>
      </c>
    </row>
    <row r="43" spans="1:10" ht="15.75" x14ac:dyDescent="0.25">
      <c r="A43" s="21">
        <v>45322</v>
      </c>
      <c r="B43" t="str">
        <f>IFERROR(IF(VLOOKUP(C43,Hoja1!$B$1:$C$6191,2,0)="",_xlfn.XLOOKUP(C43,Hoja1!$B$2:$B$6191,Hoja1!$A$2:$A$6191),VLOOKUP(C43,Hoja1!$B$1:$C$6191,2,0)),"No esta en Infor")</f>
        <v>NAC1609</v>
      </c>
      <c r="C43" s="11" t="s">
        <v>48</v>
      </c>
      <c r="D43" s="8">
        <v>497.94</v>
      </c>
      <c r="E43" s="8">
        <v>0</v>
      </c>
      <c r="F43" s="8">
        <v>246.37</v>
      </c>
      <c r="G43" s="8">
        <v>0</v>
      </c>
      <c r="H43" s="8">
        <v>0</v>
      </c>
      <c r="I43" s="8">
        <v>0</v>
      </c>
      <c r="J43" s="8">
        <v>744.31</v>
      </c>
    </row>
    <row r="44" spans="1:10" ht="15.75" x14ac:dyDescent="0.25">
      <c r="A44" s="21">
        <v>45322</v>
      </c>
      <c r="B44" t="str">
        <f>IFERROR(IF(VLOOKUP(C44,Hoja1!$B$1:$C$6191,2,0)="",_xlfn.XLOOKUP(C44,Hoja1!$B$2:$B$6191,Hoja1!$A$2:$A$6191),VLOOKUP(C44,Hoja1!$B$1:$C$6191,2,0)),"No esta en Infor")</f>
        <v>NAC1323</v>
      </c>
      <c r="C44" s="11" t="s">
        <v>49</v>
      </c>
      <c r="D44" s="8">
        <v>635462.15</v>
      </c>
      <c r="E44" s="8">
        <v>157963.53</v>
      </c>
      <c r="F44" s="8">
        <v>4621.55</v>
      </c>
      <c r="G44" s="8">
        <v>0</v>
      </c>
      <c r="H44" s="8">
        <v>2408.14</v>
      </c>
      <c r="I44" s="8">
        <v>0</v>
      </c>
      <c r="J44" s="8">
        <v>800455.37</v>
      </c>
    </row>
    <row r="45" spans="1:10" ht="15.75" x14ac:dyDescent="0.25">
      <c r="A45" s="21">
        <v>45322</v>
      </c>
      <c r="B45" t="str">
        <f>IFERROR(IF(VLOOKUP(C45,Hoja1!$B$1:$C$6191,2,0)="",_xlfn.XLOOKUP(C45,Hoja1!$B$2:$B$6191,Hoja1!$A$2:$A$6191),VLOOKUP(C45,Hoja1!$B$1:$C$6191,2,0)),"No esta en Infor")</f>
        <v>NAC1327</v>
      </c>
      <c r="C45" s="11" t="s">
        <v>50</v>
      </c>
      <c r="D45" s="8">
        <v>259776.66</v>
      </c>
      <c r="E45" s="8">
        <v>44222.64</v>
      </c>
      <c r="F45" s="8">
        <v>2141.2600000000002</v>
      </c>
      <c r="G45" s="8">
        <v>0</v>
      </c>
      <c r="H45" s="8">
        <v>0</v>
      </c>
      <c r="I45" s="8">
        <v>1459.92</v>
      </c>
      <c r="J45" s="8">
        <v>307600.48</v>
      </c>
    </row>
    <row r="46" spans="1:10" ht="15.75" x14ac:dyDescent="0.25">
      <c r="A46" s="21">
        <v>45322</v>
      </c>
      <c r="B46" t="str">
        <f>IFERROR(IF(VLOOKUP(C46,Hoja1!$B$1:$C$6191,2,0)="",_xlfn.XLOOKUP(C46,Hoja1!$B$2:$B$6191,Hoja1!$A$2:$A$6191),VLOOKUP(C46,Hoja1!$B$1:$C$6191,2,0)),"No esta en Infor")</f>
        <v>CAN0059</v>
      </c>
      <c r="C46" s="11" t="s">
        <v>51</v>
      </c>
      <c r="D46" s="8">
        <v>509.53</v>
      </c>
      <c r="E46" s="8">
        <v>421.15</v>
      </c>
      <c r="F46" s="8">
        <v>787.12</v>
      </c>
      <c r="G46" s="8">
        <v>-10</v>
      </c>
      <c r="H46" s="8">
        <v>0</v>
      </c>
      <c r="I46" s="8">
        <v>0</v>
      </c>
      <c r="J46" s="8">
        <v>1707.8</v>
      </c>
    </row>
    <row r="47" spans="1:10" ht="15.75" x14ac:dyDescent="0.25">
      <c r="A47" s="21">
        <v>45322</v>
      </c>
      <c r="B47" t="str">
        <f>IFERROR(IF(VLOOKUP(C47,Hoja1!$B$1:$C$6191,2,0)="",_xlfn.XLOOKUP(C47,Hoja1!$B$2:$B$6191,Hoja1!$A$2:$A$6191),VLOOKUP(C47,Hoja1!$B$1:$C$6191,2,0)),"No esta en Infor")</f>
        <v>NAC1610</v>
      </c>
      <c r="C47" s="11" t="s">
        <v>52</v>
      </c>
      <c r="D47" s="8">
        <v>498</v>
      </c>
      <c r="E47" s="8">
        <v>0</v>
      </c>
      <c r="F47" s="8">
        <v>0</v>
      </c>
      <c r="G47" s="8">
        <v>16.66</v>
      </c>
      <c r="H47" s="8">
        <v>0</v>
      </c>
      <c r="I47" s="8">
        <v>0</v>
      </c>
      <c r="J47" s="8">
        <v>514.66</v>
      </c>
    </row>
    <row r="48" spans="1:10" ht="15.75" x14ac:dyDescent="0.25">
      <c r="A48" s="21">
        <v>45322</v>
      </c>
      <c r="B48" t="str">
        <f>IFERROR(IF(VLOOKUP(C48,Hoja1!$B$1:$C$6191,2,0)="",_xlfn.XLOOKUP(C48,Hoja1!$B$2:$B$6191,Hoja1!$A$2:$A$6191),VLOOKUP(C48,Hoja1!$B$1:$C$6191,2,0)),"No esta en Infor")</f>
        <v>NAC1448</v>
      </c>
      <c r="C48" s="11" t="s">
        <v>53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842.63</v>
      </c>
      <c r="J48" s="8">
        <v>842.63</v>
      </c>
    </row>
    <row r="49" spans="1:10" ht="15.75" x14ac:dyDescent="0.25">
      <c r="A49" s="21">
        <v>45322</v>
      </c>
      <c r="B49" t="str">
        <f>IFERROR(IF(VLOOKUP(C49,Hoja1!$B$1:$C$6191,2,0)="",_xlfn.XLOOKUP(C49,Hoja1!$B$2:$B$6191,Hoja1!$A$2:$A$6191),VLOOKUP(C49,Hoja1!$B$1:$C$6191,2,0)),"No esta en Infor")</f>
        <v>NAC1450</v>
      </c>
      <c r="C49" s="11" t="s">
        <v>54</v>
      </c>
      <c r="D49" s="8">
        <v>22524.99</v>
      </c>
      <c r="E49" s="8">
        <v>1559.56</v>
      </c>
      <c r="F49" s="8">
        <v>784.46</v>
      </c>
      <c r="G49" s="8">
        <v>1099.1300000000001</v>
      </c>
      <c r="H49" s="8">
        <v>0</v>
      </c>
      <c r="I49" s="8">
        <v>0</v>
      </c>
      <c r="J49" s="8">
        <v>25968.14</v>
      </c>
    </row>
    <row r="50" spans="1:10" ht="15.75" x14ac:dyDescent="0.25">
      <c r="A50" s="21">
        <v>45322</v>
      </c>
      <c r="B50" t="str">
        <f>IFERROR(IF(VLOOKUP(C50,Hoja1!$B$1:$C$6191,2,0)="",_xlfn.XLOOKUP(C50,Hoja1!$B$2:$B$6191,Hoja1!$A$2:$A$6191),VLOOKUP(C50,Hoja1!$B$1:$C$6191,2,0)),"No esta en Infor")</f>
        <v>CAN0078</v>
      </c>
      <c r="C50" s="11" t="s">
        <v>55</v>
      </c>
      <c r="D50" s="8">
        <v>0</v>
      </c>
      <c r="E50" s="8">
        <v>0</v>
      </c>
      <c r="F50" s="8">
        <v>34.869999999999997</v>
      </c>
      <c r="G50" s="8">
        <v>0</v>
      </c>
      <c r="H50" s="8">
        <v>0</v>
      </c>
      <c r="I50" s="8">
        <v>0</v>
      </c>
      <c r="J50" s="8">
        <v>34.869999999999997</v>
      </c>
    </row>
    <row r="51" spans="1:10" ht="15.75" x14ac:dyDescent="0.25">
      <c r="A51" s="21">
        <v>45322</v>
      </c>
      <c r="B51" t="str">
        <f>IFERROR(IF(VLOOKUP(C51,Hoja1!$B$1:$C$6191,2,0)="",_xlfn.XLOOKUP(C51,Hoja1!$B$2:$B$6191,Hoja1!$A$2:$A$6191),VLOOKUP(C51,Hoja1!$B$1:$C$6191,2,0)),"No esta en Infor")</f>
        <v>NAC1512</v>
      </c>
      <c r="C51" s="11" t="s">
        <v>56</v>
      </c>
      <c r="D51" s="8">
        <v>0</v>
      </c>
      <c r="E51" s="8">
        <v>4470</v>
      </c>
      <c r="F51" s="8">
        <v>0</v>
      </c>
      <c r="G51" s="8">
        <v>14020</v>
      </c>
      <c r="H51" s="8">
        <v>0</v>
      </c>
      <c r="I51" s="8">
        <v>0</v>
      </c>
      <c r="J51" s="8">
        <v>18490</v>
      </c>
    </row>
    <row r="52" spans="1:10" ht="15.75" x14ac:dyDescent="0.25">
      <c r="A52" s="21">
        <v>45322</v>
      </c>
      <c r="B52" t="str">
        <f>IFERROR(IF(VLOOKUP(C52,Hoja1!$B$1:$C$6191,2,0)="",_xlfn.XLOOKUP(C52,Hoja1!$B$2:$B$6191,Hoja1!$A$2:$A$6191),VLOOKUP(C52,Hoja1!$B$1:$C$6191,2,0)),"No esta en Infor")</f>
        <v>NAC1526</v>
      </c>
      <c r="C52" s="11" t="s">
        <v>57</v>
      </c>
      <c r="D52" s="8">
        <v>0</v>
      </c>
      <c r="E52" s="8">
        <v>0</v>
      </c>
      <c r="F52" s="8">
        <v>465</v>
      </c>
      <c r="G52" s="8">
        <v>0</v>
      </c>
      <c r="H52" s="8">
        <v>0</v>
      </c>
      <c r="I52" s="8">
        <v>0</v>
      </c>
      <c r="J52" s="8">
        <v>465</v>
      </c>
    </row>
    <row r="53" spans="1:10" ht="15.75" x14ac:dyDescent="0.25">
      <c r="A53" s="21">
        <v>45322</v>
      </c>
      <c r="B53" t="str">
        <f>IFERROR(IF(VLOOKUP(C53,Hoja1!$B$1:$C$6191,2,0)="",_xlfn.XLOOKUP(C53,Hoja1!$B$2:$B$6191,Hoja1!$A$2:$A$6191),VLOOKUP(C53,Hoja1!$B$1:$C$6191,2,0)),"No esta en Infor")</f>
        <v>NAC1539</v>
      </c>
      <c r="C53" s="11" t="s">
        <v>58</v>
      </c>
      <c r="D53" s="8">
        <v>-7485.32</v>
      </c>
      <c r="E53" s="8">
        <v>8865.94</v>
      </c>
      <c r="F53" s="8">
        <v>12283.42</v>
      </c>
      <c r="G53" s="8">
        <v>0</v>
      </c>
      <c r="H53" s="8">
        <v>0</v>
      </c>
      <c r="I53" s="8">
        <v>0</v>
      </c>
      <c r="J53" s="8">
        <v>13664.04</v>
      </c>
    </row>
    <row r="54" spans="1:10" ht="15.75" x14ac:dyDescent="0.25">
      <c r="A54" s="21">
        <v>45322</v>
      </c>
      <c r="B54" t="str">
        <f>IFERROR(IF(VLOOKUP(C54,Hoja1!$B$1:$C$6191,2,0)="",_xlfn.XLOOKUP(C54,Hoja1!$B$2:$B$6191,Hoja1!$A$2:$A$6191),VLOOKUP(C54,Hoja1!$B$1:$C$6191,2,0)),"No esta en Infor")</f>
        <v>NAC0461</v>
      </c>
      <c r="C54" s="19" t="s">
        <v>59</v>
      </c>
      <c r="D54" s="9">
        <v>0</v>
      </c>
      <c r="E54" s="9">
        <v>114.4</v>
      </c>
      <c r="F54" s="9">
        <v>0</v>
      </c>
      <c r="G54" s="9">
        <v>0</v>
      </c>
      <c r="H54" s="9">
        <v>0</v>
      </c>
      <c r="I54" s="9">
        <v>0</v>
      </c>
      <c r="J54" s="9">
        <v>114.4</v>
      </c>
    </row>
    <row r="55" spans="1:10" ht="15.75" x14ac:dyDescent="0.25">
      <c r="A55" s="21">
        <v>45322</v>
      </c>
      <c r="B55" t="str">
        <f>IFERROR(IF(VLOOKUP(C55,Hoja1!$B$1:$C$6191,2,0)="",_xlfn.XLOOKUP(C55,Hoja1!$B$2:$B$6191,Hoja1!$A$2:$A$6191),VLOOKUP(C55,Hoja1!$B$1:$C$6191,2,0)),"No esta en Infor")</f>
        <v>SH00007</v>
      </c>
      <c r="C55" s="19" t="s">
        <v>60</v>
      </c>
      <c r="D55" s="9">
        <v>-65.45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-65.45</v>
      </c>
    </row>
    <row r="56" spans="1:10" ht="15.75" x14ac:dyDescent="0.25">
      <c r="A56" s="21">
        <v>45322</v>
      </c>
      <c r="B56" t="str">
        <f>IFERROR(IF(VLOOKUP(C56,Hoja1!$B$1:$C$6191,2,0)="",_xlfn.XLOOKUP(C56,Hoja1!$B$2:$B$6191,Hoja1!$A$2:$A$6191),VLOOKUP(C56,Hoja1!$B$1:$C$6191,2,0)),"No esta en Infor")</f>
        <v>NAC0468</v>
      </c>
      <c r="C56" s="19" t="s">
        <v>61</v>
      </c>
      <c r="D56" s="9">
        <v>0</v>
      </c>
      <c r="E56" s="9">
        <v>-123.75</v>
      </c>
      <c r="F56" s="9">
        <v>0</v>
      </c>
      <c r="G56" s="9">
        <v>0</v>
      </c>
      <c r="H56" s="9">
        <v>0</v>
      </c>
      <c r="I56" s="9">
        <v>0</v>
      </c>
      <c r="J56" s="9">
        <v>-123.75</v>
      </c>
    </row>
    <row r="57" spans="1:10" ht="15.75" x14ac:dyDescent="0.25">
      <c r="A57" s="21">
        <v>45322</v>
      </c>
      <c r="B57" t="str">
        <f>IFERROR(IF(VLOOKUP(C57,Hoja1!$B$1:$C$6191,2,0)="",_xlfn.XLOOKUP(C57,Hoja1!$B$2:$B$6191,Hoja1!$A$2:$A$6191),VLOOKUP(C57,Hoja1!$B$1:$C$6191,2,0)),"No esta en Infor")</f>
        <v>NAC0470</v>
      </c>
      <c r="C57" s="19" t="s">
        <v>62</v>
      </c>
      <c r="D57" s="9">
        <v>0</v>
      </c>
      <c r="E57" s="9">
        <v>-31</v>
      </c>
      <c r="F57" s="9">
        <v>0</v>
      </c>
      <c r="G57" s="9">
        <v>0</v>
      </c>
      <c r="H57" s="9">
        <v>0</v>
      </c>
      <c r="I57" s="9">
        <v>0</v>
      </c>
      <c r="J57" s="9">
        <v>-31</v>
      </c>
    </row>
    <row r="58" spans="1:10" ht="15.75" x14ac:dyDescent="0.25">
      <c r="A58" s="21">
        <v>45322</v>
      </c>
      <c r="B58" t="str">
        <f>IFERROR(IF(VLOOKUP(C58,Hoja1!$B$1:$C$6191,2,0)="",_xlfn.XLOOKUP(C58,Hoja1!$B$2:$B$6191,Hoja1!$A$2:$A$6191),VLOOKUP(C58,Hoja1!$B$1:$C$6191,2,0)),"No esta en Infor")</f>
        <v>NAC0475</v>
      </c>
      <c r="C58" s="19" t="s">
        <v>63</v>
      </c>
      <c r="D58" s="9">
        <v>8402.2999999999993</v>
      </c>
      <c r="E58" s="9">
        <v>2242.94</v>
      </c>
      <c r="F58" s="9">
        <v>0</v>
      </c>
      <c r="G58" s="9">
        <v>-280</v>
      </c>
      <c r="H58" s="9">
        <v>0</v>
      </c>
      <c r="I58" s="9">
        <v>0</v>
      </c>
      <c r="J58" s="9">
        <v>10365.24</v>
      </c>
    </row>
    <row r="59" spans="1:10" ht="15.75" x14ac:dyDescent="0.25">
      <c r="A59" s="21">
        <v>45322</v>
      </c>
      <c r="B59" t="str">
        <f>IFERROR(IF(VLOOKUP(C59,Hoja1!$B$1:$C$6191,2,0)="",_xlfn.XLOOKUP(C59,Hoja1!$B$2:$B$6191,Hoja1!$A$2:$A$6191),VLOOKUP(C59,Hoja1!$B$1:$C$6191,2,0)),"No esta en Infor")</f>
        <v>CAN0001</v>
      </c>
      <c r="C59" s="19" t="s">
        <v>64</v>
      </c>
      <c r="D59" s="9">
        <v>200593.62</v>
      </c>
      <c r="E59" s="9">
        <v>851.16</v>
      </c>
      <c r="F59" s="9">
        <v>0</v>
      </c>
      <c r="G59" s="9">
        <v>0</v>
      </c>
      <c r="H59" s="9">
        <v>0</v>
      </c>
      <c r="I59" s="9">
        <v>0</v>
      </c>
      <c r="J59" s="9">
        <v>201444.78</v>
      </c>
    </row>
    <row r="60" spans="1:10" ht="15.75" x14ac:dyDescent="0.25">
      <c r="A60" s="21">
        <v>45322</v>
      </c>
      <c r="B60" t="str">
        <f>IFERROR(IF(VLOOKUP(C60,Hoja1!$B$1:$C$6191,2,0)="",_xlfn.XLOOKUP(C60,Hoja1!$B$2:$B$6191,Hoja1!$A$2:$A$6191),VLOOKUP(C60,Hoja1!$B$1:$C$6191,2,0)),"No esta en Infor")</f>
        <v>NAC0514</v>
      </c>
      <c r="C60" s="19" t="s">
        <v>65</v>
      </c>
      <c r="D60" s="9">
        <v>807.04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807.04</v>
      </c>
    </row>
    <row r="61" spans="1:10" ht="15.75" x14ac:dyDescent="0.25">
      <c r="A61" s="21">
        <v>45322</v>
      </c>
      <c r="B61" t="str">
        <f>IFERROR(IF(VLOOKUP(C61,Hoja1!$B$1:$C$6191,2,0)="",_xlfn.XLOOKUP(C61,Hoja1!$B$2:$B$6191,Hoja1!$A$2:$A$6191),VLOOKUP(C61,Hoja1!$B$1:$C$6191,2,0)),"No esta en Infor")</f>
        <v>NAC0515</v>
      </c>
      <c r="C61" s="19" t="s">
        <v>66</v>
      </c>
      <c r="D61" s="9">
        <v>0</v>
      </c>
      <c r="E61" s="9">
        <v>0</v>
      </c>
      <c r="F61" s="9">
        <v>-5.93</v>
      </c>
      <c r="G61" s="9">
        <v>0</v>
      </c>
      <c r="H61" s="9">
        <v>0</v>
      </c>
      <c r="I61" s="9">
        <v>0</v>
      </c>
      <c r="J61" s="9">
        <v>-5.93</v>
      </c>
    </row>
    <row r="62" spans="1:10" ht="15.75" x14ac:dyDescent="0.25">
      <c r="A62" s="21">
        <v>45322</v>
      </c>
      <c r="B62" t="str">
        <f>IFERROR(IF(VLOOKUP(C62,Hoja1!$B$1:$C$6191,2,0)="",_xlfn.XLOOKUP(C62,Hoja1!$B$2:$B$6191,Hoja1!$A$2:$A$6191),VLOOKUP(C62,Hoja1!$B$1:$C$6191,2,0)),"No esta en Infor")</f>
        <v>NAC0516</v>
      </c>
      <c r="C62" s="19" t="s">
        <v>67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-26.1</v>
      </c>
      <c r="J62" s="9">
        <v>-26.1</v>
      </c>
    </row>
    <row r="63" spans="1:10" ht="15.75" x14ac:dyDescent="0.25">
      <c r="A63" s="21">
        <v>45322</v>
      </c>
      <c r="B63" t="str">
        <f>IFERROR(IF(VLOOKUP(C63,Hoja1!$B$1:$C$6191,2,0)="",_xlfn.XLOOKUP(C63,Hoja1!$B$2:$B$6191,Hoja1!$A$2:$A$6191),VLOOKUP(C63,Hoja1!$B$1:$C$6191,2,0)),"No esta en Infor")</f>
        <v>NAC0520</v>
      </c>
      <c r="C63" s="19" t="s">
        <v>68</v>
      </c>
      <c r="D63" s="9">
        <v>18235.990000000002</v>
      </c>
      <c r="E63" s="9">
        <v>17370.7</v>
      </c>
      <c r="F63" s="9">
        <v>0</v>
      </c>
      <c r="G63" s="9">
        <v>0</v>
      </c>
      <c r="H63" s="9">
        <v>-0.01</v>
      </c>
      <c r="I63" s="9">
        <v>0</v>
      </c>
      <c r="J63" s="9">
        <v>35606.68</v>
      </c>
    </row>
    <row r="64" spans="1:10" ht="15.75" x14ac:dyDescent="0.25">
      <c r="A64" s="21">
        <v>45322</v>
      </c>
      <c r="B64" t="str">
        <f>IFERROR(IF(VLOOKUP(C64,Hoja1!$B$1:$C$6191,2,0)="",_xlfn.XLOOKUP(C64,Hoja1!$B$2:$B$6191,Hoja1!$A$2:$A$6191),VLOOKUP(C64,Hoja1!$B$1:$C$6191,2,0)),"No esta en Infor")</f>
        <v>NAC0521</v>
      </c>
      <c r="C64" s="19" t="s">
        <v>69</v>
      </c>
      <c r="D64" s="9">
        <v>0</v>
      </c>
      <c r="E64" s="9">
        <v>-0.03</v>
      </c>
      <c r="F64" s="9">
        <v>0</v>
      </c>
      <c r="G64" s="9">
        <v>0</v>
      </c>
      <c r="H64" s="9">
        <v>0</v>
      </c>
      <c r="I64" s="9">
        <v>0</v>
      </c>
      <c r="J64" s="9">
        <v>-0.03</v>
      </c>
    </row>
    <row r="65" spans="1:10" ht="15.75" x14ac:dyDescent="0.25">
      <c r="A65" s="21">
        <v>45322</v>
      </c>
      <c r="B65" t="str">
        <f>IFERROR(IF(VLOOKUP(C65,Hoja1!$B$1:$C$6191,2,0)="",_xlfn.XLOOKUP(C65,Hoja1!$B$2:$B$6191,Hoja1!$A$2:$A$6191),VLOOKUP(C65,Hoja1!$B$1:$C$6191,2,0)),"No esta en Infor")</f>
        <v>NAC1617</v>
      </c>
      <c r="C65" s="19" t="s">
        <v>70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8803.11</v>
      </c>
      <c r="J65" s="9">
        <v>8803.11</v>
      </c>
    </row>
    <row r="66" spans="1:10" ht="15.75" x14ac:dyDescent="0.25">
      <c r="A66" s="21">
        <v>45322</v>
      </c>
      <c r="B66" t="str">
        <f>IFERROR(IF(VLOOKUP(C66,Hoja1!$B$1:$C$6191,2,0)="",_xlfn.XLOOKUP(C66,Hoja1!$B$2:$B$6191,Hoja1!$A$2:$A$6191),VLOOKUP(C66,Hoja1!$B$1:$C$6191,2,0)),"No esta en Infor")</f>
        <v>NAC0525</v>
      </c>
      <c r="C66" s="19" t="s">
        <v>71</v>
      </c>
      <c r="D66" s="9">
        <v>23467.38</v>
      </c>
      <c r="E66" s="9">
        <v>692</v>
      </c>
      <c r="F66" s="9">
        <v>0</v>
      </c>
      <c r="G66" s="9">
        <v>0</v>
      </c>
      <c r="H66" s="9">
        <v>0</v>
      </c>
      <c r="I66" s="9">
        <v>0</v>
      </c>
      <c r="J66" s="9">
        <v>24159.38</v>
      </c>
    </row>
    <row r="67" spans="1:10" ht="15.75" x14ac:dyDescent="0.25">
      <c r="A67" s="21">
        <v>45322</v>
      </c>
      <c r="B67" t="str">
        <f>IFERROR(IF(VLOOKUP(C67,Hoja1!$B$1:$C$6191,2,0)="",_xlfn.XLOOKUP(C67,Hoja1!$B$2:$B$6191,Hoja1!$A$2:$A$6191),VLOOKUP(C67,Hoja1!$B$1:$C$6191,2,0)),"No esta en Infor")</f>
        <v>SH00092</v>
      </c>
      <c r="C67" s="19" t="s">
        <v>72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-945.86</v>
      </c>
      <c r="J67" s="9">
        <v>-945.86</v>
      </c>
    </row>
    <row r="68" spans="1:10" ht="15.75" x14ac:dyDescent="0.25">
      <c r="A68" s="21">
        <v>45322</v>
      </c>
      <c r="B68" t="str">
        <f>IFERROR(IF(VLOOKUP(C68,Hoja1!$B$1:$C$6191,2,0)="",_xlfn.XLOOKUP(C68,Hoja1!$B$2:$B$6191,Hoja1!$A$2:$A$6191),VLOOKUP(C68,Hoja1!$B$1:$C$6191,2,0)),"No esta en Infor")</f>
        <v>SH00095</v>
      </c>
      <c r="C68" s="19" t="s">
        <v>73</v>
      </c>
      <c r="D68" s="9">
        <v>0</v>
      </c>
      <c r="E68" s="9">
        <v>54.78</v>
      </c>
      <c r="F68" s="9">
        <v>0</v>
      </c>
      <c r="G68" s="9">
        <v>0</v>
      </c>
      <c r="H68" s="9">
        <v>0</v>
      </c>
      <c r="I68" s="9">
        <v>0</v>
      </c>
      <c r="J68" s="9">
        <v>54.78</v>
      </c>
    </row>
    <row r="69" spans="1:10" ht="15.75" x14ac:dyDescent="0.25">
      <c r="A69" s="21">
        <v>45322</v>
      </c>
      <c r="B69" t="str">
        <f>IFERROR(IF(VLOOKUP(C69,Hoja1!$B$1:$C$6191,2,0)="",_xlfn.XLOOKUP(C69,Hoja1!$B$2:$B$6191,Hoja1!$A$2:$A$6191),VLOOKUP(C69,Hoja1!$B$1:$C$6191,2,0)),"No esta en Infor")</f>
        <v>SH00100</v>
      </c>
      <c r="C69" s="19" t="s">
        <v>74</v>
      </c>
      <c r="D69" s="9">
        <v>74.58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74.58</v>
      </c>
    </row>
    <row r="70" spans="1:10" ht="15.75" x14ac:dyDescent="0.25">
      <c r="A70" s="21">
        <v>45322</v>
      </c>
      <c r="B70" t="str">
        <f>IFERROR(IF(VLOOKUP(C70,Hoja1!$B$1:$C$6191,2,0)="",_xlfn.XLOOKUP(C70,Hoja1!$B$2:$B$6191,Hoja1!$A$2:$A$6191),VLOOKUP(C70,Hoja1!$B$1:$C$6191,2,0)),"No esta en Infor")</f>
        <v>SH00121</v>
      </c>
      <c r="C70" s="19" t="s">
        <v>75</v>
      </c>
      <c r="D70" s="9">
        <v>0</v>
      </c>
      <c r="E70" s="9">
        <v>156.07</v>
      </c>
      <c r="F70" s="9">
        <v>0</v>
      </c>
      <c r="G70" s="9">
        <v>0</v>
      </c>
      <c r="H70" s="9">
        <v>0</v>
      </c>
      <c r="I70" s="9">
        <v>0</v>
      </c>
      <c r="J70" s="9">
        <v>156.07</v>
      </c>
    </row>
    <row r="71" spans="1:10" ht="15.75" x14ac:dyDescent="0.25">
      <c r="A71" s="21">
        <v>45322</v>
      </c>
      <c r="B71" t="str">
        <f>IFERROR(IF(VLOOKUP(C71,Hoja1!$B$1:$C$6191,2,0)="",_xlfn.XLOOKUP(C71,Hoja1!$B$2:$B$6191,Hoja1!$A$2:$A$6191),VLOOKUP(C71,Hoja1!$B$1:$C$6191,2,0)),"No esta en Infor")</f>
        <v>NAC0528</v>
      </c>
      <c r="C71" s="19" t="s">
        <v>76</v>
      </c>
      <c r="D71" s="9">
        <v>19205.88</v>
      </c>
      <c r="E71" s="9">
        <v>30136.5</v>
      </c>
      <c r="F71" s="9">
        <v>0</v>
      </c>
      <c r="G71" s="9">
        <v>0</v>
      </c>
      <c r="H71" s="9">
        <v>0</v>
      </c>
      <c r="I71" s="9">
        <v>0</v>
      </c>
      <c r="J71" s="9">
        <v>49342.38</v>
      </c>
    </row>
    <row r="72" spans="1:10" ht="15.75" x14ac:dyDescent="0.25">
      <c r="A72" s="21">
        <v>45322</v>
      </c>
      <c r="B72" t="str">
        <f>IFERROR(IF(VLOOKUP(C72,Hoja1!$B$1:$C$6191,2,0)="",_xlfn.XLOOKUP(C72,Hoja1!$B$2:$B$6191,Hoja1!$A$2:$A$6191),VLOOKUP(C72,Hoja1!$B$1:$C$6191,2,0)),"No esta en Infor")</f>
        <v>SH00146</v>
      </c>
      <c r="C72" s="19" t="s">
        <v>77</v>
      </c>
      <c r="D72" s="9">
        <v>72.36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72.36</v>
      </c>
    </row>
    <row r="73" spans="1:10" ht="15.75" x14ac:dyDescent="0.25">
      <c r="A73" s="21">
        <v>45322</v>
      </c>
      <c r="B73" t="str">
        <f>IFERROR(IF(VLOOKUP(C73,Hoja1!$B$1:$C$6191,2,0)="",_xlfn.XLOOKUP(C73,Hoja1!$B$2:$B$6191,Hoja1!$A$2:$A$6191),VLOOKUP(C73,Hoja1!$B$1:$C$6191,2,0)),"No esta en Infor")</f>
        <v>NAC0534</v>
      </c>
      <c r="C73" s="19" t="s">
        <v>78</v>
      </c>
      <c r="D73" s="9">
        <v>0</v>
      </c>
      <c r="E73" s="9">
        <v>3122</v>
      </c>
      <c r="F73" s="9">
        <v>0</v>
      </c>
      <c r="G73" s="9">
        <v>0</v>
      </c>
      <c r="H73" s="9">
        <v>0</v>
      </c>
      <c r="I73" s="9">
        <v>0</v>
      </c>
      <c r="J73" s="9">
        <v>3122</v>
      </c>
    </row>
    <row r="74" spans="1:10" ht="15.75" x14ac:dyDescent="0.25">
      <c r="A74" s="21">
        <v>45322</v>
      </c>
      <c r="B74" t="str">
        <f>IFERROR(IF(VLOOKUP(C74,Hoja1!$B$1:$C$6191,2,0)="",_xlfn.XLOOKUP(C74,Hoja1!$B$2:$B$6191,Hoja1!$A$2:$A$6191),VLOOKUP(C74,Hoja1!$B$1:$C$6191,2,0)),"No esta en Infor")</f>
        <v>NAC0538</v>
      </c>
      <c r="C74" s="19" t="s">
        <v>79</v>
      </c>
      <c r="D74" s="9">
        <v>751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751</v>
      </c>
    </row>
    <row r="75" spans="1:10" ht="15.75" x14ac:dyDescent="0.25">
      <c r="A75" s="21">
        <v>45322</v>
      </c>
      <c r="B75" t="str">
        <f>IFERROR(IF(VLOOKUP(C75,Hoja1!$B$1:$C$6191,2,0)="",_xlfn.XLOOKUP(C75,Hoja1!$B$2:$B$6191,Hoja1!$A$2:$A$6191),VLOOKUP(C75,Hoja1!$B$1:$C$6191,2,0)),"No esta en Infor")</f>
        <v>NAC0539</v>
      </c>
      <c r="C75" s="19" t="s">
        <v>80</v>
      </c>
      <c r="D75" s="9">
        <v>4645.01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4645.01</v>
      </c>
    </row>
    <row r="76" spans="1:10" ht="15.75" x14ac:dyDescent="0.25">
      <c r="A76" s="21">
        <v>45322</v>
      </c>
      <c r="B76" t="str">
        <f>IFERROR(IF(VLOOKUP(C76,Hoja1!$B$1:$C$6191,2,0)="",_xlfn.XLOOKUP(C76,Hoja1!$B$2:$B$6191,Hoja1!$A$2:$A$6191),VLOOKUP(C76,Hoja1!$B$1:$C$6191,2,0)),"No esta en Infor")</f>
        <v>SH00195</v>
      </c>
      <c r="C76" s="19" t="s">
        <v>81</v>
      </c>
      <c r="D76" s="9">
        <v>0</v>
      </c>
      <c r="E76" s="9">
        <v>129.62</v>
      </c>
      <c r="F76" s="9">
        <v>0</v>
      </c>
      <c r="G76" s="9">
        <v>0</v>
      </c>
      <c r="H76" s="9">
        <v>0</v>
      </c>
      <c r="I76" s="9">
        <v>0</v>
      </c>
      <c r="J76" s="9">
        <v>129.62</v>
      </c>
    </row>
    <row r="77" spans="1:10" ht="15.75" x14ac:dyDescent="0.25">
      <c r="A77" s="21">
        <v>45322</v>
      </c>
      <c r="B77" t="str">
        <f>IFERROR(IF(VLOOKUP(C77,Hoja1!$B$1:$C$6191,2,0)="",_xlfn.XLOOKUP(C77,Hoja1!$B$2:$B$6191,Hoja1!$A$2:$A$6191),VLOOKUP(C77,Hoja1!$B$1:$C$6191,2,0)),"No esta en Infor")</f>
        <v>NAC0544</v>
      </c>
      <c r="C77" s="19" t="s">
        <v>82</v>
      </c>
      <c r="D77" s="9">
        <v>283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283</v>
      </c>
    </row>
    <row r="78" spans="1:10" ht="15.75" x14ac:dyDescent="0.25">
      <c r="A78" s="21">
        <v>45322</v>
      </c>
      <c r="B78" t="str">
        <f>IFERROR(IF(VLOOKUP(C78,Hoja1!$B$1:$C$6191,2,0)="",_xlfn.XLOOKUP(C78,Hoja1!$B$2:$B$6191,Hoja1!$A$2:$A$6191),VLOOKUP(C78,Hoja1!$B$1:$C$6191,2,0)),"No esta en Infor")</f>
        <v>NAC0546</v>
      </c>
      <c r="C78" s="19" t="s">
        <v>83</v>
      </c>
      <c r="D78" s="9">
        <v>11951.5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11951.5</v>
      </c>
    </row>
    <row r="79" spans="1:10" ht="15.75" x14ac:dyDescent="0.25">
      <c r="A79" s="21">
        <v>45322</v>
      </c>
      <c r="B79" t="str">
        <f>IFERROR(IF(VLOOKUP(C79,Hoja1!$B$1:$C$6191,2,0)="",_xlfn.XLOOKUP(C79,Hoja1!$B$2:$B$6191,Hoja1!$A$2:$A$6191),VLOOKUP(C79,Hoja1!$B$1:$C$6191,2,0)),"No esta en Infor")</f>
        <v>NAC0550</v>
      </c>
      <c r="C79" s="19" t="s">
        <v>84</v>
      </c>
      <c r="D79" s="9">
        <v>66965.86</v>
      </c>
      <c r="E79" s="9">
        <v>78160.28</v>
      </c>
      <c r="F79" s="9">
        <v>0</v>
      </c>
      <c r="G79" s="9">
        <v>0</v>
      </c>
      <c r="H79" s="9">
        <v>0</v>
      </c>
      <c r="I79" s="9">
        <v>0</v>
      </c>
      <c r="J79" s="9">
        <v>145126.14000000001</v>
      </c>
    </row>
    <row r="80" spans="1:10" ht="15.75" x14ac:dyDescent="0.25">
      <c r="A80" s="21">
        <v>45322</v>
      </c>
      <c r="B80" t="str">
        <f>IFERROR(IF(VLOOKUP(C80,Hoja1!$B$1:$C$6191,2,0)="",_xlfn.XLOOKUP(C80,Hoja1!$B$2:$B$6191,Hoja1!$A$2:$A$6191),VLOOKUP(C80,Hoja1!$B$1:$C$6191,2,0)),"No esta en Infor")</f>
        <v>NAC0551</v>
      </c>
      <c r="C80" s="19" t="s">
        <v>85</v>
      </c>
      <c r="D80" s="9">
        <v>0</v>
      </c>
      <c r="E80" s="9">
        <v>9972</v>
      </c>
      <c r="F80" s="9">
        <v>0</v>
      </c>
      <c r="G80" s="9">
        <v>0</v>
      </c>
      <c r="H80" s="9">
        <v>0</v>
      </c>
      <c r="I80" s="9">
        <v>0</v>
      </c>
      <c r="J80" s="9">
        <v>9972</v>
      </c>
    </row>
    <row r="81" spans="1:10" ht="15.75" x14ac:dyDescent="0.25">
      <c r="A81" s="21">
        <v>45322</v>
      </c>
      <c r="B81" t="str">
        <f>IFERROR(IF(VLOOKUP(C81,Hoja1!$B$1:$C$6191,2,0)="",_xlfn.XLOOKUP(C81,Hoja1!$B$2:$B$6191,Hoja1!$A$2:$A$6191),VLOOKUP(C81,Hoja1!$B$1:$C$6191,2,0)),"No esta en Infor")</f>
        <v>NAC0558</v>
      </c>
      <c r="C81" s="19" t="s">
        <v>86</v>
      </c>
      <c r="D81" s="9">
        <v>6370.48</v>
      </c>
      <c r="E81" s="9">
        <v>3600</v>
      </c>
      <c r="F81" s="9">
        <v>0</v>
      </c>
      <c r="G81" s="9">
        <v>0</v>
      </c>
      <c r="H81" s="9">
        <v>0</v>
      </c>
      <c r="I81" s="9">
        <v>0</v>
      </c>
      <c r="J81" s="9">
        <v>9970.48</v>
      </c>
    </row>
    <row r="82" spans="1:10" ht="15.75" x14ac:dyDescent="0.25">
      <c r="A82" s="21">
        <v>45322</v>
      </c>
      <c r="B82" t="str">
        <f>IFERROR(IF(VLOOKUP(C82,Hoja1!$B$1:$C$6191,2,0)="",_xlfn.XLOOKUP(C82,Hoja1!$B$2:$B$6191,Hoja1!$A$2:$A$6191),VLOOKUP(C82,Hoja1!$B$1:$C$6191,2,0)),"No esta en Infor")</f>
        <v>CAN0002</v>
      </c>
      <c r="C82" s="19" t="s">
        <v>87</v>
      </c>
      <c r="D82" s="9">
        <v>3210</v>
      </c>
      <c r="E82" s="9">
        <v>3796.98</v>
      </c>
      <c r="F82" s="9">
        <v>0</v>
      </c>
      <c r="G82" s="9">
        <v>0</v>
      </c>
      <c r="H82" s="9">
        <v>0</v>
      </c>
      <c r="I82" s="9">
        <v>0</v>
      </c>
      <c r="J82" s="9">
        <v>7006.98</v>
      </c>
    </row>
    <row r="83" spans="1:10" ht="15.75" x14ac:dyDescent="0.25">
      <c r="A83" s="21">
        <v>45322</v>
      </c>
      <c r="B83" t="str">
        <f>IFERROR(IF(VLOOKUP(C83,Hoja1!$B$1:$C$6191,2,0)="",_xlfn.XLOOKUP(C83,Hoja1!$B$2:$B$6191,Hoja1!$A$2:$A$6191),VLOOKUP(C83,Hoja1!$B$1:$C$6191,2,0)),"No esta en Infor")</f>
        <v>SH00218</v>
      </c>
      <c r="C83" s="19" t="s">
        <v>88</v>
      </c>
      <c r="D83" s="9">
        <v>0</v>
      </c>
      <c r="E83" s="9">
        <v>59.42</v>
      </c>
      <c r="F83" s="9">
        <v>84.55</v>
      </c>
      <c r="G83" s="9">
        <v>0</v>
      </c>
      <c r="H83" s="9">
        <v>0</v>
      </c>
      <c r="I83" s="9">
        <v>0</v>
      </c>
      <c r="J83" s="9">
        <v>143.97</v>
      </c>
    </row>
    <row r="84" spans="1:10" ht="15.75" x14ac:dyDescent="0.25">
      <c r="A84" s="21">
        <v>45322</v>
      </c>
      <c r="B84" t="str">
        <f>IFERROR(IF(VLOOKUP(C84,Hoja1!$B$1:$C$6191,2,0)="",_xlfn.XLOOKUP(C84,Hoja1!$B$2:$B$6191,Hoja1!$A$2:$A$6191),VLOOKUP(C84,Hoja1!$B$1:$C$6191,2,0)),"No esta en Infor")</f>
        <v>NAC0577</v>
      </c>
      <c r="C84" s="19" t="s">
        <v>89</v>
      </c>
      <c r="D84" s="9">
        <v>617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617</v>
      </c>
    </row>
    <row r="85" spans="1:10" ht="15.75" x14ac:dyDescent="0.25">
      <c r="A85" s="21">
        <v>45322</v>
      </c>
      <c r="B85" t="str">
        <f>IFERROR(IF(VLOOKUP(C85,Hoja1!$B$1:$C$6191,2,0)="",_xlfn.XLOOKUP(C85,Hoja1!$B$2:$B$6191,Hoja1!$A$2:$A$6191),VLOOKUP(C85,Hoja1!$B$1:$C$6191,2,0)),"No esta en Infor")</f>
        <v>CAN0005</v>
      </c>
      <c r="C85" s="19" t="s">
        <v>90</v>
      </c>
      <c r="D85" s="9">
        <v>50819.53</v>
      </c>
      <c r="E85" s="9">
        <v>40110.99</v>
      </c>
      <c r="F85" s="9">
        <v>0</v>
      </c>
      <c r="G85" s="9">
        <v>-67.2</v>
      </c>
      <c r="H85" s="9">
        <v>0</v>
      </c>
      <c r="I85" s="9">
        <v>0</v>
      </c>
      <c r="J85" s="9">
        <v>90863.32</v>
      </c>
    </row>
    <row r="86" spans="1:10" ht="15.75" x14ac:dyDescent="0.25">
      <c r="A86" s="21">
        <v>45322</v>
      </c>
      <c r="B86" t="str">
        <f>IFERROR(IF(VLOOKUP(C86,Hoja1!$B$1:$C$6191,2,0)="",_xlfn.XLOOKUP(C86,Hoja1!$B$2:$B$6191,Hoja1!$A$2:$A$6191),VLOOKUP(C86,Hoja1!$B$1:$C$6191,2,0)),"No esta en Infor")</f>
        <v>NAC0584</v>
      </c>
      <c r="C86" s="19" t="s">
        <v>91</v>
      </c>
      <c r="D86" s="9">
        <v>0</v>
      </c>
      <c r="E86" s="9">
        <v>-404.46</v>
      </c>
      <c r="F86" s="9">
        <v>0</v>
      </c>
      <c r="G86" s="9">
        <v>0</v>
      </c>
      <c r="H86" s="9">
        <v>0</v>
      </c>
      <c r="I86" s="9">
        <v>0</v>
      </c>
      <c r="J86" s="9">
        <v>-404.46</v>
      </c>
    </row>
    <row r="87" spans="1:10" ht="15.75" x14ac:dyDescent="0.25">
      <c r="A87" s="21">
        <v>45322</v>
      </c>
      <c r="B87" t="str">
        <f>IFERROR(IF(VLOOKUP(C87,Hoja1!$B$1:$C$6191,2,0)="",_xlfn.XLOOKUP(C87,Hoja1!$B$2:$B$6191,Hoja1!$A$2:$A$6191),VLOOKUP(C87,Hoja1!$B$1:$C$6191,2,0)),"No esta en Infor")</f>
        <v>NAC0589</v>
      </c>
      <c r="C87" s="19" t="s">
        <v>92</v>
      </c>
      <c r="D87" s="9">
        <v>15869.2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15869.2</v>
      </c>
    </row>
    <row r="88" spans="1:10" ht="15.75" x14ac:dyDescent="0.25">
      <c r="A88" s="21">
        <v>45322</v>
      </c>
      <c r="B88" t="str">
        <f>IFERROR(IF(VLOOKUP(C88,Hoja1!$B$1:$C$6191,2,0)="",_xlfn.XLOOKUP(C88,Hoja1!$B$2:$B$6191,Hoja1!$A$2:$A$6191),VLOOKUP(C88,Hoja1!$B$1:$C$6191,2,0)),"No esta en Infor")</f>
        <v>NAC0592</v>
      </c>
      <c r="C88" s="19" t="s">
        <v>93</v>
      </c>
      <c r="D88" s="9">
        <v>0</v>
      </c>
      <c r="E88" s="9">
        <v>-2547.65</v>
      </c>
      <c r="F88" s="9">
        <v>0</v>
      </c>
      <c r="G88" s="9">
        <v>0</v>
      </c>
      <c r="H88" s="9">
        <v>0</v>
      </c>
      <c r="I88" s="9">
        <v>0</v>
      </c>
      <c r="J88" s="9">
        <v>-2547.65</v>
      </c>
    </row>
    <row r="89" spans="1:10" ht="15.75" x14ac:dyDescent="0.25">
      <c r="A89" s="21">
        <v>45322</v>
      </c>
      <c r="B89" t="str">
        <f>IFERROR(IF(VLOOKUP(C89,Hoja1!$B$1:$C$6191,2,0)="",_xlfn.XLOOKUP(C89,Hoja1!$B$2:$B$6191,Hoja1!$A$2:$A$6191),VLOOKUP(C89,Hoja1!$B$1:$C$6191,2,0)),"No esta en Infor")</f>
        <v>NAC0594</v>
      </c>
      <c r="C89" s="19" t="s">
        <v>94</v>
      </c>
      <c r="D89" s="9">
        <v>285471.40000000002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285471.40000000002</v>
      </c>
    </row>
    <row r="90" spans="1:10" ht="15.75" x14ac:dyDescent="0.25">
      <c r="A90" s="21">
        <v>45322</v>
      </c>
      <c r="B90" t="str">
        <f>IFERROR(IF(VLOOKUP(C90,Hoja1!$B$1:$C$6191,2,0)="",_xlfn.XLOOKUP(C90,Hoja1!$B$2:$B$6191,Hoja1!$A$2:$A$6191),VLOOKUP(C90,Hoja1!$B$1:$C$6191,2,0)),"No esta en Infor")</f>
        <v>SH00274</v>
      </c>
      <c r="C90" s="19" t="s">
        <v>95</v>
      </c>
      <c r="D90" s="9">
        <v>0</v>
      </c>
      <c r="E90" s="9">
        <v>126.31</v>
      </c>
      <c r="F90" s="9">
        <v>0</v>
      </c>
      <c r="G90" s="9">
        <v>0</v>
      </c>
      <c r="H90" s="9">
        <v>0</v>
      </c>
      <c r="I90" s="9">
        <v>0</v>
      </c>
      <c r="J90" s="9">
        <v>126.31</v>
      </c>
    </row>
    <row r="91" spans="1:10" ht="15.75" x14ac:dyDescent="0.25">
      <c r="A91" s="21">
        <v>45322</v>
      </c>
      <c r="B91" t="str">
        <f>IFERROR(IF(VLOOKUP(C91,Hoja1!$B$1:$C$6191,2,0)="",_xlfn.XLOOKUP(C91,Hoja1!$B$2:$B$6191,Hoja1!$A$2:$A$6191),VLOOKUP(C91,Hoja1!$B$1:$C$6191,2,0)),"No esta en Infor")</f>
        <v>NAC0600</v>
      </c>
      <c r="C91" s="19" t="s">
        <v>96</v>
      </c>
      <c r="D91" s="9">
        <v>16002.44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16002.44</v>
      </c>
    </row>
    <row r="92" spans="1:10" ht="15.75" x14ac:dyDescent="0.25">
      <c r="A92" s="21">
        <v>45322</v>
      </c>
      <c r="B92" t="str">
        <f>IFERROR(IF(VLOOKUP(C92,Hoja1!$B$1:$C$6191,2,0)="",_xlfn.XLOOKUP(C92,Hoja1!$B$2:$B$6191,Hoja1!$A$2:$A$6191),VLOOKUP(C92,Hoja1!$B$1:$C$6191,2,0)),"No esta en Infor")</f>
        <v>NAC0604</v>
      </c>
      <c r="C92" s="19" t="s">
        <v>97</v>
      </c>
      <c r="D92" s="9">
        <v>4436.96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4436.96</v>
      </c>
    </row>
    <row r="93" spans="1:10" ht="15.75" x14ac:dyDescent="0.25">
      <c r="A93" s="21">
        <v>45322</v>
      </c>
      <c r="B93" t="str">
        <f>IFERROR(IF(VLOOKUP(C93,Hoja1!$B$1:$C$6191,2,0)="",_xlfn.XLOOKUP(C93,Hoja1!$B$2:$B$6191,Hoja1!$A$2:$A$6191),VLOOKUP(C93,Hoja1!$B$1:$C$6191,2,0)),"No esta en Infor")</f>
        <v>SH00312</v>
      </c>
      <c r="C93" s="19" t="s">
        <v>98</v>
      </c>
      <c r="D93" s="9">
        <v>0</v>
      </c>
      <c r="E93" s="9">
        <v>46.5</v>
      </c>
      <c r="F93" s="9">
        <v>0</v>
      </c>
      <c r="G93" s="9">
        <v>0</v>
      </c>
      <c r="H93" s="9">
        <v>0</v>
      </c>
      <c r="I93" s="9">
        <v>0</v>
      </c>
      <c r="J93" s="9">
        <v>46.5</v>
      </c>
    </row>
    <row r="94" spans="1:10" ht="15.75" x14ac:dyDescent="0.25">
      <c r="A94" s="21">
        <v>45322</v>
      </c>
      <c r="B94" t="str">
        <f>IFERROR(IF(VLOOKUP(C94,Hoja1!$B$1:$C$6191,2,0)="",_xlfn.XLOOKUP(C94,Hoja1!$B$2:$B$6191,Hoja1!$A$2:$A$6191),VLOOKUP(C94,Hoja1!$B$1:$C$6191,2,0)),"No esta en Infor")</f>
        <v>NAC0607</v>
      </c>
      <c r="C94" s="19" t="s">
        <v>99</v>
      </c>
      <c r="D94" s="9">
        <v>-204.11</v>
      </c>
      <c r="E94" s="9">
        <v>3119.61</v>
      </c>
      <c r="F94" s="9">
        <v>0</v>
      </c>
      <c r="G94" s="9">
        <v>0</v>
      </c>
      <c r="H94" s="9">
        <v>0</v>
      </c>
      <c r="I94" s="9">
        <v>0</v>
      </c>
      <c r="J94" s="9">
        <v>2915.5</v>
      </c>
    </row>
    <row r="95" spans="1:10" ht="15.75" x14ac:dyDescent="0.25">
      <c r="A95" s="21">
        <v>45322</v>
      </c>
      <c r="B95" t="str">
        <f>IFERROR(IF(VLOOKUP(C95,Hoja1!$B$1:$C$6191,2,0)="",_xlfn.XLOOKUP(C95,Hoja1!$B$2:$B$6191,Hoja1!$A$2:$A$6191),VLOOKUP(C95,Hoja1!$B$1:$C$6191,2,0)),"No esta en Infor")</f>
        <v>NAC0612</v>
      </c>
      <c r="C95" s="19" t="s">
        <v>100</v>
      </c>
      <c r="D95" s="9">
        <v>8006.34</v>
      </c>
      <c r="E95" s="9">
        <v>15967.6</v>
      </c>
      <c r="F95" s="9">
        <v>0</v>
      </c>
      <c r="G95" s="9">
        <v>0</v>
      </c>
      <c r="H95" s="9">
        <v>0</v>
      </c>
      <c r="I95" s="9">
        <v>0</v>
      </c>
      <c r="J95" s="9">
        <v>23973.94</v>
      </c>
    </row>
    <row r="96" spans="1:10" ht="15.75" x14ac:dyDescent="0.25">
      <c r="A96" s="21">
        <v>45322</v>
      </c>
      <c r="B96" t="str">
        <f>IFERROR(IF(VLOOKUP(C96,Hoja1!$B$1:$C$6191,2,0)="",_xlfn.XLOOKUP(C96,Hoja1!$B$2:$B$6191,Hoja1!$A$2:$A$6191),VLOOKUP(C96,Hoja1!$B$1:$C$6191,2,0)),"No esta en Infor")</f>
        <v>NAC0613</v>
      </c>
      <c r="C96" s="19" t="s">
        <v>101</v>
      </c>
      <c r="D96" s="9">
        <v>340.79</v>
      </c>
      <c r="E96" s="9">
        <v>-81.599999999999994</v>
      </c>
      <c r="F96" s="9">
        <v>0</v>
      </c>
      <c r="G96" s="9">
        <v>0</v>
      </c>
      <c r="H96" s="9">
        <v>0</v>
      </c>
      <c r="I96" s="9">
        <v>0</v>
      </c>
      <c r="J96" s="9">
        <v>259.19</v>
      </c>
    </row>
    <row r="97" spans="1:10" ht="15.75" x14ac:dyDescent="0.25">
      <c r="A97" s="21">
        <v>45322</v>
      </c>
      <c r="B97" t="str">
        <f>IFERROR(IF(VLOOKUP(C97,Hoja1!$B$1:$C$6191,2,0)="",_xlfn.XLOOKUP(C97,Hoja1!$B$2:$B$6191,Hoja1!$A$2:$A$6191),VLOOKUP(C97,Hoja1!$B$1:$C$6191,2,0)),"No esta en Infor")</f>
        <v>NAC0614</v>
      </c>
      <c r="C97" s="19" t="s">
        <v>102</v>
      </c>
      <c r="D97" s="9">
        <v>8020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8020</v>
      </c>
    </row>
    <row r="98" spans="1:10" ht="15.75" x14ac:dyDescent="0.25">
      <c r="A98" s="21">
        <v>45322</v>
      </c>
      <c r="B98" t="str">
        <f>IFERROR(IF(VLOOKUP(C98,Hoja1!$B$1:$C$6191,2,0)="",_xlfn.XLOOKUP(C98,Hoja1!$B$2:$B$6191,Hoja1!$A$2:$A$6191),VLOOKUP(C98,Hoja1!$B$1:$C$6191,2,0)),"No esta en Infor")</f>
        <v>NAC0616</v>
      </c>
      <c r="C98" s="19" t="s">
        <v>103</v>
      </c>
      <c r="D98" s="9">
        <v>982.04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982.04</v>
      </c>
    </row>
    <row r="99" spans="1:10" ht="15.75" x14ac:dyDescent="0.25">
      <c r="A99" s="21">
        <v>45322</v>
      </c>
      <c r="B99" t="str">
        <f>IFERROR(IF(VLOOKUP(C99,Hoja1!$B$1:$C$6191,2,0)="",_xlfn.XLOOKUP(C99,Hoja1!$B$2:$B$6191,Hoja1!$A$2:$A$6191),VLOOKUP(C99,Hoja1!$B$1:$C$6191,2,0)),"No esta en Infor")</f>
        <v>SH00320</v>
      </c>
      <c r="C99" s="19" t="s">
        <v>104</v>
      </c>
      <c r="D99" s="9">
        <v>0</v>
      </c>
      <c r="E99" s="9">
        <v>38.700000000000003</v>
      </c>
      <c r="F99" s="9">
        <v>0</v>
      </c>
      <c r="G99" s="9">
        <v>0</v>
      </c>
      <c r="H99" s="9">
        <v>0</v>
      </c>
      <c r="I99" s="9">
        <v>0</v>
      </c>
      <c r="J99" s="9">
        <v>38.700000000000003</v>
      </c>
    </row>
    <row r="100" spans="1:10" ht="15.75" x14ac:dyDescent="0.25">
      <c r="A100" s="21">
        <v>45322</v>
      </c>
      <c r="B100" t="str">
        <f>IFERROR(IF(VLOOKUP(C100,Hoja1!$B$1:$C$6191,2,0)="",_xlfn.XLOOKUP(C100,Hoja1!$B$2:$B$6191,Hoja1!$A$2:$A$6191),VLOOKUP(C100,Hoja1!$B$1:$C$6191,2,0)),"No esta en Infor")</f>
        <v>NAC0624</v>
      </c>
      <c r="C100" s="19" t="s">
        <v>105</v>
      </c>
      <c r="D100" s="9">
        <v>-231</v>
      </c>
      <c r="E100" s="9">
        <v>52.88</v>
      </c>
      <c r="F100" s="9">
        <v>0</v>
      </c>
      <c r="G100" s="9">
        <v>0</v>
      </c>
      <c r="H100" s="9">
        <v>0</v>
      </c>
      <c r="I100" s="9">
        <v>0</v>
      </c>
      <c r="J100" s="9">
        <v>-178.12</v>
      </c>
    </row>
    <row r="101" spans="1:10" ht="15.75" x14ac:dyDescent="0.25">
      <c r="A101" s="21">
        <v>45322</v>
      </c>
      <c r="B101" t="str">
        <f>IFERROR(IF(VLOOKUP(C101,Hoja1!$B$1:$C$6191,2,0)="",_xlfn.XLOOKUP(C101,Hoja1!$B$2:$B$6191,Hoja1!$A$2:$A$6191),VLOOKUP(C101,Hoja1!$B$1:$C$6191,2,0)),"No esta en Infor")</f>
        <v>NAC1367</v>
      </c>
      <c r="C101" s="19" t="s">
        <v>424</v>
      </c>
      <c r="D101" s="9">
        <v>0</v>
      </c>
      <c r="E101" s="9">
        <v>0</v>
      </c>
      <c r="F101" s="9">
        <v>0</v>
      </c>
      <c r="G101" s="9">
        <v>0</v>
      </c>
      <c r="H101" s="9">
        <v>-199.08</v>
      </c>
      <c r="I101" s="9">
        <v>0</v>
      </c>
      <c r="J101" s="9">
        <v>-199.08</v>
      </c>
    </row>
    <row r="102" spans="1:10" ht="15.75" x14ac:dyDescent="0.25">
      <c r="A102" s="21">
        <v>45322</v>
      </c>
      <c r="B102" t="str">
        <f>IFERROR(IF(VLOOKUP(C102,Hoja1!$B$1:$C$6191,2,0)="",_xlfn.XLOOKUP(C102,Hoja1!$B$2:$B$6191,Hoja1!$A$2:$A$6191),VLOOKUP(C102,Hoja1!$B$1:$C$6191,2,0)),"No esta en Infor")</f>
        <v>SH00367</v>
      </c>
      <c r="C102" s="19" t="s">
        <v>106</v>
      </c>
      <c r="D102" s="9">
        <v>0</v>
      </c>
      <c r="E102" s="9">
        <v>126.39</v>
      </c>
      <c r="F102" s="9">
        <v>0</v>
      </c>
      <c r="G102" s="9">
        <v>0</v>
      </c>
      <c r="H102" s="9">
        <v>0</v>
      </c>
      <c r="I102" s="9">
        <v>0</v>
      </c>
      <c r="J102" s="9">
        <v>126.39</v>
      </c>
    </row>
    <row r="103" spans="1:10" ht="15.75" x14ac:dyDescent="0.25">
      <c r="A103" s="21">
        <v>45322</v>
      </c>
      <c r="B103" t="str">
        <f>IFERROR(IF(VLOOKUP(C103,Hoja1!$B$1:$C$6191,2,0)="",_xlfn.XLOOKUP(C103,Hoja1!$B$2:$B$6191,Hoja1!$A$2:$A$6191),VLOOKUP(C103,Hoja1!$B$1:$C$6191,2,0)),"No esta en Infor")</f>
        <v>CAN0007</v>
      </c>
      <c r="C103" s="19" t="s">
        <v>107</v>
      </c>
      <c r="D103" s="9">
        <v>-15.48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-15.48</v>
      </c>
    </row>
    <row r="104" spans="1:10" ht="15.75" x14ac:dyDescent="0.25">
      <c r="A104" s="21">
        <v>45322</v>
      </c>
      <c r="B104" t="str">
        <f>IFERROR(IF(VLOOKUP(C104,Hoja1!$B$1:$C$6191,2,0)="",_xlfn.XLOOKUP(C104,Hoja1!$B$2:$B$6191,Hoja1!$A$2:$A$6191),VLOOKUP(C104,Hoja1!$B$1:$C$6191,2,0)),"No esta en Infor")</f>
        <v>NAC0632</v>
      </c>
      <c r="C104" s="19" t="s">
        <v>108</v>
      </c>
      <c r="D104" s="9">
        <v>0</v>
      </c>
      <c r="E104" s="9">
        <v>1525.22</v>
      </c>
      <c r="F104" s="9">
        <v>0</v>
      </c>
      <c r="G104" s="9">
        <v>0</v>
      </c>
      <c r="H104" s="9">
        <v>0</v>
      </c>
      <c r="I104" s="9">
        <v>0</v>
      </c>
      <c r="J104" s="9">
        <v>1525.22</v>
      </c>
    </row>
    <row r="105" spans="1:10" ht="15.75" x14ac:dyDescent="0.25">
      <c r="A105" s="21">
        <v>45322</v>
      </c>
      <c r="B105" t="str">
        <f>IFERROR(IF(VLOOKUP(C105,Hoja1!$B$1:$C$6191,2,0)="",_xlfn.XLOOKUP(C105,Hoja1!$B$2:$B$6191,Hoja1!$A$2:$A$6191),VLOOKUP(C105,Hoja1!$B$1:$C$6191,2,0)),"No esta en Infor")</f>
        <v>SH00401</v>
      </c>
      <c r="C105" s="19" t="s">
        <v>109</v>
      </c>
      <c r="D105" s="9">
        <v>0</v>
      </c>
      <c r="E105" s="9">
        <v>56.81</v>
      </c>
      <c r="F105" s="9">
        <v>0</v>
      </c>
      <c r="G105" s="9">
        <v>0</v>
      </c>
      <c r="H105" s="9">
        <v>0</v>
      </c>
      <c r="I105" s="9">
        <v>0</v>
      </c>
      <c r="J105" s="9">
        <v>56.81</v>
      </c>
    </row>
    <row r="106" spans="1:10" ht="15.75" x14ac:dyDescent="0.25">
      <c r="A106" s="21">
        <v>45322</v>
      </c>
      <c r="B106" t="str">
        <f>IFERROR(IF(VLOOKUP(C106,Hoja1!$B$1:$C$6191,2,0)="",_xlfn.XLOOKUP(C106,Hoja1!$B$2:$B$6191,Hoja1!$A$2:$A$6191),VLOOKUP(C106,Hoja1!$B$1:$C$6191,2,0)),"No esta en Infor")</f>
        <v>NAC0645</v>
      </c>
      <c r="C106" s="19" t="s">
        <v>110</v>
      </c>
      <c r="D106" s="9">
        <v>0</v>
      </c>
      <c r="E106" s="9">
        <v>293.57</v>
      </c>
      <c r="F106" s="9">
        <v>0</v>
      </c>
      <c r="G106" s="9">
        <v>0</v>
      </c>
      <c r="H106" s="9">
        <v>0</v>
      </c>
      <c r="I106" s="9">
        <v>0</v>
      </c>
      <c r="J106" s="9">
        <v>293.57</v>
      </c>
    </row>
    <row r="107" spans="1:10" ht="15.75" x14ac:dyDescent="0.25">
      <c r="A107" s="21">
        <v>45322</v>
      </c>
      <c r="B107" t="str">
        <f>IFERROR(IF(VLOOKUP(C107,Hoja1!$B$1:$C$6191,2,0)="",_xlfn.XLOOKUP(C107,Hoja1!$B$2:$B$6191,Hoja1!$A$2:$A$6191),VLOOKUP(C107,Hoja1!$B$1:$C$6191,2,0)),"No esta en Infor")</f>
        <v>No esta en Infor</v>
      </c>
      <c r="C107" s="19" t="s">
        <v>111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</row>
    <row r="108" spans="1:10" ht="15.75" x14ac:dyDescent="0.25">
      <c r="A108" s="21">
        <v>45322</v>
      </c>
      <c r="B108" t="str">
        <f>IFERROR(IF(VLOOKUP(C108,Hoja1!$B$1:$C$6191,2,0)="",_xlfn.XLOOKUP(C108,Hoja1!$B$2:$B$6191,Hoja1!$A$2:$A$6191),VLOOKUP(C108,Hoja1!$B$1:$C$6191,2,0)),"No esta en Infor")</f>
        <v>NAC0646</v>
      </c>
      <c r="C108" s="19" t="s">
        <v>112</v>
      </c>
      <c r="D108" s="9">
        <v>1168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1168</v>
      </c>
    </row>
    <row r="109" spans="1:10" ht="15.75" x14ac:dyDescent="0.25">
      <c r="A109" s="21">
        <v>45322</v>
      </c>
      <c r="B109" t="str">
        <f>IFERROR(IF(VLOOKUP(C109,Hoja1!$B$1:$C$6191,2,0)="",_xlfn.XLOOKUP(C109,Hoja1!$B$2:$B$6191,Hoja1!$A$2:$A$6191),VLOOKUP(C109,Hoja1!$B$1:$C$6191,2,0)),"No esta en Infor")</f>
        <v>NAC0652</v>
      </c>
      <c r="C109" s="19" t="s">
        <v>113</v>
      </c>
      <c r="D109" s="9">
        <v>259.62</v>
      </c>
      <c r="E109" s="9">
        <v>127.33</v>
      </c>
      <c r="F109" s="9">
        <v>0</v>
      </c>
      <c r="G109" s="9">
        <v>0</v>
      </c>
      <c r="H109" s="9">
        <v>0</v>
      </c>
      <c r="I109" s="9">
        <v>0</v>
      </c>
      <c r="J109" s="9">
        <v>386.95</v>
      </c>
    </row>
    <row r="110" spans="1:10" ht="15.75" x14ac:dyDescent="0.25">
      <c r="A110" s="21">
        <v>45322</v>
      </c>
      <c r="B110" t="str">
        <f>IFERROR(IF(VLOOKUP(C110,Hoja1!$B$1:$C$6191,2,0)="",_xlfn.XLOOKUP(C110,Hoja1!$B$2:$B$6191,Hoja1!$A$2:$A$6191),VLOOKUP(C110,Hoja1!$B$1:$C$6191,2,0)),"No esta en Infor")</f>
        <v>NAC0657</v>
      </c>
      <c r="C110" s="19" t="s">
        <v>114</v>
      </c>
      <c r="D110" s="9">
        <v>2960</v>
      </c>
      <c r="E110" s="9">
        <v>2915</v>
      </c>
      <c r="F110" s="9">
        <v>0</v>
      </c>
      <c r="G110" s="9">
        <v>0</v>
      </c>
      <c r="H110" s="9">
        <v>0</v>
      </c>
      <c r="I110" s="9">
        <v>0</v>
      </c>
      <c r="J110" s="9">
        <v>5875</v>
      </c>
    </row>
    <row r="111" spans="1:10" ht="15.75" x14ac:dyDescent="0.25">
      <c r="A111" s="21">
        <v>45322</v>
      </c>
      <c r="B111" t="str">
        <f>IFERROR(IF(VLOOKUP(C111,Hoja1!$B$1:$C$6191,2,0)="",_xlfn.XLOOKUP(C111,Hoja1!$B$2:$B$6191,Hoja1!$A$2:$A$6191),VLOOKUP(C111,Hoja1!$B$1:$C$6191,2,0)),"No esta en Infor")</f>
        <v>CAN0008</v>
      </c>
      <c r="C111" s="19" t="s">
        <v>115</v>
      </c>
      <c r="D111" s="9">
        <v>0</v>
      </c>
      <c r="E111" s="9">
        <v>20</v>
      </c>
      <c r="F111" s="9">
        <v>0</v>
      </c>
      <c r="G111" s="9">
        <v>0</v>
      </c>
      <c r="H111" s="9">
        <v>0</v>
      </c>
      <c r="I111" s="9">
        <v>0</v>
      </c>
      <c r="J111" s="9">
        <v>20</v>
      </c>
    </row>
    <row r="112" spans="1:10" ht="15.75" x14ac:dyDescent="0.25">
      <c r="A112" s="21">
        <v>45322</v>
      </c>
      <c r="B112" t="str">
        <f>IFERROR(IF(VLOOKUP(C112,Hoja1!$B$1:$C$6191,2,0)="",_xlfn.XLOOKUP(C112,Hoja1!$B$2:$B$6191,Hoja1!$A$2:$A$6191),VLOOKUP(C112,Hoja1!$B$1:$C$6191,2,0)),"No esta en Infor")</f>
        <v>CAN0009</v>
      </c>
      <c r="C112" s="19" t="s">
        <v>116</v>
      </c>
      <c r="D112" s="9">
        <v>562.14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562.14</v>
      </c>
    </row>
    <row r="113" spans="1:10" ht="15.75" x14ac:dyDescent="0.25">
      <c r="A113" s="21">
        <v>45322</v>
      </c>
      <c r="B113" t="str">
        <f>IFERROR(IF(VLOOKUP(C113,Hoja1!$B$1:$C$6191,2,0)="",_xlfn.XLOOKUP(C113,Hoja1!$B$2:$B$6191,Hoja1!$A$2:$A$6191),VLOOKUP(C113,Hoja1!$B$1:$C$6191,2,0)),"No esta en Infor")</f>
        <v>NAC0665</v>
      </c>
      <c r="C113" s="19" t="s">
        <v>117</v>
      </c>
      <c r="D113" s="9">
        <v>804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804</v>
      </c>
    </row>
    <row r="114" spans="1:10" ht="15.75" x14ac:dyDescent="0.25">
      <c r="A114" s="21">
        <v>45322</v>
      </c>
      <c r="B114" t="str">
        <f>IFERROR(IF(VLOOKUP(C114,Hoja1!$B$1:$C$6191,2,0)="",_xlfn.XLOOKUP(C114,Hoja1!$B$2:$B$6191,Hoja1!$A$2:$A$6191),VLOOKUP(C114,Hoja1!$B$1:$C$6191,2,0)),"No esta en Infor")</f>
        <v>NAC0666</v>
      </c>
      <c r="C114" s="19" t="s">
        <v>118</v>
      </c>
      <c r="D114" s="9">
        <v>58329.4</v>
      </c>
      <c r="E114" s="9">
        <v>183</v>
      </c>
      <c r="F114" s="9">
        <v>0</v>
      </c>
      <c r="G114" s="9">
        <v>0</v>
      </c>
      <c r="H114" s="9">
        <v>0</v>
      </c>
      <c r="I114" s="9">
        <v>0</v>
      </c>
      <c r="J114" s="9">
        <v>58512.4</v>
      </c>
    </row>
    <row r="115" spans="1:10" ht="15.75" x14ac:dyDescent="0.25">
      <c r="A115" s="21">
        <v>45322</v>
      </c>
      <c r="B115" t="str">
        <f>IFERROR(IF(VLOOKUP(C115,Hoja1!$B$1:$C$6191,2,0)="",_xlfn.XLOOKUP(C115,Hoja1!$B$2:$B$6191,Hoja1!$A$2:$A$6191),VLOOKUP(C115,Hoja1!$B$1:$C$6191,2,0)),"No esta en Infor")</f>
        <v>NAC0669</v>
      </c>
      <c r="C115" s="19" t="s">
        <v>119</v>
      </c>
      <c r="D115" s="9">
        <v>3958</v>
      </c>
      <c r="E115" s="9">
        <v>-0.02</v>
      </c>
      <c r="F115" s="9">
        <v>0</v>
      </c>
      <c r="G115" s="9">
        <v>0</v>
      </c>
      <c r="H115" s="9">
        <v>-0.01</v>
      </c>
      <c r="I115" s="9">
        <v>0</v>
      </c>
      <c r="J115" s="9">
        <v>3957.97</v>
      </c>
    </row>
    <row r="116" spans="1:10" ht="15.75" x14ac:dyDescent="0.25">
      <c r="A116" s="21">
        <v>45322</v>
      </c>
      <c r="B116" t="str">
        <f>IFERROR(IF(VLOOKUP(C116,Hoja1!$B$1:$C$6191,2,0)="",_xlfn.XLOOKUP(C116,Hoja1!$B$2:$B$6191,Hoja1!$A$2:$A$6191),VLOOKUP(C116,Hoja1!$B$1:$C$6191,2,0)),"No esta en Infor")</f>
        <v>NAC0670</v>
      </c>
      <c r="C116" s="19" t="s">
        <v>120</v>
      </c>
      <c r="D116" s="9">
        <v>344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344</v>
      </c>
    </row>
    <row r="117" spans="1:10" ht="15.75" x14ac:dyDescent="0.25">
      <c r="A117" s="21">
        <v>45322</v>
      </c>
      <c r="B117" t="str">
        <f>IFERROR(IF(VLOOKUP(C117,Hoja1!$B$1:$C$6191,2,0)="",_xlfn.XLOOKUP(C117,Hoja1!$B$2:$B$6191,Hoja1!$A$2:$A$6191),VLOOKUP(C117,Hoja1!$B$1:$C$6191,2,0)),"No esta en Infor")</f>
        <v>CAN0011</v>
      </c>
      <c r="C117" s="19" t="s">
        <v>121</v>
      </c>
      <c r="D117" s="9">
        <v>28521.200000000001</v>
      </c>
      <c r="E117" s="9">
        <v>381.94</v>
      </c>
      <c r="F117" s="9">
        <v>0</v>
      </c>
      <c r="G117" s="9">
        <v>0</v>
      </c>
      <c r="H117" s="9">
        <v>0</v>
      </c>
      <c r="I117" s="9">
        <v>0</v>
      </c>
      <c r="J117" s="9">
        <v>28903.14</v>
      </c>
    </row>
    <row r="118" spans="1:10" ht="15.75" x14ac:dyDescent="0.25">
      <c r="A118" s="21">
        <v>45322</v>
      </c>
      <c r="B118" t="str">
        <f>IFERROR(IF(VLOOKUP(C118,Hoja1!$B$1:$C$6191,2,0)="",_xlfn.XLOOKUP(C118,Hoja1!$B$2:$B$6191,Hoja1!$A$2:$A$6191),VLOOKUP(C118,Hoja1!$B$1:$C$6191,2,0)),"No esta en Infor")</f>
        <v>NAC0672</v>
      </c>
      <c r="C118" s="19" t="s">
        <v>122</v>
      </c>
      <c r="D118" s="9">
        <v>0</v>
      </c>
      <c r="E118" s="9">
        <v>0</v>
      </c>
      <c r="F118" s="9">
        <v>27860.53</v>
      </c>
      <c r="G118" s="9">
        <v>0</v>
      </c>
      <c r="H118" s="9">
        <v>0</v>
      </c>
      <c r="I118" s="9">
        <v>0</v>
      </c>
      <c r="J118" s="9">
        <v>27860.53</v>
      </c>
    </row>
    <row r="119" spans="1:10" ht="15.75" x14ac:dyDescent="0.25">
      <c r="A119" s="21">
        <v>45322</v>
      </c>
      <c r="B119" t="str">
        <f>IFERROR(IF(VLOOKUP(C119,Hoja1!$B$1:$C$6191,2,0)="",_xlfn.XLOOKUP(C119,Hoja1!$B$2:$B$6191,Hoja1!$A$2:$A$6191),VLOOKUP(C119,Hoja1!$B$1:$C$6191,2,0)),"No esta en Infor")</f>
        <v>SH00498</v>
      </c>
      <c r="C119" s="19" t="s">
        <v>123</v>
      </c>
      <c r="D119" s="9">
        <v>0</v>
      </c>
      <c r="E119" s="9">
        <v>78.38</v>
      </c>
      <c r="F119" s="9">
        <v>0</v>
      </c>
      <c r="G119" s="9">
        <v>0</v>
      </c>
      <c r="H119" s="9">
        <v>0</v>
      </c>
      <c r="I119" s="9">
        <v>0</v>
      </c>
      <c r="J119" s="9">
        <v>78.38</v>
      </c>
    </row>
    <row r="120" spans="1:10" ht="15.75" x14ac:dyDescent="0.25">
      <c r="A120" s="21">
        <v>45322</v>
      </c>
      <c r="B120" t="str">
        <f>IFERROR(IF(VLOOKUP(C120,Hoja1!$B$1:$C$6191,2,0)="",_xlfn.XLOOKUP(C120,Hoja1!$B$2:$B$6191,Hoja1!$A$2:$A$6191),VLOOKUP(C120,Hoja1!$B$1:$C$6191,2,0)),"No esta en Infor")</f>
        <v>NAC0675</v>
      </c>
      <c r="C120" s="19" t="s">
        <v>124</v>
      </c>
      <c r="D120" s="9">
        <v>0</v>
      </c>
      <c r="E120" s="9">
        <v>-787.89</v>
      </c>
      <c r="F120" s="9">
        <v>0</v>
      </c>
      <c r="G120" s="9">
        <v>0</v>
      </c>
      <c r="H120" s="9">
        <v>0</v>
      </c>
      <c r="I120" s="9">
        <v>0</v>
      </c>
      <c r="J120" s="9">
        <v>-787.89</v>
      </c>
    </row>
    <row r="121" spans="1:10" ht="15.75" x14ac:dyDescent="0.25">
      <c r="A121" s="21">
        <v>45322</v>
      </c>
      <c r="B121" t="str">
        <f>IFERROR(IF(VLOOKUP(C121,Hoja1!$B$1:$C$6191,2,0)="",_xlfn.XLOOKUP(C121,Hoja1!$B$2:$B$6191,Hoja1!$A$2:$A$6191),VLOOKUP(C121,Hoja1!$B$1:$C$6191,2,0)),"No esta en Infor")</f>
        <v>NAC0680</v>
      </c>
      <c r="C121" s="19" t="s">
        <v>125</v>
      </c>
      <c r="D121" s="9">
        <v>116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116</v>
      </c>
    </row>
    <row r="122" spans="1:10" ht="15.75" x14ac:dyDescent="0.25">
      <c r="A122" s="21">
        <v>45322</v>
      </c>
      <c r="B122" t="str">
        <f>IFERROR(IF(VLOOKUP(C122,Hoja1!$B$1:$C$6191,2,0)="",_xlfn.XLOOKUP(C122,Hoja1!$B$2:$B$6191,Hoja1!$A$2:$A$6191),VLOOKUP(C122,Hoja1!$B$1:$C$6191,2,0)),"No esta en Infor")</f>
        <v>SH00517</v>
      </c>
      <c r="C122" s="19" t="s">
        <v>126</v>
      </c>
      <c r="D122" s="9">
        <v>341.53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341.53</v>
      </c>
    </row>
    <row r="123" spans="1:10" ht="15.75" x14ac:dyDescent="0.25">
      <c r="A123" s="21">
        <v>45322</v>
      </c>
      <c r="B123" t="str">
        <f>IFERROR(IF(VLOOKUP(C123,Hoja1!$B$1:$C$6191,2,0)="",_xlfn.XLOOKUP(C123,Hoja1!$B$2:$B$6191,Hoja1!$A$2:$A$6191),VLOOKUP(C123,Hoja1!$B$1:$C$6191,2,0)),"No esta en Infor")</f>
        <v>NAC0682</v>
      </c>
      <c r="C123" s="19" t="s">
        <v>127</v>
      </c>
      <c r="D123" s="9">
        <v>681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681</v>
      </c>
    </row>
    <row r="124" spans="1:10" ht="15.75" x14ac:dyDescent="0.25">
      <c r="A124" s="21">
        <v>45322</v>
      </c>
      <c r="B124" t="str">
        <f>IFERROR(IF(VLOOKUP(C124,Hoja1!$B$1:$C$6191,2,0)="",_xlfn.XLOOKUP(C124,Hoja1!$B$2:$B$6191,Hoja1!$A$2:$A$6191),VLOOKUP(C124,Hoja1!$B$1:$C$6191,2,0)),"No esta en Infor")</f>
        <v>NAC0687</v>
      </c>
      <c r="C124" s="19" t="s">
        <v>128</v>
      </c>
      <c r="D124" s="9">
        <v>0</v>
      </c>
      <c r="E124" s="9">
        <v>-4768.2</v>
      </c>
      <c r="F124" s="9">
        <v>0</v>
      </c>
      <c r="G124" s="9">
        <v>0</v>
      </c>
      <c r="H124" s="9">
        <v>0</v>
      </c>
      <c r="I124" s="9">
        <v>0</v>
      </c>
      <c r="J124" s="9">
        <v>-4768.2</v>
      </c>
    </row>
    <row r="125" spans="1:10" ht="15.75" x14ac:dyDescent="0.25">
      <c r="A125" s="21">
        <v>45322</v>
      </c>
      <c r="B125" t="str">
        <f>IFERROR(IF(VLOOKUP(C125,Hoja1!$B$1:$C$6191,2,0)="",_xlfn.XLOOKUP(C125,Hoja1!$B$2:$B$6191,Hoja1!$A$2:$A$6191),VLOOKUP(C125,Hoja1!$B$1:$C$6191,2,0)),"No esta en Infor")</f>
        <v>SH00610</v>
      </c>
      <c r="C125" s="19" t="s">
        <v>129</v>
      </c>
      <c r="D125" s="9">
        <v>0</v>
      </c>
      <c r="E125" s="9">
        <v>53.53</v>
      </c>
      <c r="F125" s="9">
        <v>0</v>
      </c>
      <c r="G125" s="9">
        <v>0</v>
      </c>
      <c r="H125" s="9">
        <v>0</v>
      </c>
      <c r="I125" s="9">
        <v>0</v>
      </c>
      <c r="J125" s="9">
        <v>53.53</v>
      </c>
    </row>
    <row r="126" spans="1:10" ht="15.75" x14ac:dyDescent="0.25">
      <c r="A126" s="21">
        <v>45322</v>
      </c>
      <c r="B126" t="str">
        <f>IFERROR(IF(VLOOKUP(C126,Hoja1!$B$1:$C$6191,2,0)="",_xlfn.XLOOKUP(C126,Hoja1!$B$2:$B$6191,Hoja1!$A$2:$A$6191),VLOOKUP(C126,Hoja1!$B$1:$C$6191,2,0)),"No esta en Infor")</f>
        <v>INT0052</v>
      </c>
      <c r="C126" s="19" t="s">
        <v>130</v>
      </c>
      <c r="D126" s="9">
        <v>3968.63</v>
      </c>
      <c r="E126" s="9">
        <v>3586.95</v>
      </c>
      <c r="F126" s="9">
        <v>11415.76</v>
      </c>
      <c r="G126" s="9">
        <v>45.88</v>
      </c>
      <c r="H126" s="9">
        <v>-11.6</v>
      </c>
      <c r="I126" s="9">
        <v>0</v>
      </c>
      <c r="J126" s="9">
        <v>19005.62</v>
      </c>
    </row>
    <row r="127" spans="1:10" ht="15.75" x14ac:dyDescent="0.25">
      <c r="A127" s="21">
        <v>45322</v>
      </c>
      <c r="B127" t="str">
        <f>IFERROR(IF(VLOOKUP(C127,Hoja1!$B$1:$C$6191,2,0)="",_xlfn.XLOOKUP(C127,Hoja1!$B$2:$B$6191,Hoja1!$A$2:$A$6191),VLOOKUP(C127,Hoja1!$B$1:$C$6191,2,0)),"No esta en Infor")</f>
        <v>INT0007</v>
      </c>
      <c r="C127" s="19" t="s">
        <v>131</v>
      </c>
      <c r="D127" s="9">
        <v>1382682.47</v>
      </c>
      <c r="E127" s="9">
        <v>101371.01</v>
      </c>
      <c r="F127" s="9">
        <v>705068.31</v>
      </c>
      <c r="G127" s="9">
        <v>883041.12</v>
      </c>
      <c r="H127" s="9">
        <v>504556.09</v>
      </c>
      <c r="I127" s="9">
        <v>-0.11</v>
      </c>
      <c r="J127" s="9">
        <v>3576718.89</v>
      </c>
    </row>
    <row r="128" spans="1:10" ht="15.75" x14ac:dyDescent="0.25">
      <c r="A128" s="21">
        <v>45322</v>
      </c>
      <c r="B128" t="str">
        <f>IFERROR(IF(VLOOKUP(C128,Hoja1!$B$1:$C$6191,2,0)="",_xlfn.XLOOKUP(C128,Hoja1!$B$2:$B$6191,Hoja1!$A$2:$A$6191),VLOOKUP(C128,Hoja1!$B$1:$C$6191,2,0)),"No esta en Infor")</f>
        <v>INT0006</v>
      </c>
      <c r="C128" s="19" t="s">
        <v>132</v>
      </c>
      <c r="D128" s="9">
        <v>161322.93</v>
      </c>
      <c r="E128" s="9">
        <v>20818.3</v>
      </c>
      <c r="F128" s="9">
        <v>0</v>
      </c>
      <c r="G128" s="9">
        <v>0</v>
      </c>
      <c r="H128" s="9">
        <v>97133.82</v>
      </c>
      <c r="I128" s="9">
        <v>14.18</v>
      </c>
      <c r="J128" s="9">
        <v>279289.23</v>
      </c>
    </row>
    <row r="129" spans="1:10" ht="15.75" x14ac:dyDescent="0.25">
      <c r="A129" s="21">
        <v>45322</v>
      </c>
      <c r="B129" t="str">
        <f>IFERROR(IF(VLOOKUP(C129,Hoja1!$B$1:$C$6191,2,0)="",_xlfn.XLOOKUP(C129,Hoja1!$B$2:$B$6191,Hoja1!$A$2:$A$6191),VLOOKUP(C129,Hoja1!$B$1:$C$6191,2,0)),"No esta en Infor")</f>
        <v>INT0002</v>
      </c>
      <c r="C129" s="19" t="s">
        <v>133</v>
      </c>
      <c r="D129" s="9">
        <v>35423.39</v>
      </c>
      <c r="E129" s="9">
        <v>19966.23</v>
      </c>
      <c r="F129" s="9">
        <v>0</v>
      </c>
      <c r="G129" s="9">
        <v>0</v>
      </c>
      <c r="H129" s="9">
        <v>0</v>
      </c>
      <c r="I129" s="9">
        <v>0</v>
      </c>
      <c r="J129" s="9">
        <v>55389.62</v>
      </c>
    </row>
    <row r="130" spans="1:10" ht="15.75" x14ac:dyDescent="0.25">
      <c r="A130" s="21">
        <v>45322</v>
      </c>
      <c r="B130" t="str">
        <f>IFERROR(IF(VLOOKUP(C130,Hoja1!$B$1:$C$6191,2,0)="",_xlfn.XLOOKUP(C130,Hoja1!$B$2:$B$6191,Hoja1!$A$2:$A$6191),VLOOKUP(C130,Hoja1!$B$1:$C$6191,2,0)),"No esta en Infor")</f>
        <v>INT0001</v>
      </c>
      <c r="C130" s="19" t="s">
        <v>134</v>
      </c>
      <c r="D130" s="9">
        <v>53282.41</v>
      </c>
      <c r="E130" s="9">
        <v>0</v>
      </c>
      <c r="F130" s="9">
        <v>-531.94000000000005</v>
      </c>
      <c r="G130" s="9">
        <v>0</v>
      </c>
      <c r="H130" s="9">
        <v>0</v>
      </c>
      <c r="I130" s="9">
        <v>0</v>
      </c>
      <c r="J130" s="9">
        <v>52750.47</v>
      </c>
    </row>
    <row r="131" spans="1:10" ht="15.75" x14ac:dyDescent="0.25">
      <c r="A131" s="21">
        <v>45322</v>
      </c>
      <c r="B131" t="str">
        <f>IFERROR(IF(VLOOKUP(C131,Hoja1!$B$1:$C$6191,2,0)="",_xlfn.XLOOKUP(C131,Hoja1!$B$2:$B$6191,Hoja1!$A$2:$A$6191),VLOOKUP(C131,Hoja1!$B$1:$C$6191,2,0)),"No esta en Infor")</f>
        <v>INT0065</v>
      </c>
      <c r="C131" s="19" t="s">
        <v>135</v>
      </c>
      <c r="D131" s="9">
        <v>14374.78</v>
      </c>
      <c r="E131" s="9">
        <v>-3019.42</v>
      </c>
      <c r="F131" s="9">
        <v>0</v>
      </c>
      <c r="G131" s="9">
        <v>-14950</v>
      </c>
      <c r="H131" s="9">
        <v>0</v>
      </c>
      <c r="I131" s="9">
        <v>0</v>
      </c>
      <c r="J131" s="9">
        <v>-3594.64</v>
      </c>
    </row>
    <row r="132" spans="1:10" ht="15.75" x14ac:dyDescent="0.25">
      <c r="A132" s="21">
        <v>45322</v>
      </c>
      <c r="B132" t="str">
        <f>IFERROR(IF(VLOOKUP(C132,Hoja1!$B$1:$C$6191,2,0)="",_xlfn.XLOOKUP(C132,Hoja1!$B$2:$B$6191,Hoja1!$A$2:$A$6191),VLOOKUP(C132,Hoja1!$B$1:$C$6191,2,0)),"No esta en Infor")</f>
        <v>INT0009</v>
      </c>
      <c r="C132" t="s">
        <v>658</v>
      </c>
      <c r="D132" s="9">
        <v>15174.23</v>
      </c>
      <c r="E132" s="9">
        <v>852.38</v>
      </c>
      <c r="F132" s="9">
        <v>0</v>
      </c>
      <c r="G132" s="9">
        <v>-14950</v>
      </c>
      <c r="H132" s="9">
        <v>0</v>
      </c>
      <c r="I132" s="9">
        <v>0</v>
      </c>
      <c r="J132" s="9">
        <v>1076.6099999999999</v>
      </c>
    </row>
    <row r="133" spans="1:10" ht="15.75" x14ac:dyDescent="0.25">
      <c r="A133" s="21">
        <v>45322</v>
      </c>
      <c r="B133" t="str">
        <f>IFERROR(IF(VLOOKUP(C133,Hoja1!$B$1:$C$6191,2,0)="",_xlfn.XLOOKUP(C133,Hoja1!$B$2:$B$6191,Hoja1!$A$2:$A$6191),VLOOKUP(C133,Hoja1!$B$1:$C$6191,2,0)),"No esta en Infor")</f>
        <v>INT0060</v>
      </c>
      <c r="C133" s="19" t="s">
        <v>136</v>
      </c>
      <c r="D133" s="9">
        <v>1400.6</v>
      </c>
      <c r="E133" s="9">
        <v>5624.76</v>
      </c>
      <c r="F133" s="9">
        <v>1224</v>
      </c>
      <c r="G133" s="9">
        <v>4197.5</v>
      </c>
      <c r="H133" s="9">
        <v>0</v>
      </c>
      <c r="I133" s="9">
        <v>15030.43</v>
      </c>
      <c r="J133" s="9">
        <v>27477.29</v>
      </c>
    </row>
    <row r="134" spans="1:10" ht="15.75" x14ac:dyDescent="0.25">
      <c r="A134" s="21">
        <v>45322</v>
      </c>
      <c r="B134" t="str">
        <f>IFERROR(IF(VLOOKUP(C134,Hoja1!$B$1:$C$6191,2,0)="",_xlfn.XLOOKUP(C134,Hoja1!$B$2:$B$6191,Hoja1!$A$2:$A$6191),VLOOKUP(C134,Hoja1!$B$1:$C$6191,2,0)),"No esta en Infor")</f>
        <v>NAC0700</v>
      </c>
      <c r="C134" s="19" t="s">
        <v>137</v>
      </c>
      <c r="D134" s="9">
        <v>2629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2629</v>
      </c>
    </row>
    <row r="135" spans="1:10" ht="15.75" x14ac:dyDescent="0.25">
      <c r="A135" s="21">
        <v>45322</v>
      </c>
      <c r="B135" t="str">
        <f>IFERROR(IF(VLOOKUP(C135,Hoja1!$B$1:$C$6191,2,0)="",_xlfn.XLOOKUP(C135,Hoja1!$B$2:$B$6191,Hoja1!$A$2:$A$6191),VLOOKUP(C135,Hoja1!$B$1:$C$6191,2,0)),"No esta en Infor")</f>
        <v>NAC0704</v>
      </c>
      <c r="C135" s="19" t="s">
        <v>138</v>
      </c>
      <c r="D135" s="9">
        <v>24194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24194</v>
      </c>
    </row>
    <row r="136" spans="1:10" ht="15.75" x14ac:dyDescent="0.25">
      <c r="A136" s="21">
        <v>45322</v>
      </c>
      <c r="B136" t="str">
        <f>IFERROR(IF(VLOOKUP(C136,Hoja1!$B$1:$C$6191,2,0)="",_xlfn.XLOOKUP(C136,Hoja1!$B$2:$B$6191,Hoja1!$A$2:$A$6191),VLOOKUP(C136,Hoja1!$B$1:$C$6191,2,0)),"No esta en Infor")</f>
        <v>NAC0706</v>
      </c>
      <c r="C136" s="19" t="s">
        <v>139</v>
      </c>
      <c r="D136" s="9">
        <v>0</v>
      </c>
      <c r="E136" s="9">
        <v>667.38</v>
      </c>
      <c r="F136" s="9">
        <v>0</v>
      </c>
      <c r="G136" s="9">
        <v>0</v>
      </c>
      <c r="H136" s="9">
        <v>0</v>
      </c>
      <c r="I136" s="9">
        <v>0</v>
      </c>
      <c r="J136" s="9">
        <v>667.38</v>
      </c>
    </row>
    <row r="137" spans="1:10" ht="15.75" x14ac:dyDescent="0.25">
      <c r="A137" s="21">
        <v>45322</v>
      </c>
      <c r="B137" t="str">
        <f>IFERROR(IF(VLOOKUP(C137,Hoja1!$B$1:$C$6191,2,0)="",_xlfn.XLOOKUP(C137,Hoja1!$B$2:$B$6191,Hoja1!$A$2:$A$6191),VLOOKUP(C137,Hoja1!$B$1:$C$6191,2,0)),"No esta en Infor")</f>
        <v>NAC0710</v>
      </c>
      <c r="C137" s="19" t="s">
        <v>140</v>
      </c>
      <c r="D137" s="9">
        <v>1303</v>
      </c>
      <c r="E137" s="9">
        <v>13157</v>
      </c>
      <c r="F137" s="9">
        <v>0</v>
      </c>
      <c r="G137" s="9">
        <v>0</v>
      </c>
      <c r="H137" s="9">
        <v>0</v>
      </c>
      <c r="I137" s="9">
        <v>0</v>
      </c>
      <c r="J137" s="9">
        <v>14460</v>
      </c>
    </row>
    <row r="138" spans="1:10" ht="15.75" x14ac:dyDescent="0.25">
      <c r="A138" s="21">
        <v>45322</v>
      </c>
      <c r="B138" t="str">
        <f>IFERROR(IF(VLOOKUP(C138,Hoja1!$B$1:$C$6191,2,0)="",_xlfn.XLOOKUP(C138,Hoja1!$B$2:$B$6191,Hoja1!$A$2:$A$6191),VLOOKUP(C138,Hoja1!$B$1:$C$6191,2,0)),"No esta en Infor")</f>
        <v>CAN0014</v>
      </c>
      <c r="C138" s="19" t="s">
        <v>141</v>
      </c>
      <c r="D138" s="9">
        <v>2929.35</v>
      </c>
      <c r="E138" s="9">
        <v>-119.88</v>
      </c>
      <c r="F138" s="9">
        <v>0</v>
      </c>
      <c r="G138" s="9">
        <v>0</v>
      </c>
      <c r="H138" s="9">
        <v>0</v>
      </c>
      <c r="I138" s="9">
        <v>0</v>
      </c>
      <c r="J138" s="9">
        <v>2809.47</v>
      </c>
    </row>
    <row r="139" spans="1:10" ht="15.75" x14ac:dyDescent="0.25">
      <c r="A139" s="21">
        <v>45322</v>
      </c>
      <c r="B139" t="str">
        <f>IFERROR(IF(VLOOKUP(C139,Hoja1!$B$1:$C$6191,2,0)="",_xlfn.XLOOKUP(C139,Hoja1!$B$2:$B$6191,Hoja1!$A$2:$A$6191),VLOOKUP(C139,Hoja1!$B$1:$C$6191,2,0)),"No esta en Infor")</f>
        <v>NAC0712</v>
      </c>
      <c r="C139" s="19" t="s">
        <v>142</v>
      </c>
      <c r="D139" s="9">
        <v>0</v>
      </c>
      <c r="E139" s="9">
        <v>59157.8</v>
      </c>
      <c r="F139" s="9">
        <v>0</v>
      </c>
      <c r="G139" s="9">
        <v>0</v>
      </c>
      <c r="H139" s="9">
        <v>0</v>
      </c>
      <c r="I139" s="9">
        <v>0</v>
      </c>
      <c r="J139" s="9">
        <v>59157.8</v>
      </c>
    </row>
    <row r="140" spans="1:10" ht="15.75" x14ac:dyDescent="0.25">
      <c r="A140" s="21">
        <v>45322</v>
      </c>
      <c r="B140" t="str">
        <f>IFERROR(IF(VLOOKUP(C140,Hoja1!$B$1:$C$6191,2,0)="",_xlfn.XLOOKUP(C140,Hoja1!$B$2:$B$6191,Hoja1!$A$2:$A$6191),VLOOKUP(C140,Hoja1!$B$1:$C$6191,2,0)),"No esta en Infor")</f>
        <v>FOC0023</v>
      </c>
      <c r="C140" s="19" t="s">
        <v>143</v>
      </c>
      <c r="D140" s="9">
        <v>0</v>
      </c>
      <c r="E140" s="9">
        <v>19997.16</v>
      </c>
      <c r="F140" s="9">
        <v>-18335</v>
      </c>
      <c r="G140" s="9">
        <v>18335</v>
      </c>
      <c r="H140" s="9">
        <v>0</v>
      </c>
      <c r="I140" s="9">
        <v>2188.25</v>
      </c>
      <c r="J140" s="9">
        <v>22185.41</v>
      </c>
    </row>
    <row r="141" spans="1:10" ht="15.75" x14ac:dyDescent="0.25">
      <c r="A141" s="21">
        <v>45322</v>
      </c>
      <c r="B141" t="str">
        <f>IFERROR(IF(VLOOKUP(C141,Hoja1!$B$1:$C$6191,2,0)="",_xlfn.XLOOKUP(C141,Hoja1!$B$2:$B$6191,Hoja1!$A$2:$A$6191),VLOOKUP(C141,Hoja1!$B$1:$C$6191,2,0)),"No esta en Infor")</f>
        <v>SH00642</v>
      </c>
      <c r="C141" s="19" t="s">
        <v>144</v>
      </c>
      <c r="D141" s="9">
        <v>0</v>
      </c>
      <c r="E141" s="9">
        <v>323.89</v>
      </c>
      <c r="F141" s="9">
        <v>0</v>
      </c>
      <c r="G141" s="9">
        <v>0</v>
      </c>
      <c r="H141" s="9">
        <v>0</v>
      </c>
      <c r="I141" s="9">
        <v>0</v>
      </c>
      <c r="J141" s="9">
        <v>323.89</v>
      </c>
    </row>
    <row r="142" spans="1:10" ht="15.75" x14ac:dyDescent="0.25">
      <c r="A142" s="21">
        <v>45322</v>
      </c>
      <c r="B142" t="str">
        <f>IFERROR(IF(VLOOKUP(C142,Hoja1!$B$1:$C$6191,2,0)="",_xlfn.XLOOKUP(C142,Hoja1!$B$2:$B$6191,Hoja1!$A$2:$A$6191),VLOOKUP(C142,Hoja1!$B$1:$C$6191,2,0)),"No esta en Infor")</f>
        <v>NAC0720</v>
      </c>
      <c r="C142" s="19" t="s">
        <v>145</v>
      </c>
      <c r="D142" s="9">
        <v>0</v>
      </c>
      <c r="E142" s="9">
        <v>10704</v>
      </c>
      <c r="F142" s="9">
        <v>0</v>
      </c>
      <c r="G142" s="9">
        <v>0</v>
      </c>
      <c r="H142" s="9">
        <v>0</v>
      </c>
      <c r="I142" s="9">
        <v>0</v>
      </c>
      <c r="J142" s="9">
        <v>10704</v>
      </c>
    </row>
    <row r="143" spans="1:10" ht="15.75" x14ac:dyDescent="0.25">
      <c r="A143" s="21">
        <v>45322</v>
      </c>
      <c r="B143" t="str">
        <f>IFERROR(IF(VLOOKUP(C143,Hoja1!$B$1:$C$6191,2,0)="",_xlfn.XLOOKUP(C143,Hoja1!$B$2:$B$6191,Hoja1!$A$2:$A$6191),VLOOKUP(C143,Hoja1!$B$1:$C$6191,2,0)),"No esta en Infor")</f>
        <v>NAC0723</v>
      </c>
      <c r="C143" s="19" t="s">
        <v>146</v>
      </c>
      <c r="D143" s="9">
        <v>323.27999999999997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323.27999999999997</v>
      </c>
    </row>
    <row r="144" spans="1:10" ht="15.75" x14ac:dyDescent="0.25">
      <c r="A144" s="21">
        <v>45322</v>
      </c>
      <c r="B144" t="str">
        <f>IFERROR(IF(VLOOKUP(C144,Hoja1!$B$1:$C$6191,2,0)="",_xlfn.XLOOKUP(C144,Hoja1!$B$2:$B$6191,Hoja1!$A$2:$A$6191),VLOOKUP(C144,Hoja1!$B$1:$C$6191,2,0)),"No esta en Infor")</f>
        <v>NAC0726</v>
      </c>
      <c r="C144" s="19" t="s">
        <v>147</v>
      </c>
      <c r="D144" s="9">
        <v>35329.629999999997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35329.629999999997</v>
      </c>
    </row>
    <row r="145" spans="1:10" ht="15.75" x14ac:dyDescent="0.25">
      <c r="A145" s="21">
        <v>45322</v>
      </c>
      <c r="B145" t="str">
        <f>IFERROR(IF(VLOOKUP(C145,Hoja1!$B$1:$C$6191,2,0)="",_xlfn.XLOOKUP(C145,Hoja1!$B$2:$B$6191,Hoja1!$A$2:$A$6191),VLOOKUP(C145,Hoja1!$B$1:$C$6191,2,0)),"No esta en Infor")</f>
        <v>NAC0729</v>
      </c>
      <c r="C145" s="19" t="s">
        <v>148</v>
      </c>
      <c r="D145" s="9">
        <v>2602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2602</v>
      </c>
    </row>
    <row r="146" spans="1:10" ht="15.75" x14ac:dyDescent="0.25">
      <c r="A146" s="21">
        <v>45322</v>
      </c>
      <c r="B146" t="str">
        <f>IFERROR(IF(VLOOKUP(C146,Hoja1!$B$1:$C$6191,2,0)="",_xlfn.XLOOKUP(C146,Hoja1!$B$2:$B$6191,Hoja1!$A$2:$A$6191),VLOOKUP(C146,Hoja1!$B$1:$C$6191,2,0)),"No esta en Infor")</f>
        <v>NAC0734</v>
      </c>
      <c r="C146" s="19" t="s">
        <v>149</v>
      </c>
      <c r="D146" s="9">
        <v>880.98</v>
      </c>
      <c r="E146" s="9">
        <v>181.22</v>
      </c>
      <c r="F146" s="9">
        <v>0</v>
      </c>
      <c r="G146" s="9">
        <v>0</v>
      </c>
      <c r="H146" s="9">
        <v>0</v>
      </c>
      <c r="I146" s="9">
        <v>0</v>
      </c>
      <c r="J146" s="9">
        <v>1062.2</v>
      </c>
    </row>
    <row r="147" spans="1:10" ht="15.75" x14ac:dyDescent="0.25">
      <c r="A147" s="21">
        <v>45322</v>
      </c>
      <c r="B147" t="str">
        <f>IFERROR(IF(VLOOKUP(C147,Hoja1!$B$1:$C$6191,2,0)="",_xlfn.XLOOKUP(C147,Hoja1!$B$2:$B$6191,Hoja1!$A$2:$A$6191),VLOOKUP(C147,Hoja1!$B$1:$C$6191,2,0)),"No esta en Infor")</f>
        <v>NAC0738</v>
      </c>
      <c r="C147" s="19" t="s">
        <v>150</v>
      </c>
      <c r="D147" s="9">
        <v>292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292</v>
      </c>
    </row>
    <row r="148" spans="1:10" ht="15.75" x14ac:dyDescent="0.25">
      <c r="A148" s="21">
        <v>45322</v>
      </c>
      <c r="B148" t="str">
        <f>IFERROR(IF(VLOOKUP(C148,Hoja1!$B$1:$C$6191,2,0)="",_xlfn.XLOOKUP(C148,Hoja1!$B$2:$B$6191,Hoja1!$A$2:$A$6191),VLOOKUP(C148,Hoja1!$B$1:$C$6191,2,0)),"No esta en Infor")</f>
        <v>NAC0740</v>
      </c>
      <c r="C148" s="19" t="s">
        <v>151</v>
      </c>
      <c r="D148" s="9">
        <v>0</v>
      </c>
      <c r="E148" s="9">
        <v>0</v>
      </c>
      <c r="F148" s="9">
        <v>0</v>
      </c>
      <c r="G148" s="9">
        <v>96.38</v>
      </c>
      <c r="H148" s="9">
        <v>0</v>
      </c>
      <c r="I148" s="9">
        <v>0</v>
      </c>
      <c r="J148" s="9">
        <v>96.38</v>
      </c>
    </row>
    <row r="149" spans="1:10" ht="15.75" x14ac:dyDescent="0.25">
      <c r="A149" s="21">
        <v>45322</v>
      </c>
      <c r="B149" t="str">
        <f>IFERROR(IF(VLOOKUP(C149,Hoja1!$B$1:$C$6191,2,0)="",_xlfn.XLOOKUP(C149,Hoja1!$B$2:$B$6191,Hoja1!$A$2:$A$6191),VLOOKUP(C149,Hoja1!$B$1:$C$6191,2,0)),"No esta en Infor")</f>
        <v>NAC1608</v>
      </c>
      <c r="C149" s="19" t="s">
        <v>152</v>
      </c>
      <c r="D149" s="9">
        <v>0</v>
      </c>
      <c r="E149" s="9">
        <v>-308</v>
      </c>
      <c r="F149" s="9">
        <v>0</v>
      </c>
      <c r="G149" s="9">
        <v>0</v>
      </c>
      <c r="H149" s="9">
        <v>0</v>
      </c>
      <c r="I149" s="9">
        <v>0</v>
      </c>
      <c r="J149" s="9">
        <v>-308</v>
      </c>
    </row>
    <row r="150" spans="1:10" ht="15.75" x14ac:dyDescent="0.25">
      <c r="A150" s="21">
        <v>45322</v>
      </c>
      <c r="B150" t="str">
        <f>IFERROR(IF(VLOOKUP(C150,Hoja1!$B$1:$C$6191,2,0)="",_xlfn.XLOOKUP(C150,Hoja1!$B$2:$B$6191,Hoja1!$A$2:$A$6191),VLOOKUP(C150,Hoja1!$B$1:$C$6191,2,0)),"No esta en Infor")</f>
        <v>NAC1608</v>
      </c>
      <c r="C150" s="19" t="s">
        <v>153</v>
      </c>
      <c r="D150" s="9">
        <v>455.82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455.82</v>
      </c>
    </row>
    <row r="151" spans="1:10" ht="15.75" x14ac:dyDescent="0.25">
      <c r="A151" s="21">
        <v>45322</v>
      </c>
      <c r="B151" t="str">
        <f>IFERROR(IF(VLOOKUP(C151,Hoja1!$B$1:$C$6191,2,0)="",_xlfn.XLOOKUP(C151,Hoja1!$B$2:$B$6191,Hoja1!$A$2:$A$6191),VLOOKUP(C151,Hoja1!$B$1:$C$6191,2,0)),"No esta en Infor")</f>
        <v>NAC0756</v>
      </c>
      <c r="C151" s="19" t="s">
        <v>154</v>
      </c>
      <c r="D151" s="9">
        <v>0</v>
      </c>
      <c r="E151" s="9">
        <v>0</v>
      </c>
      <c r="F151" s="9">
        <v>-3.79</v>
      </c>
      <c r="G151" s="9">
        <v>0</v>
      </c>
      <c r="H151" s="9">
        <v>0</v>
      </c>
      <c r="I151" s="9">
        <v>0</v>
      </c>
      <c r="J151" s="9">
        <v>-3.79</v>
      </c>
    </row>
    <row r="152" spans="1:10" ht="15.75" x14ac:dyDescent="0.25">
      <c r="A152" s="21">
        <v>45322</v>
      </c>
      <c r="B152" t="str">
        <f>IFERROR(IF(VLOOKUP(C152,Hoja1!$B$1:$C$6191,2,0)="",_xlfn.XLOOKUP(C152,Hoja1!$B$2:$B$6191,Hoja1!$A$2:$A$6191),VLOOKUP(C152,Hoja1!$B$1:$C$6191,2,0)),"No esta en Infor")</f>
        <v>NAC0767</v>
      </c>
      <c r="C152" s="19" t="s">
        <v>155</v>
      </c>
      <c r="D152" s="9">
        <v>1130198.3</v>
      </c>
      <c r="E152" s="9">
        <v>110721.8</v>
      </c>
      <c r="F152" s="9">
        <v>0</v>
      </c>
      <c r="G152" s="9">
        <v>-33329.879999999997</v>
      </c>
      <c r="H152" s="9">
        <v>0</v>
      </c>
      <c r="I152" s="9">
        <v>0</v>
      </c>
      <c r="J152" s="9">
        <v>1207590.22</v>
      </c>
    </row>
    <row r="153" spans="1:10" ht="15.75" x14ac:dyDescent="0.25">
      <c r="A153" s="21">
        <v>45322</v>
      </c>
      <c r="B153" t="str">
        <f>IFERROR(IF(VLOOKUP(C153,Hoja1!$B$1:$C$6191,2,0)="",_xlfn.XLOOKUP(C153,Hoja1!$B$2:$B$6191,Hoja1!$A$2:$A$6191),VLOOKUP(C153,Hoja1!$B$1:$C$6191,2,0)),"No esta en Infor")</f>
        <v>NAC0769</v>
      </c>
      <c r="C153" s="19" t="s">
        <v>156</v>
      </c>
      <c r="D153" s="9">
        <v>0</v>
      </c>
      <c r="E153" s="9">
        <v>1189</v>
      </c>
      <c r="F153" s="9">
        <v>0</v>
      </c>
      <c r="G153" s="9">
        <v>0</v>
      </c>
      <c r="H153" s="9">
        <v>0</v>
      </c>
      <c r="I153" s="9">
        <v>0</v>
      </c>
      <c r="J153" s="9">
        <v>1189</v>
      </c>
    </row>
    <row r="154" spans="1:10" ht="15.75" x14ac:dyDescent="0.25">
      <c r="A154" s="21">
        <v>45322</v>
      </c>
      <c r="B154" t="str">
        <f>IFERROR(IF(VLOOKUP(C154,Hoja1!$B$1:$C$6191,2,0)="",_xlfn.XLOOKUP(C154,Hoja1!$B$2:$B$6191,Hoja1!$A$2:$A$6191),VLOOKUP(C154,Hoja1!$B$1:$C$6191,2,0)),"No esta en Infor")</f>
        <v>NAC0773</v>
      </c>
      <c r="C154" s="19" t="s">
        <v>157</v>
      </c>
      <c r="D154" s="9">
        <v>126.06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126.06</v>
      </c>
    </row>
    <row r="155" spans="1:10" ht="15.75" x14ac:dyDescent="0.25">
      <c r="A155" s="21">
        <v>45322</v>
      </c>
      <c r="B155" t="str">
        <f>IFERROR(IF(VLOOKUP(C155,Hoja1!$B$1:$C$6191,2,0)="",_xlfn.XLOOKUP(C155,Hoja1!$B$2:$B$6191,Hoja1!$A$2:$A$6191),VLOOKUP(C155,Hoja1!$B$1:$C$6191,2,0)),"No esta en Infor")</f>
        <v>NAC0775</v>
      </c>
      <c r="C155" s="19" t="s">
        <v>158</v>
      </c>
      <c r="D155" s="9">
        <v>-29.24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-29.24</v>
      </c>
    </row>
    <row r="156" spans="1:10" ht="15.75" x14ac:dyDescent="0.25">
      <c r="A156" s="21">
        <v>45322</v>
      </c>
      <c r="B156" t="str">
        <f>IFERROR(IF(VLOOKUP(C156,Hoja1!$B$1:$C$6191,2,0)="",_xlfn.XLOOKUP(C156,Hoja1!$B$2:$B$6191,Hoja1!$A$2:$A$6191),VLOOKUP(C156,Hoja1!$B$1:$C$6191,2,0)),"No esta en Infor")</f>
        <v>NAC0778</v>
      </c>
      <c r="C156" s="19" t="s">
        <v>159</v>
      </c>
      <c r="D156" s="9">
        <v>0</v>
      </c>
      <c r="E156" s="9">
        <v>-781.38</v>
      </c>
      <c r="F156" s="9">
        <v>0</v>
      </c>
      <c r="G156" s="9">
        <v>0</v>
      </c>
      <c r="H156" s="9">
        <v>0</v>
      </c>
      <c r="I156" s="9">
        <v>0</v>
      </c>
      <c r="J156" s="9">
        <v>-781.38</v>
      </c>
    </row>
    <row r="157" spans="1:10" ht="15.75" x14ac:dyDescent="0.25">
      <c r="A157" s="21">
        <v>45322</v>
      </c>
      <c r="B157" t="str">
        <f>IFERROR(IF(VLOOKUP(C157,Hoja1!$B$1:$C$6191,2,0)="",_xlfn.XLOOKUP(C157,Hoja1!$B$2:$B$6191,Hoja1!$A$2:$A$6191),VLOOKUP(C157,Hoja1!$B$1:$C$6191,2,0)),"No esta en Infor")</f>
        <v>NAC0779</v>
      </c>
      <c r="C157" s="19" t="s">
        <v>160</v>
      </c>
      <c r="D157" s="9">
        <v>132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132</v>
      </c>
    </row>
    <row r="158" spans="1:10" ht="15.75" x14ac:dyDescent="0.25">
      <c r="A158" s="21">
        <v>45322</v>
      </c>
      <c r="B158" t="str">
        <f>IFERROR(IF(VLOOKUP(C158,Hoja1!$B$1:$C$6191,2,0)="",_xlfn.XLOOKUP(C158,Hoja1!$B$2:$B$6191,Hoja1!$A$2:$A$6191),VLOOKUP(C158,Hoja1!$B$1:$C$6191,2,0)),"No esta en Infor")</f>
        <v>NAC0780</v>
      </c>
      <c r="C158" s="19" t="s">
        <v>161</v>
      </c>
      <c r="D158" s="9">
        <v>1593.8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1593.8</v>
      </c>
    </row>
    <row r="159" spans="1:10" ht="15.75" x14ac:dyDescent="0.25">
      <c r="A159" s="21">
        <v>45322</v>
      </c>
      <c r="B159" t="str">
        <f>IFERROR(IF(VLOOKUP(C159,Hoja1!$B$1:$C$6191,2,0)="",_xlfn.XLOOKUP(C159,Hoja1!$B$2:$B$6191,Hoja1!$A$2:$A$6191),VLOOKUP(C159,Hoja1!$B$1:$C$6191,2,0)),"No esta en Infor")</f>
        <v>NAC0781</v>
      </c>
      <c r="C159" s="19" t="s">
        <v>162</v>
      </c>
      <c r="D159" s="9">
        <v>280</v>
      </c>
      <c r="E159" s="9">
        <v>-340</v>
      </c>
      <c r="F159" s="9">
        <v>0</v>
      </c>
      <c r="G159" s="9">
        <v>-390</v>
      </c>
      <c r="H159" s="9">
        <v>0</v>
      </c>
      <c r="I159" s="9">
        <v>0</v>
      </c>
      <c r="J159" s="9">
        <v>-450</v>
      </c>
    </row>
    <row r="160" spans="1:10" ht="15.75" x14ac:dyDescent="0.25">
      <c r="A160" s="21">
        <v>45322</v>
      </c>
      <c r="B160" t="str">
        <f>IFERROR(IF(VLOOKUP(C160,Hoja1!$B$1:$C$6191,2,0)="",_xlfn.XLOOKUP(C160,Hoja1!$B$2:$B$6191,Hoja1!$A$2:$A$6191),VLOOKUP(C160,Hoja1!$B$1:$C$6191,2,0)),"No esta en Infor")</f>
        <v>NAC0788</v>
      </c>
      <c r="C160" s="19" t="s">
        <v>163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-366</v>
      </c>
      <c r="J160" s="9">
        <v>-366</v>
      </c>
    </row>
    <row r="161" spans="1:10" ht="15.75" x14ac:dyDescent="0.25">
      <c r="A161" s="21">
        <v>45322</v>
      </c>
      <c r="B161" t="str">
        <f>IFERROR(IF(VLOOKUP(C161,Hoja1!$B$1:$C$6191,2,0)="",_xlfn.XLOOKUP(C161,Hoja1!$B$2:$B$6191,Hoja1!$A$2:$A$6191),VLOOKUP(C161,Hoja1!$B$1:$C$6191,2,0)),"No esta en Infor")</f>
        <v>NAC0792</v>
      </c>
      <c r="C161" s="19" t="s">
        <v>164</v>
      </c>
      <c r="D161" s="9">
        <v>88294.62</v>
      </c>
      <c r="E161" s="9">
        <v>49172.4</v>
      </c>
      <c r="F161" s="9">
        <v>-0.01</v>
      </c>
      <c r="G161" s="9">
        <v>0</v>
      </c>
      <c r="H161" s="9">
        <v>0</v>
      </c>
      <c r="I161" s="9">
        <v>-0.01</v>
      </c>
      <c r="J161" s="9">
        <v>137467</v>
      </c>
    </row>
    <row r="162" spans="1:10" ht="15.75" x14ac:dyDescent="0.25">
      <c r="A162" s="21">
        <v>45322</v>
      </c>
      <c r="B162" t="str">
        <f>IFERROR(IF(VLOOKUP(C162,Hoja1!$B$1:$C$6191,2,0)="",_xlfn.XLOOKUP(C162,Hoja1!$B$2:$B$6191,Hoja1!$A$2:$A$6191),VLOOKUP(C162,Hoja1!$B$1:$C$6191,2,0)),"No esta en Infor")</f>
        <v>NAC1612</v>
      </c>
      <c r="C162" s="19" t="s">
        <v>165</v>
      </c>
      <c r="D162" s="9">
        <v>273.99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273.99</v>
      </c>
    </row>
    <row r="163" spans="1:10" ht="15.75" x14ac:dyDescent="0.25">
      <c r="A163" s="21">
        <v>45322</v>
      </c>
      <c r="B163" t="str">
        <f>IFERROR(IF(VLOOKUP(C163,Hoja1!$B$1:$C$6191,2,0)="",_xlfn.XLOOKUP(C163,Hoja1!$B$2:$B$6191,Hoja1!$A$2:$A$6191),VLOOKUP(C163,Hoja1!$B$1:$C$6191,2,0)),"No esta en Infor")</f>
        <v>SH00778</v>
      </c>
      <c r="C163" s="19" t="s">
        <v>166</v>
      </c>
      <c r="D163" s="9">
        <v>0</v>
      </c>
      <c r="E163" s="9">
        <v>-165.25</v>
      </c>
      <c r="F163" s="9">
        <v>0</v>
      </c>
      <c r="G163" s="9">
        <v>0</v>
      </c>
      <c r="H163" s="9">
        <v>0</v>
      </c>
      <c r="I163" s="9">
        <v>0</v>
      </c>
      <c r="J163" s="9">
        <v>-165.25</v>
      </c>
    </row>
    <row r="164" spans="1:10" ht="15.75" x14ac:dyDescent="0.25">
      <c r="A164" s="21">
        <v>45322</v>
      </c>
      <c r="B164" t="str">
        <f>IFERROR(IF(VLOOKUP(C164,Hoja1!$B$1:$C$6191,2,0)="",_xlfn.XLOOKUP(C164,Hoja1!$B$2:$B$6191,Hoja1!$A$2:$A$6191),VLOOKUP(C164,Hoja1!$B$1:$C$6191,2,0)),"No esta en Infor")</f>
        <v>NAC0798</v>
      </c>
      <c r="C164" s="19" t="s">
        <v>167</v>
      </c>
      <c r="D164" s="9">
        <v>12859.5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12859.5</v>
      </c>
    </row>
    <row r="165" spans="1:10" ht="15.75" x14ac:dyDescent="0.25">
      <c r="A165" s="21">
        <v>45322</v>
      </c>
      <c r="B165" t="str">
        <f>IFERROR(IF(VLOOKUP(C165,Hoja1!$B$1:$C$6191,2,0)="",_xlfn.XLOOKUP(C165,Hoja1!$B$2:$B$6191,Hoja1!$A$2:$A$6191),VLOOKUP(C165,Hoja1!$B$1:$C$6191,2,0)),"No esta en Infor")</f>
        <v>NAC0801</v>
      </c>
      <c r="C165" s="19" t="s">
        <v>168</v>
      </c>
      <c r="D165" s="9">
        <v>153</v>
      </c>
      <c r="E165" s="9">
        <v>102</v>
      </c>
      <c r="F165" s="9">
        <v>0</v>
      </c>
      <c r="G165" s="9">
        <v>0</v>
      </c>
      <c r="H165" s="9">
        <v>0</v>
      </c>
      <c r="I165" s="9">
        <v>0</v>
      </c>
      <c r="J165" s="9">
        <v>255</v>
      </c>
    </row>
    <row r="166" spans="1:10" ht="15.75" x14ac:dyDescent="0.25">
      <c r="A166" s="21">
        <v>45322</v>
      </c>
      <c r="B166" t="str">
        <f>IFERROR(IF(VLOOKUP(C166,Hoja1!$B$1:$C$6191,2,0)="",_xlfn.XLOOKUP(C166,Hoja1!$B$2:$B$6191,Hoja1!$A$2:$A$6191),VLOOKUP(C166,Hoja1!$B$1:$C$6191,2,0)),"No esta en Infor")</f>
        <v>NAC0804</v>
      </c>
      <c r="C166" s="19" t="s">
        <v>169</v>
      </c>
      <c r="D166" s="9">
        <v>5203.5600000000004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5203.5600000000004</v>
      </c>
    </row>
    <row r="167" spans="1:10" ht="15.75" x14ac:dyDescent="0.25">
      <c r="A167" s="21">
        <v>45322</v>
      </c>
      <c r="B167" t="str">
        <f>IFERROR(IF(VLOOKUP(C167,Hoja1!$B$1:$C$6191,2,0)="",_xlfn.XLOOKUP(C167,Hoja1!$B$2:$B$6191,Hoja1!$A$2:$A$6191),VLOOKUP(C167,Hoja1!$B$1:$C$6191,2,0)),"No esta en Infor")</f>
        <v>NAC0805</v>
      </c>
      <c r="C167" s="19" t="s">
        <v>170</v>
      </c>
      <c r="D167" s="9">
        <v>0</v>
      </c>
      <c r="E167" s="9">
        <v>0</v>
      </c>
      <c r="F167" s="9">
        <v>0</v>
      </c>
      <c r="G167" s="9">
        <v>0</v>
      </c>
      <c r="H167" s="9">
        <v>-0.03</v>
      </c>
      <c r="I167" s="9">
        <v>0</v>
      </c>
      <c r="J167" s="9">
        <v>-0.03</v>
      </c>
    </row>
    <row r="168" spans="1:10" ht="15.75" x14ac:dyDescent="0.25">
      <c r="A168" s="21">
        <v>45322</v>
      </c>
      <c r="B168" t="str">
        <f>IFERROR(IF(VLOOKUP(C168,Hoja1!$B$1:$C$6191,2,0)="",_xlfn.XLOOKUP(C168,Hoja1!$B$2:$B$6191,Hoja1!$A$2:$A$6191),VLOOKUP(C168,Hoja1!$B$1:$C$6191,2,0)),"No esta en Infor")</f>
        <v>NAC0809</v>
      </c>
      <c r="C168" s="19" t="s">
        <v>171</v>
      </c>
      <c r="D168" s="9">
        <v>312.31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312.31</v>
      </c>
    </row>
    <row r="169" spans="1:10" ht="15.75" x14ac:dyDescent="0.25">
      <c r="A169" s="21">
        <v>45322</v>
      </c>
      <c r="B169" t="str">
        <f>IFERROR(IF(VLOOKUP(C169,Hoja1!$B$1:$C$6191,2,0)="",_xlfn.XLOOKUP(C169,Hoja1!$B$2:$B$6191,Hoja1!$A$2:$A$6191),VLOOKUP(C169,Hoja1!$B$1:$C$6191,2,0)),"No esta en Infor")</f>
        <v>CAN0019</v>
      </c>
      <c r="C169" s="19" t="s">
        <v>172</v>
      </c>
      <c r="D169" s="9">
        <v>55260.4</v>
      </c>
      <c r="E169" s="9">
        <v>14842.46</v>
      </c>
      <c r="F169" s="9">
        <v>0</v>
      </c>
      <c r="G169" s="9">
        <v>0</v>
      </c>
      <c r="H169" s="9">
        <v>0</v>
      </c>
      <c r="I169" s="9">
        <v>0</v>
      </c>
      <c r="J169" s="9">
        <v>70102.86</v>
      </c>
    </row>
    <row r="170" spans="1:10" ht="15.75" x14ac:dyDescent="0.25">
      <c r="A170" s="21">
        <v>45322</v>
      </c>
      <c r="B170" t="str">
        <f>IFERROR(IF(VLOOKUP(C170,Hoja1!$B$1:$C$6191,2,0)="",_xlfn.XLOOKUP(C170,Hoja1!$B$2:$B$6191,Hoja1!$A$2:$A$6191),VLOOKUP(C170,Hoja1!$B$1:$C$6191,2,0)),"No esta en Infor")</f>
        <v>NAC0811</v>
      </c>
      <c r="C170" s="19" t="s">
        <v>173</v>
      </c>
      <c r="D170" s="9">
        <v>0</v>
      </c>
      <c r="E170" s="9">
        <v>4113.0200000000004</v>
      </c>
      <c r="F170" s="9">
        <v>0</v>
      </c>
      <c r="G170" s="9">
        <v>0</v>
      </c>
      <c r="H170" s="9">
        <v>0</v>
      </c>
      <c r="I170" s="9">
        <v>0</v>
      </c>
      <c r="J170" s="9">
        <v>4113.0200000000004</v>
      </c>
    </row>
    <row r="171" spans="1:10" ht="15.75" x14ac:dyDescent="0.25">
      <c r="A171" s="21">
        <v>45322</v>
      </c>
      <c r="B171" t="str">
        <f>IFERROR(IF(VLOOKUP(C171,Hoja1!$B$1:$C$6191,2,0)="",_xlfn.XLOOKUP(C171,Hoja1!$B$2:$B$6191,Hoja1!$A$2:$A$6191),VLOOKUP(C171,Hoja1!$B$1:$C$6191,2,0)),"No esta en Infor")</f>
        <v>CAN0020</v>
      </c>
      <c r="C171" s="19" t="s">
        <v>174</v>
      </c>
      <c r="D171" s="9">
        <v>2094.7800000000002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2094.7800000000002</v>
      </c>
    </row>
    <row r="172" spans="1:10" ht="15.75" x14ac:dyDescent="0.25">
      <c r="A172" s="21">
        <v>45322</v>
      </c>
      <c r="B172" t="str">
        <f>IFERROR(IF(VLOOKUP(C172,Hoja1!$B$1:$C$6191,2,0)="",_xlfn.XLOOKUP(C172,Hoja1!$B$2:$B$6191,Hoja1!$A$2:$A$6191),VLOOKUP(C172,Hoja1!$B$1:$C$6191,2,0)),"No esta en Infor")</f>
        <v>NAC0814</v>
      </c>
      <c r="C172" s="19" t="s">
        <v>175</v>
      </c>
      <c r="D172" s="9">
        <v>19790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19790</v>
      </c>
    </row>
    <row r="173" spans="1:10" ht="15.75" x14ac:dyDescent="0.25">
      <c r="A173" s="21">
        <v>45322</v>
      </c>
      <c r="B173" t="str">
        <f>IFERROR(IF(VLOOKUP(C173,Hoja1!$B$1:$C$6191,2,0)="",_xlfn.XLOOKUP(C173,Hoja1!$B$2:$B$6191,Hoja1!$A$2:$A$6191),VLOOKUP(C173,Hoja1!$B$1:$C$6191,2,0)),"No esta en Infor")</f>
        <v>NAC0816</v>
      </c>
      <c r="C173" s="19" t="s">
        <v>176</v>
      </c>
      <c r="D173" s="9">
        <v>279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279</v>
      </c>
    </row>
    <row r="174" spans="1:10" ht="15.75" x14ac:dyDescent="0.25">
      <c r="A174" s="21">
        <v>45322</v>
      </c>
      <c r="B174" t="str">
        <f>IFERROR(IF(VLOOKUP(C174,Hoja1!$B$1:$C$6191,2,0)="",_xlfn.XLOOKUP(C174,Hoja1!$B$2:$B$6191,Hoja1!$A$2:$A$6191),VLOOKUP(C174,Hoja1!$B$1:$C$6191,2,0)),"No esta en Infor")</f>
        <v>NAC0818</v>
      </c>
      <c r="C174" s="19" t="s">
        <v>177</v>
      </c>
      <c r="D174" s="9">
        <v>0</v>
      </c>
      <c r="E174" s="9">
        <v>0</v>
      </c>
      <c r="F174" s="9">
        <v>0</v>
      </c>
      <c r="G174" s="9">
        <v>0</v>
      </c>
      <c r="H174" s="9">
        <v>-26</v>
      </c>
      <c r="I174" s="9">
        <v>0</v>
      </c>
      <c r="J174" s="9">
        <v>-26</v>
      </c>
    </row>
    <row r="175" spans="1:10" ht="15.75" x14ac:dyDescent="0.25">
      <c r="A175" s="21">
        <v>45322</v>
      </c>
      <c r="B175" t="str">
        <f>IFERROR(IF(VLOOKUP(C175,Hoja1!$B$1:$C$6191,2,0)="",_xlfn.XLOOKUP(C175,Hoja1!$B$2:$B$6191,Hoja1!$A$2:$A$6191),VLOOKUP(C175,Hoja1!$B$1:$C$6191,2,0)),"No esta en Infor")</f>
        <v>NAC0824</v>
      </c>
      <c r="C175" s="19" t="s">
        <v>178</v>
      </c>
      <c r="D175" s="9">
        <v>3088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3088</v>
      </c>
    </row>
    <row r="176" spans="1:10" ht="15.75" x14ac:dyDescent="0.25">
      <c r="A176" s="21">
        <v>45322</v>
      </c>
      <c r="B176" t="str">
        <f>IFERROR(IF(VLOOKUP(C176,Hoja1!$B$1:$C$6191,2,0)="",_xlfn.XLOOKUP(C176,Hoja1!$B$2:$B$6191,Hoja1!$A$2:$A$6191),VLOOKUP(C176,Hoja1!$B$1:$C$6191,2,0)),"No esta en Infor")</f>
        <v>NAC0825</v>
      </c>
      <c r="C176" s="19" t="s">
        <v>179</v>
      </c>
      <c r="D176" s="9">
        <v>23616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23616</v>
      </c>
    </row>
    <row r="177" spans="1:10" ht="15.75" x14ac:dyDescent="0.25">
      <c r="A177" s="21">
        <v>45322</v>
      </c>
      <c r="B177" t="str">
        <f>IFERROR(IF(VLOOKUP(C177,Hoja1!$B$1:$C$6191,2,0)="",_xlfn.XLOOKUP(C177,Hoja1!$B$2:$B$6191,Hoja1!$A$2:$A$6191),VLOOKUP(C177,Hoja1!$B$1:$C$6191,2,0)),"No esta en Infor")</f>
        <v>CAN0021</v>
      </c>
      <c r="C177" s="19" t="s">
        <v>180</v>
      </c>
      <c r="D177" s="9">
        <v>4809.37</v>
      </c>
      <c r="E177" s="9">
        <v>18.38</v>
      </c>
      <c r="F177" s="9">
        <v>0</v>
      </c>
      <c r="G177" s="9">
        <v>0</v>
      </c>
      <c r="H177" s="9">
        <v>0</v>
      </c>
      <c r="I177" s="9">
        <v>0</v>
      </c>
      <c r="J177" s="9">
        <v>4827.75</v>
      </c>
    </row>
    <row r="178" spans="1:10" ht="15.75" x14ac:dyDescent="0.25">
      <c r="A178" s="21">
        <v>45322</v>
      </c>
      <c r="B178" t="str">
        <f>IFERROR(IF(VLOOKUP(C178,Hoja1!$B$1:$C$6191,2,0)="",_xlfn.XLOOKUP(C178,Hoja1!$B$2:$B$6191,Hoja1!$A$2:$A$6191),VLOOKUP(C178,Hoja1!$B$1:$C$6191,2,0)),"No esta en Infor")</f>
        <v>NAC0827</v>
      </c>
      <c r="C178" s="19" t="s">
        <v>181</v>
      </c>
      <c r="D178" s="9">
        <v>0</v>
      </c>
      <c r="E178" s="9">
        <v>630</v>
      </c>
      <c r="F178" s="9">
        <v>0</v>
      </c>
      <c r="G178" s="9">
        <v>0</v>
      </c>
      <c r="H178" s="9">
        <v>0</v>
      </c>
      <c r="I178" s="9">
        <v>0</v>
      </c>
      <c r="J178" s="9">
        <v>630</v>
      </c>
    </row>
    <row r="179" spans="1:10" ht="15.75" x14ac:dyDescent="0.25">
      <c r="A179" s="21">
        <v>45322</v>
      </c>
      <c r="B179" t="str">
        <f>IFERROR(IF(VLOOKUP(C179,Hoja1!$B$1:$C$6191,2,0)="",_xlfn.XLOOKUP(C179,Hoja1!$B$2:$B$6191,Hoja1!$A$2:$A$6191),VLOOKUP(C179,Hoja1!$B$1:$C$6191,2,0)),"No esta en Infor")</f>
        <v>NAC0835</v>
      </c>
      <c r="C179" s="19" t="s">
        <v>182</v>
      </c>
      <c r="D179" s="9">
        <v>0</v>
      </c>
      <c r="E179" s="9">
        <v>0</v>
      </c>
      <c r="F179" s="9">
        <v>0</v>
      </c>
      <c r="G179" s="9">
        <v>0</v>
      </c>
      <c r="H179" s="9">
        <v>-188.04</v>
      </c>
      <c r="I179" s="9">
        <v>0</v>
      </c>
      <c r="J179" s="9">
        <v>-188.04</v>
      </c>
    </row>
    <row r="180" spans="1:10" ht="15.75" x14ac:dyDescent="0.25">
      <c r="A180" s="21">
        <v>45322</v>
      </c>
      <c r="B180" t="str">
        <f>IFERROR(IF(VLOOKUP(C180,Hoja1!$B$1:$C$6191,2,0)="",_xlfn.XLOOKUP(C180,Hoja1!$B$2:$B$6191,Hoja1!$A$2:$A$6191),VLOOKUP(C180,Hoja1!$B$1:$C$6191,2,0)),"No esta en Infor")</f>
        <v>NAC0841</v>
      </c>
      <c r="C180" s="19" t="s">
        <v>183</v>
      </c>
      <c r="D180" s="9">
        <v>753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753</v>
      </c>
    </row>
    <row r="181" spans="1:10" ht="15.75" x14ac:dyDescent="0.25">
      <c r="A181" s="21">
        <v>45322</v>
      </c>
      <c r="B181" t="str">
        <f>IFERROR(IF(VLOOKUP(C181,Hoja1!$B$1:$C$6191,2,0)="",_xlfn.XLOOKUP(C181,Hoja1!$B$2:$B$6191,Hoja1!$A$2:$A$6191),VLOOKUP(C181,Hoja1!$B$1:$C$6191,2,0)),"No esta en Infor")</f>
        <v>NAC0847</v>
      </c>
      <c r="C181" s="19" t="s">
        <v>184</v>
      </c>
      <c r="D181" s="9">
        <v>0</v>
      </c>
      <c r="E181" s="9">
        <v>0</v>
      </c>
      <c r="F181" s="9">
        <v>0</v>
      </c>
      <c r="G181" s="9">
        <v>-1</v>
      </c>
      <c r="H181" s="9">
        <v>0</v>
      </c>
      <c r="I181" s="9">
        <v>0</v>
      </c>
      <c r="J181" s="9">
        <v>-1</v>
      </c>
    </row>
    <row r="182" spans="1:10" ht="15.75" x14ac:dyDescent="0.25">
      <c r="A182" s="21">
        <v>45322</v>
      </c>
      <c r="B182" t="str">
        <f>IFERROR(IF(VLOOKUP(C182,Hoja1!$B$1:$C$6191,2,0)="",_xlfn.XLOOKUP(C182,Hoja1!$B$2:$B$6191,Hoja1!$A$2:$A$6191),VLOOKUP(C182,Hoja1!$B$1:$C$6191,2,0)),"No esta en Infor")</f>
        <v>NAC0851</v>
      </c>
      <c r="C182" s="19" t="s">
        <v>185</v>
      </c>
      <c r="D182" s="9">
        <v>-75.599999999999994</v>
      </c>
      <c r="E182" s="9">
        <v>-680.4</v>
      </c>
      <c r="F182" s="9">
        <v>0</v>
      </c>
      <c r="G182" s="9">
        <v>0</v>
      </c>
      <c r="H182" s="9">
        <v>0</v>
      </c>
      <c r="I182" s="9">
        <v>0</v>
      </c>
      <c r="J182" s="9">
        <v>-756</v>
      </c>
    </row>
    <row r="183" spans="1:10" ht="15.75" x14ac:dyDescent="0.25">
      <c r="A183" s="21">
        <v>45322</v>
      </c>
      <c r="B183" t="str">
        <f>IFERROR(IF(VLOOKUP(C183,Hoja1!$B$1:$C$6191,2,0)="",_xlfn.XLOOKUP(C183,Hoja1!$B$2:$B$6191,Hoja1!$A$2:$A$6191),VLOOKUP(C183,Hoja1!$B$1:$C$6191,2,0)),"No esta en Infor")</f>
        <v>SH00787</v>
      </c>
      <c r="C183" s="19" t="s">
        <v>186</v>
      </c>
      <c r="D183" s="9">
        <v>0</v>
      </c>
      <c r="E183" s="9">
        <v>174.63</v>
      </c>
      <c r="F183" s="9">
        <v>0</v>
      </c>
      <c r="G183" s="9">
        <v>0</v>
      </c>
      <c r="H183" s="9">
        <v>0</v>
      </c>
      <c r="I183" s="9">
        <v>0</v>
      </c>
      <c r="J183" s="9">
        <v>174.63</v>
      </c>
    </row>
    <row r="184" spans="1:10" ht="15.75" x14ac:dyDescent="0.25">
      <c r="A184" s="21">
        <v>45322</v>
      </c>
      <c r="B184" t="str">
        <f>IFERROR(IF(VLOOKUP(C184,Hoja1!$B$1:$C$6191,2,0)="",_xlfn.XLOOKUP(C184,Hoja1!$B$2:$B$6191,Hoja1!$A$2:$A$6191),VLOOKUP(C184,Hoja1!$B$1:$C$6191,2,0)),"No esta en Infor")</f>
        <v>No esta en Infor</v>
      </c>
      <c r="C184" s="19" t="s">
        <v>187</v>
      </c>
      <c r="D184" s="9">
        <v>0</v>
      </c>
      <c r="E184" s="9">
        <v>-4.6500000000000004</v>
      </c>
      <c r="F184" s="9">
        <v>0</v>
      </c>
      <c r="G184" s="9">
        <v>0</v>
      </c>
      <c r="H184" s="9">
        <v>0</v>
      </c>
      <c r="I184" s="9">
        <v>0</v>
      </c>
      <c r="J184" s="9">
        <v>-4.6500000000000004</v>
      </c>
    </row>
    <row r="185" spans="1:10" ht="15.75" x14ac:dyDescent="0.25">
      <c r="A185" s="21">
        <v>45322</v>
      </c>
      <c r="B185" t="str">
        <f>IFERROR(IF(VLOOKUP(C185,Hoja1!$B$1:$C$6191,2,0)="",_xlfn.XLOOKUP(C185,Hoja1!$B$2:$B$6191,Hoja1!$A$2:$A$6191),VLOOKUP(C185,Hoja1!$B$1:$C$6191,2,0)),"No esta en Infor")</f>
        <v>NAC0858</v>
      </c>
      <c r="C185" s="19" t="s">
        <v>188</v>
      </c>
      <c r="D185" s="9">
        <v>2296</v>
      </c>
      <c r="E185" s="9">
        <v>100</v>
      </c>
      <c r="F185" s="9">
        <v>0</v>
      </c>
      <c r="G185" s="9">
        <v>0</v>
      </c>
      <c r="H185" s="9">
        <v>0</v>
      </c>
      <c r="I185" s="9">
        <v>0</v>
      </c>
      <c r="J185" s="9">
        <v>2396</v>
      </c>
    </row>
    <row r="186" spans="1:10" ht="15.75" x14ac:dyDescent="0.25">
      <c r="A186" s="21">
        <v>45322</v>
      </c>
      <c r="B186" t="str">
        <f>IFERROR(IF(VLOOKUP(C186,Hoja1!$B$1:$C$6191,2,0)="",_xlfn.XLOOKUP(C186,Hoja1!$B$2:$B$6191,Hoja1!$A$2:$A$6191),VLOOKUP(C186,Hoja1!$B$1:$C$6191,2,0)),"No esta en Infor")</f>
        <v>NAC0861</v>
      </c>
      <c r="C186" s="19" t="s">
        <v>189</v>
      </c>
      <c r="D186" s="9">
        <v>2944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2944</v>
      </c>
    </row>
    <row r="187" spans="1:10" ht="15.75" x14ac:dyDescent="0.25">
      <c r="A187" s="21">
        <v>45322</v>
      </c>
      <c r="B187" t="str">
        <f>IFERROR(IF(VLOOKUP(C187,Hoja1!$B$1:$C$6191,2,0)="",_xlfn.XLOOKUP(C187,Hoja1!$B$2:$B$6191,Hoja1!$A$2:$A$6191),VLOOKUP(C187,Hoja1!$B$1:$C$6191,2,0)),"No esta en Infor")</f>
        <v>NAC0862</v>
      </c>
      <c r="C187" s="19" t="s">
        <v>190</v>
      </c>
      <c r="D187" s="9">
        <v>671.96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671.96</v>
      </c>
    </row>
    <row r="188" spans="1:10" ht="15.75" x14ac:dyDescent="0.25">
      <c r="A188" s="21">
        <v>45322</v>
      </c>
      <c r="B188" t="str">
        <f>IFERROR(IF(VLOOKUP(C188,Hoja1!$B$1:$C$6191,2,0)="",_xlfn.XLOOKUP(C188,Hoja1!$B$2:$B$6191,Hoja1!$A$2:$A$6191),VLOOKUP(C188,Hoja1!$B$1:$C$6191,2,0)),"No esta en Infor")</f>
        <v>NAC0866</v>
      </c>
      <c r="C188" s="19" t="s">
        <v>191</v>
      </c>
      <c r="D188" s="9">
        <v>0</v>
      </c>
      <c r="E188" s="9">
        <v>0</v>
      </c>
      <c r="F188" s="9">
        <v>0</v>
      </c>
      <c r="G188" s="9">
        <v>0</v>
      </c>
      <c r="H188" s="9">
        <v>-622</v>
      </c>
      <c r="I188" s="9">
        <v>0</v>
      </c>
      <c r="J188" s="9">
        <v>-622</v>
      </c>
    </row>
    <row r="189" spans="1:10" ht="15.75" x14ac:dyDescent="0.25">
      <c r="A189" s="21">
        <v>45322</v>
      </c>
      <c r="B189" t="str">
        <f>IFERROR(IF(VLOOKUP(C189,Hoja1!$B$1:$C$6191,2,0)="",_xlfn.XLOOKUP(C189,Hoja1!$B$2:$B$6191,Hoja1!$A$2:$A$6191),VLOOKUP(C189,Hoja1!$B$1:$C$6191,2,0)),"No esta en Infor")</f>
        <v>NAC0869</v>
      </c>
      <c r="C189" s="19" t="s">
        <v>192</v>
      </c>
      <c r="D189" s="9">
        <v>22905.25</v>
      </c>
      <c r="E189" s="9">
        <v>-72.25</v>
      </c>
      <c r="F189" s="9">
        <v>-1.25</v>
      </c>
      <c r="G189" s="9">
        <v>-802.53</v>
      </c>
      <c r="H189" s="9">
        <v>-430.27</v>
      </c>
      <c r="I189" s="9">
        <v>0</v>
      </c>
      <c r="J189" s="9">
        <v>21598.95</v>
      </c>
    </row>
    <row r="190" spans="1:10" ht="15.75" x14ac:dyDescent="0.25">
      <c r="A190" s="21">
        <v>45322</v>
      </c>
      <c r="B190" t="str">
        <f>IFERROR(IF(VLOOKUP(C190,Hoja1!$B$1:$C$6191,2,0)="",_xlfn.XLOOKUP(C190,Hoja1!$B$2:$B$6191,Hoja1!$A$2:$A$6191),VLOOKUP(C190,Hoja1!$B$1:$C$6191,2,0)),"No esta en Infor")</f>
        <v>NAC0871</v>
      </c>
      <c r="C190" s="19" t="s">
        <v>193</v>
      </c>
      <c r="D190" s="9">
        <v>55606.8</v>
      </c>
      <c r="E190" s="9">
        <v>1620</v>
      </c>
      <c r="F190" s="9">
        <v>0</v>
      </c>
      <c r="G190" s="9">
        <v>0</v>
      </c>
      <c r="H190" s="9">
        <v>0</v>
      </c>
      <c r="I190" s="9">
        <v>0</v>
      </c>
      <c r="J190" s="9">
        <v>57226.8</v>
      </c>
    </row>
    <row r="191" spans="1:10" ht="15.75" x14ac:dyDescent="0.25">
      <c r="A191" s="21">
        <v>45322</v>
      </c>
      <c r="B191" t="str">
        <f>IFERROR(IF(VLOOKUP(C191,Hoja1!$B$1:$C$6191,2,0)="",_xlfn.XLOOKUP(C191,Hoja1!$B$2:$B$6191,Hoja1!$A$2:$A$6191),VLOOKUP(C191,Hoja1!$B$1:$C$6191,2,0)),"No esta en Infor")</f>
        <v>NAC0879</v>
      </c>
      <c r="C191" s="19" t="s">
        <v>194</v>
      </c>
      <c r="D191" s="9">
        <v>400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400</v>
      </c>
    </row>
    <row r="192" spans="1:10" ht="15.75" x14ac:dyDescent="0.25">
      <c r="A192" s="21">
        <v>45322</v>
      </c>
      <c r="B192" t="str">
        <f>IFERROR(IF(VLOOKUP(C192,Hoja1!$B$1:$C$6191,2,0)="",_xlfn.XLOOKUP(C192,Hoja1!$B$2:$B$6191,Hoja1!$A$2:$A$6191),VLOOKUP(C192,Hoja1!$B$1:$C$6191,2,0)),"No esta en Infor")</f>
        <v>NAC0881</v>
      </c>
      <c r="C192" s="19" t="s">
        <v>195</v>
      </c>
      <c r="D192" s="9">
        <v>57039</v>
      </c>
      <c r="E192" s="9">
        <v>417.6</v>
      </c>
      <c r="F192" s="9">
        <v>0</v>
      </c>
      <c r="G192" s="9">
        <v>0</v>
      </c>
      <c r="H192" s="9">
        <v>0</v>
      </c>
      <c r="I192" s="9">
        <v>0</v>
      </c>
      <c r="J192" s="9">
        <v>57456.6</v>
      </c>
    </row>
    <row r="193" spans="1:10" ht="15.75" x14ac:dyDescent="0.25">
      <c r="A193" s="21">
        <v>45322</v>
      </c>
      <c r="B193" t="str">
        <f>IFERROR(IF(VLOOKUP(C193,Hoja1!$B$1:$C$6191,2,0)="",_xlfn.XLOOKUP(C193,Hoja1!$B$2:$B$6191,Hoja1!$A$2:$A$6191),VLOOKUP(C193,Hoja1!$B$1:$C$6191,2,0)),"No esta en Infor")</f>
        <v>NAC0886</v>
      </c>
      <c r="C193" s="19" t="s">
        <v>196</v>
      </c>
      <c r="D193" s="9">
        <v>0</v>
      </c>
      <c r="E193" s="9">
        <v>3967.5</v>
      </c>
      <c r="F193" s="9">
        <v>0</v>
      </c>
      <c r="G193" s="9">
        <v>0</v>
      </c>
      <c r="H193" s="9">
        <v>0</v>
      </c>
      <c r="I193" s="9">
        <v>0</v>
      </c>
      <c r="J193" s="9">
        <v>3967.5</v>
      </c>
    </row>
    <row r="194" spans="1:10" ht="15.75" x14ac:dyDescent="0.25">
      <c r="A194" s="21">
        <v>45322</v>
      </c>
      <c r="B194" t="str">
        <f>IFERROR(IF(VLOOKUP(C194,Hoja1!$B$1:$C$6191,2,0)="",_xlfn.XLOOKUP(C194,Hoja1!$B$2:$B$6191,Hoja1!$A$2:$A$6191),VLOOKUP(C194,Hoja1!$B$1:$C$6191,2,0)),"No esta en Infor")</f>
        <v>NAC0887</v>
      </c>
      <c r="C194" s="19" t="s">
        <v>197</v>
      </c>
      <c r="D194" s="9">
        <v>1361.55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1361.55</v>
      </c>
    </row>
    <row r="195" spans="1:10" ht="15.75" x14ac:dyDescent="0.25">
      <c r="A195" s="21">
        <v>45322</v>
      </c>
      <c r="B195" t="str">
        <f>IFERROR(IF(VLOOKUP(C195,Hoja1!$B$1:$C$6191,2,0)="",_xlfn.XLOOKUP(C195,Hoja1!$B$2:$B$6191,Hoja1!$A$2:$A$6191),VLOOKUP(C195,Hoja1!$B$1:$C$6191,2,0)),"No esta en Infor")</f>
        <v>NAC0888</v>
      </c>
      <c r="C195" s="19" t="s">
        <v>198</v>
      </c>
      <c r="D195" s="9">
        <v>17875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17875</v>
      </c>
    </row>
    <row r="196" spans="1:10" ht="15.75" x14ac:dyDescent="0.25">
      <c r="A196" s="21">
        <v>45322</v>
      </c>
      <c r="B196" t="str">
        <f>IFERROR(IF(VLOOKUP(C196,Hoja1!$B$1:$C$6191,2,0)="",_xlfn.XLOOKUP(C196,Hoja1!$B$2:$B$6191,Hoja1!$A$2:$A$6191),VLOOKUP(C196,Hoja1!$B$1:$C$6191,2,0)),"No esta en Infor")</f>
        <v>NAC0894</v>
      </c>
      <c r="C196" s="19" t="s">
        <v>199</v>
      </c>
      <c r="D196" s="9">
        <v>2863.22</v>
      </c>
      <c r="E196" s="9">
        <v>-2048.25</v>
      </c>
      <c r="F196" s="9">
        <v>0</v>
      </c>
      <c r="G196" s="9">
        <v>0</v>
      </c>
      <c r="H196" s="9">
        <v>0</v>
      </c>
      <c r="I196" s="9">
        <v>0</v>
      </c>
      <c r="J196" s="9">
        <v>814.97</v>
      </c>
    </row>
    <row r="197" spans="1:10" ht="15.75" x14ac:dyDescent="0.25">
      <c r="A197" s="21">
        <v>45322</v>
      </c>
      <c r="B197" t="str">
        <f>IFERROR(IF(VLOOKUP(C197,Hoja1!$B$1:$C$6191,2,0)="",_xlfn.XLOOKUP(C197,Hoja1!$B$2:$B$6191,Hoja1!$A$2:$A$6191),VLOOKUP(C197,Hoja1!$B$1:$C$6191,2,0)),"No esta en Infor")</f>
        <v>NAC0898</v>
      </c>
      <c r="C197" s="19" t="s">
        <v>200</v>
      </c>
      <c r="D197" s="9">
        <v>106.25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106.25</v>
      </c>
    </row>
    <row r="198" spans="1:10" ht="15.75" x14ac:dyDescent="0.25">
      <c r="A198" s="21">
        <v>45322</v>
      </c>
      <c r="B198" t="str">
        <f>IFERROR(IF(VLOOKUP(C198,Hoja1!$B$1:$C$6191,2,0)="",_xlfn.XLOOKUP(C198,Hoja1!$B$2:$B$6191,Hoja1!$A$2:$A$6191),VLOOKUP(C198,Hoja1!$B$1:$C$6191,2,0)),"No esta en Infor")</f>
        <v>NAC0900</v>
      </c>
      <c r="C198" s="19" t="s">
        <v>201</v>
      </c>
      <c r="D198" s="9">
        <v>0</v>
      </c>
      <c r="E198" s="9">
        <v>0</v>
      </c>
      <c r="F198" s="9">
        <v>413.65</v>
      </c>
      <c r="G198" s="9">
        <v>0</v>
      </c>
      <c r="H198" s="9">
        <v>0</v>
      </c>
      <c r="I198" s="9">
        <v>0</v>
      </c>
      <c r="J198" s="9">
        <v>413.65</v>
      </c>
    </row>
    <row r="199" spans="1:10" ht="15.75" x14ac:dyDescent="0.25">
      <c r="A199" s="21">
        <v>45322</v>
      </c>
      <c r="B199" t="str">
        <f>IFERROR(IF(VLOOKUP(C199,Hoja1!$B$1:$C$6191,2,0)="",_xlfn.XLOOKUP(C199,Hoja1!$B$2:$B$6191,Hoja1!$A$2:$A$6191),VLOOKUP(C199,Hoja1!$B$1:$C$6191,2,0)),"No esta en Infor")</f>
        <v>NAC0914</v>
      </c>
      <c r="C199" s="19" t="s">
        <v>202</v>
      </c>
      <c r="D199" s="9">
        <v>0</v>
      </c>
      <c r="E199" s="9">
        <v>-100.21</v>
      </c>
      <c r="F199" s="9">
        <v>0</v>
      </c>
      <c r="G199" s="9">
        <v>0</v>
      </c>
      <c r="H199" s="9">
        <v>0</v>
      </c>
      <c r="I199" s="9">
        <v>0</v>
      </c>
      <c r="J199" s="9">
        <v>-100.21</v>
      </c>
    </row>
    <row r="200" spans="1:10" ht="15.75" x14ac:dyDescent="0.25">
      <c r="A200" s="21">
        <v>45322</v>
      </c>
      <c r="B200" t="str">
        <f>IFERROR(IF(VLOOKUP(C200,Hoja1!$B$1:$C$6191,2,0)="",_xlfn.XLOOKUP(C200,Hoja1!$B$2:$B$6191,Hoja1!$A$2:$A$6191),VLOOKUP(C200,Hoja1!$B$1:$C$6191,2,0)),"No esta en Infor")</f>
        <v>SH00862</v>
      </c>
      <c r="C200" s="19" t="s">
        <v>203</v>
      </c>
      <c r="D200" s="9">
        <v>149.88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149.88</v>
      </c>
    </row>
    <row r="201" spans="1:10" ht="15.75" x14ac:dyDescent="0.25">
      <c r="A201" s="21">
        <v>45322</v>
      </c>
      <c r="B201" t="str">
        <f>IFERROR(IF(VLOOKUP(C201,Hoja1!$B$1:$C$6191,2,0)="",_xlfn.XLOOKUP(C201,Hoja1!$B$2:$B$6191,Hoja1!$A$2:$A$6191),VLOOKUP(C201,Hoja1!$B$1:$C$6191,2,0)),"No esta en Infor")</f>
        <v>NAC0920</v>
      </c>
      <c r="C201" s="19" t="s">
        <v>204</v>
      </c>
      <c r="D201" s="9">
        <v>0</v>
      </c>
      <c r="E201" s="9">
        <v>591.91</v>
      </c>
      <c r="F201" s="9">
        <v>0</v>
      </c>
      <c r="G201" s="9">
        <v>0</v>
      </c>
      <c r="H201" s="9">
        <v>0</v>
      </c>
      <c r="I201" s="9">
        <v>0</v>
      </c>
      <c r="J201" s="9">
        <v>591.91</v>
      </c>
    </row>
    <row r="202" spans="1:10" ht="15.75" x14ac:dyDescent="0.25">
      <c r="A202" s="21">
        <v>45322</v>
      </c>
      <c r="B202" t="str">
        <f>IFERROR(IF(VLOOKUP(C202,Hoja1!$B$1:$C$6191,2,0)="",_xlfn.XLOOKUP(C202,Hoja1!$B$2:$B$6191,Hoja1!$A$2:$A$6191),VLOOKUP(C202,Hoja1!$B$1:$C$6191,2,0)),"No esta en Infor")</f>
        <v>NAC0924</v>
      </c>
      <c r="C202" s="19" t="s">
        <v>205</v>
      </c>
      <c r="D202" s="9">
        <v>56615.8</v>
      </c>
      <c r="E202" s="9">
        <v>126549.7</v>
      </c>
      <c r="F202" s="9">
        <v>0</v>
      </c>
      <c r="G202" s="9">
        <v>0</v>
      </c>
      <c r="H202" s="9">
        <v>0</v>
      </c>
      <c r="I202" s="9">
        <v>0</v>
      </c>
      <c r="J202" s="9">
        <v>183165.5</v>
      </c>
    </row>
    <row r="203" spans="1:10" ht="15.75" x14ac:dyDescent="0.25">
      <c r="A203" s="21">
        <v>45322</v>
      </c>
      <c r="B203" t="str">
        <f>IFERROR(IF(VLOOKUP(C203,Hoja1!$B$1:$C$6191,2,0)="",_xlfn.XLOOKUP(C203,Hoja1!$B$2:$B$6191,Hoja1!$A$2:$A$6191),VLOOKUP(C203,Hoja1!$B$1:$C$6191,2,0)),"No esta en Infor")</f>
        <v>NAC0926</v>
      </c>
      <c r="C203" s="19" t="s">
        <v>206</v>
      </c>
      <c r="D203" s="9">
        <v>0</v>
      </c>
      <c r="E203" s="9">
        <v>1958.78</v>
      </c>
      <c r="F203" s="9">
        <v>0</v>
      </c>
      <c r="G203" s="9">
        <v>0</v>
      </c>
      <c r="H203" s="9">
        <v>0</v>
      </c>
      <c r="I203" s="9">
        <v>0</v>
      </c>
      <c r="J203" s="9">
        <v>1958.78</v>
      </c>
    </row>
    <row r="204" spans="1:10" ht="15.75" x14ac:dyDescent="0.25">
      <c r="A204" s="21">
        <v>45322</v>
      </c>
      <c r="B204" t="str">
        <f>IFERROR(IF(VLOOKUP(C204,Hoja1!$B$1:$C$6191,2,0)="",_xlfn.XLOOKUP(C204,Hoja1!$B$2:$B$6191,Hoja1!$A$2:$A$6191),VLOOKUP(C204,Hoja1!$B$1:$C$6191,2,0)),"No esta en Infor")</f>
        <v>NAC0929</v>
      </c>
      <c r="C204" s="19" t="s">
        <v>207</v>
      </c>
      <c r="D204" s="9">
        <v>8122.5</v>
      </c>
      <c r="E204" s="9">
        <v>8466</v>
      </c>
      <c r="F204" s="9">
        <v>0</v>
      </c>
      <c r="G204" s="9">
        <v>0</v>
      </c>
      <c r="H204" s="9">
        <v>0</v>
      </c>
      <c r="I204" s="9">
        <v>0</v>
      </c>
      <c r="J204" s="9">
        <v>16588.5</v>
      </c>
    </row>
    <row r="205" spans="1:10" ht="15.75" x14ac:dyDescent="0.25">
      <c r="A205" s="21">
        <v>45322</v>
      </c>
      <c r="B205" t="str">
        <f>IFERROR(IF(VLOOKUP(C205,Hoja1!$B$1:$C$6191,2,0)="",_xlfn.XLOOKUP(C205,Hoja1!$B$2:$B$6191,Hoja1!$A$2:$A$6191),VLOOKUP(C205,Hoja1!$B$1:$C$6191,2,0)),"No esta en Infor")</f>
        <v>CAN0028</v>
      </c>
      <c r="C205" s="19" t="s">
        <v>208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</row>
    <row r="206" spans="1:10" ht="15.75" x14ac:dyDescent="0.25">
      <c r="A206" s="21">
        <v>45322</v>
      </c>
      <c r="B206" t="str">
        <f>IFERROR(IF(VLOOKUP(C206,Hoja1!$B$1:$C$6191,2,0)="",_xlfn.XLOOKUP(C206,Hoja1!$B$2:$B$6191,Hoja1!$A$2:$A$6191),VLOOKUP(C206,Hoja1!$B$1:$C$6191,2,0)),"No esta en Infor")</f>
        <v>NAC0934</v>
      </c>
      <c r="C206" s="19" t="s">
        <v>209</v>
      </c>
      <c r="D206" s="9">
        <v>0</v>
      </c>
      <c r="E206" s="9">
        <v>0</v>
      </c>
      <c r="F206" s="9">
        <v>0</v>
      </c>
      <c r="G206" s="9">
        <v>0</v>
      </c>
      <c r="H206" s="9">
        <v>-154</v>
      </c>
      <c r="I206" s="9">
        <v>0</v>
      </c>
      <c r="J206" s="9">
        <v>-154</v>
      </c>
    </row>
    <row r="207" spans="1:10" ht="15.75" x14ac:dyDescent="0.25">
      <c r="A207" s="21">
        <v>45322</v>
      </c>
      <c r="B207" t="str">
        <f>IFERROR(IF(VLOOKUP(C207,Hoja1!$B$1:$C$6191,2,0)="",_xlfn.XLOOKUP(C207,Hoja1!$B$2:$B$6191,Hoja1!$A$2:$A$6191),VLOOKUP(C207,Hoja1!$B$1:$C$6191,2,0)),"No esta en Infor")</f>
        <v>CAN0030</v>
      </c>
      <c r="C207" s="19" t="s">
        <v>210</v>
      </c>
      <c r="D207" s="9">
        <v>21480.86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21480.86</v>
      </c>
    </row>
    <row r="208" spans="1:10" ht="15.75" x14ac:dyDescent="0.25">
      <c r="A208" s="21">
        <v>45322</v>
      </c>
      <c r="B208" t="str">
        <f>IFERROR(IF(VLOOKUP(C208,Hoja1!$B$1:$C$6191,2,0)="",_xlfn.XLOOKUP(C208,Hoja1!$B$2:$B$6191,Hoja1!$A$2:$A$6191),VLOOKUP(C208,Hoja1!$B$1:$C$6191,2,0)),"No esta en Infor")</f>
        <v>NAC1607</v>
      </c>
      <c r="C208" s="19" t="s">
        <v>668</v>
      </c>
      <c r="D208" s="9">
        <v>540.77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540.77</v>
      </c>
    </row>
    <row r="209" spans="1:10" ht="15.75" x14ac:dyDescent="0.25">
      <c r="A209" s="21">
        <v>45322</v>
      </c>
      <c r="B209" t="str">
        <f>IFERROR(IF(VLOOKUP(C209,Hoja1!$B$1:$C$6191,2,0)="",_xlfn.XLOOKUP(C209,Hoja1!$B$2:$B$6191,Hoja1!$A$2:$A$6191),VLOOKUP(C209,Hoja1!$B$1:$C$6191,2,0)),"No esta en Infor")</f>
        <v>NAC1607</v>
      </c>
      <c r="C209" s="19" t="s">
        <v>211</v>
      </c>
      <c r="D209" s="9">
        <v>211.4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211.4</v>
      </c>
    </row>
    <row r="210" spans="1:10" ht="15.75" x14ac:dyDescent="0.25">
      <c r="A210" s="21">
        <v>45322</v>
      </c>
      <c r="B210" t="str">
        <f>IFERROR(IF(VLOOKUP(C210,Hoja1!$B$1:$C$6191,2,0)="",_xlfn.XLOOKUP(C210,Hoja1!$B$2:$B$6191,Hoja1!$A$2:$A$6191),VLOOKUP(C210,Hoja1!$B$1:$C$6191,2,0)),"No esta en Infor")</f>
        <v>NAC1607</v>
      </c>
      <c r="C210" s="19" t="s">
        <v>212</v>
      </c>
      <c r="D210" s="9">
        <v>617.25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617.25</v>
      </c>
    </row>
    <row r="211" spans="1:10" ht="15.75" x14ac:dyDescent="0.25">
      <c r="A211" s="21">
        <v>45322</v>
      </c>
      <c r="B211" t="str">
        <f>IFERROR(IF(VLOOKUP(C211,Hoja1!$B$1:$C$6191,2,0)="",_xlfn.XLOOKUP(C211,Hoja1!$B$2:$B$6191,Hoja1!$A$2:$A$6191),VLOOKUP(C211,Hoja1!$B$1:$C$6191,2,0)),"No esta en Infor")</f>
        <v>NAC1607</v>
      </c>
      <c r="C211" s="19" t="s">
        <v>213</v>
      </c>
      <c r="D211" s="9">
        <v>0</v>
      </c>
      <c r="E211" s="9">
        <v>219.09</v>
      </c>
      <c r="F211" s="9">
        <v>0</v>
      </c>
      <c r="G211" s="9">
        <v>0</v>
      </c>
      <c r="H211" s="9">
        <v>0</v>
      </c>
      <c r="I211" s="9">
        <v>0</v>
      </c>
      <c r="J211" s="9">
        <v>219.09</v>
      </c>
    </row>
    <row r="212" spans="1:10" ht="15.75" x14ac:dyDescent="0.25">
      <c r="A212" s="21">
        <v>45322</v>
      </c>
      <c r="B212" t="str">
        <f>IFERROR(IF(VLOOKUP(C212,Hoja1!$B$1:$C$6191,2,0)="",_xlfn.XLOOKUP(C212,Hoja1!$B$2:$B$6191,Hoja1!$A$2:$A$6191),VLOOKUP(C212,Hoja1!$B$1:$C$6191,2,0)),"No esta en Infor")</f>
        <v>NAC0958</v>
      </c>
      <c r="C212" s="19" t="s">
        <v>214</v>
      </c>
      <c r="D212" s="9">
        <v>0</v>
      </c>
      <c r="E212" s="9">
        <v>0</v>
      </c>
      <c r="F212" s="9">
        <v>0</v>
      </c>
      <c r="G212" s="9">
        <v>-674.94</v>
      </c>
      <c r="H212" s="9">
        <v>0</v>
      </c>
      <c r="I212" s="9">
        <v>0</v>
      </c>
      <c r="J212" s="9">
        <v>-674.94</v>
      </c>
    </row>
    <row r="213" spans="1:10" ht="15.75" x14ac:dyDescent="0.25">
      <c r="A213" s="21">
        <v>45322</v>
      </c>
      <c r="B213" t="str">
        <f>IFERROR(IF(VLOOKUP(C213,Hoja1!$B$1:$C$6191,2,0)="",_xlfn.XLOOKUP(C213,Hoja1!$B$2:$B$6191,Hoja1!$A$2:$A$6191),VLOOKUP(C213,Hoja1!$B$1:$C$6191,2,0)),"No esta en Infor")</f>
        <v>NAC0955</v>
      </c>
      <c r="C213" s="19" t="s">
        <v>215</v>
      </c>
      <c r="D213" s="9">
        <v>725.77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725.77</v>
      </c>
    </row>
    <row r="214" spans="1:10" ht="15.75" x14ac:dyDescent="0.25">
      <c r="A214" s="21">
        <v>45322</v>
      </c>
      <c r="B214" t="str">
        <f>IFERROR(IF(VLOOKUP(C214,Hoja1!$B$1:$C$6191,2,0)="",_xlfn.XLOOKUP(C214,Hoja1!$B$2:$B$6191,Hoja1!$A$2:$A$6191),VLOOKUP(C214,Hoja1!$B$1:$C$6191,2,0)),"No esta en Infor")</f>
        <v>NAC0960</v>
      </c>
      <c r="C214" s="19" t="s">
        <v>216</v>
      </c>
      <c r="D214" s="9">
        <v>0</v>
      </c>
      <c r="E214" s="9">
        <v>2078.98</v>
      </c>
      <c r="F214" s="9">
        <v>0</v>
      </c>
      <c r="G214" s="9">
        <v>0</v>
      </c>
      <c r="H214" s="9">
        <v>0</v>
      </c>
      <c r="I214" s="9">
        <v>0</v>
      </c>
      <c r="J214" s="9">
        <v>2078.98</v>
      </c>
    </row>
    <row r="215" spans="1:10" ht="15.75" x14ac:dyDescent="0.25">
      <c r="A215" s="21">
        <v>45322</v>
      </c>
      <c r="B215" t="str">
        <f>IFERROR(IF(VLOOKUP(C215,Hoja1!$B$1:$C$6191,2,0)="",_xlfn.XLOOKUP(C215,Hoja1!$B$2:$B$6191,Hoja1!$A$2:$A$6191),VLOOKUP(C215,Hoja1!$B$1:$C$6191,2,0)),"No esta en Infor")</f>
        <v>NAC0963</v>
      </c>
      <c r="C215" s="19" t="s">
        <v>217</v>
      </c>
      <c r="D215" s="9">
        <v>0</v>
      </c>
      <c r="E215" s="9">
        <v>0</v>
      </c>
      <c r="F215" s="9">
        <v>0</v>
      </c>
      <c r="G215" s="9">
        <v>-595.57000000000005</v>
      </c>
      <c r="H215" s="9">
        <v>0</v>
      </c>
      <c r="I215" s="9">
        <v>0</v>
      </c>
      <c r="J215" s="9">
        <v>-595.57000000000005</v>
      </c>
    </row>
    <row r="216" spans="1:10" ht="15.75" x14ac:dyDescent="0.25">
      <c r="A216" s="21">
        <v>45322</v>
      </c>
      <c r="B216" t="str">
        <f>IFERROR(IF(VLOOKUP(C216,Hoja1!$B$1:$C$6191,2,0)="",_xlfn.XLOOKUP(C216,Hoja1!$B$2:$B$6191,Hoja1!$A$2:$A$6191),VLOOKUP(C216,Hoja1!$B$1:$C$6191,2,0)),"No esta en Infor")</f>
        <v>SH00935</v>
      </c>
      <c r="C216" s="19" t="s">
        <v>218</v>
      </c>
      <c r="D216" s="9">
        <v>0</v>
      </c>
      <c r="E216" s="9">
        <v>334.45</v>
      </c>
      <c r="F216" s="9">
        <v>0</v>
      </c>
      <c r="G216" s="9">
        <v>0</v>
      </c>
      <c r="H216" s="9">
        <v>0</v>
      </c>
      <c r="I216" s="9">
        <v>0</v>
      </c>
      <c r="J216" s="9">
        <v>334.45</v>
      </c>
    </row>
    <row r="217" spans="1:10" ht="15.75" x14ac:dyDescent="0.25">
      <c r="A217" s="21">
        <v>45322</v>
      </c>
      <c r="B217" t="str">
        <f>IFERROR(IF(VLOOKUP(C217,Hoja1!$B$1:$C$6191,2,0)="",_xlfn.XLOOKUP(C217,Hoja1!$B$2:$B$6191,Hoja1!$A$2:$A$6191),VLOOKUP(C217,Hoja1!$B$1:$C$6191,2,0)),"No esta en Infor")</f>
        <v>NAC0971</v>
      </c>
      <c r="C217" s="19" t="s">
        <v>219</v>
      </c>
      <c r="D217" s="9">
        <v>0</v>
      </c>
      <c r="E217" s="9">
        <v>467.32</v>
      </c>
      <c r="F217" s="9">
        <v>0</v>
      </c>
      <c r="G217" s="9">
        <v>0</v>
      </c>
      <c r="H217" s="9">
        <v>0</v>
      </c>
      <c r="I217" s="9">
        <v>0</v>
      </c>
      <c r="J217" s="9">
        <v>467.32</v>
      </c>
    </row>
    <row r="218" spans="1:10" ht="15.75" x14ac:dyDescent="0.25">
      <c r="A218" s="21">
        <v>45322</v>
      </c>
      <c r="B218" t="str">
        <f>IFERROR(IF(VLOOKUP(C218,Hoja1!$B$1:$C$6191,2,0)="",_xlfn.XLOOKUP(C218,Hoja1!$B$2:$B$6191,Hoja1!$A$2:$A$6191),VLOOKUP(C218,Hoja1!$B$1:$C$6191,2,0)),"No esta en Infor")</f>
        <v>SH00941</v>
      </c>
      <c r="C218" s="19" t="s">
        <v>220</v>
      </c>
      <c r="D218" s="9">
        <v>0</v>
      </c>
      <c r="E218" s="9">
        <v>48.92</v>
      </c>
      <c r="F218" s="9">
        <v>0</v>
      </c>
      <c r="G218" s="9">
        <v>0</v>
      </c>
      <c r="H218" s="9">
        <v>0</v>
      </c>
      <c r="I218" s="9">
        <v>0</v>
      </c>
      <c r="J218" s="9">
        <v>48.92</v>
      </c>
    </row>
    <row r="219" spans="1:10" ht="15.75" x14ac:dyDescent="0.25">
      <c r="A219" s="21">
        <v>45322</v>
      </c>
      <c r="B219" t="str">
        <f>IFERROR(IF(VLOOKUP(C219,Hoja1!$B$1:$C$6191,2,0)="",_xlfn.XLOOKUP(C219,Hoja1!$B$2:$B$6191,Hoja1!$A$2:$A$6191),VLOOKUP(C219,Hoja1!$B$1:$C$6191,2,0)),"No esta en Infor")</f>
        <v>NAC0972</v>
      </c>
      <c r="C219" s="19" t="s">
        <v>221</v>
      </c>
      <c r="D219" s="9">
        <v>0</v>
      </c>
      <c r="E219" s="9">
        <v>217.86</v>
      </c>
      <c r="F219" s="9">
        <v>0</v>
      </c>
      <c r="G219" s="9">
        <v>0</v>
      </c>
      <c r="H219" s="9">
        <v>0</v>
      </c>
      <c r="I219" s="9">
        <v>0</v>
      </c>
      <c r="J219" s="9">
        <v>217.86</v>
      </c>
    </row>
    <row r="220" spans="1:10" ht="15.75" x14ac:dyDescent="0.25">
      <c r="A220" s="21">
        <v>45322</v>
      </c>
      <c r="B220" t="str">
        <f>IFERROR(IF(VLOOKUP(C220,Hoja1!$B$1:$C$6191,2,0)="",_xlfn.XLOOKUP(C220,Hoja1!$B$2:$B$6191,Hoja1!$A$2:$A$6191),VLOOKUP(C220,Hoja1!$B$1:$C$6191,2,0)),"No esta en Infor")</f>
        <v>NAC0979</v>
      </c>
      <c r="C220" s="19" t="s">
        <v>222</v>
      </c>
      <c r="D220" s="9">
        <v>0</v>
      </c>
      <c r="E220" s="9">
        <v>-110</v>
      </c>
      <c r="F220" s="9">
        <v>0</v>
      </c>
      <c r="G220" s="9">
        <v>0</v>
      </c>
      <c r="H220" s="9">
        <v>0</v>
      </c>
      <c r="I220" s="9">
        <v>0</v>
      </c>
      <c r="J220" s="9">
        <v>-110</v>
      </c>
    </row>
    <row r="221" spans="1:10" ht="15.75" x14ac:dyDescent="0.25">
      <c r="A221" s="21">
        <v>45322</v>
      </c>
      <c r="B221" t="str">
        <f>IFERROR(IF(VLOOKUP(C221,Hoja1!$B$1:$C$6191,2,0)="",_xlfn.XLOOKUP(C221,Hoja1!$B$2:$B$6191,Hoja1!$A$2:$A$6191),VLOOKUP(C221,Hoja1!$B$1:$C$6191,2,0)),"No esta en Infor")</f>
        <v>SH01014</v>
      </c>
      <c r="C221" s="19" t="s">
        <v>223</v>
      </c>
      <c r="D221" s="9">
        <v>124.34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124.34</v>
      </c>
    </row>
    <row r="222" spans="1:10" ht="15.75" x14ac:dyDescent="0.25">
      <c r="A222" s="21">
        <v>45322</v>
      </c>
      <c r="B222" t="str">
        <f>IFERROR(IF(VLOOKUP(C222,Hoja1!$B$1:$C$6191,2,0)="",_xlfn.XLOOKUP(C222,Hoja1!$B$2:$B$6191,Hoja1!$A$2:$A$6191),VLOOKUP(C222,Hoja1!$B$1:$C$6191,2,0)),"No esta en Infor")</f>
        <v>NAC0986</v>
      </c>
      <c r="C222" s="19" t="s">
        <v>224</v>
      </c>
      <c r="D222" s="9">
        <v>893.05</v>
      </c>
      <c r="E222" s="9">
        <v>12068.55</v>
      </c>
      <c r="F222" s="9">
        <v>5772.77</v>
      </c>
      <c r="G222" s="9">
        <v>0</v>
      </c>
      <c r="H222" s="9">
        <v>0</v>
      </c>
      <c r="I222" s="9">
        <v>0</v>
      </c>
      <c r="J222" s="9">
        <v>18734.37</v>
      </c>
    </row>
    <row r="223" spans="1:10" ht="15.75" x14ac:dyDescent="0.25">
      <c r="A223" s="21">
        <v>45322</v>
      </c>
      <c r="B223" t="str">
        <f>IFERROR(IF(VLOOKUP(C223,Hoja1!$B$1:$C$6191,2,0)="",_xlfn.XLOOKUP(C223,Hoja1!$B$2:$B$6191,Hoja1!$A$2:$A$6191),VLOOKUP(C223,Hoja1!$B$1:$C$6191,2,0)),"No esta en Infor")</f>
        <v>NAC0987</v>
      </c>
      <c r="C223" s="19" t="s">
        <v>225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2040.5</v>
      </c>
      <c r="J223" s="9">
        <v>2040.5</v>
      </c>
    </row>
    <row r="224" spans="1:10" ht="15.75" x14ac:dyDescent="0.25">
      <c r="A224" s="21">
        <v>45322</v>
      </c>
      <c r="B224" t="str">
        <f>IFERROR(IF(VLOOKUP(C224,Hoja1!$B$1:$C$6191,2,0)="",_xlfn.XLOOKUP(C224,Hoja1!$B$2:$B$6191,Hoja1!$A$2:$A$6191),VLOOKUP(C224,Hoja1!$B$1:$C$6191,2,0)),"No esta en Infor")</f>
        <v>NAC0994</v>
      </c>
      <c r="C224" s="19" t="s">
        <v>226</v>
      </c>
      <c r="D224" s="9">
        <v>257.62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257.62</v>
      </c>
    </row>
    <row r="225" spans="1:10" ht="15.75" x14ac:dyDescent="0.25">
      <c r="A225" s="21">
        <v>45322</v>
      </c>
      <c r="B225" t="str">
        <f>IFERROR(IF(VLOOKUP(C225,Hoja1!$B$1:$C$6191,2,0)="",_xlfn.XLOOKUP(C225,Hoja1!$B$2:$B$6191,Hoja1!$A$2:$A$6191),VLOOKUP(C225,Hoja1!$B$1:$C$6191,2,0)),"No esta en Infor")</f>
        <v>NAC0995</v>
      </c>
      <c r="C225" s="19" t="s">
        <v>227</v>
      </c>
      <c r="D225" s="9">
        <v>654.88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654.88</v>
      </c>
    </row>
    <row r="226" spans="1:10" ht="15.75" x14ac:dyDescent="0.25">
      <c r="A226" s="21">
        <v>45322</v>
      </c>
      <c r="B226" t="str">
        <f>IFERROR(IF(VLOOKUP(C226,Hoja1!$B$1:$C$6191,2,0)="",_xlfn.XLOOKUP(C226,Hoja1!$B$2:$B$6191,Hoja1!$A$2:$A$6191),VLOOKUP(C226,Hoja1!$B$1:$C$6191,2,0)),"No esta en Infor")</f>
        <v>NAC0997</v>
      </c>
      <c r="C226" s="19" t="s">
        <v>228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-148</v>
      </c>
      <c r="J226" s="9">
        <v>-148</v>
      </c>
    </row>
    <row r="227" spans="1:10" ht="15.75" x14ac:dyDescent="0.25">
      <c r="A227" s="21">
        <v>45322</v>
      </c>
      <c r="B227" t="str">
        <f>IFERROR(IF(VLOOKUP(C227,Hoja1!$B$1:$C$6191,2,0)="",_xlfn.XLOOKUP(C227,Hoja1!$B$2:$B$6191,Hoja1!$A$2:$A$6191),VLOOKUP(C227,Hoja1!$B$1:$C$6191,2,0)),"No esta en Infor")</f>
        <v>NAC0998</v>
      </c>
      <c r="C227" s="19" t="s">
        <v>229</v>
      </c>
      <c r="D227" s="9">
        <v>2426.9899999999998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2426.9899999999998</v>
      </c>
    </row>
    <row r="228" spans="1:10" ht="15.75" x14ac:dyDescent="0.25">
      <c r="A228" s="21">
        <v>45322</v>
      </c>
      <c r="B228" t="str">
        <f>IFERROR(IF(VLOOKUP(C228,Hoja1!$B$1:$C$6191,2,0)="",_xlfn.XLOOKUP(C228,Hoja1!$B$2:$B$6191,Hoja1!$A$2:$A$6191),VLOOKUP(C228,Hoja1!$B$1:$C$6191,2,0)),"No esta en Infor")</f>
        <v>SH01194</v>
      </c>
      <c r="C228" s="19" t="s">
        <v>230</v>
      </c>
      <c r="D228" s="9">
        <v>0</v>
      </c>
      <c r="E228" s="9">
        <v>276.52</v>
      </c>
      <c r="F228" s="9">
        <v>0</v>
      </c>
      <c r="G228" s="9">
        <v>0</v>
      </c>
      <c r="H228" s="9">
        <v>0</v>
      </c>
      <c r="I228" s="9">
        <v>0</v>
      </c>
      <c r="J228" s="9">
        <v>276.52</v>
      </c>
    </row>
    <row r="229" spans="1:10" ht="15.75" x14ac:dyDescent="0.25">
      <c r="A229" s="21">
        <v>45322</v>
      </c>
      <c r="B229" t="str">
        <f>IFERROR(IF(VLOOKUP(C229,Hoja1!$B$1:$C$6191,2,0)="",_xlfn.XLOOKUP(C229,Hoja1!$B$2:$B$6191,Hoja1!$A$2:$A$6191),VLOOKUP(C229,Hoja1!$B$1:$C$6191,2,0)),"No esta en Infor")</f>
        <v>NAC1005</v>
      </c>
      <c r="C229" s="19" t="s">
        <v>231</v>
      </c>
      <c r="D229" s="9">
        <v>0</v>
      </c>
      <c r="E229" s="9">
        <v>0</v>
      </c>
      <c r="F229" s="9">
        <v>0</v>
      </c>
      <c r="G229" s="9">
        <v>0</v>
      </c>
      <c r="H229" s="9">
        <v>-35.14</v>
      </c>
      <c r="I229" s="9">
        <v>0</v>
      </c>
      <c r="J229" s="9">
        <v>-35.14</v>
      </c>
    </row>
    <row r="230" spans="1:10" ht="15.75" x14ac:dyDescent="0.25">
      <c r="A230" s="21">
        <v>45322</v>
      </c>
      <c r="B230" t="str">
        <f>IFERROR(IF(VLOOKUP(C230,Hoja1!$B$1:$C$6191,2,0)="",_xlfn.XLOOKUP(C230,Hoja1!$B$2:$B$6191,Hoja1!$A$2:$A$6191),VLOOKUP(C230,Hoja1!$B$1:$C$6191,2,0)),"No esta en Infor")</f>
        <v>SH01217</v>
      </c>
      <c r="C230" s="19" t="s">
        <v>232</v>
      </c>
      <c r="D230" s="9">
        <v>0</v>
      </c>
      <c r="E230" s="9">
        <v>285.47000000000003</v>
      </c>
      <c r="F230" s="9">
        <v>0</v>
      </c>
      <c r="G230" s="9">
        <v>0</v>
      </c>
      <c r="H230" s="9">
        <v>0</v>
      </c>
      <c r="I230" s="9">
        <v>0</v>
      </c>
      <c r="J230" s="9">
        <v>285.47000000000003</v>
      </c>
    </row>
    <row r="231" spans="1:10" ht="15.75" x14ac:dyDescent="0.25">
      <c r="A231" s="21">
        <v>45322</v>
      </c>
      <c r="B231" t="str">
        <f>IFERROR(IF(VLOOKUP(C231,Hoja1!$B$1:$C$6191,2,0)="",_xlfn.XLOOKUP(C231,Hoja1!$B$2:$B$6191,Hoja1!$A$2:$A$6191),VLOOKUP(C231,Hoja1!$B$1:$C$6191,2,0)),"No esta en Infor")</f>
        <v>NAC1007</v>
      </c>
      <c r="C231" s="19" t="s">
        <v>233</v>
      </c>
      <c r="D231" s="9">
        <v>3430</v>
      </c>
      <c r="E231" s="9">
        <v>-200</v>
      </c>
      <c r="F231" s="9">
        <v>0</v>
      </c>
      <c r="G231" s="9">
        <v>0</v>
      </c>
      <c r="H231" s="9">
        <v>0</v>
      </c>
      <c r="I231" s="9">
        <v>0</v>
      </c>
      <c r="J231" s="9">
        <v>3230</v>
      </c>
    </row>
    <row r="232" spans="1:10" ht="15.75" x14ac:dyDescent="0.25">
      <c r="A232" s="21">
        <v>45322</v>
      </c>
      <c r="B232" t="str">
        <f>IFERROR(IF(VLOOKUP(C232,Hoja1!$B$1:$C$6191,2,0)="",_xlfn.XLOOKUP(C232,Hoja1!$B$2:$B$6191,Hoja1!$A$2:$A$6191),VLOOKUP(C232,Hoja1!$B$1:$C$6191,2,0)),"No esta en Infor")</f>
        <v>SH01268</v>
      </c>
      <c r="C232" s="19" t="s">
        <v>234</v>
      </c>
      <c r="D232" s="9">
        <v>-68.489999999999995</v>
      </c>
      <c r="E232" s="9">
        <v>68.489999999999995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</row>
    <row r="233" spans="1:10" ht="15.75" x14ac:dyDescent="0.25">
      <c r="A233" s="21">
        <v>45322</v>
      </c>
      <c r="B233" t="str">
        <f>IFERROR(IF(VLOOKUP(C233,Hoja1!$B$1:$C$6191,2,0)="",_xlfn.XLOOKUP(C233,Hoja1!$B$2:$B$6191,Hoja1!$A$2:$A$6191),VLOOKUP(C233,Hoja1!$B$1:$C$6191,2,0)),"No esta en Infor")</f>
        <v>NAC1013</v>
      </c>
      <c r="C233" s="19" t="s">
        <v>235</v>
      </c>
      <c r="D233" s="9">
        <v>555.96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555.96</v>
      </c>
    </row>
    <row r="234" spans="1:10" ht="15.75" x14ac:dyDescent="0.25">
      <c r="A234" s="21">
        <v>45322</v>
      </c>
      <c r="B234" t="str">
        <f>IFERROR(IF(VLOOKUP(C234,Hoja1!$B$1:$C$6191,2,0)="",_xlfn.XLOOKUP(C234,Hoja1!$B$2:$B$6191,Hoja1!$A$2:$A$6191),VLOOKUP(C234,Hoja1!$B$1:$C$6191,2,0)),"No esta en Infor")</f>
        <v>NAC1616</v>
      </c>
      <c r="C234" s="19" t="s">
        <v>2970</v>
      </c>
      <c r="D234" s="9">
        <v>8176.64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8176.64</v>
      </c>
    </row>
    <row r="235" spans="1:10" ht="15.75" x14ac:dyDescent="0.25">
      <c r="A235" s="21">
        <v>45322</v>
      </c>
      <c r="B235" t="str">
        <f>IFERROR(IF(VLOOKUP(C235,Hoja1!$B$1:$C$6191,2,0)="",_xlfn.XLOOKUP(C235,Hoja1!$B$2:$B$6191,Hoja1!$A$2:$A$6191),VLOOKUP(C235,Hoja1!$B$1:$C$6191,2,0)),"No esta en Infor")</f>
        <v>NAC1606</v>
      </c>
      <c r="C235" s="19" t="s">
        <v>236</v>
      </c>
      <c r="D235" s="9">
        <v>10282.56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10282.56</v>
      </c>
    </row>
    <row r="236" spans="1:10" ht="15.75" x14ac:dyDescent="0.25">
      <c r="A236" s="21">
        <v>45322</v>
      </c>
      <c r="B236" t="str">
        <f>IFERROR(IF(VLOOKUP(C236,Hoja1!$B$1:$C$6191,2,0)="",_xlfn.XLOOKUP(C236,Hoja1!$B$2:$B$6191,Hoja1!$A$2:$A$6191),VLOOKUP(C236,Hoja1!$B$1:$C$6191,2,0)),"No esta en Infor")</f>
        <v>SH01331</v>
      </c>
      <c r="C236" s="19" t="s">
        <v>237</v>
      </c>
      <c r="D236" s="9">
        <v>212.57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212.57</v>
      </c>
    </row>
    <row r="237" spans="1:10" ht="15.75" x14ac:dyDescent="0.25">
      <c r="A237" s="21">
        <v>45322</v>
      </c>
      <c r="B237" t="str">
        <f>IFERROR(IF(VLOOKUP(C237,Hoja1!$B$1:$C$6191,2,0)="",_xlfn.XLOOKUP(C237,Hoja1!$B$2:$B$6191,Hoja1!$A$2:$A$6191),VLOOKUP(C237,Hoja1!$B$1:$C$6191,2,0)),"No esta en Infor")</f>
        <v>NAC1019</v>
      </c>
      <c r="C237" s="19" t="s">
        <v>238</v>
      </c>
      <c r="D237" s="9">
        <v>0</v>
      </c>
      <c r="E237" s="9">
        <v>0</v>
      </c>
      <c r="F237" s="9">
        <v>0</v>
      </c>
      <c r="G237" s="9">
        <v>-1620</v>
      </c>
      <c r="H237" s="9">
        <v>0</v>
      </c>
      <c r="I237" s="9">
        <v>0</v>
      </c>
      <c r="J237" s="9">
        <v>-1620</v>
      </c>
    </row>
    <row r="238" spans="1:10" ht="15.75" x14ac:dyDescent="0.25">
      <c r="A238" s="21">
        <v>45322</v>
      </c>
      <c r="B238" t="str">
        <f>IFERROR(IF(VLOOKUP(C238,Hoja1!$B$1:$C$6191,2,0)="",_xlfn.XLOOKUP(C238,Hoja1!$B$2:$B$6191,Hoja1!$A$2:$A$6191),VLOOKUP(C238,Hoja1!$B$1:$C$6191,2,0)),"No esta en Infor")</f>
        <v>NAC1021</v>
      </c>
      <c r="C238" s="19" t="s">
        <v>239</v>
      </c>
      <c r="D238" s="9">
        <v>0</v>
      </c>
      <c r="E238" s="9">
        <v>-5</v>
      </c>
      <c r="F238" s="9">
        <v>0</v>
      </c>
      <c r="G238" s="9">
        <v>-8.01</v>
      </c>
      <c r="H238" s="9">
        <v>0</v>
      </c>
      <c r="I238" s="9">
        <v>0</v>
      </c>
      <c r="J238" s="9">
        <v>-13.01</v>
      </c>
    </row>
    <row r="239" spans="1:10" ht="15.75" x14ac:dyDescent="0.25">
      <c r="A239" s="21">
        <v>45322</v>
      </c>
      <c r="B239" t="str">
        <f>IFERROR(IF(VLOOKUP(C239,Hoja1!$B$1:$C$6191,2,0)="",_xlfn.XLOOKUP(C239,Hoja1!$B$2:$B$6191,Hoja1!$A$2:$A$6191),VLOOKUP(C239,Hoja1!$B$1:$C$6191,2,0)),"No esta en Infor")</f>
        <v>SH01358</v>
      </c>
      <c r="C239" s="19" t="s">
        <v>240</v>
      </c>
      <c r="D239" s="9">
        <v>0</v>
      </c>
      <c r="E239" s="9">
        <v>71.61</v>
      </c>
      <c r="F239" s="9">
        <v>0</v>
      </c>
      <c r="G239" s="9">
        <v>0</v>
      </c>
      <c r="H239" s="9">
        <v>0</v>
      </c>
      <c r="I239" s="9">
        <v>0</v>
      </c>
      <c r="J239" s="9">
        <v>71.61</v>
      </c>
    </row>
    <row r="240" spans="1:10" ht="15.75" x14ac:dyDescent="0.25">
      <c r="A240" s="21">
        <v>45322</v>
      </c>
      <c r="B240" t="str">
        <f>IFERROR(IF(VLOOKUP(C240,Hoja1!$B$1:$C$6191,2,0)="",_xlfn.XLOOKUP(C240,Hoja1!$B$2:$B$6191,Hoja1!$A$2:$A$6191),VLOOKUP(C240,Hoja1!$B$1:$C$6191,2,0)),"No esta en Infor")</f>
        <v>NAC1024</v>
      </c>
      <c r="C240" s="19" t="s">
        <v>241</v>
      </c>
      <c r="D240" s="9">
        <v>0</v>
      </c>
      <c r="E240" s="9">
        <v>0</v>
      </c>
      <c r="F240" s="9">
        <v>0</v>
      </c>
      <c r="G240" s="9">
        <v>0</v>
      </c>
      <c r="H240" s="9">
        <v>-16.41</v>
      </c>
      <c r="I240" s="9">
        <v>0</v>
      </c>
      <c r="J240" s="9">
        <v>-16.41</v>
      </c>
    </row>
    <row r="241" spans="1:10" ht="15.75" x14ac:dyDescent="0.25">
      <c r="A241" s="21">
        <v>45322</v>
      </c>
      <c r="B241" t="str">
        <f>IFERROR(IF(VLOOKUP(C241,Hoja1!$B$1:$C$6191,2,0)="",_xlfn.XLOOKUP(C241,Hoja1!$B$2:$B$6191,Hoja1!$A$2:$A$6191),VLOOKUP(C241,Hoja1!$B$1:$C$6191,2,0)),"No esta en Infor")</f>
        <v>NAC1025</v>
      </c>
      <c r="C241" s="19" t="s">
        <v>242</v>
      </c>
      <c r="D241" s="9">
        <v>0</v>
      </c>
      <c r="E241" s="9">
        <v>-491.97</v>
      </c>
      <c r="F241" s="9">
        <v>0</v>
      </c>
      <c r="G241" s="9">
        <v>0</v>
      </c>
      <c r="H241" s="9">
        <v>0</v>
      </c>
      <c r="I241" s="9">
        <v>0</v>
      </c>
      <c r="J241" s="9">
        <v>-491.97</v>
      </c>
    </row>
    <row r="242" spans="1:10" ht="15.75" x14ac:dyDescent="0.25">
      <c r="A242" s="21">
        <v>45322</v>
      </c>
      <c r="B242" t="str">
        <f>IFERROR(IF(VLOOKUP(C242,Hoja1!$B$1:$C$6191,2,0)="",_xlfn.XLOOKUP(C242,Hoja1!$B$2:$B$6191,Hoja1!$A$2:$A$6191),VLOOKUP(C242,Hoja1!$B$1:$C$6191,2,0)),"No esta en Infor")</f>
        <v>NAC1027</v>
      </c>
      <c r="C242" s="19" t="s">
        <v>243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-2408</v>
      </c>
      <c r="J242" s="9">
        <v>-2408</v>
      </c>
    </row>
    <row r="243" spans="1:10" ht="15.75" x14ac:dyDescent="0.25">
      <c r="A243" s="21">
        <v>45322</v>
      </c>
      <c r="B243" t="str">
        <f>IFERROR(IF(VLOOKUP(C243,Hoja1!$B$1:$C$6191,2,0)="",_xlfn.XLOOKUP(C243,Hoja1!$B$2:$B$6191,Hoja1!$A$2:$A$6191),VLOOKUP(C243,Hoja1!$B$1:$C$6191,2,0)),"No esta en Infor")</f>
        <v>NAC1042</v>
      </c>
      <c r="C243" s="19" t="s">
        <v>244</v>
      </c>
      <c r="D243" s="9">
        <v>7550.77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7550.77</v>
      </c>
    </row>
    <row r="244" spans="1:10" ht="15.75" x14ac:dyDescent="0.25">
      <c r="A244" s="21">
        <v>45322</v>
      </c>
      <c r="B244" t="str">
        <f>IFERROR(IF(VLOOKUP(C244,Hoja1!$B$1:$C$6191,2,0)="",_xlfn.XLOOKUP(C244,Hoja1!$B$2:$B$6191,Hoja1!$A$2:$A$6191),VLOOKUP(C244,Hoja1!$B$1:$C$6191,2,0)),"No esta en Infor")</f>
        <v>SH01478</v>
      </c>
      <c r="C244" s="19" t="s">
        <v>245</v>
      </c>
      <c r="D244" s="9">
        <v>68.5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68.5</v>
      </c>
    </row>
    <row r="245" spans="1:10" ht="15.75" x14ac:dyDescent="0.25">
      <c r="A245" s="21">
        <v>45322</v>
      </c>
      <c r="B245" t="str">
        <f>IFERROR(IF(VLOOKUP(C245,Hoja1!$B$1:$C$6191,2,0)="",_xlfn.XLOOKUP(C245,Hoja1!$B$2:$B$6191,Hoja1!$A$2:$A$6191),VLOOKUP(C245,Hoja1!$B$1:$C$6191,2,0)),"No esta en Infor")</f>
        <v>NAC1051</v>
      </c>
      <c r="C245" s="19" t="s">
        <v>246</v>
      </c>
      <c r="D245" s="9">
        <v>270.81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270.81</v>
      </c>
    </row>
    <row r="246" spans="1:10" ht="15.75" x14ac:dyDescent="0.25">
      <c r="A246" s="21">
        <v>45322</v>
      </c>
      <c r="B246" t="str">
        <f>IFERROR(IF(VLOOKUP(C246,Hoja1!$B$1:$C$6191,2,0)="",_xlfn.XLOOKUP(C246,Hoja1!$B$2:$B$6191,Hoja1!$A$2:$A$6191),VLOOKUP(C246,Hoja1!$B$1:$C$6191,2,0)),"No esta en Infor")</f>
        <v>FOC0001</v>
      </c>
      <c r="C246" s="19" t="s">
        <v>247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-88.81</v>
      </c>
      <c r="J246" s="9">
        <v>-88.81</v>
      </c>
    </row>
    <row r="247" spans="1:10" ht="15.75" x14ac:dyDescent="0.25">
      <c r="A247" s="21">
        <v>45322</v>
      </c>
      <c r="B247" t="str">
        <f>IFERROR(IF(VLOOKUP(C247,Hoja1!$B$1:$C$6191,2,0)="",_xlfn.XLOOKUP(C247,Hoja1!$B$2:$B$6191,Hoja1!$A$2:$A$6191),VLOOKUP(C247,Hoja1!$B$1:$C$6191,2,0)),"No esta en Infor")</f>
        <v>NAC1054</v>
      </c>
      <c r="C247" s="19" t="s">
        <v>248</v>
      </c>
      <c r="D247" s="9">
        <v>7311.92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7311.92</v>
      </c>
    </row>
    <row r="248" spans="1:10" ht="15.75" x14ac:dyDescent="0.25">
      <c r="A248" s="21">
        <v>45322</v>
      </c>
      <c r="B248" t="str">
        <f>IFERROR(IF(VLOOKUP(C248,Hoja1!$B$1:$C$6191,2,0)="",_xlfn.XLOOKUP(C248,Hoja1!$B$2:$B$6191,Hoja1!$A$2:$A$6191),VLOOKUP(C248,Hoja1!$B$1:$C$6191,2,0)),"No esta en Infor")</f>
        <v>SH01497</v>
      </c>
      <c r="C248" s="19" t="s">
        <v>249</v>
      </c>
      <c r="D248" s="9">
        <v>0</v>
      </c>
      <c r="E248" s="9">
        <v>49.22</v>
      </c>
      <c r="F248" s="9">
        <v>0</v>
      </c>
      <c r="G248" s="9">
        <v>0</v>
      </c>
      <c r="H248" s="9">
        <v>0</v>
      </c>
      <c r="I248" s="9">
        <v>0</v>
      </c>
      <c r="J248" s="9">
        <v>49.22</v>
      </c>
    </row>
    <row r="249" spans="1:10" ht="15.75" x14ac:dyDescent="0.25">
      <c r="A249" s="21">
        <v>45322</v>
      </c>
      <c r="B249" t="str">
        <f>IFERROR(IF(VLOOKUP(C249,Hoja1!$B$1:$C$6191,2,0)="",_xlfn.XLOOKUP(C249,Hoja1!$B$2:$B$6191,Hoja1!$A$2:$A$6191),VLOOKUP(C249,Hoja1!$B$1:$C$6191,2,0)),"No esta en Infor")</f>
        <v>NAC1057</v>
      </c>
      <c r="C249" s="19" t="s">
        <v>250</v>
      </c>
      <c r="D249" s="9">
        <v>0</v>
      </c>
      <c r="E249" s="9">
        <v>-3415.36</v>
      </c>
      <c r="F249" s="9">
        <v>0</v>
      </c>
      <c r="G249" s="9">
        <v>0</v>
      </c>
      <c r="H249" s="9">
        <v>0</v>
      </c>
      <c r="I249" s="9">
        <v>0</v>
      </c>
      <c r="J249" s="9">
        <v>-3415.36</v>
      </c>
    </row>
    <row r="250" spans="1:10" ht="15.75" x14ac:dyDescent="0.25">
      <c r="A250" s="21">
        <v>45322</v>
      </c>
      <c r="B250" t="str">
        <f>IFERROR(IF(VLOOKUP(C250,Hoja1!$B$1:$C$6191,2,0)="",_xlfn.XLOOKUP(C250,Hoja1!$B$2:$B$6191,Hoja1!$A$2:$A$6191),VLOOKUP(C250,Hoja1!$B$1:$C$6191,2,0)),"No esta en Infor")</f>
        <v>NAC1061</v>
      </c>
      <c r="C250" s="19" t="s">
        <v>251</v>
      </c>
      <c r="D250" s="9">
        <v>1289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1289</v>
      </c>
    </row>
    <row r="251" spans="1:10" ht="15.75" x14ac:dyDescent="0.25">
      <c r="A251" s="21">
        <v>45322</v>
      </c>
      <c r="B251" t="str">
        <f>IFERROR(IF(VLOOKUP(C251,Hoja1!$B$1:$C$6191,2,0)="",_xlfn.XLOOKUP(C251,Hoja1!$B$2:$B$6191,Hoja1!$A$2:$A$6191),VLOOKUP(C251,Hoja1!$B$1:$C$6191,2,0)),"No esta en Infor")</f>
        <v>NAC1074</v>
      </c>
      <c r="C251" s="19" t="s">
        <v>252</v>
      </c>
      <c r="D251" s="9">
        <v>117.26</v>
      </c>
      <c r="E251" s="9">
        <v>119.57</v>
      </c>
      <c r="F251" s="9">
        <v>-63.47</v>
      </c>
      <c r="G251" s="9">
        <v>-122.5</v>
      </c>
      <c r="H251" s="9">
        <v>0</v>
      </c>
      <c r="I251" s="9">
        <v>0</v>
      </c>
      <c r="J251" s="9">
        <v>50.86</v>
      </c>
    </row>
    <row r="252" spans="1:10" ht="15.75" x14ac:dyDescent="0.25">
      <c r="A252" s="21">
        <v>45322</v>
      </c>
      <c r="B252" t="str">
        <f>IFERROR(IF(VLOOKUP(C252,Hoja1!$B$1:$C$6191,2,0)="",_xlfn.XLOOKUP(C252,Hoja1!$B$2:$B$6191,Hoja1!$A$2:$A$6191),VLOOKUP(C252,Hoja1!$B$1:$C$6191,2,0)),"No esta en Infor")</f>
        <v>NAC1076</v>
      </c>
      <c r="C252" s="19" t="s">
        <v>253</v>
      </c>
      <c r="D252" s="9">
        <v>0</v>
      </c>
      <c r="E252" s="9">
        <v>-47.19</v>
      </c>
      <c r="F252" s="9">
        <v>0</v>
      </c>
      <c r="G252" s="9">
        <v>0</v>
      </c>
      <c r="H252" s="9">
        <v>0</v>
      </c>
      <c r="I252" s="9">
        <v>0</v>
      </c>
      <c r="J252" s="9">
        <v>-47.19</v>
      </c>
    </row>
    <row r="253" spans="1:10" ht="15.75" x14ac:dyDescent="0.25">
      <c r="A253" s="21">
        <v>45322</v>
      </c>
      <c r="B253" t="str">
        <f>IFERROR(IF(VLOOKUP(C253,Hoja1!$B$1:$C$6191,2,0)="",_xlfn.XLOOKUP(C253,Hoja1!$B$2:$B$6191,Hoja1!$A$2:$A$6191),VLOOKUP(C253,Hoja1!$B$1:$C$6191,2,0)),"No esta en Infor")</f>
        <v>NAC1077</v>
      </c>
      <c r="C253" s="19" t="s">
        <v>254</v>
      </c>
      <c r="D253" s="9">
        <v>2060.42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2060.42</v>
      </c>
    </row>
    <row r="254" spans="1:10" ht="15.75" x14ac:dyDescent="0.25">
      <c r="A254" s="21">
        <v>45322</v>
      </c>
      <c r="B254" t="str">
        <f>IFERROR(IF(VLOOKUP(C254,Hoja1!$B$1:$C$6191,2,0)="",_xlfn.XLOOKUP(C254,Hoja1!$B$2:$B$6191,Hoja1!$A$2:$A$6191),VLOOKUP(C254,Hoja1!$B$1:$C$6191,2,0)),"No esta en Infor")</f>
        <v>NAC1081</v>
      </c>
      <c r="C254" s="19" t="s">
        <v>255</v>
      </c>
      <c r="D254" s="9">
        <v>138.04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138.04</v>
      </c>
    </row>
    <row r="255" spans="1:10" ht="15.75" x14ac:dyDescent="0.25">
      <c r="A255" s="21">
        <v>45322</v>
      </c>
      <c r="B255" t="str">
        <f>IFERROR(IF(VLOOKUP(C255,Hoja1!$B$1:$C$6191,2,0)="",_xlfn.XLOOKUP(C255,Hoja1!$B$2:$B$6191,Hoja1!$A$2:$A$6191),VLOOKUP(C255,Hoja1!$B$1:$C$6191,2,0)),"No esta en Infor")</f>
        <v>CAN0036</v>
      </c>
      <c r="C255" s="19" t="s">
        <v>256</v>
      </c>
      <c r="D255" s="9">
        <v>-132.72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-132.72</v>
      </c>
    </row>
    <row r="256" spans="1:10" ht="15.75" x14ac:dyDescent="0.25">
      <c r="A256" s="21">
        <v>45322</v>
      </c>
      <c r="B256" t="str">
        <f>IFERROR(IF(VLOOKUP(C256,Hoja1!$B$1:$C$6191,2,0)="",_xlfn.XLOOKUP(C256,Hoja1!$B$2:$B$6191,Hoja1!$A$2:$A$6191),VLOOKUP(C256,Hoja1!$B$1:$C$6191,2,0)),"No esta en Infor")</f>
        <v>NAC1084</v>
      </c>
      <c r="C256" s="19" t="s">
        <v>257</v>
      </c>
      <c r="D256" s="9">
        <v>139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139</v>
      </c>
    </row>
    <row r="257" spans="1:10" ht="15.75" x14ac:dyDescent="0.25">
      <c r="A257" s="21">
        <v>45322</v>
      </c>
      <c r="B257" t="str">
        <f>IFERROR(IF(VLOOKUP(C257,Hoja1!$B$1:$C$6191,2,0)="",_xlfn.XLOOKUP(C257,Hoja1!$B$2:$B$6191,Hoja1!$A$2:$A$6191),VLOOKUP(C257,Hoja1!$B$1:$C$6191,2,0)),"No esta en Infor")</f>
        <v>NAC1086</v>
      </c>
      <c r="C257" s="19" t="s">
        <v>258</v>
      </c>
      <c r="D257" s="9">
        <v>371.87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371.87</v>
      </c>
    </row>
    <row r="258" spans="1:10" ht="15.75" x14ac:dyDescent="0.25">
      <c r="A258" s="21">
        <v>45322</v>
      </c>
      <c r="B258" t="str">
        <f>IFERROR(IF(VLOOKUP(C258,Hoja1!$B$1:$C$6191,2,0)="",_xlfn.XLOOKUP(C258,Hoja1!$B$2:$B$6191,Hoja1!$A$2:$A$6191),VLOOKUP(C258,Hoja1!$B$1:$C$6191,2,0)),"No esta en Infor")</f>
        <v>NAC1106</v>
      </c>
      <c r="C258" s="19" t="s">
        <v>259</v>
      </c>
      <c r="D258" s="9">
        <v>927.8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927.8</v>
      </c>
    </row>
    <row r="259" spans="1:10" ht="15.75" x14ac:dyDescent="0.25">
      <c r="A259" s="21">
        <v>45322</v>
      </c>
      <c r="B259" t="str">
        <f>IFERROR(IF(VLOOKUP(C259,Hoja1!$B$1:$C$6191,2,0)="",_xlfn.XLOOKUP(C259,Hoja1!$B$2:$B$6191,Hoja1!$A$2:$A$6191),VLOOKUP(C259,Hoja1!$B$1:$C$6191,2,0)),"No esta en Infor")</f>
        <v>NAC1116</v>
      </c>
      <c r="C259" s="19" t="s">
        <v>260</v>
      </c>
      <c r="D259" s="9">
        <v>0</v>
      </c>
      <c r="E259" s="9">
        <v>0</v>
      </c>
      <c r="F259" s="9">
        <v>109.44</v>
      </c>
      <c r="G259" s="9">
        <v>0</v>
      </c>
      <c r="H259" s="9">
        <v>0</v>
      </c>
      <c r="I259" s="9">
        <v>0</v>
      </c>
      <c r="J259" s="9">
        <v>109.44</v>
      </c>
    </row>
    <row r="260" spans="1:10" ht="15.75" x14ac:dyDescent="0.25">
      <c r="A260" s="21">
        <v>45322</v>
      </c>
      <c r="B260" t="str">
        <f>IFERROR(IF(VLOOKUP(C260,Hoja1!$B$1:$C$6191,2,0)="",_xlfn.XLOOKUP(C260,Hoja1!$B$2:$B$6191,Hoja1!$A$2:$A$6191),VLOOKUP(C260,Hoja1!$B$1:$C$6191,2,0)),"No esta en Infor")</f>
        <v>SH01770</v>
      </c>
      <c r="C260" s="19" t="s">
        <v>261</v>
      </c>
      <c r="D260" s="9">
        <v>0</v>
      </c>
      <c r="E260" s="9">
        <v>222.15</v>
      </c>
      <c r="F260" s="9">
        <v>0</v>
      </c>
      <c r="G260" s="9">
        <v>0</v>
      </c>
      <c r="H260" s="9">
        <v>0</v>
      </c>
      <c r="I260" s="9">
        <v>0</v>
      </c>
      <c r="J260" s="9">
        <v>222.15</v>
      </c>
    </row>
    <row r="261" spans="1:10" ht="15.75" x14ac:dyDescent="0.25">
      <c r="A261" s="21">
        <v>45322</v>
      </c>
      <c r="B261" t="str">
        <f>IFERROR(IF(VLOOKUP(C261,Hoja1!$B$1:$C$6191,2,0)="",_xlfn.XLOOKUP(C261,Hoja1!$B$2:$B$6191,Hoja1!$A$2:$A$6191),VLOOKUP(C261,Hoja1!$B$1:$C$6191,2,0)),"No esta en Infor")</f>
        <v>NAC1125</v>
      </c>
      <c r="C261" s="19" t="s">
        <v>262</v>
      </c>
      <c r="D261" s="9">
        <v>0</v>
      </c>
      <c r="E261" s="9">
        <v>0</v>
      </c>
      <c r="F261" s="9">
        <v>0</v>
      </c>
      <c r="G261" s="9">
        <v>-3413.5</v>
      </c>
      <c r="H261" s="9">
        <v>0</v>
      </c>
      <c r="I261" s="9">
        <v>-379.3</v>
      </c>
      <c r="J261" s="9">
        <v>-3792.8</v>
      </c>
    </row>
    <row r="262" spans="1:10" ht="15.75" x14ac:dyDescent="0.25">
      <c r="A262" s="21">
        <v>45322</v>
      </c>
      <c r="B262" t="str">
        <f>IFERROR(IF(VLOOKUP(C262,Hoja1!$B$1:$C$6191,2,0)="",_xlfn.XLOOKUP(C262,Hoja1!$B$2:$B$6191,Hoja1!$A$2:$A$6191),VLOOKUP(C262,Hoja1!$B$1:$C$6191,2,0)),"No esta en Infor")</f>
        <v>NAC1128</v>
      </c>
      <c r="C262" s="19" t="s">
        <v>263</v>
      </c>
      <c r="D262" s="9">
        <v>1980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1980</v>
      </c>
    </row>
    <row r="263" spans="1:10" ht="15.75" x14ac:dyDescent="0.25">
      <c r="A263" s="21">
        <v>45322</v>
      </c>
      <c r="B263" t="str">
        <f>IFERROR(IF(VLOOKUP(C263,Hoja1!$B$1:$C$6191,2,0)="",_xlfn.XLOOKUP(C263,Hoja1!$B$2:$B$6191,Hoja1!$A$2:$A$6191),VLOOKUP(C263,Hoja1!$B$1:$C$6191,2,0)),"No esta en Infor")</f>
        <v>CAN0038</v>
      </c>
      <c r="C263" s="19" t="s">
        <v>264</v>
      </c>
      <c r="D263" s="9">
        <v>0</v>
      </c>
      <c r="E263" s="9">
        <v>1927.12</v>
      </c>
      <c r="F263" s="9">
        <v>0</v>
      </c>
      <c r="G263" s="9">
        <v>0</v>
      </c>
      <c r="H263" s="9">
        <v>0</v>
      </c>
      <c r="I263" s="9">
        <v>0</v>
      </c>
      <c r="J263" s="9">
        <v>1927.12</v>
      </c>
    </row>
    <row r="264" spans="1:10" ht="15.75" x14ac:dyDescent="0.25">
      <c r="A264" s="21">
        <v>45322</v>
      </c>
      <c r="B264" t="str">
        <f>IFERROR(IF(VLOOKUP(C264,Hoja1!$B$1:$C$6191,2,0)="",_xlfn.XLOOKUP(C264,Hoja1!$B$2:$B$6191,Hoja1!$A$2:$A$6191),VLOOKUP(C264,Hoja1!$B$1:$C$6191,2,0)),"No esta en Infor")</f>
        <v>CAN0039</v>
      </c>
      <c r="C264" s="19" t="s">
        <v>265</v>
      </c>
      <c r="D264" s="9">
        <v>17986.5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17986.5</v>
      </c>
    </row>
    <row r="265" spans="1:10" ht="15.75" x14ac:dyDescent="0.25">
      <c r="A265" s="21">
        <v>45322</v>
      </c>
      <c r="B265" t="str">
        <f>IFERROR(IF(VLOOKUP(C265,Hoja1!$B$1:$C$6191,2,0)="",_xlfn.XLOOKUP(C265,Hoja1!$B$2:$B$6191,Hoja1!$A$2:$A$6191),VLOOKUP(C265,Hoja1!$B$1:$C$6191,2,0)),"No esta en Infor")</f>
        <v>NAC1134</v>
      </c>
      <c r="C265" s="19" t="s">
        <v>266</v>
      </c>
      <c r="D265" s="9">
        <v>0</v>
      </c>
      <c r="E265" s="9">
        <v>0</v>
      </c>
      <c r="F265" s="9">
        <v>14.6</v>
      </c>
      <c r="G265" s="9">
        <v>0</v>
      </c>
      <c r="H265" s="9">
        <v>0</v>
      </c>
      <c r="I265" s="9">
        <v>0</v>
      </c>
      <c r="J265" s="9">
        <v>14.6</v>
      </c>
    </row>
    <row r="266" spans="1:10" ht="15.75" x14ac:dyDescent="0.25">
      <c r="A266" s="21">
        <v>45322</v>
      </c>
      <c r="B266" t="str">
        <f>IFERROR(IF(VLOOKUP(C266,Hoja1!$B$1:$C$6191,2,0)="",_xlfn.XLOOKUP(C266,Hoja1!$B$2:$B$6191,Hoja1!$A$2:$A$6191),VLOOKUP(C266,Hoja1!$B$1:$C$6191,2,0)),"No esta en Infor")</f>
        <v>SH01838</v>
      </c>
      <c r="C266" s="19" t="s">
        <v>267</v>
      </c>
      <c r="D266" s="9">
        <v>-159.91999999999999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-159.91999999999999</v>
      </c>
    </row>
    <row r="267" spans="1:10" ht="15.75" x14ac:dyDescent="0.25">
      <c r="A267" s="21">
        <v>45322</v>
      </c>
      <c r="B267" t="str">
        <f>IFERROR(IF(VLOOKUP(C267,Hoja1!$B$1:$C$6191,2,0)="",_xlfn.XLOOKUP(C267,Hoja1!$B$2:$B$6191,Hoja1!$A$2:$A$6191),VLOOKUP(C267,Hoja1!$B$1:$C$6191,2,0)),"No esta en Infor")</f>
        <v>NAC1611</v>
      </c>
      <c r="C267" s="19" t="s">
        <v>2210</v>
      </c>
      <c r="D267" s="9">
        <v>23121.599999999999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23121.599999999999</v>
      </c>
    </row>
    <row r="268" spans="1:10" ht="15.75" x14ac:dyDescent="0.25">
      <c r="A268" s="21">
        <v>45322</v>
      </c>
      <c r="B268" t="str">
        <f>IFERROR(IF(VLOOKUP(C268,Hoja1!$B$1:$C$6191,2,0)="",_xlfn.XLOOKUP(C268,Hoja1!$B$2:$B$6191,Hoja1!$A$2:$A$6191),VLOOKUP(C268,Hoja1!$B$1:$C$6191,2,0)),"No esta en Infor")</f>
        <v>NAC1143</v>
      </c>
      <c r="C268" s="19" t="s">
        <v>268</v>
      </c>
      <c r="D268" s="9">
        <v>4436.8500000000004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4436.8500000000004</v>
      </c>
    </row>
    <row r="269" spans="1:10" ht="15.75" x14ac:dyDescent="0.25">
      <c r="A269" s="21">
        <v>45322</v>
      </c>
      <c r="B269" t="str">
        <f>IFERROR(IF(VLOOKUP(C269,Hoja1!$B$1:$C$6191,2,0)="",_xlfn.XLOOKUP(C269,Hoja1!$B$2:$B$6191,Hoja1!$A$2:$A$6191),VLOOKUP(C269,Hoja1!$B$1:$C$6191,2,0)),"No esta en Infor")</f>
        <v>NAC1145</v>
      </c>
      <c r="C269" s="19" t="s">
        <v>269</v>
      </c>
      <c r="D269" s="9">
        <v>114.76</v>
      </c>
      <c r="E269" s="9">
        <v>-16.16</v>
      </c>
      <c r="F269" s="9">
        <v>0</v>
      </c>
      <c r="G269" s="9">
        <v>0</v>
      </c>
      <c r="H269" s="9">
        <v>0</v>
      </c>
      <c r="I269" s="9">
        <v>0</v>
      </c>
      <c r="J269" s="9">
        <v>98.6</v>
      </c>
    </row>
    <row r="270" spans="1:10" ht="15.75" x14ac:dyDescent="0.25">
      <c r="A270" s="21">
        <v>45322</v>
      </c>
      <c r="B270" t="str">
        <f>IFERROR(IF(VLOOKUP(C270,Hoja1!$B$1:$C$6191,2,0)="",_xlfn.XLOOKUP(C270,Hoja1!$B$2:$B$6191,Hoja1!$A$2:$A$6191),VLOOKUP(C270,Hoja1!$B$1:$C$6191,2,0)),"No esta en Infor")</f>
        <v>NAC1148</v>
      </c>
      <c r="C270" s="19" t="s">
        <v>270</v>
      </c>
      <c r="D270" s="9">
        <v>13586.1</v>
      </c>
      <c r="E270" s="9">
        <v>82</v>
      </c>
      <c r="F270" s="9">
        <v>0</v>
      </c>
      <c r="G270" s="9">
        <v>0</v>
      </c>
      <c r="H270" s="9">
        <v>0</v>
      </c>
      <c r="I270" s="9">
        <v>0</v>
      </c>
      <c r="J270" s="9">
        <v>13668.1</v>
      </c>
    </row>
    <row r="271" spans="1:10" ht="15.75" x14ac:dyDescent="0.25">
      <c r="A271" s="21">
        <v>45322</v>
      </c>
      <c r="B271" t="str">
        <f>IFERROR(IF(VLOOKUP(C271,Hoja1!$B$1:$C$6191,2,0)="",_xlfn.XLOOKUP(C271,Hoja1!$B$2:$B$6191,Hoja1!$A$2:$A$6191),VLOOKUP(C271,Hoja1!$B$1:$C$6191,2,0)),"No esta en Infor")</f>
        <v>NAC1151</v>
      </c>
      <c r="C271" s="19" t="s">
        <v>271</v>
      </c>
      <c r="D271" s="9">
        <v>16447.39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16447.39</v>
      </c>
    </row>
    <row r="272" spans="1:10" ht="15.75" x14ac:dyDescent="0.25">
      <c r="A272" s="21">
        <v>45322</v>
      </c>
      <c r="B272" t="str">
        <f>IFERROR(IF(VLOOKUP(C272,Hoja1!$B$1:$C$6191,2,0)="",_xlfn.XLOOKUP(C272,Hoja1!$B$2:$B$6191,Hoja1!$A$2:$A$6191),VLOOKUP(C272,Hoja1!$B$1:$C$6191,2,0)),"No esta en Infor")</f>
        <v>NAC1158</v>
      </c>
      <c r="C272" s="19" t="s">
        <v>272</v>
      </c>
      <c r="D272" s="9">
        <v>12099</v>
      </c>
      <c r="E272" s="9">
        <v>-2579.3200000000002</v>
      </c>
      <c r="F272" s="9">
        <v>0</v>
      </c>
      <c r="G272" s="9">
        <v>0</v>
      </c>
      <c r="H272" s="9">
        <v>0</v>
      </c>
      <c r="I272" s="9">
        <v>0</v>
      </c>
      <c r="J272" s="9">
        <v>9519.68</v>
      </c>
    </row>
    <row r="273" spans="1:10" ht="15.75" x14ac:dyDescent="0.25">
      <c r="A273" s="21">
        <v>45322</v>
      </c>
      <c r="B273" t="str">
        <f>IFERROR(IF(VLOOKUP(C273,Hoja1!$B$1:$C$6191,2,0)="",_xlfn.XLOOKUP(C273,Hoja1!$B$2:$B$6191,Hoja1!$A$2:$A$6191),VLOOKUP(C273,Hoja1!$B$1:$C$6191,2,0)),"No esta en Infor")</f>
        <v>NAC1604</v>
      </c>
      <c r="C273" s="19" t="s">
        <v>273</v>
      </c>
      <c r="D273" s="9">
        <v>38817.949999999997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38817.949999999997</v>
      </c>
    </row>
    <row r="274" spans="1:10" ht="15.75" x14ac:dyDescent="0.25">
      <c r="A274" s="21">
        <v>45322</v>
      </c>
      <c r="B274" t="str">
        <f>IFERROR(IF(VLOOKUP(C274,Hoja1!$B$1:$C$6191,2,0)="",_xlfn.XLOOKUP(C274,Hoja1!$B$2:$B$6191,Hoja1!$A$2:$A$6191),VLOOKUP(C274,Hoja1!$B$1:$C$6191,2,0)),"No esta en Infor")</f>
        <v>NAC1604</v>
      </c>
      <c r="C274" s="19" t="s">
        <v>274</v>
      </c>
      <c r="D274" s="9">
        <v>15295.8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15295.8</v>
      </c>
    </row>
    <row r="275" spans="1:10" ht="15.75" x14ac:dyDescent="0.25">
      <c r="A275" s="21">
        <v>45322</v>
      </c>
      <c r="B275" t="str">
        <f>IFERROR(IF(VLOOKUP(C275,Hoja1!$B$1:$C$6191,2,0)="",_xlfn.XLOOKUP(C275,Hoja1!$B$2:$B$6191,Hoja1!$A$2:$A$6191),VLOOKUP(C275,Hoja1!$B$1:$C$6191,2,0)),"No esta en Infor")</f>
        <v>NAC1604</v>
      </c>
      <c r="C275" s="19" t="s">
        <v>275</v>
      </c>
      <c r="D275" s="9">
        <v>37830.58</v>
      </c>
      <c r="E275" s="9">
        <v>-280</v>
      </c>
      <c r="F275" s="9">
        <v>0</v>
      </c>
      <c r="G275" s="9">
        <v>-44.8</v>
      </c>
      <c r="H275" s="9">
        <v>0</v>
      </c>
      <c r="I275" s="9">
        <v>-318</v>
      </c>
      <c r="J275" s="9">
        <v>37187.78</v>
      </c>
    </row>
    <row r="276" spans="1:10" ht="15.75" x14ac:dyDescent="0.25">
      <c r="A276" s="21">
        <v>45322</v>
      </c>
      <c r="B276" t="str">
        <f>IFERROR(IF(VLOOKUP(C276,Hoja1!$B$1:$C$6191,2,0)="",_xlfn.XLOOKUP(C276,Hoja1!$B$2:$B$6191,Hoja1!$A$2:$A$6191),VLOOKUP(C276,Hoja1!$B$1:$C$6191,2,0)),"No esta en Infor")</f>
        <v>NAC1604</v>
      </c>
      <c r="C276" s="19" t="s">
        <v>693</v>
      </c>
      <c r="D276" s="9">
        <v>55736.68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55736.68</v>
      </c>
    </row>
    <row r="277" spans="1:10" ht="15.75" x14ac:dyDescent="0.25">
      <c r="A277" s="21">
        <v>45322</v>
      </c>
      <c r="B277" t="str">
        <f>IFERROR(IF(VLOOKUP(C277,Hoja1!$B$1:$C$6191,2,0)="",_xlfn.XLOOKUP(C277,Hoja1!$B$2:$B$6191,Hoja1!$A$2:$A$6191),VLOOKUP(C277,Hoja1!$B$1:$C$6191,2,0)),"No esta en Infor")</f>
        <v>NAC1604</v>
      </c>
      <c r="C277" s="19" t="s">
        <v>276</v>
      </c>
      <c r="D277" s="9">
        <v>14674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14674</v>
      </c>
    </row>
    <row r="278" spans="1:10" ht="15.75" x14ac:dyDescent="0.25">
      <c r="A278" s="21">
        <v>45322</v>
      </c>
      <c r="B278" t="str">
        <f>IFERROR(IF(VLOOKUP(C278,Hoja1!$B$1:$C$6191,2,0)="",_xlfn.XLOOKUP(C278,Hoja1!$B$2:$B$6191,Hoja1!$A$2:$A$6191),VLOOKUP(C278,Hoja1!$B$1:$C$6191,2,0)),"No esta en Infor")</f>
        <v>NAC1168</v>
      </c>
      <c r="C278" s="19" t="s">
        <v>277</v>
      </c>
      <c r="D278" s="9">
        <v>60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60</v>
      </c>
    </row>
    <row r="279" spans="1:10" ht="15.75" x14ac:dyDescent="0.25">
      <c r="A279" s="21">
        <v>45322</v>
      </c>
      <c r="B279" t="str">
        <f>IFERROR(IF(VLOOKUP(C279,Hoja1!$B$1:$C$6191,2,0)="",_xlfn.XLOOKUP(C279,Hoja1!$B$2:$B$6191,Hoja1!$A$2:$A$6191),VLOOKUP(C279,Hoja1!$B$1:$C$6191,2,0)),"No esta en Infor")</f>
        <v>NAC1170</v>
      </c>
      <c r="C279" s="19" t="s">
        <v>278</v>
      </c>
      <c r="D279" s="9">
        <v>42909.01</v>
      </c>
      <c r="E279" s="9">
        <v>9245</v>
      </c>
      <c r="F279" s="9">
        <v>0</v>
      </c>
      <c r="G279" s="9">
        <v>0</v>
      </c>
      <c r="H279" s="9">
        <v>0</v>
      </c>
      <c r="I279" s="9">
        <v>0</v>
      </c>
      <c r="J279" s="9">
        <v>52154.01</v>
      </c>
    </row>
    <row r="280" spans="1:10" ht="15.75" x14ac:dyDescent="0.25">
      <c r="A280" s="21">
        <v>45322</v>
      </c>
      <c r="B280" t="str">
        <f>IFERROR(IF(VLOOKUP(C280,Hoja1!$B$1:$C$6191,2,0)="",_xlfn.XLOOKUP(C280,Hoja1!$B$2:$B$6191,Hoja1!$A$2:$A$6191),VLOOKUP(C280,Hoja1!$B$1:$C$6191,2,0)),"No esta en Infor")</f>
        <v>NAC1174</v>
      </c>
      <c r="C280" s="19" t="s">
        <v>279</v>
      </c>
      <c r="D280" s="9">
        <v>0</v>
      </c>
      <c r="E280" s="9">
        <v>-27.89</v>
      </c>
      <c r="F280" s="9">
        <v>0</v>
      </c>
      <c r="G280" s="9">
        <v>0</v>
      </c>
      <c r="H280" s="9">
        <v>0</v>
      </c>
      <c r="I280" s="9">
        <v>0</v>
      </c>
      <c r="J280" s="9">
        <v>-27.89</v>
      </c>
    </row>
    <row r="281" spans="1:10" ht="15.75" x14ac:dyDescent="0.25">
      <c r="A281" s="21">
        <v>45322</v>
      </c>
      <c r="B281" t="str">
        <f>IFERROR(IF(VLOOKUP(C281,Hoja1!$B$1:$C$6191,2,0)="",_xlfn.XLOOKUP(C281,Hoja1!$B$2:$B$6191,Hoja1!$A$2:$A$6191),VLOOKUP(C281,Hoja1!$B$1:$C$6191,2,0)),"No esta en Infor")</f>
        <v>CAN0043</v>
      </c>
      <c r="C281" s="19" t="s">
        <v>280</v>
      </c>
      <c r="D281" s="9">
        <v>23447.43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23447.43</v>
      </c>
    </row>
    <row r="282" spans="1:10" ht="15.75" x14ac:dyDescent="0.25">
      <c r="A282" s="21">
        <v>45322</v>
      </c>
      <c r="B282" t="str">
        <f>IFERROR(IF(VLOOKUP(C282,Hoja1!$B$1:$C$6191,2,0)="",_xlfn.XLOOKUP(C282,Hoja1!$B$2:$B$6191,Hoja1!$A$2:$A$6191),VLOOKUP(C282,Hoja1!$B$1:$C$6191,2,0)),"No esta en Infor")</f>
        <v>NAC1183</v>
      </c>
      <c r="C282" s="19" t="s">
        <v>281</v>
      </c>
      <c r="D282" s="9">
        <v>1971.22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1971.22</v>
      </c>
    </row>
    <row r="283" spans="1:10" ht="15.75" x14ac:dyDescent="0.25">
      <c r="A283" s="21">
        <v>45322</v>
      </c>
      <c r="B283" t="str">
        <f>IFERROR(IF(VLOOKUP(C283,Hoja1!$B$1:$C$6191,2,0)="",_xlfn.XLOOKUP(C283,Hoja1!$B$2:$B$6191,Hoja1!$A$2:$A$6191),VLOOKUP(C283,Hoja1!$B$1:$C$6191,2,0)),"No esta en Infor")</f>
        <v>NAC1189</v>
      </c>
      <c r="C283" s="19" t="s">
        <v>282</v>
      </c>
      <c r="D283" s="9">
        <v>3830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3830</v>
      </c>
    </row>
    <row r="284" spans="1:10" ht="15.75" x14ac:dyDescent="0.25">
      <c r="A284" s="21">
        <v>45322</v>
      </c>
      <c r="B284" t="str">
        <f>IFERROR(IF(VLOOKUP(C284,Hoja1!$B$1:$C$6191,2,0)="",_xlfn.XLOOKUP(C284,Hoja1!$B$2:$B$6191,Hoja1!$A$2:$A$6191),VLOOKUP(C284,Hoja1!$B$1:$C$6191,2,0)),"No esta en Infor")</f>
        <v>CAN0046</v>
      </c>
      <c r="C284" s="19" t="s">
        <v>283</v>
      </c>
      <c r="D284" s="9">
        <v>2872.4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2872.4</v>
      </c>
    </row>
    <row r="285" spans="1:10" ht="15.75" x14ac:dyDescent="0.25">
      <c r="A285" s="21">
        <v>45322</v>
      </c>
      <c r="B285" t="str">
        <f>IFERROR(IF(VLOOKUP(C285,Hoja1!$B$1:$C$6191,2,0)="",_xlfn.XLOOKUP(C285,Hoja1!$B$2:$B$6191,Hoja1!$A$2:$A$6191),VLOOKUP(C285,Hoja1!$B$1:$C$6191,2,0)),"No esta en Infor")</f>
        <v>NAC1211</v>
      </c>
      <c r="C285" s="19" t="s">
        <v>284</v>
      </c>
      <c r="D285" s="9">
        <v>138562.54</v>
      </c>
      <c r="E285" s="9">
        <v>-1</v>
      </c>
      <c r="F285" s="9">
        <v>0</v>
      </c>
      <c r="G285" s="9">
        <v>0</v>
      </c>
      <c r="H285" s="9">
        <v>0</v>
      </c>
      <c r="I285" s="9">
        <v>0</v>
      </c>
      <c r="J285" s="9">
        <v>138561.54</v>
      </c>
    </row>
    <row r="286" spans="1:10" ht="15.75" x14ac:dyDescent="0.25">
      <c r="A286" s="21">
        <v>45322</v>
      </c>
      <c r="B286" t="str">
        <f>IFERROR(IF(VLOOKUP(C286,Hoja1!$B$1:$C$6191,2,0)="",_xlfn.XLOOKUP(C286,Hoja1!$B$2:$B$6191,Hoja1!$A$2:$A$6191),VLOOKUP(C286,Hoja1!$B$1:$C$6191,2,0)),"No esta en Infor")</f>
        <v>NAC1212</v>
      </c>
      <c r="C286" s="19" t="s">
        <v>285</v>
      </c>
      <c r="D286" s="9">
        <v>4540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4540</v>
      </c>
    </row>
    <row r="287" spans="1:10" ht="15.75" x14ac:dyDescent="0.25">
      <c r="A287" s="21">
        <v>45322</v>
      </c>
      <c r="B287" t="str">
        <f>IFERROR(IF(VLOOKUP(C287,Hoja1!$B$1:$C$6191,2,0)="",_xlfn.XLOOKUP(C287,Hoja1!$B$2:$B$6191,Hoja1!$A$2:$A$6191),VLOOKUP(C287,Hoja1!$B$1:$C$6191,2,0)),"No esta en Infor")</f>
        <v>SH02026</v>
      </c>
      <c r="C287" s="19" t="s">
        <v>286</v>
      </c>
      <c r="D287" s="9">
        <v>0</v>
      </c>
      <c r="E287" s="9">
        <v>53.34</v>
      </c>
      <c r="F287" s="9">
        <v>0</v>
      </c>
      <c r="G287" s="9">
        <v>0</v>
      </c>
      <c r="H287" s="9">
        <v>0</v>
      </c>
      <c r="I287" s="9">
        <v>0</v>
      </c>
      <c r="J287" s="9">
        <v>53.34</v>
      </c>
    </row>
    <row r="288" spans="1:10" ht="15.75" x14ac:dyDescent="0.25">
      <c r="A288" s="21">
        <v>45322</v>
      </c>
      <c r="B288" t="str">
        <f>IFERROR(IF(VLOOKUP(C288,Hoja1!$B$1:$C$6191,2,0)="",_xlfn.XLOOKUP(C288,Hoja1!$B$2:$B$6191,Hoja1!$A$2:$A$6191),VLOOKUP(C288,Hoja1!$B$1:$C$6191,2,0)),"No esta en Infor")</f>
        <v>NAC1216</v>
      </c>
      <c r="C288" s="19" t="s">
        <v>287</v>
      </c>
      <c r="D288" s="9">
        <v>0</v>
      </c>
      <c r="E288" s="9">
        <v>-0.01</v>
      </c>
      <c r="F288" s="9">
        <v>0</v>
      </c>
      <c r="G288" s="9">
        <v>0</v>
      </c>
      <c r="H288" s="9">
        <v>0</v>
      </c>
      <c r="I288" s="9">
        <v>0</v>
      </c>
      <c r="J288" s="9">
        <v>-0.01</v>
      </c>
    </row>
    <row r="289" spans="1:10" ht="15.75" x14ac:dyDescent="0.25">
      <c r="A289" s="21">
        <v>45322</v>
      </c>
      <c r="B289" t="str">
        <f>IFERROR(IF(VLOOKUP(C289,Hoja1!$B$1:$C$6191,2,0)="",_xlfn.XLOOKUP(C289,Hoja1!$B$2:$B$6191,Hoja1!$A$2:$A$6191),VLOOKUP(C289,Hoja1!$B$1:$C$6191,2,0)),"No esta en Infor")</f>
        <v>NAC1220</v>
      </c>
      <c r="C289" s="19" t="s">
        <v>288</v>
      </c>
      <c r="D289" s="9">
        <v>388.82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388.82</v>
      </c>
    </row>
    <row r="290" spans="1:10" ht="15.75" x14ac:dyDescent="0.25">
      <c r="A290" s="21">
        <v>45322</v>
      </c>
      <c r="B290" t="str">
        <f>IFERROR(IF(VLOOKUP(C290,Hoja1!$B$1:$C$6191,2,0)="",_xlfn.XLOOKUP(C290,Hoja1!$B$2:$B$6191,Hoja1!$A$2:$A$6191),VLOOKUP(C290,Hoja1!$B$1:$C$6191,2,0)),"No esta en Infor")</f>
        <v>CAN0049</v>
      </c>
      <c r="C290" s="19" t="s">
        <v>289</v>
      </c>
      <c r="D290" s="9">
        <v>12811.4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12811.4</v>
      </c>
    </row>
    <row r="291" spans="1:10" ht="15.75" x14ac:dyDescent="0.25">
      <c r="A291" s="21">
        <v>45322</v>
      </c>
      <c r="B291" t="str">
        <f>IFERROR(IF(VLOOKUP(C291,Hoja1!$B$1:$C$6191,2,0)="",_xlfn.XLOOKUP(C291,Hoja1!$B$2:$B$6191,Hoja1!$A$2:$A$6191),VLOOKUP(C291,Hoja1!$B$1:$C$6191,2,0)),"No esta en Infor")</f>
        <v>NAC1231</v>
      </c>
      <c r="C291" s="19" t="s">
        <v>290</v>
      </c>
      <c r="D291" s="9">
        <v>0</v>
      </c>
      <c r="E291" s="9">
        <v>36561.449999999997</v>
      </c>
      <c r="F291" s="9">
        <v>0</v>
      </c>
      <c r="G291" s="9">
        <v>0</v>
      </c>
      <c r="H291" s="9">
        <v>0</v>
      </c>
      <c r="I291" s="9">
        <v>0</v>
      </c>
      <c r="J291" s="9">
        <v>36561.449999999997</v>
      </c>
    </row>
    <row r="292" spans="1:10" ht="15.75" x14ac:dyDescent="0.25">
      <c r="A292" s="21">
        <v>45322</v>
      </c>
      <c r="B292" t="str">
        <f>IFERROR(IF(VLOOKUP(C292,Hoja1!$B$1:$C$6191,2,0)="",_xlfn.XLOOKUP(C292,Hoja1!$B$2:$B$6191,Hoja1!$A$2:$A$6191),VLOOKUP(C292,Hoja1!$B$1:$C$6191,2,0)),"No esta en Infor")</f>
        <v>CAN0050</v>
      </c>
      <c r="C292" s="19" t="s">
        <v>291</v>
      </c>
      <c r="D292" s="9">
        <v>0</v>
      </c>
      <c r="E292" s="9">
        <v>2079.1999999999998</v>
      </c>
      <c r="F292" s="9">
        <v>0</v>
      </c>
      <c r="G292" s="9">
        <v>0</v>
      </c>
      <c r="H292" s="9">
        <v>0</v>
      </c>
      <c r="I292" s="9">
        <v>0</v>
      </c>
      <c r="J292" s="9">
        <v>2079.1999999999998</v>
      </c>
    </row>
    <row r="293" spans="1:10" ht="15.75" x14ac:dyDescent="0.25">
      <c r="A293" s="21">
        <v>45322</v>
      </c>
      <c r="B293" t="str">
        <f>IFERROR(IF(VLOOKUP(C293,Hoja1!$B$1:$C$6191,2,0)="",_xlfn.XLOOKUP(C293,Hoja1!$B$2:$B$6191,Hoja1!$A$2:$A$6191),VLOOKUP(C293,Hoja1!$B$1:$C$6191,2,0)),"No esta en Infor")</f>
        <v>NAC1233</v>
      </c>
      <c r="C293" s="19" t="s">
        <v>292</v>
      </c>
      <c r="D293" s="9">
        <v>1323.2</v>
      </c>
      <c r="E293" s="9">
        <v>10226.39</v>
      </c>
      <c r="F293" s="9">
        <v>0</v>
      </c>
      <c r="G293" s="9">
        <v>0</v>
      </c>
      <c r="H293" s="9">
        <v>-2036</v>
      </c>
      <c r="I293" s="9">
        <v>-388.15</v>
      </c>
      <c r="J293" s="9">
        <v>9125.44</v>
      </c>
    </row>
    <row r="294" spans="1:10" ht="15.75" x14ac:dyDescent="0.25">
      <c r="A294" s="21">
        <v>45322</v>
      </c>
      <c r="B294" t="str">
        <f>IFERROR(IF(VLOOKUP(C294,Hoja1!$B$1:$C$6191,2,0)="",_xlfn.XLOOKUP(C294,Hoja1!$B$2:$B$6191,Hoja1!$A$2:$A$6191),VLOOKUP(C294,Hoja1!$B$1:$C$6191,2,0)),"No esta en Infor")</f>
        <v>NAC1234</v>
      </c>
      <c r="C294" s="19" t="s">
        <v>293</v>
      </c>
      <c r="D294" s="9">
        <v>6907.96</v>
      </c>
      <c r="E294" s="9">
        <v>-112.4</v>
      </c>
      <c r="F294" s="9">
        <v>0</v>
      </c>
      <c r="G294" s="9">
        <v>0</v>
      </c>
      <c r="H294" s="9">
        <v>0</v>
      </c>
      <c r="I294" s="9">
        <v>0</v>
      </c>
      <c r="J294" s="9">
        <v>6795.56</v>
      </c>
    </row>
    <row r="295" spans="1:10" ht="15.75" x14ac:dyDescent="0.25">
      <c r="A295" s="21">
        <v>45322</v>
      </c>
      <c r="B295" t="str">
        <f>IFERROR(IF(VLOOKUP(C295,Hoja1!$B$1:$C$6191,2,0)="",_xlfn.XLOOKUP(C295,Hoja1!$B$2:$B$6191,Hoja1!$A$2:$A$6191),VLOOKUP(C295,Hoja1!$B$1:$C$6191,2,0)),"No esta en Infor")</f>
        <v>SH02051</v>
      </c>
      <c r="C295" s="19" t="s">
        <v>294</v>
      </c>
      <c r="D295" s="9">
        <v>0</v>
      </c>
      <c r="E295" s="9">
        <v>0</v>
      </c>
      <c r="F295" s="9">
        <v>23.82</v>
      </c>
      <c r="G295" s="9">
        <v>0</v>
      </c>
      <c r="H295" s="9">
        <v>0</v>
      </c>
      <c r="I295" s="9">
        <v>0</v>
      </c>
      <c r="J295" s="9">
        <v>23.82</v>
      </c>
    </row>
    <row r="296" spans="1:10" ht="15.75" x14ac:dyDescent="0.25">
      <c r="A296" s="21">
        <v>45322</v>
      </c>
      <c r="B296" t="str">
        <f>IFERROR(IF(VLOOKUP(C296,Hoja1!$B$1:$C$6191,2,0)="",_xlfn.XLOOKUP(C296,Hoja1!$B$2:$B$6191,Hoja1!$A$2:$A$6191),VLOOKUP(C296,Hoja1!$B$1:$C$6191,2,0)),"No esta en Infor")</f>
        <v>NAC1241</v>
      </c>
      <c r="C296" s="19" t="s">
        <v>295</v>
      </c>
      <c r="D296" s="9">
        <v>0</v>
      </c>
      <c r="E296" s="9">
        <v>2307</v>
      </c>
      <c r="F296" s="9">
        <v>0</v>
      </c>
      <c r="G296" s="9">
        <v>0</v>
      </c>
      <c r="H296" s="9">
        <v>-75</v>
      </c>
      <c r="I296" s="9">
        <v>0</v>
      </c>
      <c r="J296" s="9">
        <v>2232</v>
      </c>
    </row>
    <row r="297" spans="1:10" ht="15.75" x14ac:dyDescent="0.25">
      <c r="A297" s="21">
        <v>45322</v>
      </c>
      <c r="B297" t="str">
        <f>IFERROR(IF(VLOOKUP(C297,Hoja1!$B$1:$C$6191,2,0)="",_xlfn.XLOOKUP(C297,Hoja1!$B$2:$B$6191,Hoja1!$A$2:$A$6191),VLOOKUP(C297,Hoja1!$B$1:$C$6191,2,0)),"No esta en Infor")</f>
        <v>NAC1242</v>
      </c>
      <c r="C297" s="19" t="s">
        <v>296</v>
      </c>
      <c r="D297" s="9">
        <v>0</v>
      </c>
      <c r="E297" s="9">
        <v>10.44</v>
      </c>
      <c r="F297" s="9">
        <v>0</v>
      </c>
      <c r="G297" s="9">
        <v>0</v>
      </c>
      <c r="H297" s="9">
        <v>0</v>
      </c>
      <c r="I297" s="9">
        <v>0</v>
      </c>
      <c r="J297" s="9">
        <v>10.44</v>
      </c>
    </row>
    <row r="298" spans="1:10" ht="15.75" x14ac:dyDescent="0.25">
      <c r="A298" s="21">
        <v>45322</v>
      </c>
      <c r="B298" t="str">
        <f>IFERROR(IF(VLOOKUP(C298,Hoja1!$B$1:$C$6191,2,0)="",_xlfn.XLOOKUP(C298,Hoja1!$B$2:$B$6191,Hoja1!$A$2:$A$6191),VLOOKUP(C298,Hoja1!$B$1:$C$6191,2,0)),"No esta en Infor")</f>
        <v>NAC1243</v>
      </c>
      <c r="C298" s="19" t="s">
        <v>297</v>
      </c>
      <c r="D298" s="9">
        <v>5607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5607</v>
      </c>
    </row>
    <row r="299" spans="1:10" ht="15.75" x14ac:dyDescent="0.25">
      <c r="A299" s="21">
        <v>45322</v>
      </c>
      <c r="B299" t="str">
        <f>IFERROR(IF(VLOOKUP(C299,Hoja1!$B$1:$C$6191,2,0)="",_xlfn.XLOOKUP(C299,Hoja1!$B$2:$B$6191,Hoja1!$A$2:$A$6191),VLOOKUP(C299,Hoja1!$B$1:$C$6191,2,0)),"No esta en Infor")</f>
        <v>NAC1247</v>
      </c>
      <c r="C299" s="19" t="s">
        <v>298</v>
      </c>
      <c r="D299" s="9">
        <v>14488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14488</v>
      </c>
    </row>
    <row r="300" spans="1:10" ht="15.75" x14ac:dyDescent="0.25">
      <c r="A300" s="21">
        <v>45322</v>
      </c>
      <c r="B300" t="str">
        <f>IFERROR(IF(VLOOKUP(C300,Hoja1!$B$1:$C$6191,2,0)="",_xlfn.XLOOKUP(C300,Hoja1!$B$2:$B$6191,Hoja1!$A$2:$A$6191),VLOOKUP(C300,Hoja1!$B$1:$C$6191,2,0)),"No esta en Infor")</f>
        <v>CAN0051</v>
      </c>
      <c r="C300" s="19" t="s">
        <v>299</v>
      </c>
      <c r="D300" s="9">
        <v>0</v>
      </c>
      <c r="E300" s="9">
        <v>-0.34</v>
      </c>
      <c r="F300" s="9">
        <v>0</v>
      </c>
      <c r="G300" s="9">
        <v>0</v>
      </c>
      <c r="H300" s="9">
        <v>0</v>
      </c>
      <c r="I300" s="9">
        <v>0</v>
      </c>
      <c r="J300" s="9">
        <v>-0.34</v>
      </c>
    </row>
    <row r="301" spans="1:10" ht="15.75" x14ac:dyDescent="0.25">
      <c r="A301" s="21">
        <v>45322</v>
      </c>
      <c r="B301" t="str">
        <f>IFERROR(IF(VLOOKUP(C301,Hoja1!$B$1:$C$6191,2,0)="",_xlfn.XLOOKUP(C301,Hoja1!$B$2:$B$6191,Hoja1!$A$2:$A$6191),VLOOKUP(C301,Hoja1!$B$1:$C$6191,2,0)),"No esta en Infor")</f>
        <v>NAC1249</v>
      </c>
      <c r="C301" s="19" t="s">
        <v>300</v>
      </c>
      <c r="D301" s="9">
        <v>80734.5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80734.5</v>
      </c>
    </row>
    <row r="302" spans="1:10" ht="15.75" x14ac:dyDescent="0.25">
      <c r="A302" s="21">
        <v>45322</v>
      </c>
      <c r="B302" t="str">
        <f>IFERROR(IF(VLOOKUP(C302,Hoja1!$B$1:$C$6191,2,0)="",_xlfn.XLOOKUP(C302,Hoja1!$B$2:$B$6191,Hoja1!$A$2:$A$6191),VLOOKUP(C302,Hoja1!$B$1:$C$6191,2,0)),"No esta en Infor")</f>
        <v>NAC1252</v>
      </c>
      <c r="C302" s="19" t="s">
        <v>301</v>
      </c>
      <c r="D302" s="9">
        <v>22734.57</v>
      </c>
      <c r="E302" s="9">
        <v>2871</v>
      </c>
      <c r="F302" s="9">
        <v>0</v>
      </c>
      <c r="G302" s="9">
        <v>0</v>
      </c>
      <c r="H302" s="9">
        <v>0</v>
      </c>
      <c r="I302" s="9">
        <v>0</v>
      </c>
      <c r="J302" s="9">
        <v>25605.57</v>
      </c>
    </row>
    <row r="303" spans="1:10" ht="15.75" x14ac:dyDescent="0.25">
      <c r="A303" s="21">
        <v>45322</v>
      </c>
      <c r="B303" t="str">
        <f>IFERROR(IF(VLOOKUP(C303,Hoja1!$B$1:$C$6191,2,0)="",_xlfn.XLOOKUP(C303,Hoja1!$B$2:$B$6191,Hoja1!$A$2:$A$6191),VLOOKUP(C303,Hoja1!$B$1:$C$6191,2,0)),"No esta en Infor")</f>
        <v>CAN0053</v>
      </c>
      <c r="C303" s="19" t="s">
        <v>302</v>
      </c>
      <c r="D303" s="9">
        <v>7109.55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7109.55</v>
      </c>
    </row>
    <row r="304" spans="1:10" ht="15.75" x14ac:dyDescent="0.25">
      <c r="A304" s="21">
        <v>45322</v>
      </c>
      <c r="B304" t="str">
        <f>IFERROR(IF(VLOOKUP(C304,Hoja1!$B$1:$C$6191,2,0)="",_xlfn.XLOOKUP(C304,Hoja1!$B$2:$B$6191,Hoja1!$A$2:$A$6191),VLOOKUP(C304,Hoja1!$B$1:$C$6191,2,0)),"No esta en Infor")</f>
        <v>NAC1261</v>
      </c>
      <c r="C304" s="19" t="s">
        <v>303</v>
      </c>
      <c r="D304" s="9">
        <v>1280.08</v>
      </c>
      <c r="E304" s="9">
        <v>224.82</v>
      </c>
      <c r="F304" s="9">
        <v>0</v>
      </c>
      <c r="G304" s="9">
        <v>0</v>
      </c>
      <c r="H304" s="9">
        <v>0</v>
      </c>
      <c r="I304" s="9">
        <v>0</v>
      </c>
      <c r="J304" s="9">
        <v>1504.9</v>
      </c>
    </row>
    <row r="305" spans="1:10" ht="15.75" x14ac:dyDescent="0.25">
      <c r="A305" s="21">
        <v>45322</v>
      </c>
      <c r="B305" t="str">
        <f>IFERROR(IF(VLOOKUP(C305,Hoja1!$B$1:$C$6191,2,0)="",_xlfn.XLOOKUP(C305,Hoja1!$B$2:$B$6191,Hoja1!$A$2:$A$6191),VLOOKUP(C305,Hoja1!$B$1:$C$6191,2,0)),"No esta en Infor")</f>
        <v>NAC1281</v>
      </c>
      <c r="C305" s="19" t="s">
        <v>304</v>
      </c>
      <c r="D305" s="9">
        <v>0</v>
      </c>
      <c r="E305" s="9">
        <v>649.13</v>
      </c>
      <c r="F305" s="9">
        <v>0</v>
      </c>
      <c r="G305" s="9">
        <v>0</v>
      </c>
      <c r="H305" s="9">
        <v>0</v>
      </c>
      <c r="I305" s="9">
        <v>0</v>
      </c>
      <c r="J305" s="9">
        <v>649.13</v>
      </c>
    </row>
    <row r="306" spans="1:10" ht="15.75" x14ac:dyDescent="0.25">
      <c r="A306" s="21">
        <v>45322</v>
      </c>
      <c r="B306" t="str">
        <f>IFERROR(IF(VLOOKUP(C306,Hoja1!$B$1:$C$6191,2,0)="",_xlfn.XLOOKUP(C306,Hoja1!$B$2:$B$6191,Hoja1!$A$2:$A$6191),VLOOKUP(C306,Hoja1!$B$1:$C$6191,2,0)),"No esta en Infor")</f>
        <v>NAC1281</v>
      </c>
      <c r="C306" s="19" t="s">
        <v>305</v>
      </c>
      <c r="D306" s="9">
        <v>649.98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649.98</v>
      </c>
    </row>
    <row r="307" spans="1:10" ht="15.75" x14ac:dyDescent="0.25">
      <c r="A307" s="21">
        <v>45322</v>
      </c>
      <c r="B307" t="str">
        <f>IFERROR(IF(VLOOKUP(C307,Hoja1!$B$1:$C$6191,2,0)="",_xlfn.XLOOKUP(C307,Hoja1!$B$2:$B$6191,Hoja1!$A$2:$A$6191),VLOOKUP(C307,Hoja1!$B$1:$C$6191,2,0)),"No esta en Infor")</f>
        <v>NAC1281</v>
      </c>
      <c r="C307" s="19" t="s">
        <v>306</v>
      </c>
      <c r="D307" s="9">
        <v>0</v>
      </c>
      <c r="E307" s="9">
        <v>114.04</v>
      </c>
      <c r="F307" s="9">
        <v>146.31</v>
      </c>
      <c r="G307" s="9">
        <v>0</v>
      </c>
      <c r="H307" s="9">
        <v>0</v>
      </c>
      <c r="I307" s="9">
        <v>0</v>
      </c>
      <c r="J307" s="9">
        <v>643.45000000000005</v>
      </c>
    </row>
    <row r="308" spans="1:10" ht="15.75" x14ac:dyDescent="0.25">
      <c r="A308" s="21">
        <v>45322</v>
      </c>
      <c r="B308" t="str">
        <f>IFERROR(IF(VLOOKUP(C308,Hoja1!$B$1:$C$6191,2,0)="",_xlfn.XLOOKUP(C308,Hoja1!$B$2:$B$6191,Hoja1!$A$2:$A$6191),VLOOKUP(C308,Hoja1!$B$1:$C$6191,2,0)),"No esta en Infor")</f>
        <v>NAC1281</v>
      </c>
      <c r="C308" s="19" t="s">
        <v>307</v>
      </c>
      <c r="D308" s="9">
        <v>796.55</v>
      </c>
      <c r="E308" s="9">
        <v>610.41999999999996</v>
      </c>
      <c r="F308" s="9">
        <v>0</v>
      </c>
      <c r="G308" s="9">
        <v>0</v>
      </c>
      <c r="H308" s="9">
        <v>0</v>
      </c>
      <c r="I308" s="9">
        <v>0</v>
      </c>
      <c r="J308" s="9">
        <v>1406.97</v>
      </c>
    </row>
    <row r="309" spans="1:10" ht="15.75" x14ac:dyDescent="0.25">
      <c r="A309" s="21">
        <v>45322</v>
      </c>
      <c r="B309" t="str">
        <f>IFERROR(IF(VLOOKUP(C309,Hoja1!$B$1:$C$6191,2,0)="",_xlfn.XLOOKUP(C309,Hoja1!$B$2:$B$6191,Hoja1!$A$2:$A$6191),VLOOKUP(C309,Hoja1!$B$1:$C$6191,2,0)),"No esta en Infor")</f>
        <v>NAC1283</v>
      </c>
      <c r="C309" s="19" t="s">
        <v>308</v>
      </c>
      <c r="D309" s="9">
        <v>-210</v>
      </c>
      <c r="E309" s="9">
        <v>17278</v>
      </c>
      <c r="F309" s="9">
        <v>0</v>
      </c>
      <c r="G309" s="9">
        <v>0</v>
      </c>
      <c r="H309" s="9">
        <v>0</v>
      </c>
      <c r="I309" s="9">
        <v>0</v>
      </c>
      <c r="J309" s="9">
        <v>17068</v>
      </c>
    </row>
    <row r="310" spans="1:10" ht="15.75" x14ac:dyDescent="0.25">
      <c r="A310" s="21">
        <v>45322</v>
      </c>
      <c r="B310" t="str">
        <f>IFERROR(IF(VLOOKUP(C310,Hoja1!$B$1:$C$6191,2,0)="",_xlfn.XLOOKUP(C310,Hoja1!$B$2:$B$6191,Hoja1!$A$2:$A$6191),VLOOKUP(C310,Hoja1!$B$1:$C$6191,2,0)),"No esta en Infor")</f>
        <v>SH02165</v>
      </c>
      <c r="C310" s="19" t="s">
        <v>309</v>
      </c>
      <c r="D310" s="9">
        <v>0</v>
      </c>
      <c r="E310" s="9">
        <v>176.32</v>
      </c>
      <c r="F310" s="9">
        <v>0</v>
      </c>
      <c r="G310" s="9">
        <v>0</v>
      </c>
      <c r="H310" s="9">
        <v>0</v>
      </c>
      <c r="I310" s="9">
        <v>0</v>
      </c>
      <c r="J310" s="9">
        <v>176.32</v>
      </c>
    </row>
    <row r="311" spans="1:10" ht="15.75" x14ac:dyDescent="0.25">
      <c r="A311" s="21">
        <v>45322</v>
      </c>
      <c r="B311" t="str">
        <f>IFERROR(IF(VLOOKUP(C311,Hoja1!$B$1:$C$6191,2,0)="",_xlfn.XLOOKUP(C311,Hoja1!$B$2:$B$6191,Hoja1!$A$2:$A$6191),VLOOKUP(C311,Hoja1!$B$1:$C$6191,2,0)),"No esta en Infor")</f>
        <v>SH02171</v>
      </c>
      <c r="C311" s="19" t="s">
        <v>310</v>
      </c>
      <c r="D311" s="9">
        <v>420.03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420.03</v>
      </c>
    </row>
    <row r="312" spans="1:10" ht="15.75" x14ac:dyDescent="0.25">
      <c r="A312" s="21">
        <v>45322</v>
      </c>
      <c r="B312" t="str">
        <f>IFERROR(IF(VLOOKUP(C312,Hoja1!$B$1:$C$6191,2,0)="",_xlfn.XLOOKUP(C312,Hoja1!$B$2:$B$6191,Hoja1!$A$2:$A$6191),VLOOKUP(C312,Hoja1!$B$1:$C$6191,2,0)),"No esta en Infor")</f>
        <v>NAC1311</v>
      </c>
      <c r="C312" s="19" t="s">
        <v>311</v>
      </c>
      <c r="D312" s="9">
        <v>0</v>
      </c>
      <c r="E312" s="9">
        <v>0</v>
      </c>
      <c r="F312" s="9">
        <v>0</v>
      </c>
      <c r="G312" s="9">
        <v>0</v>
      </c>
      <c r="H312" s="9">
        <v>-116.74</v>
      </c>
      <c r="I312" s="9">
        <v>0</v>
      </c>
      <c r="J312" s="9">
        <v>-116.74</v>
      </c>
    </row>
    <row r="313" spans="1:10" ht="15.75" x14ac:dyDescent="0.25">
      <c r="A313" s="21">
        <v>45322</v>
      </c>
      <c r="B313" t="str">
        <f>IFERROR(IF(VLOOKUP(C313,Hoja1!$B$1:$C$6191,2,0)="",_xlfn.XLOOKUP(C313,Hoja1!$B$2:$B$6191,Hoja1!$A$2:$A$6191),VLOOKUP(C313,Hoja1!$B$1:$C$6191,2,0)),"No esta en Infor")</f>
        <v>NAC1609</v>
      </c>
      <c r="C313" s="19" t="s">
        <v>312</v>
      </c>
      <c r="D313" s="9">
        <v>311.62</v>
      </c>
      <c r="E313" s="9">
        <v>70.23</v>
      </c>
      <c r="F313" s="9">
        <v>0</v>
      </c>
      <c r="G313" s="9">
        <v>0</v>
      </c>
      <c r="H313" s="9">
        <v>0</v>
      </c>
      <c r="I313" s="9">
        <v>0</v>
      </c>
      <c r="J313" s="9">
        <v>381.85</v>
      </c>
    </row>
    <row r="314" spans="1:10" ht="15.75" x14ac:dyDescent="0.25">
      <c r="A314" s="21">
        <v>45322</v>
      </c>
      <c r="B314" t="str">
        <f>IFERROR(IF(VLOOKUP(C314,Hoja1!$B$1:$C$6191,2,0)="",_xlfn.XLOOKUP(C314,Hoja1!$B$2:$B$6191,Hoja1!$A$2:$A$6191),VLOOKUP(C314,Hoja1!$B$1:$C$6191,2,0)),"No esta en Infor")</f>
        <v>SH02176</v>
      </c>
      <c r="C314" s="19" t="s">
        <v>313</v>
      </c>
      <c r="D314" s="9">
        <v>95.89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95.89</v>
      </c>
    </row>
    <row r="315" spans="1:10" ht="15.75" x14ac:dyDescent="0.25">
      <c r="A315" s="21">
        <v>45322</v>
      </c>
      <c r="B315" t="str">
        <f>IFERROR(IF(VLOOKUP(C315,Hoja1!$B$1:$C$6191,2,0)="",_xlfn.XLOOKUP(C315,Hoja1!$B$2:$B$6191,Hoja1!$A$2:$A$6191),VLOOKUP(C315,Hoja1!$B$1:$C$6191,2,0)),"No esta en Infor")</f>
        <v>NAC1312</v>
      </c>
      <c r="C315" s="19" t="s">
        <v>314</v>
      </c>
      <c r="D315" s="9">
        <v>0</v>
      </c>
      <c r="E315" s="9">
        <v>0</v>
      </c>
      <c r="F315" s="9">
        <v>6392.93</v>
      </c>
      <c r="G315" s="9">
        <v>0</v>
      </c>
      <c r="H315" s="9">
        <v>0</v>
      </c>
      <c r="I315" s="9">
        <v>0</v>
      </c>
      <c r="J315" s="9">
        <v>6392.93</v>
      </c>
    </row>
    <row r="316" spans="1:10" ht="15.75" x14ac:dyDescent="0.25">
      <c r="A316" s="21">
        <v>45322</v>
      </c>
      <c r="B316" t="str">
        <f>IFERROR(IF(VLOOKUP(C316,Hoja1!$B$1:$C$6191,2,0)="",_xlfn.XLOOKUP(C316,Hoja1!$B$2:$B$6191,Hoja1!$A$2:$A$6191),VLOOKUP(C316,Hoja1!$B$1:$C$6191,2,0)),"No esta en Infor")</f>
        <v>NAC1313</v>
      </c>
      <c r="C316" s="19" t="s">
        <v>315</v>
      </c>
      <c r="D316" s="9">
        <v>3888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3888</v>
      </c>
    </row>
    <row r="317" spans="1:10" ht="15.75" x14ac:dyDescent="0.25">
      <c r="A317" s="21">
        <v>45322</v>
      </c>
      <c r="B317" t="str">
        <f>IFERROR(IF(VLOOKUP(C317,Hoja1!$B$1:$C$6191,2,0)="",_xlfn.XLOOKUP(C317,Hoja1!$B$2:$B$6191,Hoja1!$A$2:$A$6191),VLOOKUP(C317,Hoja1!$B$1:$C$6191,2,0)),"No esta en Infor")</f>
        <v>NAC1329</v>
      </c>
      <c r="C317" s="19" t="s">
        <v>316</v>
      </c>
      <c r="D317" s="9">
        <v>0</v>
      </c>
      <c r="E317" s="9">
        <v>600.29</v>
      </c>
      <c r="F317" s="9">
        <v>0</v>
      </c>
      <c r="G317" s="9">
        <v>0</v>
      </c>
      <c r="H317" s="9">
        <v>0</v>
      </c>
      <c r="I317" s="9">
        <v>0</v>
      </c>
      <c r="J317" s="9">
        <v>600.29</v>
      </c>
    </row>
    <row r="318" spans="1:10" ht="15.75" x14ac:dyDescent="0.25">
      <c r="A318" s="21">
        <v>45322</v>
      </c>
      <c r="B318" t="str">
        <f>IFERROR(IF(VLOOKUP(C318,Hoja1!$B$1:$C$6191,2,0)="",_xlfn.XLOOKUP(C318,Hoja1!$B$2:$B$6191,Hoja1!$A$2:$A$6191),VLOOKUP(C318,Hoja1!$B$1:$C$6191,2,0)),"No esta en Infor")</f>
        <v>NAC1332</v>
      </c>
      <c r="C318" s="19" t="s">
        <v>317</v>
      </c>
      <c r="D318" s="9">
        <v>2557.08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2557.08</v>
      </c>
    </row>
    <row r="319" spans="1:10" ht="15.75" x14ac:dyDescent="0.25">
      <c r="A319" s="21">
        <v>45322</v>
      </c>
      <c r="B319" t="str">
        <f>IFERROR(IF(VLOOKUP(C319,Hoja1!$B$1:$C$6191,2,0)="",_xlfn.XLOOKUP(C319,Hoja1!$B$2:$B$6191,Hoja1!$A$2:$A$6191),VLOOKUP(C319,Hoja1!$B$1:$C$6191,2,0)),"No esta en Infor")</f>
        <v>NAC1333</v>
      </c>
      <c r="C319" s="19" t="s">
        <v>318</v>
      </c>
      <c r="D319" s="9">
        <v>8470.08</v>
      </c>
      <c r="E319" s="9">
        <v>-290.11</v>
      </c>
      <c r="F319" s="9">
        <v>0</v>
      </c>
      <c r="G319" s="9">
        <v>0</v>
      </c>
      <c r="H319" s="9">
        <v>0</v>
      </c>
      <c r="I319" s="9">
        <v>0</v>
      </c>
      <c r="J319" s="9">
        <v>8179.97</v>
      </c>
    </row>
    <row r="320" spans="1:10" ht="15.75" x14ac:dyDescent="0.25">
      <c r="A320" s="21">
        <v>45322</v>
      </c>
      <c r="B320" t="str">
        <f>IFERROR(IF(VLOOKUP(C320,Hoja1!$B$1:$C$6191,2,0)="",_xlfn.XLOOKUP(C320,Hoja1!$B$2:$B$6191,Hoja1!$A$2:$A$6191),VLOOKUP(C320,Hoja1!$B$1:$C$6191,2,0)),"No esta en Infor")</f>
        <v>SH02257</v>
      </c>
      <c r="C320" s="19" t="s">
        <v>319</v>
      </c>
      <c r="D320" s="9">
        <v>290.68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290.68</v>
      </c>
    </row>
    <row r="321" spans="1:10" ht="15.75" x14ac:dyDescent="0.25">
      <c r="A321" s="21">
        <v>45322</v>
      </c>
      <c r="B321" t="str">
        <f>IFERROR(IF(VLOOKUP(C321,Hoja1!$B$1:$C$6191,2,0)="",_xlfn.XLOOKUP(C321,Hoja1!$B$2:$B$6191,Hoja1!$A$2:$A$6191),VLOOKUP(C321,Hoja1!$B$1:$C$6191,2,0)),"No esta en Infor")</f>
        <v>No esta en Infor</v>
      </c>
      <c r="C321" s="19" t="s">
        <v>320</v>
      </c>
      <c r="D321" s="9">
        <v>0</v>
      </c>
      <c r="E321" s="9">
        <v>48.29</v>
      </c>
      <c r="F321" s="9">
        <v>0</v>
      </c>
      <c r="G321" s="9">
        <v>0</v>
      </c>
      <c r="H321" s="9">
        <v>0</v>
      </c>
      <c r="I321" s="9">
        <v>0</v>
      </c>
      <c r="J321" s="9">
        <v>48.29</v>
      </c>
    </row>
    <row r="322" spans="1:10" ht="15.75" x14ac:dyDescent="0.25">
      <c r="A322" s="21">
        <v>45322</v>
      </c>
      <c r="B322" t="str">
        <f>IFERROR(IF(VLOOKUP(C322,Hoja1!$B$1:$C$6191,2,0)="",_xlfn.XLOOKUP(C322,Hoja1!$B$2:$B$6191,Hoja1!$A$2:$A$6191),VLOOKUP(C322,Hoja1!$B$1:$C$6191,2,0)),"No esta en Infor")</f>
        <v>NAC1346</v>
      </c>
      <c r="C322" s="19" t="s">
        <v>321</v>
      </c>
      <c r="D322" s="9">
        <v>829.26</v>
      </c>
      <c r="E322" s="9">
        <v>0</v>
      </c>
      <c r="F322" s="9">
        <v>0</v>
      </c>
      <c r="G322" s="9">
        <v>0</v>
      </c>
      <c r="H322" s="9">
        <v>-2497.46</v>
      </c>
      <c r="I322" s="9">
        <v>0</v>
      </c>
      <c r="J322" s="9">
        <v>-1668.2</v>
      </c>
    </row>
    <row r="323" spans="1:10" ht="15.75" x14ac:dyDescent="0.25">
      <c r="A323" s="21">
        <v>45322</v>
      </c>
      <c r="B323" t="str">
        <f>IFERROR(IF(VLOOKUP(C323,Hoja1!$B$1:$C$6191,2,0)="",_xlfn.XLOOKUP(C323,Hoja1!$B$2:$B$6191,Hoja1!$A$2:$A$6191),VLOOKUP(C323,Hoja1!$B$1:$C$6191,2,0)),"No esta en Infor")</f>
        <v>NAC1349</v>
      </c>
      <c r="C323" s="19" t="s">
        <v>322</v>
      </c>
      <c r="D323" s="9">
        <v>0</v>
      </c>
      <c r="E323" s="9">
        <v>-169.96</v>
      </c>
      <c r="F323" s="9">
        <v>0</v>
      </c>
      <c r="G323" s="9">
        <v>0</v>
      </c>
      <c r="H323" s="9">
        <v>0</v>
      </c>
      <c r="I323" s="9">
        <v>0</v>
      </c>
      <c r="J323" s="9">
        <v>-169.96</v>
      </c>
    </row>
    <row r="324" spans="1:10" ht="15.75" x14ac:dyDescent="0.25">
      <c r="A324" s="21">
        <v>45322</v>
      </c>
      <c r="B324" t="str">
        <f>IFERROR(IF(VLOOKUP(C324,Hoja1!$B$1:$C$6191,2,0)="",_xlfn.XLOOKUP(C324,Hoja1!$B$2:$B$6191,Hoja1!$A$2:$A$6191),VLOOKUP(C324,Hoja1!$B$1:$C$6191,2,0)),"No esta en Infor")</f>
        <v>NAC1348</v>
      </c>
      <c r="C324" s="19" t="s">
        <v>323</v>
      </c>
      <c r="D324" s="9">
        <v>0</v>
      </c>
      <c r="E324" s="9">
        <v>0</v>
      </c>
      <c r="F324" s="9">
        <v>-40</v>
      </c>
      <c r="G324" s="9">
        <v>-303.89999999999998</v>
      </c>
      <c r="H324" s="9">
        <v>0</v>
      </c>
      <c r="I324" s="9">
        <v>0</v>
      </c>
      <c r="J324" s="9">
        <v>-343.9</v>
      </c>
    </row>
    <row r="325" spans="1:10" ht="15.75" x14ac:dyDescent="0.25">
      <c r="A325" s="21">
        <v>45322</v>
      </c>
      <c r="B325" t="str">
        <f>IFERROR(IF(VLOOKUP(C325,Hoja1!$B$1:$C$6191,2,0)="",_xlfn.XLOOKUP(C325,Hoja1!$B$2:$B$6191,Hoja1!$A$2:$A$6191),VLOOKUP(C325,Hoja1!$B$1:$C$6191,2,0)),"No esta en Infor")</f>
        <v>NAC1354</v>
      </c>
      <c r="C325" s="19" t="s">
        <v>324</v>
      </c>
      <c r="D325" s="9">
        <v>0</v>
      </c>
      <c r="E325" s="9">
        <v>424.57</v>
      </c>
      <c r="F325" s="9">
        <v>0</v>
      </c>
      <c r="G325" s="9">
        <v>0</v>
      </c>
      <c r="H325" s="9">
        <v>0</v>
      </c>
      <c r="I325" s="9">
        <v>0</v>
      </c>
      <c r="J325" s="9">
        <v>424.57</v>
      </c>
    </row>
    <row r="326" spans="1:10" ht="15.75" x14ac:dyDescent="0.25">
      <c r="A326" s="21">
        <v>45322</v>
      </c>
      <c r="B326" t="str">
        <f>IFERROR(IF(VLOOKUP(C326,Hoja1!$B$1:$C$6191,2,0)="",_xlfn.XLOOKUP(C326,Hoja1!$B$2:$B$6191,Hoja1!$A$2:$A$6191),VLOOKUP(C326,Hoja1!$B$1:$C$6191,2,0)),"No esta en Infor")</f>
        <v>NAC1356</v>
      </c>
      <c r="C326" s="19" t="s">
        <v>325</v>
      </c>
      <c r="D326" s="9">
        <v>0</v>
      </c>
      <c r="E326" s="9">
        <v>-421.28</v>
      </c>
      <c r="F326" s="9">
        <v>0</v>
      </c>
      <c r="G326" s="9">
        <v>0</v>
      </c>
      <c r="H326" s="9">
        <v>0</v>
      </c>
      <c r="I326" s="9">
        <v>0</v>
      </c>
      <c r="J326" s="9">
        <v>-421.28</v>
      </c>
    </row>
    <row r="327" spans="1:10" ht="15.75" x14ac:dyDescent="0.25">
      <c r="A327" s="21">
        <v>45322</v>
      </c>
      <c r="B327" t="str">
        <f>IFERROR(IF(VLOOKUP(C327,Hoja1!$B$1:$C$6191,2,0)="",_xlfn.XLOOKUP(C327,Hoja1!$B$2:$B$6191,Hoja1!$A$2:$A$6191),VLOOKUP(C327,Hoja1!$B$1:$C$6191,2,0)),"No esta en Infor")</f>
        <v>NAC1361</v>
      </c>
      <c r="C327" s="19" t="s">
        <v>326</v>
      </c>
      <c r="D327" s="9">
        <v>0</v>
      </c>
      <c r="E327" s="9">
        <v>0</v>
      </c>
      <c r="F327" s="9">
        <v>8611.74</v>
      </c>
      <c r="G327" s="9">
        <v>0</v>
      </c>
      <c r="H327" s="9">
        <v>0</v>
      </c>
      <c r="I327" s="9">
        <v>0</v>
      </c>
      <c r="J327" s="9">
        <v>8611.74</v>
      </c>
    </row>
    <row r="328" spans="1:10" ht="15.75" x14ac:dyDescent="0.25">
      <c r="A328" s="21">
        <v>45322</v>
      </c>
      <c r="B328" t="str">
        <f>IFERROR(IF(VLOOKUP(C328,Hoja1!$B$1:$C$6191,2,0)="",_xlfn.XLOOKUP(C328,Hoja1!$B$2:$B$6191,Hoja1!$A$2:$A$6191),VLOOKUP(C328,Hoja1!$B$1:$C$6191,2,0)),"No esta en Infor")</f>
        <v>CAN0065</v>
      </c>
      <c r="C328" s="19" t="s">
        <v>327</v>
      </c>
      <c r="D328" s="9">
        <v>5900.41</v>
      </c>
      <c r="E328" s="9">
        <v>9114.77</v>
      </c>
      <c r="F328" s="9">
        <v>0</v>
      </c>
      <c r="G328" s="9">
        <v>0</v>
      </c>
      <c r="H328" s="9">
        <v>0</v>
      </c>
      <c r="I328" s="9">
        <v>0</v>
      </c>
      <c r="J328" s="9">
        <v>15015.18</v>
      </c>
    </row>
    <row r="329" spans="1:10" ht="15.75" x14ac:dyDescent="0.25">
      <c r="A329" s="21">
        <v>45322</v>
      </c>
      <c r="B329" t="str">
        <f>IFERROR(IF(VLOOKUP(C329,Hoja1!$B$1:$C$6191,2,0)="",_xlfn.XLOOKUP(C329,Hoja1!$B$2:$B$6191,Hoja1!$A$2:$A$6191),VLOOKUP(C329,Hoja1!$B$1:$C$6191,2,0)),"No esta en Infor")</f>
        <v>No esta en Infor</v>
      </c>
      <c r="C329" s="19" t="s">
        <v>328</v>
      </c>
      <c r="D329" s="9">
        <v>0</v>
      </c>
      <c r="E329" s="9">
        <v>470</v>
      </c>
      <c r="F329" s="9">
        <v>0</v>
      </c>
      <c r="G329" s="9">
        <v>0</v>
      </c>
      <c r="H329" s="9">
        <v>0</v>
      </c>
      <c r="I329" s="9">
        <v>0</v>
      </c>
      <c r="J329" s="9">
        <v>470</v>
      </c>
    </row>
    <row r="330" spans="1:10" ht="15.75" x14ac:dyDescent="0.25">
      <c r="A330" s="21">
        <v>45322</v>
      </c>
      <c r="B330" t="str">
        <f>IFERROR(IF(VLOOKUP(C330,Hoja1!$B$1:$C$6191,2,0)="",_xlfn.XLOOKUP(C330,Hoja1!$B$2:$B$6191,Hoja1!$A$2:$A$6191),VLOOKUP(C330,Hoja1!$B$1:$C$6191,2,0)),"No esta en Infor")</f>
        <v>SH02365</v>
      </c>
      <c r="C330" s="19" t="s">
        <v>329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</row>
    <row r="331" spans="1:10" ht="15.75" x14ac:dyDescent="0.25">
      <c r="A331" s="21">
        <v>45322</v>
      </c>
      <c r="B331" t="str">
        <f>IFERROR(IF(VLOOKUP(C331,Hoja1!$B$1:$C$6191,2,0)="",_xlfn.XLOOKUP(C331,Hoja1!$B$2:$B$6191,Hoja1!$A$2:$A$6191),VLOOKUP(C331,Hoja1!$B$1:$C$6191,2,0)),"No esta en Infor")</f>
        <v>CAN0066</v>
      </c>
      <c r="C331" s="19" t="s">
        <v>330</v>
      </c>
      <c r="D331" s="9">
        <v>0</v>
      </c>
      <c r="E331" s="9">
        <v>0</v>
      </c>
      <c r="F331" s="9">
        <v>-18.57</v>
      </c>
      <c r="G331" s="9">
        <v>0</v>
      </c>
      <c r="H331" s="9">
        <v>0</v>
      </c>
      <c r="I331" s="9">
        <v>0</v>
      </c>
      <c r="J331" s="9">
        <v>-18.57</v>
      </c>
    </row>
    <row r="332" spans="1:10" ht="15.75" x14ac:dyDescent="0.25">
      <c r="A332" s="21">
        <v>45322</v>
      </c>
      <c r="B332" t="str">
        <f>IFERROR(IF(VLOOKUP(C332,Hoja1!$B$1:$C$6191,2,0)="",_xlfn.XLOOKUP(C332,Hoja1!$B$2:$B$6191,Hoja1!$A$2:$A$6191),VLOOKUP(C332,Hoja1!$B$1:$C$6191,2,0)),"No esta en Infor")</f>
        <v>NAC1376</v>
      </c>
      <c r="C332" s="19" t="s">
        <v>331</v>
      </c>
      <c r="D332" s="9">
        <v>59937.4</v>
      </c>
      <c r="E332" s="9">
        <v>5180</v>
      </c>
      <c r="F332" s="9">
        <v>0</v>
      </c>
      <c r="G332" s="9">
        <v>0</v>
      </c>
      <c r="H332" s="9">
        <v>0</v>
      </c>
      <c r="I332" s="9">
        <v>0</v>
      </c>
      <c r="J332" s="9">
        <v>65117.4</v>
      </c>
    </row>
    <row r="333" spans="1:10" ht="15.75" x14ac:dyDescent="0.25">
      <c r="A333" s="21">
        <v>45322</v>
      </c>
      <c r="B333" t="str">
        <f>IFERROR(IF(VLOOKUP(C333,Hoja1!$B$1:$C$6191,2,0)="",_xlfn.XLOOKUP(C333,Hoja1!$B$2:$B$6191,Hoja1!$A$2:$A$6191),VLOOKUP(C333,Hoja1!$B$1:$C$6191,2,0)),"No esta en Infor")</f>
        <v>NAC1382</v>
      </c>
      <c r="C333" s="19" t="s">
        <v>332</v>
      </c>
      <c r="D333" s="9">
        <v>287133.99</v>
      </c>
      <c r="E333" s="9">
        <v>69837.919999999998</v>
      </c>
      <c r="F333" s="9">
        <v>0</v>
      </c>
      <c r="G333" s="9">
        <v>0</v>
      </c>
      <c r="H333" s="9">
        <v>0</v>
      </c>
      <c r="I333" s="9">
        <v>0</v>
      </c>
      <c r="J333" s="9">
        <v>356971.91</v>
      </c>
    </row>
    <row r="334" spans="1:10" ht="15.75" x14ac:dyDescent="0.25">
      <c r="A334" s="21">
        <v>45322</v>
      </c>
      <c r="B334" t="str">
        <f>IFERROR(IF(VLOOKUP(C334,Hoja1!$B$1:$C$6191,2,0)="",_xlfn.XLOOKUP(C334,Hoja1!$B$2:$B$6191,Hoja1!$A$2:$A$6191),VLOOKUP(C334,Hoja1!$B$1:$C$6191,2,0)),"No esta en Infor")</f>
        <v>NAC1610</v>
      </c>
      <c r="C334" s="19" t="s">
        <v>333</v>
      </c>
      <c r="D334" s="9">
        <v>0</v>
      </c>
      <c r="E334" s="9">
        <v>744.05</v>
      </c>
      <c r="F334" s="9">
        <v>0</v>
      </c>
      <c r="G334" s="9">
        <v>0</v>
      </c>
      <c r="H334" s="9">
        <v>0</v>
      </c>
      <c r="I334" s="9">
        <v>0</v>
      </c>
      <c r="J334" s="9">
        <v>744.05</v>
      </c>
    </row>
    <row r="335" spans="1:10" ht="15.75" x14ac:dyDescent="0.25">
      <c r="A335" s="21">
        <v>45322</v>
      </c>
      <c r="B335" t="str">
        <f>IFERROR(IF(VLOOKUP(C335,Hoja1!$B$1:$C$6191,2,0)="",_xlfn.XLOOKUP(C335,Hoja1!$B$2:$B$6191,Hoja1!$A$2:$A$6191),VLOOKUP(C335,Hoja1!$B$1:$C$6191,2,0)),"No esta en Infor")</f>
        <v>NAC1610</v>
      </c>
      <c r="C335" s="19" t="s">
        <v>334</v>
      </c>
      <c r="D335" s="9">
        <v>0</v>
      </c>
      <c r="E335" s="9">
        <v>167.44</v>
      </c>
      <c r="F335" s="9">
        <v>0</v>
      </c>
      <c r="G335" s="9">
        <v>0</v>
      </c>
      <c r="H335" s="9">
        <v>0</v>
      </c>
      <c r="I335" s="9">
        <v>0</v>
      </c>
      <c r="J335" s="9">
        <v>167.44</v>
      </c>
    </row>
    <row r="336" spans="1:10" ht="15.75" x14ac:dyDescent="0.25">
      <c r="A336" s="21">
        <v>45322</v>
      </c>
      <c r="B336" t="str">
        <f>IFERROR(IF(VLOOKUP(C336,Hoja1!$B$1:$C$6191,2,0)="",_xlfn.XLOOKUP(C336,Hoja1!$B$2:$B$6191,Hoja1!$A$2:$A$6191),VLOOKUP(C336,Hoja1!$B$1:$C$6191,2,0)),"No esta en Infor")</f>
        <v>NAC1393</v>
      </c>
      <c r="C336" s="19" t="s">
        <v>335</v>
      </c>
      <c r="D336" s="9">
        <v>0</v>
      </c>
      <c r="E336" s="9">
        <v>-3.21</v>
      </c>
      <c r="F336" s="9">
        <v>0</v>
      </c>
      <c r="G336" s="9">
        <v>0</v>
      </c>
      <c r="H336" s="9">
        <v>0</v>
      </c>
      <c r="I336" s="9">
        <v>0</v>
      </c>
      <c r="J336" s="9">
        <v>-3.21</v>
      </c>
    </row>
    <row r="337" spans="1:10" ht="15.75" x14ac:dyDescent="0.25">
      <c r="A337" s="21">
        <v>45322</v>
      </c>
      <c r="B337" t="str">
        <f>IFERROR(IF(VLOOKUP(C337,Hoja1!$B$1:$C$6191,2,0)="",_xlfn.XLOOKUP(C337,Hoja1!$B$2:$B$6191,Hoja1!$A$2:$A$6191),VLOOKUP(C337,Hoja1!$B$1:$C$6191,2,0)),"No esta en Infor")</f>
        <v>SH02388</v>
      </c>
      <c r="C337" s="19" t="s">
        <v>336</v>
      </c>
      <c r="D337" s="9">
        <v>0</v>
      </c>
      <c r="E337" s="9">
        <v>272.83999999999997</v>
      </c>
      <c r="F337" s="9">
        <v>0</v>
      </c>
      <c r="G337" s="9">
        <v>0</v>
      </c>
      <c r="H337" s="9">
        <v>0</v>
      </c>
      <c r="I337" s="9">
        <v>0</v>
      </c>
      <c r="J337" s="9">
        <v>272.83999999999997</v>
      </c>
    </row>
    <row r="338" spans="1:10" ht="15.75" x14ac:dyDescent="0.25">
      <c r="A338" s="21">
        <v>45322</v>
      </c>
      <c r="B338" t="str">
        <f>IFERROR(IF(VLOOKUP(C338,Hoja1!$B$1:$C$6191,2,0)="",_xlfn.XLOOKUP(C338,Hoja1!$B$2:$B$6191,Hoja1!$A$2:$A$6191),VLOOKUP(C338,Hoja1!$B$1:$C$6191,2,0)),"No esta en Infor")</f>
        <v>NAC1395</v>
      </c>
      <c r="C338" s="19" t="s">
        <v>337</v>
      </c>
      <c r="D338" s="9">
        <v>21199.72</v>
      </c>
      <c r="E338" s="9">
        <v>17661</v>
      </c>
      <c r="F338" s="9">
        <v>0</v>
      </c>
      <c r="G338" s="9">
        <v>0</v>
      </c>
      <c r="H338" s="9">
        <v>0</v>
      </c>
      <c r="I338" s="9">
        <v>0</v>
      </c>
      <c r="J338" s="9">
        <v>38860.720000000001</v>
      </c>
    </row>
    <row r="339" spans="1:10" ht="15.75" x14ac:dyDescent="0.25">
      <c r="A339" s="21">
        <v>45322</v>
      </c>
      <c r="B339" t="str">
        <f>IFERROR(IF(VLOOKUP(C339,Hoja1!$B$1:$C$6191,2,0)="",_xlfn.XLOOKUP(C339,Hoja1!$B$2:$B$6191,Hoja1!$A$2:$A$6191),VLOOKUP(C339,Hoja1!$B$1:$C$6191,2,0)),"No esta en Infor")</f>
        <v>No esta en Infor</v>
      </c>
      <c r="C339" s="19" t="s">
        <v>338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-340.25</v>
      </c>
      <c r="J339" s="9">
        <v>-340.25</v>
      </c>
    </row>
    <row r="340" spans="1:10" ht="15.75" x14ac:dyDescent="0.25">
      <c r="A340" s="21">
        <v>45322</v>
      </c>
      <c r="B340" t="str">
        <f>IFERROR(IF(VLOOKUP(C340,Hoja1!$B$1:$C$6191,2,0)="",_xlfn.XLOOKUP(C340,Hoja1!$B$2:$B$6191,Hoja1!$A$2:$A$6191),VLOOKUP(C340,Hoja1!$B$1:$C$6191,2,0)),"No esta en Infor")</f>
        <v>SH02440</v>
      </c>
      <c r="C340" s="19" t="s">
        <v>339</v>
      </c>
      <c r="D340" s="9">
        <v>0</v>
      </c>
      <c r="E340" s="9">
        <v>64.41</v>
      </c>
      <c r="F340" s="9">
        <v>0</v>
      </c>
      <c r="G340" s="9">
        <v>0</v>
      </c>
      <c r="H340" s="9">
        <v>0</v>
      </c>
      <c r="I340" s="9">
        <v>0</v>
      </c>
      <c r="J340" s="9">
        <v>64.41</v>
      </c>
    </row>
    <row r="341" spans="1:10" ht="15.75" x14ac:dyDescent="0.25">
      <c r="A341" s="21">
        <v>45322</v>
      </c>
      <c r="B341" t="str">
        <f>IFERROR(IF(VLOOKUP(C341,Hoja1!$B$1:$C$6191,2,0)="",_xlfn.XLOOKUP(C341,Hoja1!$B$2:$B$6191,Hoja1!$A$2:$A$6191),VLOOKUP(C341,Hoja1!$B$1:$C$6191,2,0)),"No esta en Infor")</f>
        <v>CAN0069</v>
      </c>
      <c r="C341" s="19" t="s">
        <v>340</v>
      </c>
      <c r="D341" s="9">
        <v>0</v>
      </c>
      <c r="E341" s="9">
        <v>540.15</v>
      </c>
      <c r="F341" s="9">
        <v>0</v>
      </c>
      <c r="G341" s="9">
        <v>0</v>
      </c>
      <c r="H341" s="9">
        <v>0</v>
      </c>
      <c r="I341" s="9">
        <v>0</v>
      </c>
      <c r="J341" s="9">
        <v>540.15</v>
      </c>
    </row>
    <row r="342" spans="1:10" ht="15.75" x14ac:dyDescent="0.25">
      <c r="A342" s="21">
        <v>45322</v>
      </c>
      <c r="B342" t="str">
        <f>IFERROR(IF(VLOOKUP(C342,Hoja1!$B$1:$C$6191,2,0)="",_xlfn.XLOOKUP(C342,Hoja1!$B$2:$B$6191,Hoja1!$A$2:$A$6191),VLOOKUP(C342,Hoja1!$B$1:$C$6191,2,0)),"No esta en Infor")</f>
        <v>CAN0090</v>
      </c>
      <c r="C342" s="19" t="s">
        <v>574</v>
      </c>
      <c r="D342" s="9">
        <v>25460.32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25460.32</v>
      </c>
    </row>
    <row r="343" spans="1:10" ht="15.75" x14ac:dyDescent="0.25">
      <c r="A343" s="21">
        <v>45322</v>
      </c>
      <c r="B343" t="str">
        <f>IFERROR(IF(VLOOKUP(C343,Hoja1!$B$1:$C$6191,2,0)="",_xlfn.XLOOKUP(C343,Hoja1!$B$2:$B$6191,Hoja1!$A$2:$A$6191),VLOOKUP(C343,Hoja1!$B$1:$C$6191,2,0)),"No esta en Infor")</f>
        <v>CAN0071</v>
      </c>
      <c r="C343" s="19" t="s">
        <v>341</v>
      </c>
      <c r="D343" s="9">
        <v>6645.4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6645.4</v>
      </c>
    </row>
    <row r="344" spans="1:10" ht="15.75" x14ac:dyDescent="0.25">
      <c r="A344" s="21">
        <v>45322</v>
      </c>
      <c r="B344" t="str">
        <f>IFERROR(IF(VLOOKUP(C344,Hoja1!$B$1:$C$6191,2,0)="",_xlfn.XLOOKUP(C344,Hoja1!$B$2:$B$6191,Hoja1!$A$2:$A$6191),VLOOKUP(C344,Hoja1!$B$1:$C$6191,2,0)),"No esta en Infor")</f>
        <v>NAC1413</v>
      </c>
      <c r="C344" s="19" t="s">
        <v>342</v>
      </c>
      <c r="D344" s="9">
        <v>21758.16</v>
      </c>
      <c r="E344" s="9">
        <v>17836.3</v>
      </c>
      <c r="F344" s="9">
        <v>0</v>
      </c>
      <c r="G344" s="9">
        <v>0</v>
      </c>
      <c r="H344" s="9">
        <v>0</v>
      </c>
      <c r="I344" s="9">
        <v>0</v>
      </c>
      <c r="J344" s="9">
        <v>39594.46</v>
      </c>
    </row>
    <row r="345" spans="1:10" ht="15.75" x14ac:dyDescent="0.25">
      <c r="A345" s="21">
        <v>45322</v>
      </c>
      <c r="B345" t="str">
        <f>IFERROR(IF(VLOOKUP(C345,Hoja1!$B$1:$C$6191,2,0)="",_xlfn.XLOOKUP(C345,Hoja1!$B$2:$B$6191,Hoja1!$A$2:$A$6191),VLOOKUP(C345,Hoja1!$B$1:$C$6191,2,0)),"No esta en Infor")</f>
        <v>NAC1419</v>
      </c>
      <c r="C345" s="19" t="s">
        <v>343</v>
      </c>
      <c r="D345" s="9">
        <v>438.67</v>
      </c>
      <c r="E345" s="9">
        <v>0</v>
      </c>
      <c r="F345" s="9">
        <v>0</v>
      </c>
      <c r="G345" s="9">
        <v>0</v>
      </c>
      <c r="H345" s="9">
        <v>-4.18</v>
      </c>
      <c r="I345" s="9">
        <v>0</v>
      </c>
      <c r="J345" s="9">
        <v>434.49</v>
      </c>
    </row>
    <row r="346" spans="1:10" ht="15.75" x14ac:dyDescent="0.25">
      <c r="A346" s="21">
        <v>45322</v>
      </c>
      <c r="B346" t="str">
        <f>IFERROR(IF(VLOOKUP(C346,Hoja1!$B$1:$C$6191,2,0)="",_xlfn.XLOOKUP(C346,Hoja1!$B$2:$B$6191,Hoja1!$A$2:$A$6191),VLOOKUP(C346,Hoja1!$B$1:$C$6191,2,0)),"No esta en Infor")</f>
        <v>NAC1422</v>
      </c>
      <c r="C346" s="19" t="s">
        <v>344</v>
      </c>
      <c r="D346" s="9">
        <v>0</v>
      </c>
      <c r="E346" s="9">
        <v>-838.34</v>
      </c>
      <c r="F346" s="9">
        <v>0</v>
      </c>
      <c r="G346" s="9">
        <v>-0.01</v>
      </c>
      <c r="H346" s="9">
        <v>0</v>
      </c>
      <c r="I346" s="9">
        <v>0</v>
      </c>
      <c r="J346" s="9">
        <v>-838.35</v>
      </c>
    </row>
    <row r="347" spans="1:10" ht="15.75" x14ac:dyDescent="0.25">
      <c r="A347" s="21">
        <v>45322</v>
      </c>
      <c r="B347" t="str">
        <f>IFERROR(IF(VLOOKUP(C347,Hoja1!$B$1:$C$6191,2,0)="",_xlfn.XLOOKUP(C347,Hoja1!$B$2:$B$6191,Hoja1!$A$2:$A$6191),VLOOKUP(C347,Hoja1!$B$1:$C$6191,2,0)),"No esta en Infor")</f>
        <v>NAC1424</v>
      </c>
      <c r="C347" s="19" t="s">
        <v>345</v>
      </c>
      <c r="D347" s="9">
        <v>75324.600000000006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75324.600000000006</v>
      </c>
    </row>
    <row r="348" spans="1:10" ht="15.75" x14ac:dyDescent="0.25">
      <c r="A348" s="21">
        <v>45322</v>
      </c>
      <c r="B348" t="str">
        <f>IFERROR(IF(VLOOKUP(C348,Hoja1!$B$1:$C$6191,2,0)="",_xlfn.XLOOKUP(C348,Hoja1!$B$2:$B$6191,Hoja1!$A$2:$A$6191),VLOOKUP(C348,Hoja1!$B$1:$C$6191,2,0)),"No esta en Infor")</f>
        <v>SH02491</v>
      </c>
      <c r="C348" s="19" t="s">
        <v>346</v>
      </c>
      <c r="D348" s="9">
        <v>0</v>
      </c>
      <c r="E348" s="9">
        <v>165.61</v>
      </c>
      <c r="F348" s="9">
        <v>0</v>
      </c>
      <c r="G348" s="9">
        <v>0</v>
      </c>
      <c r="H348" s="9">
        <v>0</v>
      </c>
      <c r="I348" s="9">
        <v>0</v>
      </c>
      <c r="J348" s="9">
        <v>165.61</v>
      </c>
    </row>
    <row r="349" spans="1:10" ht="15.75" x14ac:dyDescent="0.25">
      <c r="A349" s="21">
        <v>45322</v>
      </c>
      <c r="B349" t="str">
        <f>IFERROR(IF(VLOOKUP(C349,Hoja1!$B$1:$C$6191,2,0)="",_xlfn.XLOOKUP(C349,Hoja1!$B$2:$B$6191,Hoja1!$A$2:$A$6191),VLOOKUP(C349,Hoja1!$B$1:$C$6191,2,0)),"No esta en Infor")</f>
        <v>NAC1429</v>
      </c>
      <c r="C349" s="19" t="s">
        <v>347</v>
      </c>
      <c r="D349" s="9">
        <v>18.48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18.48</v>
      </c>
    </row>
    <row r="350" spans="1:10" ht="15.75" x14ac:dyDescent="0.25">
      <c r="A350" s="21">
        <v>45322</v>
      </c>
      <c r="B350" t="str">
        <f>IFERROR(IF(VLOOKUP(C350,Hoja1!$B$1:$C$6191,2,0)="",_xlfn.XLOOKUP(C350,Hoja1!$B$2:$B$6191,Hoja1!$A$2:$A$6191),VLOOKUP(C350,Hoja1!$B$1:$C$6191,2,0)),"No esta en Infor")</f>
        <v>NAC1434</v>
      </c>
      <c r="C350" s="19" t="s">
        <v>348</v>
      </c>
      <c r="D350" s="9">
        <v>4101</v>
      </c>
      <c r="E350" s="9">
        <v>-0.01</v>
      </c>
      <c r="F350" s="9">
        <v>0</v>
      </c>
      <c r="G350" s="9">
        <v>0</v>
      </c>
      <c r="H350" s="9">
        <v>0</v>
      </c>
      <c r="I350" s="9">
        <v>0</v>
      </c>
      <c r="J350" s="9">
        <v>4100.99</v>
      </c>
    </row>
    <row r="351" spans="1:10" ht="15.75" x14ac:dyDescent="0.25">
      <c r="A351" s="21">
        <v>45322</v>
      </c>
      <c r="B351" t="str">
        <f>IFERROR(IF(VLOOKUP(C351,Hoja1!$B$1:$C$6191,2,0)="",_xlfn.XLOOKUP(C351,Hoja1!$B$2:$B$6191,Hoja1!$A$2:$A$6191),VLOOKUP(C351,Hoja1!$B$1:$C$6191,2,0)),"No esta en Infor")</f>
        <v>CAN0073</v>
      </c>
      <c r="C351" s="19" t="s">
        <v>349</v>
      </c>
      <c r="D351" s="9">
        <v>-1006.73</v>
      </c>
      <c r="E351" s="9">
        <v>1006.73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</row>
    <row r="352" spans="1:10" ht="15.75" x14ac:dyDescent="0.25">
      <c r="A352" s="21">
        <v>45322</v>
      </c>
      <c r="B352" t="str">
        <f>IFERROR(IF(VLOOKUP(C352,Hoja1!$B$1:$C$6191,2,0)="",_xlfn.XLOOKUP(C352,Hoja1!$B$2:$B$6191,Hoja1!$A$2:$A$6191),VLOOKUP(C352,Hoja1!$B$1:$C$6191,2,0)),"No esta en Infor")</f>
        <v>CAN0074</v>
      </c>
      <c r="C352" s="19" t="s">
        <v>350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-100</v>
      </c>
      <c r="J352" s="9">
        <v>-100</v>
      </c>
    </row>
    <row r="353" spans="1:10" ht="15.75" x14ac:dyDescent="0.25">
      <c r="A353" s="21">
        <v>45322</v>
      </c>
      <c r="B353" t="str">
        <f>IFERROR(IF(VLOOKUP(C353,Hoja1!$B$1:$C$6191,2,0)="",_xlfn.XLOOKUP(C353,Hoja1!$B$2:$B$6191,Hoja1!$A$2:$A$6191),VLOOKUP(C353,Hoja1!$B$1:$C$6191,2,0)),"No esta en Infor")</f>
        <v>NAC1471</v>
      </c>
      <c r="C353" s="19" t="s">
        <v>351</v>
      </c>
      <c r="D353" s="9">
        <v>9820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9820</v>
      </c>
    </row>
    <row r="354" spans="1:10" ht="15.75" x14ac:dyDescent="0.25">
      <c r="A354" s="21">
        <v>45322</v>
      </c>
      <c r="B354" t="str">
        <f>IFERROR(IF(VLOOKUP(C354,Hoja1!$B$1:$C$6191,2,0)="",_xlfn.XLOOKUP(C354,Hoja1!$B$2:$B$6191,Hoja1!$A$2:$A$6191),VLOOKUP(C354,Hoja1!$B$1:$C$6191,2,0)),"No esta en Infor")</f>
        <v>NAC1474</v>
      </c>
      <c r="C354" s="19" t="s">
        <v>352</v>
      </c>
      <c r="D354" s="9">
        <v>13920.43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13920.43</v>
      </c>
    </row>
    <row r="355" spans="1:10" ht="15.75" x14ac:dyDescent="0.25">
      <c r="A355" s="21">
        <v>45322</v>
      </c>
      <c r="B355" t="str">
        <f>IFERROR(IF(VLOOKUP(C355,Hoja1!$B$1:$C$6191,2,0)="",_xlfn.XLOOKUP(C355,Hoja1!$B$2:$B$6191,Hoja1!$A$2:$A$6191),VLOOKUP(C355,Hoja1!$B$1:$C$6191,2,0)),"No esta en Infor")</f>
        <v>CAN0077</v>
      </c>
      <c r="C355" s="19" t="s">
        <v>353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-364.86</v>
      </c>
      <c r="J355" s="9">
        <v>-364.86</v>
      </c>
    </row>
    <row r="356" spans="1:10" ht="15.75" x14ac:dyDescent="0.25">
      <c r="A356" s="21">
        <v>45322</v>
      </c>
      <c r="B356" t="str">
        <f>IFERROR(IF(VLOOKUP(C356,Hoja1!$B$1:$C$6191,2,0)="",_xlfn.XLOOKUP(C356,Hoja1!$B$2:$B$6191,Hoja1!$A$2:$A$6191),VLOOKUP(C356,Hoja1!$B$1:$C$6191,2,0)),"No esta en Infor")</f>
        <v>NAC1479</v>
      </c>
      <c r="C356" s="19" t="s">
        <v>354</v>
      </c>
      <c r="D356" s="9">
        <v>0</v>
      </c>
      <c r="E356" s="9">
        <v>-6.68</v>
      </c>
      <c r="F356" s="9">
        <v>0</v>
      </c>
      <c r="G356" s="9">
        <v>0</v>
      </c>
      <c r="H356" s="9">
        <v>0</v>
      </c>
      <c r="I356" s="9">
        <v>0</v>
      </c>
      <c r="J356" s="9">
        <v>-6.68</v>
      </c>
    </row>
    <row r="357" spans="1:10" ht="15.75" x14ac:dyDescent="0.25">
      <c r="A357" s="21">
        <v>45322</v>
      </c>
      <c r="B357" t="str">
        <f>IFERROR(IF(VLOOKUP(C357,Hoja1!$B$1:$C$6191,2,0)="",_xlfn.XLOOKUP(C357,Hoja1!$B$2:$B$6191,Hoja1!$A$2:$A$6191),VLOOKUP(C357,Hoja1!$B$1:$C$6191,2,0)),"No esta en Infor")</f>
        <v>NAC1611</v>
      </c>
      <c r="C357" s="19" t="s">
        <v>355</v>
      </c>
      <c r="D357" s="9">
        <v>1744.4</v>
      </c>
      <c r="E357" s="9">
        <v>0</v>
      </c>
      <c r="F357" s="9">
        <v>0</v>
      </c>
      <c r="G357" s="9">
        <v>0</v>
      </c>
      <c r="H357" s="9">
        <v>0</v>
      </c>
      <c r="I357" s="9">
        <v>-184</v>
      </c>
      <c r="J357" s="9">
        <v>1560.4</v>
      </c>
    </row>
    <row r="358" spans="1:10" ht="15.75" x14ac:dyDescent="0.25">
      <c r="A358" s="21">
        <v>45322</v>
      </c>
      <c r="B358" t="str">
        <f>IFERROR(IF(VLOOKUP(C358,Hoja1!$B$1:$C$6191,2,0)="",_xlfn.XLOOKUP(C358,Hoja1!$B$2:$B$6191,Hoja1!$A$2:$A$6191),VLOOKUP(C358,Hoja1!$B$1:$C$6191,2,0)),"No esta en Infor")</f>
        <v>NAC1482</v>
      </c>
      <c r="C358" s="19" t="s">
        <v>356</v>
      </c>
      <c r="D358" s="9">
        <v>0</v>
      </c>
      <c r="E358" s="9">
        <v>0</v>
      </c>
      <c r="F358" s="9">
        <v>-53.68</v>
      </c>
      <c r="G358" s="9">
        <v>0</v>
      </c>
      <c r="H358" s="9">
        <v>0</v>
      </c>
      <c r="I358" s="9">
        <v>0</v>
      </c>
      <c r="J358" s="9">
        <v>-53.68</v>
      </c>
    </row>
    <row r="359" spans="1:10" ht="15.75" x14ac:dyDescent="0.25">
      <c r="A359" s="21">
        <v>45322</v>
      </c>
      <c r="B359" t="str">
        <f>IFERROR(IF(VLOOKUP(C359,Hoja1!$B$1:$C$6191,2,0)="",_xlfn.XLOOKUP(C359,Hoja1!$B$2:$B$6191,Hoja1!$A$2:$A$6191),VLOOKUP(C359,Hoja1!$B$1:$C$6191,2,0)),"No esta en Infor")</f>
        <v>NAC1483</v>
      </c>
      <c r="C359" s="19" t="s">
        <v>357</v>
      </c>
      <c r="D359" s="9">
        <v>378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378</v>
      </c>
    </row>
    <row r="360" spans="1:10" ht="15.75" x14ac:dyDescent="0.25">
      <c r="A360" s="21">
        <v>45322</v>
      </c>
      <c r="B360" t="str">
        <f>IFERROR(IF(VLOOKUP(C360,Hoja1!$B$1:$C$6191,2,0)="",_xlfn.XLOOKUP(C360,Hoja1!$B$2:$B$6191,Hoja1!$A$2:$A$6191),VLOOKUP(C360,Hoja1!$B$1:$C$6191,2,0)),"No esta en Infor")</f>
        <v>NAC1485</v>
      </c>
      <c r="C360" s="19" t="s">
        <v>358</v>
      </c>
      <c r="D360" s="9">
        <v>0</v>
      </c>
      <c r="E360" s="9">
        <v>-10</v>
      </c>
      <c r="F360" s="9">
        <v>0</v>
      </c>
      <c r="G360" s="9">
        <v>0</v>
      </c>
      <c r="H360" s="9">
        <v>0</v>
      </c>
      <c r="I360" s="9">
        <v>0</v>
      </c>
      <c r="J360" s="9">
        <v>-10</v>
      </c>
    </row>
    <row r="361" spans="1:10" ht="15.75" x14ac:dyDescent="0.25">
      <c r="A361" s="21">
        <v>45322</v>
      </c>
      <c r="B361" t="str">
        <f>IFERROR(IF(VLOOKUP(C361,Hoja1!$B$1:$C$6191,2,0)="",_xlfn.XLOOKUP(C361,Hoja1!$B$2:$B$6191,Hoja1!$A$2:$A$6191),VLOOKUP(C361,Hoja1!$B$1:$C$6191,2,0)),"No esta en Infor")</f>
        <v>NAC1488</v>
      </c>
      <c r="C361" s="19" t="s">
        <v>359</v>
      </c>
      <c r="D361" s="9">
        <v>0</v>
      </c>
      <c r="E361" s="9">
        <v>110124</v>
      </c>
      <c r="F361" s="9">
        <v>0</v>
      </c>
      <c r="G361" s="9">
        <v>0</v>
      </c>
      <c r="H361" s="9">
        <v>0</v>
      </c>
      <c r="I361" s="9">
        <v>0</v>
      </c>
      <c r="J361" s="9">
        <v>110124</v>
      </c>
    </row>
    <row r="362" spans="1:10" ht="15.75" x14ac:dyDescent="0.25">
      <c r="A362" s="21">
        <v>45322</v>
      </c>
      <c r="B362" t="str">
        <f>IFERROR(IF(VLOOKUP(C362,Hoja1!$B$1:$C$6191,2,0)="",_xlfn.XLOOKUP(C362,Hoja1!$B$2:$B$6191,Hoja1!$A$2:$A$6191),VLOOKUP(C362,Hoja1!$B$1:$C$6191,2,0)),"No esta en Infor")</f>
        <v>NAC1494</v>
      </c>
      <c r="C362" s="19" t="s">
        <v>360</v>
      </c>
      <c r="D362" s="9">
        <v>4659.2</v>
      </c>
      <c r="E362" s="9">
        <v>0</v>
      </c>
      <c r="F362" s="9">
        <v>0</v>
      </c>
      <c r="G362" s="9">
        <v>0</v>
      </c>
      <c r="H362" s="9">
        <v>-286.77999999999997</v>
      </c>
      <c r="I362" s="9">
        <v>0</v>
      </c>
      <c r="J362" s="9">
        <v>4372.42</v>
      </c>
    </row>
    <row r="363" spans="1:10" ht="15.75" x14ac:dyDescent="0.25">
      <c r="A363" s="21">
        <v>45322</v>
      </c>
      <c r="B363" t="str">
        <f>IFERROR(IF(VLOOKUP(C363,Hoja1!$B$1:$C$6191,2,0)="",_xlfn.XLOOKUP(C363,Hoja1!$B$2:$B$6191,Hoja1!$A$2:$A$6191),VLOOKUP(C363,Hoja1!$B$1:$C$6191,2,0)),"No esta en Infor")</f>
        <v>NAC1501</v>
      </c>
      <c r="C363" s="19" t="s">
        <v>361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-179.49</v>
      </c>
      <c r="J363" s="9">
        <v>-179.49</v>
      </c>
    </row>
    <row r="364" spans="1:10" ht="15.75" x14ac:dyDescent="0.25">
      <c r="A364" s="21">
        <v>45322</v>
      </c>
      <c r="B364" t="str">
        <f>IFERROR(IF(VLOOKUP(C364,Hoja1!$B$1:$C$6191,2,0)="",_xlfn.XLOOKUP(C364,Hoja1!$B$2:$B$6191,Hoja1!$A$2:$A$6191),VLOOKUP(C364,Hoja1!$B$1:$C$6191,2,0)),"No esta en Infor")</f>
        <v>CAN0082</v>
      </c>
      <c r="C364" s="19" t="s">
        <v>362</v>
      </c>
      <c r="D364" s="9">
        <v>3157.79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3157.79</v>
      </c>
    </row>
    <row r="365" spans="1:10" ht="15.75" x14ac:dyDescent="0.25">
      <c r="A365" s="21">
        <v>45322</v>
      </c>
      <c r="B365" t="str">
        <f>IFERROR(IF(VLOOKUP(C365,Hoja1!$B$1:$C$6191,2,0)="",_xlfn.XLOOKUP(C365,Hoja1!$B$2:$B$6191,Hoja1!$A$2:$A$6191),VLOOKUP(C365,Hoja1!$B$1:$C$6191,2,0)),"No esta en Infor")</f>
        <v>NAC1504</v>
      </c>
      <c r="C365" s="19" t="s">
        <v>363</v>
      </c>
      <c r="D365" s="9">
        <v>0</v>
      </c>
      <c r="E365" s="9">
        <v>545</v>
      </c>
      <c r="F365" s="9">
        <v>0</v>
      </c>
      <c r="G365" s="9">
        <v>0</v>
      </c>
      <c r="H365" s="9">
        <v>0</v>
      </c>
      <c r="I365" s="9">
        <v>0</v>
      </c>
      <c r="J365" s="9">
        <v>545</v>
      </c>
    </row>
    <row r="366" spans="1:10" ht="15.75" x14ac:dyDescent="0.25">
      <c r="A366" s="21">
        <v>45322</v>
      </c>
      <c r="B366" t="str">
        <f>IFERROR(IF(VLOOKUP(C366,Hoja1!$B$1:$C$6191,2,0)="",_xlfn.XLOOKUP(C366,Hoja1!$B$2:$B$6191,Hoja1!$A$2:$A$6191),VLOOKUP(C366,Hoja1!$B$1:$C$6191,2,0)),"No esta en Infor")</f>
        <v>NAC1506</v>
      </c>
      <c r="C366" s="19" t="s">
        <v>364</v>
      </c>
      <c r="D366" s="9">
        <v>960</v>
      </c>
      <c r="E366" s="9">
        <v>838.5</v>
      </c>
      <c r="F366" s="9">
        <v>0</v>
      </c>
      <c r="G366" s="9">
        <v>0</v>
      </c>
      <c r="H366" s="9">
        <v>0</v>
      </c>
      <c r="I366" s="9">
        <v>0</v>
      </c>
      <c r="J366" s="9">
        <v>1798.5</v>
      </c>
    </row>
    <row r="367" spans="1:10" ht="15.75" x14ac:dyDescent="0.25">
      <c r="A367" s="21">
        <v>45322</v>
      </c>
      <c r="B367" t="str">
        <f>IFERROR(IF(VLOOKUP(C367,Hoja1!$B$1:$C$6191,2,0)="",_xlfn.XLOOKUP(C367,Hoja1!$B$2:$B$6191,Hoja1!$A$2:$A$6191),VLOOKUP(C367,Hoja1!$B$1:$C$6191,2,0)),"No esta en Infor")</f>
        <v>NAC1517</v>
      </c>
      <c r="C367" s="19" t="s">
        <v>365</v>
      </c>
      <c r="D367" s="9">
        <v>88495.07</v>
      </c>
      <c r="E367" s="9">
        <v>9.6999999999999993</v>
      </c>
      <c r="F367" s="9">
        <v>0</v>
      </c>
      <c r="G367" s="9">
        <v>-1098.0899999999999</v>
      </c>
      <c r="H367" s="9">
        <v>-659.3</v>
      </c>
      <c r="I367" s="9">
        <v>0</v>
      </c>
      <c r="J367" s="9">
        <v>86747.38</v>
      </c>
    </row>
    <row r="368" spans="1:10" ht="15.75" x14ac:dyDescent="0.25">
      <c r="A368" s="21">
        <v>45322</v>
      </c>
      <c r="B368" t="str">
        <f>IFERROR(IF(VLOOKUP(C368,Hoja1!$B$1:$C$6191,2,0)="",_xlfn.XLOOKUP(C368,Hoja1!$B$2:$B$6191,Hoja1!$A$2:$A$6191),VLOOKUP(C368,Hoja1!$B$1:$C$6191,2,0)),"No esta en Infor")</f>
        <v>NAC1522</v>
      </c>
      <c r="C368" s="19" t="s">
        <v>366</v>
      </c>
      <c r="D368" s="9">
        <v>0</v>
      </c>
      <c r="E368" s="9">
        <v>421.58</v>
      </c>
      <c r="F368" s="9">
        <v>0</v>
      </c>
      <c r="G368" s="9">
        <v>0</v>
      </c>
      <c r="H368" s="9">
        <v>0</v>
      </c>
      <c r="I368" s="9">
        <v>0</v>
      </c>
      <c r="J368" s="9">
        <v>421.58</v>
      </c>
    </row>
    <row r="369" spans="1:10" ht="15.75" x14ac:dyDescent="0.25">
      <c r="A369" s="21">
        <v>45322</v>
      </c>
      <c r="B369" t="str">
        <f>IFERROR(IF(VLOOKUP(C369,Hoja1!$B$1:$C$6191,2,0)="",_xlfn.XLOOKUP(C369,Hoja1!$B$2:$B$6191,Hoja1!$A$2:$A$6191),VLOOKUP(C369,Hoja1!$B$1:$C$6191,2,0)),"No esta en Infor")</f>
        <v>CAN0087</v>
      </c>
      <c r="C369" s="19" t="s">
        <v>1091</v>
      </c>
      <c r="D369" s="9">
        <v>3375.31</v>
      </c>
      <c r="E369" s="9">
        <v>1180.67</v>
      </c>
      <c r="F369" s="9">
        <v>0</v>
      </c>
      <c r="G369" s="9">
        <v>0</v>
      </c>
      <c r="H369" s="9">
        <v>0</v>
      </c>
      <c r="I369" s="9">
        <v>0</v>
      </c>
      <c r="J369" s="9">
        <v>4555.9799999999996</v>
      </c>
    </row>
    <row r="370" spans="1:10" ht="15.75" x14ac:dyDescent="0.25">
      <c r="A370" s="21">
        <v>45322</v>
      </c>
      <c r="B370" t="str">
        <f>IFERROR(IF(VLOOKUP(C370,Hoja1!$B$1:$C$6191,2,0)="",_xlfn.XLOOKUP(C370,Hoja1!$B$2:$B$6191,Hoja1!$A$2:$A$6191),VLOOKUP(C370,Hoja1!$B$1:$C$6191,2,0)),"No esta en Infor")</f>
        <v>NAC1529</v>
      </c>
      <c r="C370" s="19" t="s">
        <v>368</v>
      </c>
      <c r="D370" s="9">
        <v>0</v>
      </c>
      <c r="E370" s="9">
        <v>111.75</v>
      </c>
      <c r="F370" s="9">
        <v>0</v>
      </c>
      <c r="G370" s="9">
        <v>0</v>
      </c>
      <c r="H370" s="9">
        <v>0</v>
      </c>
      <c r="I370" s="9">
        <v>0</v>
      </c>
      <c r="J370" s="9">
        <v>111.75</v>
      </c>
    </row>
    <row r="371" spans="1:10" ht="15.75" x14ac:dyDescent="0.25">
      <c r="A371" s="21">
        <v>45322</v>
      </c>
      <c r="B371" t="str">
        <f>IFERROR(IF(VLOOKUP(C371,Hoja1!$B$1:$C$6191,2,0)="",_xlfn.XLOOKUP(C371,Hoja1!$B$2:$B$6191,Hoja1!$A$2:$A$6191),VLOOKUP(C371,Hoja1!$B$1:$C$6191,2,0)),"No esta en Infor")</f>
        <v>CAN0088</v>
      </c>
      <c r="C371" s="19" t="s">
        <v>369</v>
      </c>
      <c r="D371" s="9">
        <v>270.04000000000002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270.04000000000002</v>
      </c>
    </row>
    <row r="372" spans="1:10" ht="15.75" x14ac:dyDescent="0.25">
      <c r="A372" s="21">
        <v>45322</v>
      </c>
      <c r="B372" t="str">
        <f>IFERROR(IF(VLOOKUP(C372,Hoja1!$B$1:$C$6191,2,0)="",_xlfn.XLOOKUP(C372,Hoja1!$B$2:$B$6191,Hoja1!$A$2:$A$6191),VLOOKUP(C372,Hoja1!$B$1:$C$6191,2,0)),"No esta en Infor")</f>
        <v>NAC1532</v>
      </c>
      <c r="C372" s="19" t="s">
        <v>370</v>
      </c>
      <c r="D372" s="9">
        <v>4250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4250</v>
      </c>
    </row>
    <row r="373" spans="1:10" ht="15.75" x14ac:dyDescent="0.25">
      <c r="A373" s="21">
        <v>45322</v>
      </c>
      <c r="B373" t="str">
        <f>IFERROR(IF(VLOOKUP(C373,Hoja1!$B$1:$C$6191,2,0)="",_xlfn.XLOOKUP(C373,Hoja1!$B$2:$B$6191,Hoja1!$A$2:$A$6191),VLOOKUP(C373,Hoja1!$B$1:$C$6191,2,0)),"No esta en Infor")</f>
        <v>SH02630</v>
      </c>
      <c r="C373" s="19" t="s">
        <v>371</v>
      </c>
      <c r="D373" s="9">
        <v>108.72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108.72</v>
      </c>
    </row>
    <row r="374" spans="1:10" ht="15.75" x14ac:dyDescent="0.25">
      <c r="A374" s="21">
        <v>45322</v>
      </c>
      <c r="B374" t="str">
        <f>IFERROR(IF(VLOOKUP(C374,Hoja1!$B$1:$C$6191,2,0)="",_xlfn.XLOOKUP(C374,Hoja1!$B$2:$B$6191,Hoja1!$A$2:$A$6191),VLOOKUP(C374,Hoja1!$B$1:$C$6191,2,0)),"No esta en Infor")</f>
        <v>SH02634</v>
      </c>
      <c r="C374" s="19" t="s">
        <v>372</v>
      </c>
      <c r="D374" s="9">
        <v>49.1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49.1</v>
      </c>
    </row>
    <row r="375" spans="1:10" ht="15.75" x14ac:dyDescent="0.25">
      <c r="A375" s="21">
        <v>45322</v>
      </c>
      <c r="B375" t="str">
        <f>IFERROR(IF(VLOOKUP(C375,Hoja1!$B$1:$C$6191,2,0)="",_xlfn.XLOOKUP(C375,Hoja1!$B$2:$B$6191,Hoja1!$A$2:$A$6191),VLOOKUP(C375,Hoja1!$B$1:$C$6191,2,0)),"No esta en Infor")</f>
        <v>NAC1541</v>
      </c>
      <c r="C375" s="19" t="s">
        <v>373</v>
      </c>
      <c r="D375" s="9">
        <v>539.55999999999995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539.55999999999995</v>
      </c>
    </row>
    <row r="376" spans="1:10" ht="15.75" x14ac:dyDescent="0.25">
      <c r="A376" s="21">
        <v>45322</v>
      </c>
      <c r="B376" t="str">
        <f>IFERROR(IF(VLOOKUP(C376,Hoja1!$B$1:$C$6191,2,0)="",_xlfn.XLOOKUP(C376,Hoja1!$B$2:$B$6191,Hoja1!$A$2:$A$6191),VLOOKUP(C376,Hoja1!$B$1:$C$6191,2,0)),"No esta en Infor")</f>
        <v>NAC1542</v>
      </c>
      <c r="C376" s="19" t="s">
        <v>374</v>
      </c>
      <c r="D376" s="9">
        <v>0</v>
      </c>
      <c r="E376" s="9">
        <v>106.57</v>
      </c>
      <c r="F376" s="9">
        <v>0</v>
      </c>
      <c r="G376" s="9">
        <v>0</v>
      </c>
      <c r="H376" s="9">
        <v>0</v>
      </c>
      <c r="I376" s="9">
        <v>0</v>
      </c>
      <c r="J376" s="9">
        <v>106.57</v>
      </c>
    </row>
    <row r="377" spans="1:10" ht="15.75" x14ac:dyDescent="0.25">
      <c r="A377" s="21">
        <v>45351</v>
      </c>
      <c r="B377" t="str">
        <f>IFERROR(IF(VLOOKUP(C377,Hoja1!$B$1:$C$6191,2,0)="",_xlfn.XLOOKUP(C377,Hoja1!$B$2:$B$6191,Hoja1!$A$2:$A$6191),VLOOKUP(C377,Hoja1!$B$1:$C$6191,2,0)),"No esta en Infor")</f>
        <v>NAC0456</v>
      </c>
      <c r="C377" s="11" t="s">
        <v>10</v>
      </c>
      <c r="D377" s="8">
        <v>1378.08</v>
      </c>
      <c r="E377" s="8">
        <v>0</v>
      </c>
      <c r="F377" s="8">
        <v>0</v>
      </c>
      <c r="G377" s="8">
        <v>1450.95</v>
      </c>
      <c r="H377" s="8">
        <v>0</v>
      </c>
      <c r="I377" s="8">
        <v>0</v>
      </c>
      <c r="J377" s="8">
        <v>2829.03</v>
      </c>
    </row>
    <row r="378" spans="1:10" ht="15.75" x14ac:dyDescent="0.25">
      <c r="A378" s="21">
        <v>45351</v>
      </c>
      <c r="B378" t="str">
        <f>IFERROR(IF(VLOOKUP(C378,Hoja1!$B$1:$C$6191,2,0)="",_xlfn.XLOOKUP(C378,Hoja1!$B$2:$B$6191,Hoja1!$A$2:$A$6191),VLOOKUP(C378,Hoja1!$B$1:$C$6191,2,0)),"No esta en Infor")</f>
        <v>NAC0476</v>
      </c>
      <c r="C378" s="11" t="s">
        <v>11</v>
      </c>
      <c r="D378" s="8">
        <v>251705.18</v>
      </c>
      <c r="E378" s="8">
        <v>125272.14</v>
      </c>
      <c r="F378" s="8">
        <v>10864.81</v>
      </c>
      <c r="G378" s="8">
        <v>-212</v>
      </c>
      <c r="H378" s="8">
        <v>0</v>
      </c>
      <c r="I378" s="8">
        <v>0</v>
      </c>
      <c r="J378" s="8">
        <v>387630.13</v>
      </c>
    </row>
    <row r="379" spans="1:10" ht="15.75" x14ac:dyDescent="0.25">
      <c r="A379" s="21">
        <v>45351</v>
      </c>
      <c r="B379" t="str">
        <f>IFERROR(IF(VLOOKUP(C379,Hoja1!$B$1:$C$6191,2,0)="",_xlfn.XLOOKUP(C379,Hoja1!$B$2:$B$6191,Hoja1!$A$2:$A$6191),VLOOKUP(C379,Hoja1!$B$1:$C$6191,2,0)),"No esta en Infor")</f>
        <v>NAC0483</v>
      </c>
      <c r="C379" s="11" t="s">
        <v>12</v>
      </c>
      <c r="D379" s="8">
        <v>1457.02</v>
      </c>
      <c r="E379" s="8">
        <v>5678.08</v>
      </c>
      <c r="F379" s="8">
        <v>3040.02</v>
      </c>
      <c r="G379" s="8">
        <v>0</v>
      </c>
      <c r="H379" s="8">
        <v>8836.56</v>
      </c>
      <c r="I379" s="8">
        <v>8978.1200000000008</v>
      </c>
      <c r="J379" s="8">
        <v>27989.8</v>
      </c>
    </row>
    <row r="380" spans="1:10" ht="15.75" x14ac:dyDescent="0.25">
      <c r="A380" s="21">
        <v>45351</v>
      </c>
      <c r="B380" t="str">
        <f>IFERROR(IF(VLOOKUP(C380,Hoja1!$B$1:$C$6191,2,0)="",_xlfn.XLOOKUP(C380,Hoja1!$B$2:$B$6191,Hoja1!$A$2:$A$6191),VLOOKUP(C380,Hoja1!$B$1:$C$6191,2,0)),"No esta en Infor")</f>
        <v>NAC0556</v>
      </c>
      <c r="C380" s="11" t="s">
        <v>14</v>
      </c>
      <c r="D380" s="8">
        <v>0</v>
      </c>
      <c r="E380" s="8">
        <v>133</v>
      </c>
      <c r="F380" s="8">
        <v>2606.13</v>
      </c>
      <c r="G380" s="8">
        <v>0</v>
      </c>
      <c r="H380" s="8">
        <v>0</v>
      </c>
      <c r="I380" s="8">
        <v>0</v>
      </c>
      <c r="J380" s="8">
        <v>2739.13</v>
      </c>
    </row>
    <row r="381" spans="1:10" ht="15.75" x14ac:dyDescent="0.25">
      <c r="A381" s="21">
        <v>45351</v>
      </c>
      <c r="B381" t="str">
        <f>IFERROR(IF(VLOOKUP(C381,Hoja1!$B$1:$C$6191,2,0)="",_xlfn.XLOOKUP(C381,Hoja1!$B$2:$B$6191,Hoja1!$A$2:$A$6191),VLOOKUP(C381,Hoja1!$B$1:$C$6191,2,0)),"No esta en Infor")</f>
        <v>NAC0573</v>
      </c>
      <c r="C381" s="11" t="s">
        <v>15</v>
      </c>
      <c r="D381" s="8">
        <v>8181.56</v>
      </c>
      <c r="E381" s="8">
        <v>2696.57</v>
      </c>
      <c r="F381" s="8">
        <v>3046.94</v>
      </c>
      <c r="G381" s="8">
        <v>0</v>
      </c>
      <c r="H381" s="8">
        <v>0</v>
      </c>
      <c r="I381" s="8">
        <v>0</v>
      </c>
      <c r="J381" s="8">
        <v>13925.07</v>
      </c>
    </row>
    <row r="382" spans="1:10" ht="15.75" x14ac:dyDescent="0.25">
      <c r="A382" s="21">
        <v>45351</v>
      </c>
      <c r="B382" t="str">
        <f>IFERROR(IF(VLOOKUP(C382,Hoja1!$B$1:$C$6191,2,0)="",_xlfn.XLOOKUP(C382,Hoja1!$B$2:$B$6191,Hoja1!$A$2:$A$6191),VLOOKUP(C382,Hoja1!$B$1:$C$6191,2,0)),"No esta en Infor")</f>
        <v>CAN0005</v>
      </c>
      <c r="C382" s="11" t="s">
        <v>90</v>
      </c>
      <c r="D382" s="8">
        <v>115437.4</v>
      </c>
      <c r="E382" s="8">
        <v>0</v>
      </c>
      <c r="F382" s="8">
        <v>10260</v>
      </c>
      <c r="G382" s="8">
        <v>-67.2</v>
      </c>
      <c r="H382" s="8">
        <v>0</v>
      </c>
      <c r="I382" s="8">
        <v>0</v>
      </c>
      <c r="J382" s="8">
        <v>125630.2</v>
      </c>
    </row>
    <row r="383" spans="1:10" ht="15.75" x14ac:dyDescent="0.25">
      <c r="A383" s="21">
        <v>45351</v>
      </c>
      <c r="B383" t="str">
        <f>IFERROR(IF(VLOOKUP(C383,Hoja1!$B$1:$C$6191,2,0)="",_xlfn.XLOOKUP(C383,Hoja1!$B$2:$B$6191,Hoja1!$A$2:$A$6191),VLOOKUP(C383,Hoja1!$B$1:$C$6191,2,0)),"No esta en Infor")</f>
        <v>NAC0610</v>
      </c>
      <c r="C383" s="11" t="s">
        <v>16</v>
      </c>
      <c r="D383" s="8">
        <v>60709.67</v>
      </c>
      <c r="E383" s="8">
        <v>0</v>
      </c>
      <c r="F383" s="8">
        <v>24445.89</v>
      </c>
      <c r="G383" s="8">
        <v>0</v>
      </c>
      <c r="H383" s="8">
        <v>0</v>
      </c>
      <c r="I383" s="8">
        <v>0</v>
      </c>
      <c r="J383" s="8">
        <v>85155.56</v>
      </c>
    </row>
    <row r="384" spans="1:10" ht="15.75" x14ac:dyDescent="0.25">
      <c r="A384" s="21">
        <v>45351</v>
      </c>
      <c r="B384" t="str">
        <f>IFERROR(IF(VLOOKUP(C384,Hoja1!$B$1:$C$6191,2,0)="",_xlfn.XLOOKUP(C384,Hoja1!$B$2:$B$6191,Hoja1!$A$2:$A$6191),VLOOKUP(C384,Hoja1!$B$1:$C$6191,2,0)),"No esta en Infor")</f>
        <v>CAN0006</v>
      </c>
      <c r="C384" s="11" t="s">
        <v>17</v>
      </c>
      <c r="D384" s="8">
        <v>46452</v>
      </c>
      <c r="E384" s="8">
        <v>9985.58</v>
      </c>
      <c r="F384" s="8">
        <v>4554.5</v>
      </c>
      <c r="G384" s="8">
        <v>0</v>
      </c>
      <c r="H384" s="8">
        <v>0</v>
      </c>
      <c r="I384" s="8">
        <v>0</v>
      </c>
      <c r="J384" s="8">
        <v>60992.08</v>
      </c>
    </row>
    <row r="385" spans="1:10" ht="15.75" x14ac:dyDescent="0.25">
      <c r="A385" s="21">
        <v>45351</v>
      </c>
      <c r="B385" t="str">
        <f>IFERROR(IF(VLOOKUP(C385,Hoja1!$B$1:$C$6191,2,0)="",_xlfn.XLOOKUP(C385,Hoja1!$B$2:$B$6191,Hoja1!$A$2:$A$6191),VLOOKUP(C385,Hoja1!$B$1:$C$6191,2,0)),"No esta en Infor")</f>
        <v>NAC0641</v>
      </c>
      <c r="C385" s="11" t="s">
        <v>18</v>
      </c>
      <c r="D385" s="8">
        <v>0</v>
      </c>
      <c r="E385" s="8">
        <v>0</v>
      </c>
      <c r="F385" s="8">
        <v>363.64</v>
      </c>
      <c r="G385" s="8">
        <v>0</v>
      </c>
      <c r="H385" s="8">
        <v>0</v>
      </c>
      <c r="I385" s="8">
        <v>0</v>
      </c>
      <c r="J385" s="8">
        <v>363.64</v>
      </c>
    </row>
    <row r="386" spans="1:10" ht="15.75" x14ac:dyDescent="0.25">
      <c r="A386" s="21">
        <v>45351</v>
      </c>
      <c r="B386" t="str">
        <f>IFERROR(IF(VLOOKUP(C386,Hoja1!$B$1:$C$6191,2,0)="",_xlfn.XLOOKUP(C386,Hoja1!$B$2:$B$6191,Hoja1!$A$2:$A$6191),VLOOKUP(C386,Hoja1!$B$1:$C$6191,2,0)),"No esta en Infor")</f>
        <v>No esta en Infor</v>
      </c>
      <c r="C386" s="11" t="s">
        <v>20</v>
      </c>
      <c r="D386" s="8">
        <v>2190</v>
      </c>
      <c r="E386" s="8">
        <v>76.73</v>
      </c>
      <c r="F386" s="8">
        <v>171.99</v>
      </c>
      <c r="G386" s="8">
        <v>0</v>
      </c>
      <c r="H386" s="8">
        <v>0</v>
      </c>
      <c r="I386" s="8">
        <v>0</v>
      </c>
      <c r="J386" s="8">
        <v>2438.7199999999998</v>
      </c>
    </row>
    <row r="387" spans="1:10" ht="15.75" x14ac:dyDescent="0.25">
      <c r="A387" s="21">
        <v>45351</v>
      </c>
      <c r="B387" t="str">
        <f>IFERROR(IF(VLOOKUP(C387,Hoja1!$B$1:$C$6191,2,0)="",_xlfn.XLOOKUP(C387,Hoja1!$B$2:$B$6191,Hoja1!$A$2:$A$6191),VLOOKUP(C387,Hoja1!$B$1:$C$6191,2,0)),"No esta en Infor")</f>
        <v>CAN0018</v>
      </c>
      <c r="C387" s="11" t="s">
        <v>21</v>
      </c>
      <c r="D387" s="8">
        <v>0</v>
      </c>
      <c r="E387" s="8">
        <v>13070.71</v>
      </c>
      <c r="F387" s="8">
        <v>5942.19</v>
      </c>
      <c r="G387" s="8">
        <v>0</v>
      </c>
      <c r="H387" s="8">
        <v>0</v>
      </c>
      <c r="I387" s="8">
        <v>0</v>
      </c>
      <c r="J387" s="8">
        <v>19012.900000000001</v>
      </c>
    </row>
    <row r="388" spans="1:10" ht="15.75" x14ac:dyDescent="0.25">
      <c r="A388" s="21">
        <v>45351</v>
      </c>
      <c r="B388" t="str">
        <f>IFERROR(IF(VLOOKUP(C388,Hoja1!$B$1:$C$6191,2,0)="",_xlfn.XLOOKUP(C388,Hoja1!$B$2:$B$6191,Hoja1!$A$2:$A$6191),VLOOKUP(C388,Hoja1!$B$1:$C$6191,2,0)),"No esta en Infor")</f>
        <v>CAN0021</v>
      </c>
      <c r="C388" s="11" t="s">
        <v>180</v>
      </c>
      <c r="D388" s="8">
        <v>0</v>
      </c>
      <c r="E388" s="8">
        <v>314.64</v>
      </c>
      <c r="F388" s="8">
        <v>18.38</v>
      </c>
      <c r="G388" s="8">
        <v>0</v>
      </c>
      <c r="H388" s="8">
        <v>0</v>
      </c>
      <c r="I388" s="8">
        <v>0</v>
      </c>
      <c r="J388" s="8">
        <v>333.02</v>
      </c>
    </row>
    <row r="389" spans="1:10" ht="15.75" x14ac:dyDescent="0.25">
      <c r="A389" s="21">
        <v>45351</v>
      </c>
      <c r="B389" t="str">
        <f>IFERROR(IF(VLOOKUP(C389,Hoja1!$B$1:$C$6191,2,0)="",_xlfn.XLOOKUP(C389,Hoja1!$B$2:$B$6191,Hoja1!$A$2:$A$6191),VLOOKUP(C389,Hoja1!$B$1:$C$6191,2,0)),"No esta en Infor")</f>
        <v>NAC0865</v>
      </c>
      <c r="C389" s="11" t="s">
        <v>23</v>
      </c>
      <c r="D389" s="8">
        <v>2803.4</v>
      </c>
      <c r="E389" s="8">
        <v>4617</v>
      </c>
      <c r="F389" s="8">
        <v>2184</v>
      </c>
      <c r="G389" s="8">
        <v>0</v>
      </c>
      <c r="H389" s="8">
        <v>0</v>
      </c>
      <c r="I389" s="8">
        <v>0</v>
      </c>
      <c r="J389" s="8">
        <v>9604.4</v>
      </c>
    </row>
    <row r="390" spans="1:10" ht="15.75" x14ac:dyDescent="0.25">
      <c r="A390" s="21">
        <v>45351</v>
      </c>
      <c r="B390" t="str">
        <f>IFERROR(IF(VLOOKUP(C390,Hoja1!$B$1:$C$6191,2,0)="",_xlfn.XLOOKUP(C390,Hoja1!$B$2:$B$6191,Hoja1!$A$2:$A$6191),VLOOKUP(C390,Hoja1!$B$1:$C$6191,2,0)),"No esta en Infor")</f>
        <v>NAC0880</v>
      </c>
      <c r="C390" s="11" t="s">
        <v>24</v>
      </c>
      <c r="D390" s="8">
        <v>7939.09</v>
      </c>
      <c r="E390" s="8">
        <v>4854.88</v>
      </c>
      <c r="F390" s="8">
        <v>0</v>
      </c>
      <c r="G390" s="8">
        <v>1357.43</v>
      </c>
      <c r="H390" s="8">
        <v>45.05</v>
      </c>
      <c r="I390" s="8">
        <v>0</v>
      </c>
      <c r="J390" s="8">
        <v>14196.45</v>
      </c>
    </row>
    <row r="391" spans="1:10" ht="15.75" x14ac:dyDescent="0.25">
      <c r="A391" s="21">
        <v>45351</v>
      </c>
      <c r="B391" t="str">
        <f>IFERROR(IF(VLOOKUP(C391,Hoja1!$B$1:$C$6191,2,0)="",_xlfn.XLOOKUP(C391,Hoja1!$B$2:$B$6191,Hoja1!$A$2:$A$6191),VLOOKUP(C391,Hoja1!$B$1:$C$6191,2,0)),"No esta en Infor")</f>
        <v>CAN0025</v>
      </c>
      <c r="C391" s="11" t="s">
        <v>26</v>
      </c>
      <c r="D391" s="8">
        <v>882.75</v>
      </c>
      <c r="E391" s="8">
        <v>0</v>
      </c>
      <c r="F391" s="8">
        <v>161.44999999999999</v>
      </c>
      <c r="G391" s="8">
        <v>0</v>
      </c>
      <c r="H391" s="8">
        <v>0</v>
      </c>
      <c r="I391" s="8">
        <v>0</v>
      </c>
      <c r="J391" s="8">
        <v>1044.2</v>
      </c>
    </row>
    <row r="392" spans="1:10" ht="15.75" x14ac:dyDescent="0.25">
      <c r="A392" s="21">
        <v>45351</v>
      </c>
      <c r="B392" t="str">
        <f>IFERROR(IF(VLOOKUP(C392,Hoja1!$B$1:$C$6191,2,0)="",_xlfn.XLOOKUP(C392,Hoja1!$B$2:$B$6191,Hoja1!$A$2:$A$6191),VLOOKUP(C392,Hoja1!$B$1:$C$6191,2,0)),"No esta en Infor")</f>
        <v>NAC0920</v>
      </c>
      <c r="C392" s="11" t="s">
        <v>204</v>
      </c>
      <c r="D392" s="8">
        <v>0</v>
      </c>
      <c r="E392" s="8">
        <v>0</v>
      </c>
      <c r="F392" s="8">
        <v>591.91</v>
      </c>
      <c r="G392" s="8">
        <v>0</v>
      </c>
      <c r="H392" s="8">
        <v>0</v>
      </c>
      <c r="I392" s="8">
        <v>0</v>
      </c>
      <c r="J392" s="8">
        <v>591.91</v>
      </c>
    </row>
    <row r="393" spans="1:10" ht="15.75" x14ac:dyDescent="0.25">
      <c r="A393" s="21">
        <v>45351</v>
      </c>
      <c r="B393" t="str">
        <f>IFERROR(IF(VLOOKUP(C393,Hoja1!$B$1:$C$6191,2,0)="",_xlfn.XLOOKUP(C393,Hoja1!$B$2:$B$6191,Hoja1!$A$2:$A$6191),VLOOKUP(C393,Hoja1!$B$1:$C$6191,2,0)),"No esta en Infor")</f>
        <v>NAC0922</v>
      </c>
      <c r="C393" s="11" t="s">
        <v>27</v>
      </c>
      <c r="D393" s="8">
        <v>0</v>
      </c>
      <c r="E393" s="8">
        <v>0</v>
      </c>
      <c r="F393" s="8">
        <v>631.96</v>
      </c>
      <c r="G393" s="8">
        <v>0</v>
      </c>
      <c r="H393" s="8">
        <v>0</v>
      </c>
      <c r="I393" s="8">
        <v>0</v>
      </c>
      <c r="J393" s="8">
        <v>631.96</v>
      </c>
    </row>
    <row r="394" spans="1:10" ht="15.75" x14ac:dyDescent="0.25">
      <c r="A394" s="21">
        <v>45351</v>
      </c>
      <c r="B394" t="str">
        <f>IFERROR(IF(VLOOKUP(C394,Hoja1!$B$1:$C$6191,2,0)="",_xlfn.XLOOKUP(C394,Hoja1!$B$2:$B$6191,Hoja1!$A$2:$A$6191),VLOOKUP(C394,Hoja1!$B$1:$C$6191,2,0)),"No esta en Infor")</f>
        <v>NAC0953</v>
      </c>
      <c r="C394" s="11" t="s">
        <v>28</v>
      </c>
      <c r="D394" s="8">
        <v>-517.77</v>
      </c>
      <c r="E394" s="8">
        <v>-55.29</v>
      </c>
      <c r="F394" s="8">
        <v>2.5</v>
      </c>
      <c r="G394" s="8">
        <v>0</v>
      </c>
      <c r="H394" s="8">
        <v>0</v>
      </c>
      <c r="I394" s="8">
        <v>0</v>
      </c>
      <c r="J394" s="8">
        <v>-570.55999999999995</v>
      </c>
    </row>
    <row r="395" spans="1:10" ht="15.75" x14ac:dyDescent="0.25">
      <c r="A395" s="21">
        <v>45351</v>
      </c>
      <c r="B395" t="str">
        <f>IFERROR(IF(VLOOKUP(C395,Hoja1!$B$1:$C$6191,2,0)="",_xlfn.XLOOKUP(C395,Hoja1!$B$2:$B$6191,Hoja1!$A$2:$A$6191),VLOOKUP(C395,Hoja1!$B$1:$C$6191,2,0)),"No esta en Infor")</f>
        <v>NAC0971</v>
      </c>
      <c r="C395" s="11" t="s">
        <v>219</v>
      </c>
      <c r="D395" s="8">
        <v>0</v>
      </c>
      <c r="E395" s="8">
        <v>0</v>
      </c>
      <c r="F395" s="8">
        <v>467.32</v>
      </c>
      <c r="G395" s="8">
        <v>0</v>
      </c>
      <c r="H395" s="8">
        <v>0</v>
      </c>
      <c r="I395" s="8">
        <v>0</v>
      </c>
      <c r="J395" s="8">
        <v>467.32</v>
      </c>
    </row>
    <row r="396" spans="1:10" ht="15.75" x14ac:dyDescent="0.25">
      <c r="A396" s="21">
        <v>45351</v>
      </c>
      <c r="B396" t="str">
        <f>IFERROR(IF(VLOOKUP(C396,Hoja1!$B$1:$C$6191,2,0)="",_xlfn.XLOOKUP(C396,Hoja1!$B$2:$B$6191,Hoja1!$A$2:$A$6191),VLOOKUP(C396,Hoja1!$B$1:$C$6191,2,0)),"No esta en Infor")</f>
        <v>NAC0988</v>
      </c>
      <c r="C396" s="11" t="s">
        <v>29</v>
      </c>
      <c r="D396" s="8">
        <v>0</v>
      </c>
      <c r="E396" s="8">
        <v>37725</v>
      </c>
      <c r="F396" s="8">
        <v>35076</v>
      </c>
      <c r="G396" s="8">
        <v>0</v>
      </c>
      <c r="H396" s="8">
        <v>0</v>
      </c>
      <c r="I396" s="8">
        <v>0</v>
      </c>
      <c r="J396" s="8">
        <v>72801</v>
      </c>
    </row>
    <row r="397" spans="1:10" ht="15.75" x14ac:dyDescent="0.25">
      <c r="A397" s="21">
        <v>45351</v>
      </c>
      <c r="B397" t="str">
        <f>IFERROR(IF(VLOOKUP(C397,Hoja1!$B$1:$C$6191,2,0)="",_xlfn.XLOOKUP(C397,Hoja1!$B$2:$B$6191,Hoja1!$A$2:$A$6191),VLOOKUP(C397,Hoja1!$B$1:$C$6191,2,0)),"No esta en Infor")</f>
        <v>NAC1040</v>
      </c>
      <c r="C397" s="11" t="s">
        <v>30</v>
      </c>
      <c r="D397" s="8">
        <v>406989.34</v>
      </c>
      <c r="E397" s="8">
        <v>55323.040000000001</v>
      </c>
      <c r="F397" s="8">
        <v>1148.48</v>
      </c>
      <c r="G397" s="8">
        <v>-263</v>
      </c>
      <c r="H397" s="8">
        <v>-14352</v>
      </c>
      <c r="I397" s="8">
        <v>-434</v>
      </c>
      <c r="J397" s="8">
        <v>448411.86</v>
      </c>
    </row>
    <row r="398" spans="1:10" ht="15.75" x14ac:dyDescent="0.25">
      <c r="A398" s="21">
        <v>45351</v>
      </c>
      <c r="B398" t="str">
        <f>IFERROR(IF(VLOOKUP(C398,Hoja1!$B$1:$C$6191,2,0)="",_xlfn.XLOOKUP(C398,Hoja1!$B$2:$B$6191,Hoja1!$A$2:$A$6191),VLOOKUP(C398,Hoja1!$B$1:$C$6191,2,0)),"No esta en Infor")</f>
        <v>CAN0035</v>
      </c>
      <c r="C398" s="11" t="s">
        <v>31</v>
      </c>
      <c r="D398" s="8">
        <v>3612.28</v>
      </c>
      <c r="E398" s="8">
        <v>256.62</v>
      </c>
      <c r="F398" s="8">
        <v>1075.24</v>
      </c>
      <c r="G398" s="8">
        <v>0</v>
      </c>
      <c r="H398" s="8">
        <v>0</v>
      </c>
      <c r="I398" s="8">
        <v>0</v>
      </c>
      <c r="J398" s="8">
        <v>4944.1400000000003</v>
      </c>
    </row>
    <row r="399" spans="1:10" ht="15.75" x14ac:dyDescent="0.25">
      <c r="A399" s="21">
        <v>45351</v>
      </c>
      <c r="B399" t="str">
        <f>IFERROR(IF(VLOOKUP(C399,Hoja1!$B$1:$C$6191,2,0)="",_xlfn.XLOOKUP(C399,Hoja1!$B$2:$B$6191,Hoja1!$A$2:$A$6191),VLOOKUP(C399,Hoja1!$B$1:$C$6191,2,0)),"No esta en Infor")</f>
        <v>NAC1105</v>
      </c>
      <c r="C399" s="11" t="s">
        <v>32</v>
      </c>
      <c r="D399" s="8">
        <v>0</v>
      </c>
      <c r="E399" s="8">
        <v>3360.03</v>
      </c>
      <c r="F399" s="8">
        <v>8057.31</v>
      </c>
      <c r="G399" s="8">
        <v>0</v>
      </c>
      <c r="H399" s="8">
        <v>561.35</v>
      </c>
      <c r="I399" s="8">
        <v>111.42</v>
      </c>
      <c r="J399" s="8">
        <v>12090.11</v>
      </c>
    </row>
    <row r="400" spans="1:10" ht="15.75" x14ac:dyDescent="0.25">
      <c r="A400" s="21">
        <v>45351</v>
      </c>
      <c r="B400" t="str">
        <f>IFERROR(IF(VLOOKUP(C400,Hoja1!$B$1:$C$6191,2,0)="",_xlfn.XLOOKUP(C400,Hoja1!$B$2:$B$6191,Hoja1!$A$2:$A$6191),VLOOKUP(C400,Hoja1!$B$1:$C$6191,2,0)),"No esta en Infor")</f>
        <v>CAN0037</v>
      </c>
      <c r="C400" s="11" t="s">
        <v>687</v>
      </c>
      <c r="D400" s="8">
        <v>49616.61</v>
      </c>
      <c r="E400" s="8">
        <v>88.14</v>
      </c>
      <c r="F400" s="8">
        <v>346.76</v>
      </c>
      <c r="G400" s="8">
        <v>0</v>
      </c>
      <c r="H400" s="8">
        <v>0</v>
      </c>
      <c r="I400" s="8">
        <v>0</v>
      </c>
      <c r="J400" s="8">
        <v>50051.51</v>
      </c>
    </row>
    <row r="401" spans="1:10" ht="15.75" x14ac:dyDescent="0.25">
      <c r="A401" s="21">
        <v>45351</v>
      </c>
      <c r="B401" t="str">
        <f>IFERROR(IF(VLOOKUP(C401,Hoja1!$B$1:$C$6191,2,0)="",_xlfn.XLOOKUP(C401,Hoja1!$B$2:$B$6191,Hoja1!$A$2:$A$6191),VLOOKUP(C401,Hoja1!$B$1:$C$6191,2,0)),"No esta en Infor")</f>
        <v>NAC1146</v>
      </c>
      <c r="C401" s="11" t="s">
        <v>33</v>
      </c>
      <c r="D401" s="8">
        <v>109.75</v>
      </c>
      <c r="E401" s="8">
        <v>0</v>
      </c>
      <c r="F401" s="8">
        <v>2016.26</v>
      </c>
      <c r="G401" s="8">
        <v>0</v>
      </c>
      <c r="H401" s="8">
        <v>0</v>
      </c>
      <c r="I401" s="8">
        <v>0</v>
      </c>
      <c r="J401" s="8">
        <v>2126.0100000000002</v>
      </c>
    </row>
    <row r="402" spans="1:10" ht="15.75" x14ac:dyDescent="0.25">
      <c r="A402" s="21">
        <v>45351</v>
      </c>
      <c r="B402" t="str">
        <f>IFERROR(IF(VLOOKUP(C402,Hoja1!$B$1:$C$6191,2,0)="",_xlfn.XLOOKUP(C402,Hoja1!$B$2:$B$6191,Hoja1!$A$2:$A$6191),VLOOKUP(C402,Hoja1!$B$1:$C$6191,2,0)),"No esta en Infor")</f>
        <v>NAC1167</v>
      </c>
      <c r="C402" s="11" t="s">
        <v>34</v>
      </c>
      <c r="D402" s="8">
        <v>0</v>
      </c>
      <c r="E402" s="8">
        <v>0</v>
      </c>
      <c r="F402" s="8">
        <v>4512</v>
      </c>
      <c r="G402" s="8">
        <v>0</v>
      </c>
      <c r="H402" s="8">
        <v>0</v>
      </c>
      <c r="I402" s="8">
        <v>0</v>
      </c>
      <c r="J402" s="8">
        <v>4512</v>
      </c>
    </row>
    <row r="403" spans="1:10" ht="15.75" x14ac:dyDescent="0.25">
      <c r="A403" s="21">
        <v>45351</v>
      </c>
      <c r="B403" t="str">
        <f>IFERROR(IF(VLOOKUP(C403,Hoja1!$B$1:$C$6191,2,0)="",_xlfn.XLOOKUP(C403,Hoja1!$B$2:$B$6191,Hoja1!$A$2:$A$6191),VLOOKUP(C403,Hoja1!$B$1:$C$6191,2,0)),"No esta en Infor")</f>
        <v>CAN0044</v>
      </c>
      <c r="C403" s="11" t="s">
        <v>35</v>
      </c>
      <c r="D403" s="8">
        <v>34744.199999999997</v>
      </c>
      <c r="E403" s="8">
        <v>81.36</v>
      </c>
      <c r="F403" s="8">
        <v>755.04</v>
      </c>
      <c r="G403" s="8">
        <v>5.71</v>
      </c>
      <c r="H403" s="8">
        <v>0</v>
      </c>
      <c r="I403" s="8">
        <v>0</v>
      </c>
      <c r="J403" s="8">
        <v>35586.31</v>
      </c>
    </row>
    <row r="404" spans="1:10" ht="15.75" x14ac:dyDescent="0.25">
      <c r="A404" s="21">
        <v>45351</v>
      </c>
      <c r="B404" t="str">
        <f>IFERROR(IF(VLOOKUP(C404,Hoja1!$B$1:$C$6191,2,0)="",_xlfn.XLOOKUP(C404,Hoja1!$B$2:$B$6191,Hoja1!$A$2:$A$6191),VLOOKUP(C404,Hoja1!$B$1:$C$6191,2,0)),"No esta en Infor")</f>
        <v>NAC1233</v>
      </c>
      <c r="C404" s="11" t="s">
        <v>292</v>
      </c>
      <c r="D404" s="8">
        <v>649</v>
      </c>
      <c r="E404" s="8">
        <v>1200.29</v>
      </c>
      <c r="F404" s="8">
        <v>10349.299999999999</v>
      </c>
      <c r="G404" s="8">
        <v>0</v>
      </c>
      <c r="H404" s="8">
        <v>-2036</v>
      </c>
      <c r="I404" s="8">
        <v>-388.15</v>
      </c>
      <c r="J404" s="8">
        <v>9774.44</v>
      </c>
    </row>
    <row r="405" spans="1:10" ht="15.75" x14ac:dyDescent="0.25">
      <c r="A405" s="21">
        <v>45351</v>
      </c>
      <c r="B405" t="str">
        <f>IFERROR(IF(VLOOKUP(C405,Hoja1!$B$1:$C$6191,2,0)="",_xlfn.XLOOKUP(C405,Hoja1!$B$2:$B$6191,Hoja1!$A$2:$A$6191),VLOOKUP(C405,Hoja1!$B$1:$C$6191,2,0)),"No esta en Infor")</f>
        <v>CAN0054</v>
      </c>
      <c r="C405" s="11" t="s">
        <v>36</v>
      </c>
      <c r="D405" s="8">
        <v>0</v>
      </c>
      <c r="E405" s="8">
        <v>9983.66</v>
      </c>
      <c r="F405" s="8">
        <v>620.91999999999996</v>
      </c>
      <c r="G405" s="8">
        <v>0</v>
      </c>
      <c r="H405" s="8">
        <v>0</v>
      </c>
      <c r="I405" s="8">
        <v>0</v>
      </c>
      <c r="J405" s="8">
        <v>10604.58</v>
      </c>
    </row>
    <row r="406" spans="1:10" ht="15.75" x14ac:dyDescent="0.25">
      <c r="A406" s="21">
        <v>45351</v>
      </c>
      <c r="B406" t="str">
        <f>IFERROR(IF(VLOOKUP(C406,Hoja1!$B$1:$C$6191,2,0)="",_xlfn.XLOOKUP(C406,Hoja1!$B$2:$B$6191,Hoja1!$A$2:$A$6191),VLOOKUP(C406,Hoja1!$B$1:$C$6191,2,0)),"No esta en Infor")</f>
        <v>NAC1281</v>
      </c>
      <c r="C406" s="11" t="s">
        <v>37</v>
      </c>
      <c r="D406" s="8">
        <v>553.23</v>
      </c>
      <c r="E406" s="8">
        <v>3981.37</v>
      </c>
      <c r="F406" s="8">
        <v>484.32</v>
      </c>
      <c r="G406" s="8">
        <v>639.20000000000005</v>
      </c>
      <c r="H406" s="8">
        <v>0</v>
      </c>
      <c r="I406" s="8">
        <v>0</v>
      </c>
      <c r="J406" s="8">
        <v>5658.12</v>
      </c>
    </row>
    <row r="407" spans="1:10" ht="15.75" x14ac:dyDescent="0.25">
      <c r="A407" s="21">
        <v>45351</v>
      </c>
      <c r="B407" t="str">
        <f>IFERROR(IF(VLOOKUP(C407,Hoja1!$B$1:$C$6191,2,0)="",_xlfn.XLOOKUP(C407,Hoja1!$B$2:$B$6191,Hoja1!$A$2:$A$6191),VLOOKUP(C407,Hoja1!$B$1:$C$6191,2,0)),"No esta en Infor")</f>
        <v>NAC1281</v>
      </c>
      <c r="C407" s="11" t="s">
        <v>304</v>
      </c>
      <c r="D407" s="8">
        <v>0</v>
      </c>
      <c r="E407" s="8">
        <v>0</v>
      </c>
      <c r="F407" s="8">
        <v>649.13</v>
      </c>
      <c r="G407" s="8">
        <v>0</v>
      </c>
      <c r="H407" s="8">
        <v>0</v>
      </c>
      <c r="I407" s="8">
        <v>0</v>
      </c>
      <c r="J407" s="8">
        <v>649.13</v>
      </c>
    </row>
    <row r="408" spans="1:10" ht="15.75" x14ac:dyDescent="0.25">
      <c r="A408" s="21">
        <v>45351</v>
      </c>
      <c r="B408" t="str">
        <f>IFERROR(IF(VLOOKUP(C408,Hoja1!$B$1:$C$6191,2,0)="",_xlfn.XLOOKUP(C408,Hoja1!$B$2:$B$6191,Hoja1!$A$2:$A$6191),VLOOKUP(C408,Hoja1!$B$1:$C$6191,2,0)),"No esta en Infor")</f>
        <v>NAC1281</v>
      </c>
      <c r="C408" s="11" t="s">
        <v>38</v>
      </c>
      <c r="D408" s="8">
        <v>268.45</v>
      </c>
      <c r="E408" s="8">
        <v>0</v>
      </c>
      <c r="F408" s="10">
        <v>607.67999999999995</v>
      </c>
      <c r="G408" s="8">
        <v>682.22</v>
      </c>
      <c r="H408" s="8">
        <v>0</v>
      </c>
      <c r="I408" s="8">
        <v>0</v>
      </c>
      <c r="J408" s="8">
        <v>1558.35</v>
      </c>
    </row>
    <row r="409" spans="1:10" ht="15.75" x14ac:dyDescent="0.25">
      <c r="A409" s="21">
        <v>45351</v>
      </c>
      <c r="B409" t="str">
        <f>IFERROR(IF(VLOOKUP(C409,Hoja1!$B$1:$C$6191,2,0)="",_xlfn.XLOOKUP(C409,Hoja1!$B$2:$B$6191,Hoja1!$A$2:$A$6191),VLOOKUP(C409,Hoja1!$B$1:$C$6191,2,0)),"No esta en Infor")</f>
        <v>NAC1281</v>
      </c>
      <c r="C409" s="11" t="s">
        <v>39</v>
      </c>
      <c r="D409" s="8">
        <v>0</v>
      </c>
      <c r="E409" s="8">
        <v>1184.72</v>
      </c>
      <c r="F409" s="8">
        <v>0</v>
      </c>
      <c r="G409" s="8">
        <v>460</v>
      </c>
      <c r="H409" s="8">
        <v>0</v>
      </c>
      <c r="I409" s="8">
        <v>0</v>
      </c>
      <c r="J409" s="8">
        <v>1644.72</v>
      </c>
    </row>
    <row r="410" spans="1:10" ht="15.75" x14ac:dyDescent="0.25">
      <c r="A410" s="21">
        <v>45351</v>
      </c>
      <c r="B410" t="str">
        <f>IFERROR(IF(VLOOKUP(C410,Hoja1!$B$1:$C$6191,2,0)="",_xlfn.XLOOKUP(C410,Hoja1!$B$2:$B$6191,Hoja1!$A$2:$A$6191),VLOOKUP(C410,Hoja1!$B$1:$C$6191,2,0)),"No esta en Infor")</f>
        <v>NAC1281</v>
      </c>
      <c r="C410" s="11" t="s">
        <v>40</v>
      </c>
      <c r="D410" s="8">
        <v>0</v>
      </c>
      <c r="E410" s="14">
        <v>1189.8800000000001</v>
      </c>
      <c r="F410" s="14">
        <v>473.19</v>
      </c>
      <c r="G410" s="8">
        <v>0</v>
      </c>
      <c r="H410" s="8">
        <v>0</v>
      </c>
      <c r="I410" s="8">
        <v>0</v>
      </c>
      <c r="J410" s="8">
        <v>2762.5</v>
      </c>
    </row>
    <row r="411" spans="1:10" ht="15.75" x14ac:dyDescent="0.25">
      <c r="A411" s="21">
        <v>45351</v>
      </c>
      <c r="B411" t="str">
        <f>IFERROR(IF(VLOOKUP(C411,Hoja1!$B$1:$C$6191,2,0)="",_xlfn.XLOOKUP(C411,Hoja1!$B$2:$B$6191,Hoja1!$A$2:$A$6191),VLOOKUP(C411,Hoja1!$B$1:$C$6191,2,0)),"No esta en Infor")</f>
        <v>NAC1281</v>
      </c>
      <c r="C411" s="11" t="s">
        <v>41</v>
      </c>
      <c r="D411" s="8">
        <v>0</v>
      </c>
      <c r="E411" s="10">
        <v>202.86</v>
      </c>
      <c r="F411" s="8">
        <v>137.12</v>
      </c>
      <c r="G411" s="8">
        <v>0</v>
      </c>
      <c r="H411" s="8">
        <v>300.48</v>
      </c>
      <c r="I411" s="8">
        <v>0</v>
      </c>
      <c r="J411" s="8">
        <v>640.46</v>
      </c>
    </row>
    <row r="412" spans="1:10" ht="15.75" x14ac:dyDescent="0.25">
      <c r="A412" s="21">
        <v>45351</v>
      </c>
      <c r="B412" t="str">
        <f>IFERROR(IF(VLOOKUP(C412,Hoja1!$B$1:$C$6191,2,0)="",_xlfn.XLOOKUP(C412,Hoja1!$B$2:$B$6191,Hoja1!$A$2:$A$6191),VLOOKUP(C412,Hoja1!$B$1:$C$6191,2,0)),"No esta en Infor")</f>
        <v>NAC1281</v>
      </c>
      <c r="C412" s="11" t="s">
        <v>42</v>
      </c>
      <c r="D412" s="8">
        <v>0</v>
      </c>
      <c r="E412" s="8">
        <v>0</v>
      </c>
      <c r="F412" s="8">
        <v>568.86</v>
      </c>
      <c r="G412" s="8">
        <v>262.91000000000003</v>
      </c>
      <c r="H412" s="8">
        <v>0</v>
      </c>
      <c r="I412" s="8">
        <v>0</v>
      </c>
      <c r="J412" s="8">
        <v>831.77</v>
      </c>
    </row>
    <row r="413" spans="1:10" ht="15.75" x14ac:dyDescent="0.25">
      <c r="A413" s="21">
        <v>45351</v>
      </c>
      <c r="B413" t="str">
        <f>IFERROR(IF(VLOOKUP(C413,Hoja1!$B$1:$C$6191,2,0)="",_xlfn.XLOOKUP(C413,Hoja1!$B$2:$B$6191,Hoja1!$A$2:$A$6191),VLOOKUP(C413,Hoja1!$B$1:$C$6191,2,0)),"No esta en Infor")</f>
        <v>NAC1281</v>
      </c>
      <c r="C413" s="11" t="s">
        <v>43</v>
      </c>
      <c r="D413" s="8">
        <v>0</v>
      </c>
      <c r="E413" s="8">
        <v>176.9</v>
      </c>
      <c r="F413" s="8">
        <v>479.99</v>
      </c>
      <c r="G413" s="8">
        <v>359.7</v>
      </c>
      <c r="H413" s="8">
        <v>96.89</v>
      </c>
      <c r="I413" s="8">
        <v>0</v>
      </c>
      <c r="J413" s="8">
        <v>1113.48</v>
      </c>
    </row>
    <row r="414" spans="1:10" ht="15.75" x14ac:dyDescent="0.25">
      <c r="A414" s="21">
        <v>45351</v>
      </c>
      <c r="B414" t="str">
        <f>IFERROR(IF(VLOOKUP(C414,Hoja1!$B$1:$C$6191,2,0)="",_xlfn.XLOOKUP(C414,Hoja1!$B$2:$B$6191,Hoja1!$A$2:$A$6191),VLOOKUP(C414,Hoja1!$B$1:$C$6191,2,0)),"No esta en Infor")</f>
        <v>NAC1281</v>
      </c>
      <c r="C414" s="11" t="s">
        <v>44</v>
      </c>
      <c r="D414" s="8">
        <v>469.86</v>
      </c>
      <c r="E414" s="8">
        <v>270.68</v>
      </c>
      <c r="F414" s="14">
        <v>265.66000000000003</v>
      </c>
      <c r="G414" s="8">
        <v>0</v>
      </c>
      <c r="H414" s="8">
        <v>208.55</v>
      </c>
      <c r="I414" s="8">
        <v>0</v>
      </c>
      <c r="J414" s="8">
        <v>1633.5</v>
      </c>
    </row>
    <row r="415" spans="1:10" ht="15.75" x14ac:dyDescent="0.25">
      <c r="A415" s="21">
        <v>45351</v>
      </c>
      <c r="B415" t="str">
        <f>IFERROR(IF(VLOOKUP(C415,Hoja1!$B$1:$C$6191,2,0)="",_xlfn.XLOOKUP(C415,Hoja1!$B$2:$B$6191,Hoja1!$A$2:$A$6191),VLOOKUP(C415,Hoja1!$B$1:$C$6191,2,0)),"No esta en Infor")</f>
        <v>NAC1281</v>
      </c>
      <c r="C415" s="11" t="s">
        <v>45</v>
      </c>
      <c r="D415" s="8">
        <v>-99.66</v>
      </c>
      <c r="E415" s="14">
        <v>1052.1099999999999</v>
      </c>
      <c r="F415" s="8">
        <v>447.93</v>
      </c>
      <c r="G415" s="14">
        <v>505.8</v>
      </c>
      <c r="H415" s="8">
        <v>735.28</v>
      </c>
      <c r="I415" s="8">
        <v>0</v>
      </c>
      <c r="J415" s="8">
        <v>3188.76</v>
      </c>
    </row>
    <row r="416" spans="1:10" ht="15.75" x14ac:dyDescent="0.25">
      <c r="A416" s="21">
        <v>45351</v>
      </c>
      <c r="B416" t="str">
        <f>IFERROR(IF(VLOOKUP(C416,Hoja1!$B$1:$C$6191,2,0)="",_xlfn.XLOOKUP(C416,Hoja1!$B$2:$B$6191,Hoja1!$A$2:$A$6191),VLOOKUP(C416,Hoja1!$B$1:$C$6191,2,0)),"No esta en Infor")</f>
        <v>NAC1281</v>
      </c>
      <c r="C416" s="11" t="s">
        <v>307</v>
      </c>
      <c r="D416" s="8">
        <v>95.47</v>
      </c>
      <c r="E416" s="8">
        <v>886.72</v>
      </c>
      <c r="F416" s="8">
        <v>520.25</v>
      </c>
      <c r="G416" s="8">
        <v>0</v>
      </c>
      <c r="H416" s="8">
        <v>0</v>
      </c>
      <c r="I416" s="8">
        <v>0</v>
      </c>
      <c r="J416" s="8">
        <v>1502.44</v>
      </c>
    </row>
    <row r="417" spans="1:10" ht="15.75" x14ac:dyDescent="0.25">
      <c r="A417" s="21">
        <v>45351</v>
      </c>
      <c r="B417" t="str">
        <f>IFERROR(IF(VLOOKUP(C417,Hoja1!$B$1:$C$6191,2,0)="",_xlfn.XLOOKUP(C417,Hoja1!$B$2:$B$6191,Hoja1!$A$2:$A$6191),VLOOKUP(C417,Hoja1!$B$1:$C$6191,2,0)),"No esta en Infor")</f>
        <v>NAC1292</v>
      </c>
      <c r="C417" s="11" t="s">
        <v>46</v>
      </c>
      <c r="D417" s="8">
        <v>1100</v>
      </c>
      <c r="E417" s="8">
        <v>-2537.5</v>
      </c>
      <c r="F417" s="8">
        <v>3837.5</v>
      </c>
      <c r="G417" s="8">
        <v>0</v>
      </c>
      <c r="H417" s="8">
        <v>0</v>
      </c>
      <c r="I417" s="8">
        <v>0</v>
      </c>
      <c r="J417" s="8">
        <v>2400</v>
      </c>
    </row>
    <row r="418" spans="1:10" ht="15.75" x14ac:dyDescent="0.25">
      <c r="A418" s="21">
        <v>45351</v>
      </c>
      <c r="B418" t="str">
        <f>IFERROR(IF(VLOOKUP(C418,Hoja1!$B$1:$C$6191,2,0)="",_xlfn.XLOOKUP(C418,Hoja1!$B$2:$B$6191,Hoja1!$A$2:$A$6191),VLOOKUP(C418,Hoja1!$B$1:$C$6191,2,0)),"No esta en Infor")</f>
        <v>NAC1609</v>
      </c>
      <c r="C418" s="11" t="s">
        <v>48</v>
      </c>
      <c r="D418" s="8">
        <v>0</v>
      </c>
      <c r="E418" s="8">
        <v>0</v>
      </c>
      <c r="F418" s="8">
        <v>246.37</v>
      </c>
      <c r="G418" s="8">
        <v>0</v>
      </c>
      <c r="H418" s="8">
        <v>0</v>
      </c>
      <c r="I418" s="8">
        <v>0</v>
      </c>
      <c r="J418" s="8">
        <v>246.37</v>
      </c>
    </row>
    <row r="419" spans="1:10" ht="15.75" x14ac:dyDescent="0.25">
      <c r="A419" s="21">
        <v>45351</v>
      </c>
      <c r="B419" t="str">
        <f>IFERROR(IF(VLOOKUP(C419,Hoja1!$B$1:$C$6191,2,0)="",_xlfn.XLOOKUP(C419,Hoja1!$B$2:$B$6191,Hoja1!$A$2:$A$6191),VLOOKUP(C419,Hoja1!$B$1:$C$6191,2,0)),"No esta en Infor")</f>
        <v>NAC1323</v>
      </c>
      <c r="C419" s="11" t="s">
        <v>49</v>
      </c>
      <c r="D419" s="8">
        <v>53781.34</v>
      </c>
      <c r="E419" s="8">
        <v>350348.63</v>
      </c>
      <c r="F419" s="8">
        <v>9249.09</v>
      </c>
      <c r="G419" s="8">
        <v>-684.77</v>
      </c>
      <c r="H419" s="8">
        <v>151.19999999999999</v>
      </c>
      <c r="I419" s="8">
        <v>813.14</v>
      </c>
      <c r="J419" s="8">
        <v>413658.63</v>
      </c>
    </row>
    <row r="420" spans="1:10" ht="15.75" x14ac:dyDescent="0.25">
      <c r="A420" s="21">
        <v>45351</v>
      </c>
      <c r="B420" t="str">
        <f>IFERROR(IF(VLOOKUP(C420,Hoja1!$B$1:$C$6191,2,0)="",_xlfn.XLOOKUP(C420,Hoja1!$B$2:$B$6191,Hoja1!$A$2:$A$6191),VLOOKUP(C420,Hoja1!$B$1:$C$6191,2,0)),"No esta en Infor")</f>
        <v>NAC1327</v>
      </c>
      <c r="C420" s="11" t="s">
        <v>50</v>
      </c>
      <c r="D420" s="8">
        <v>75707.460000000006</v>
      </c>
      <c r="E420" s="8">
        <v>260434.5</v>
      </c>
      <c r="F420" s="8">
        <v>1356.68</v>
      </c>
      <c r="G420" s="8">
        <v>0</v>
      </c>
      <c r="H420" s="8">
        <v>0</v>
      </c>
      <c r="I420" s="8">
        <v>1459.92</v>
      </c>
      <c r="J420" s="8">
        <v>338958.56</v>
      </c>
    </row>
    <row r="421" spans="1:10" ht="15.75" x14ac:dyDescent="0.25">
      <c r="A421" s="21">
        <v>45351</v>
      </c>
      <c r="B421" t="str">
        <f>IFERROR(IF(VLOOKUP(C421,Hoja1!$B$1:$C$6191,2,0)="",_xlfn.XLOOKUP(C421,Hoja1!$B$2:$B$6191,Hoja1!$A$2:$A$6191),VLOOKUP(C421,Hoja1!$B$1:$C$6191,2,0)),"No esta en Infor")</f>
        <v>CAN0059</v>
      </c>
      <c r="C421" s="11" t="s">
        <v>51</v>
      </c>
      <c r="D421" s="8">
        <v>362.43</v>
      </c>
      <c r="E421" s="8">
        <v>930.68</v>
      </c>
      <c r="F421" s="8">
        <v>787.12</v>
      </c>
      <c r="G421" s="8">
        <v>-10</v>
      </c>
      <c r="H421" s="8">
        <v>0</v>
      </c>
      <c r="I421" s="8">
        <v>0</v>
      </c>
      <c r="J421" s="8">
        <v>2070.23</v>
      </c>
    </row>
    <row r="422" spans="1:10" ht="15.75" x14ac:dyDescent="0.25">
      <c r="A422" s="21">
        <v>45351</v>
      </c>
      <c r="B422" t="str">
        <f>IFERROR(IF(VLOOKUP(C422,Hoja1!$B$1:$C$6191,2,0)="",_xlfn.XLOOKUP(C422,Hoja1!$B$2:$B$6191,Hoja1!$A$2:$A$6191),VLOOKUP(C422,Hoja1!$B$1:$C$6191,2,0)),"No esta en Infor")</f>
        <v>NAC1610</v>
      </c>
      <c r="C422" s="11" t="s">
        <v>52</v>
      </c>
      <c r="D422" s="8">
        <v>0</v>
      </c>
      <c r="E422" s="8">
        <v>498</v>
      </c>
      <c r="F422" s="8">
        <v>0</v>
      </c>
      <c r="G422" s="8">
        <v>0</v>
      </c>
      <c r="H422" s="8">
        <v>16.66</v>
      </c>
      <c r="I422" s="8">
        <v>0</v>
      </c>
      <c r="J422" s="8">
        <v>514.66</v>
      </c>
    </row>
    <row r="423" spans="1:10" ht="15.75" x14ac:dyDescent="0.25">
      <c r="A423" s="21">
        <v>45351</v>
      </c>
      <c r="B423" t="str">
        <f>IFERROR(IF(VLOOKUP(C423,Hoja1!$B$1:$C$6191,2,0)="",_xlfn.XLOOKUP(C423,Hoja1!$B$2:$B$6191,Hoja1!$A$2:$A$6191),VLOOKUP(C423,Hoja1!$B$1:$C$6191,2,0)),"No esta en Infor")</f>
        <v>NAC1610</v>
      </c>
      <c r="C423" s="11" t="s">
        <v>334</v>
      </c>
      <c r="D423" s="8">
        <v>0</v>
      </c>
      <c r="E423" s="8">
        <v>0</v>
      </c>
      <c r="F423" s="8">
        <v>167.44</v>
      </c>
      <c r="G423" s="8">
        <v>0</v>
      </c>
      <c r="H423" s="8">
        <v>0</v>
      </c>
      <c r="I423" s="8">
        <v>0</v>
      </c>
      <c r="J423" s="8">
        <v>167.44</v>
      </c>
    </row>
    <row r="424" spans="1:10" ht="15.75" x14ac:dyDescent="0.25">
      <c r="A424" s="21">
        <v>45351</v>
      </c>
      <c r="B424" t="str">
        <f>IFERROR(IF(VLOOKUP(C424,Hoja1!$B$1:$C$6191,2,0)="",_xlfn.XLOOKUP(C424,Hoja1!$B$2:$B$6191,Hoja1!$A$2:$A$6191),VLOOKUP(C424,Hoja1!$B$1:$C$6191,2,0)),"No esta en Infor")</f>
        <v>CAN0069</v>
      </c>
      <c r="C424" s="11" t="s">
        <v>340</v>
      </c>
      <c r="D424" s="8">
        <v>0</v>
      </c>
      <c r="E424" s="8">
        <v>0</v>
      </c>
      <c r="F424" s="8">
        <v>540.15</v>
      </c>
      <c r="G424" s="8">
        <v>0</v>
      </c>
      <c r="H424" s="8">
        <v>0</v>
      </c>
      <c r="I424" s="8">
        <v>0</v>
      </c>
      <c r="J424" s="8">
        <v>540.15</v>
      </c>
    </row>
    <row r="425" spans="1:10" ht="15.75" x14ac:dyDescent="0.25">
      <c r="A425" s="21">
        <v>45351</v>
      </c>
      <c r="B425" t="str">
        <f>IFERROR(IF(VLOOKUP(C425,Hoja1!$B$1:$C$6191,2,0)="",_xlfn.XLOOKUP(C425,Hoja1!$B$2:$B$6191,Hoja1!$A$2:$A$6191),VLOOKUP(C425,Hoja1!$B$1:$C$6191,2,0)),"No esta en Infor")</f>
        <v>NAC1448</v>
      </c>
      <c r="C425" s="11" t="s">
        <v>9</v>
      </c>
      <c r="D425" s="8">
        <v>10043</v>
      </c>
      <c r="E425" s="8">
        <v>95071.32</v>
      </c>
      <c r="F425" s="8">
        <v>17488.650000000001</v>
      </c>
      <c r="G425" s="8">
        <v>4601.2700000000004</v>
      </c>
      <c r="H425" s="8">
        <v>1369.47</v>
      </c>
      <c r="I425" s="8">
        <v>385.91</v>
      </c>
      <c r="J425" s="8">
        <v>128959.62</v>
      </c>
    </row>
    <row r="426" spans="1:10" ht="15.75" x14ac:dyDescent="0.25">
      <c r="A426" s="21">
        <v>45351</v>
      </c>
      <c r="B426" t="str">
        <f>IFERROR(IF(VLOOKUP(C426,Hoja1!$B$1:$C$6191,2,0)="",_xlfn.XLOOKUP(C426,Hoja1!$B$2:$B$6191,Hoja1!$A$2:$A$6191),VLOOKUP(C426,Hoja1!$B$1:$C$6191,2,0)),"No esta en Infor")</f>
        <v>NAC1450</v>
      </c>
      <c r="C426" s="11" t="s">
        <v>54</v>
      </c>
      <c r="D426" s="8">
        <v>784.57</v>
      </c>
      <c r="E426" s="8">
        <v>1377.8</v>
      </c>
      <c r="F426" s="8">
        <v>1258.51</v>
      </c>
      <c r="G426" s="8">
        <v>225.91</v>
      </c>
      <c r="H426" s="8">
        <v>1211.79</v>
      </c>
      <c r="I426" s="8">
        <v>0</v>
      </c>
      <c r="J426" s="8">
        <v>4858.58</v>
      </c>
    </row>
    <row r="427" spans="1:10" ht="15.75" x14ac:dyDescent="0.25">
      <c r="A427" s="21">
        <v>45351</v>
      </c>
      <c r="B427" t="str">
        <f>IFERROR(IF(VLOOKUP(C427,Hoja1!$B$1:$C$6191,2,0)="",_xlfn.XLOOKUP(C427,Hoja1!$B$2:$B$6191,Hoja1!$A$2:$A$6191),VLOOKUP(C427,Hoja1!$B$1:$C$6191,2,0)),"No esta en Infor")</f>
        <v>CAN0078</v>
      </c>
      <c r="C427" s="11" t="s">
        <v>55</v>
      </c>
      <c r="D427" s="8">
        <v>0</v>
      </c>
      <c r="E427" s="8">
        <v>0</v>
      </c>
      <c r="F427" s="8">
        <v>34.869999999999997</v>
      </c>
      <c r="G427" s="8">
        <v>0</v>
      </c>
      <c r="H427" s="8">
        <v>0</v>
      </c>
      <c r="I427" s="8">
        <v>0</v>
      </c>
      <c r="J427" s="8">
        <v>34.869999999999997</v>
      </c>
    </row>
    <row r="428" spans="1:10" ht="15.75" x14ac:dyDescent="0.25">
      <c r="A428" s="21">
        <v>45351</v>
      </c>
      <c r="B428" t="str">
        <f>IFERROR(IF(VLOOKUP(C428,Hoja1!$B$1:$C$6191,2,0)="",_xlfn.XLOOKUP(C428,Hoja1!$B$2:$B$6191,Hoja1!$A$2:$A$6191),VLOOKUP(C428,Hoja1!$B$1:$C$6191,2,0)),"No esta en Infor")</f>
        <v>NAC1512</v>
      </c>
      <c r="C428" s="11" t="s">
        <v>56</v>
      </c>
      <c r="D428" s="8">
        <v>0</v>
      </c>
      <c r="E428" s="8">
        <v>0</v>
      </c>
      <c r="F428" s="8">
        <v>4470</v>
      </c>
      <c r="G428" s="8">
        <v>14020</v>
      </c>
      <c r="H428" s="8">
        <v>0</v>
      </c>
      <c r="I428" s="8">
        <v>0</v>
      </c>
      <c r="J428" s="8">
        <v>18490</v>
      </c>
    </row>
    <row r="429" spans="1:10" ht="15.75" x14ac:dyDescent="0.25">
      <c r="A429" s="21">
        <v>45351</v>
      </c>
      <c r="B429" t="str">
        <f>IFERROR(IF(VLOOKUP(C429,Hoja1!$B$1:$C$6191,2,0)="",_xlfn.XLOOKUP(C429,Hoja1!$B$2:$B$6191,Hoja1!$A$2:$A$6191),VLOOKUP(C429,Hoja1!$B$1:$C$6191,2,0)),"No esta en Infor")</f>
        <v>NAC0468</v>
      </c>
      <c r="C429" s="19" t="s">
        <v>61</v>
      </c>
      <c r="D429" s="9">
        <v>0</v>
      </c>
      <c r="E429" s="9">
        <v>0</v>
      </c>
      <c r="F429" s="9">
        <v>-123.75</v>
      </c>
      <c r="G429" s="9">
        <v>0</v>
      </c>
      <c r="H429" s="9">
        <v>0</v>
      </c>
      <c r="I429" s="9">
        <v>0</v>
      </c>
      <c r="J429" s="9">
        <v>-123.75</v>
      </c>
    </row>
    <row r="430" spans="1:10" ht="15.75" x14ac:dyDescent="0.25">
      <c r="A430" s="21">
        <v>45351</v>
      </c>
      <c r="B430" t="str">
        <f>IFERROR(IF(VLOOKUP(C430,Hoja1!$B$1:$C$6191,2,0)="",_xlfn.XLOOKUP(C430,Hoja1!$B$2:$B$6191,Hoja1!$A$2:$A$6191),VLOOKUP(C430,Hoja1!$B$1:$C$6191,2,0)),"No esta en Infor")</f>
        <v>NAC0470</v>
      </c>
      <c r="C430" s="19" t="s">
        <v>62</v>
      </c>
      <c r="D430" s="9">
        <v>0</v>
      </c>
      <c r="E430" s="9">
        <v>0</v>
      </c>
      <c r="F430" s="9">
        <v>-31</v>
      </c>
      <c r="G430" s="9">
        <v>0</v>
      </c>
      <c r="H430" s="9">
        <v>0</v>
      </c>
      <c r="I430" s="9">
        <v>0</v>
      </c>
      <c r="J430" s="9">
        <v>-31</v>
      </c>
    </row>
    <row r="431" spans="1:10" ht="15.75" x14ac:dyDescent="0.25">
      <c r="A431" s="21">
        <v>45351</v>
      </c>
      <c r="B431" t="str">
        <f>IFERROR(IF(VLOOKUP(C431,Hoja1!$B$1:$C$6191,2,0)="",_xlfn.XLOOKUP(C431,Hoja1!$B$2:$B$6191,Hoja1!$A$2:$A$6191),VLOOKUP(C431,Hoja1!$B$1:$C$6191,2,0)),"No esta en Infor")</f>
        <v>NAC0474</v>
      </c>
      <c r="C431" s="19" t="s">
        <v>375</v>
      </c>
      <c r="D431" s="9">
        <v>195.46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195.46</v>
      </c>
    </row>
    <row r="432" spans="1:10" ht="15.75" x14ac:dyDescent="0.25">
      <c r="A432" s="21">
        <v>45351</v>
      </c>
      <c r="B432" t="str">
        <f>IFERROR(IF(VLOOKUP(C432,Hoja1!$B$1:$C$6191,2,0)="",_xlfn.XLOOKUP(C432,Hoja1!$B$2:$B$6191,Hoja1!$A$2:$A$6191),VLOOKUP(C432,Hoja1!$B$1:$C$6191,2,0)),"No esta en Infor")</f>
        <v>NAC0475</v>
      </c>
      <c r="C432" s="19" t="s">
        <v>63</v>
      </c>
      <c r="D432" s="9">
        <v>11152.58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11152.58</v>
      </c>
    </row>
    <row r="433" spans="1:10" ht="15.75" x14ac:dyDescent="0.25">
      <c r="A433" s="21">
        <v>45351</v>
      </c>
      <c r="B433" t="str">
        <f>IFERROR(IF(VLOOKUP(C433,Hoja1!$B$1:$C$6191,2,0)="",_xlfn.XLOOKUP(C433,Hoja1!$B$2:$B$6191,Hoja1!$A$2:$A$6191),VLOOKUP(C433,Hoja1!$B$1:$C$6191,2,0)),"No esta en Infor")</f>
        <v>CAN0001</v>
      </c>
      <c r="C433" s="19" t="s">
        <v>64</v>
      </c>
      <c r="D433" s="9">
        <v>69828.149999999994</v>
      </c>
      <c r="E433" s="9">
        <v>17184.48</v>
      </c>
      <c r="F433" s="9">
        <v>0</v>
      </c>
      <c r="G433" s="9">
        <v>0</v>
      </c>
      <c r="H433" s="9">
        <v>0</v>
      </c>
      <c r="I433" s="9">
        <v>0</v>
      </c>
      <c r="J433" s="9">
        <v>87012.63</v>
      </c>
    </row>
    <row r="434" spans="1:10" ht="15.75" x14ac:dyDescent="0.25">
      <c r="A434" s="21">
        <v>45351</v>
      </c>
      <c r="B434" t="str">
        <f>IFERROR(IF(VLOOKUP(C434,Hoja1!$B$1:$C$6191,2,0)="",_xlfn.XLOOKUP(C434,Hoja1!$B$2:$B$6191,Hoja1!$A$2:$A$6191),VLOOKUP(C434,Hoja1!$B$1:$C$6191,2,0)),"No esta en Infor")</f>
        <v>NAC0512</v>
      </c>
      <c r="C434" s="19" t="s">
        <v>376</v>
      </c>
      <c r="D434" s="9">
        <v>0</v>
      </c>
      <c r="E434" s="9">
        <v>14</v>
      </c>
      <c r="F434" s="9">
        <v>0</v>
      </c>
      <c r="G434" s="9">
        <v>0</v>
      </c>
      <c r="H434" s="9">
        <v>0</v>
      </c>
      <c r="I434" s="9">
        <v>0</v>
      </c>
      <c r="J434" s="9">
        <v>14</v>
      </c>
    </row>
    <row r="435" spans="1:10" ht="15.75" x14ac:dyDescent="0.25">
      <c r="A435" s="21">
        <v>45351</v>
      </c>
      <c r="B435" t="str">
        <f>IFERROR(IF(VLOOKUP(C435,Hoja1!$B$1:$C$6191,2,0)="",_xlfn.XLOOKUP(C435,Hoja1!$B$2:$B$6191,Hoja1!$A$2:$A$6191),VLOOKUP(C435,Hoja1!$B$1:$C$6191,2,0)),"No esta en Infor")</f>
        <v>NAC0513</v>
      </c>
      <c r="C435" s="19" t="s">
        <v>377</v>
      </c>
      <c r="D435" s="9">
        <v>0</v>
      </c>
      <c r="E435" s="9">
        <v>-220.24</v>
      </c>
      <c r="F435" s="9">
        <v>0</v>
      </c>
      <c r="G435" s="9">
        <v>0</v>
      </c>
      <c r="H435" s="9">
        <v>0</v>
      </c>
      <c r="I435" s="9">
        <v>0</v>
      </c>
      <c r="J435" s="9">
        <v>-220.24</v>
      </c>
    </row>
    <row r="436" spans="1:10" ht="15.75" x14ac:dyDescent="0.25">
      <c r="A436" s="21">
        <v>45351</v>
      </c>
      <c r="B436" t="str">
        <f>IFERROR(IF(VLOOKUP(C436,Hoja1!$B$1:$C$6191,2,0)="",_xlfn.XLOOKUP(C436,Hoja1!$B$2:$B$6191,Hoja1!$A$2:$A$6191),VLOOKUP(C436,Hoja1!$B$1:$C$6191,2,0)),"No esta en Infor")</f>
        <v>SH00049</v>
      </c>
      <c r="C436" s="19" t="s">
        <v>378</v>
      </c>
      <c r="D436" s="9">
        <v>0</v>
      </c>
      <c r="E436" s="9">
        <v>59.89</v>
      </c>
      <c r="F436" s="9">
        <v>0</v>
      </c>
      <c r="G436" s="9">
        <v>0</v>
      </c>
      <c r="H436" s="9">
        <v>0</v>
      </c>
      <c r="I436" s="9">
        <v>0</v>
      </c>
      <c r="J436" s="9">
        <v>59.89</v>
      </c>
    </row>
    <row r="437" spans="1:10" ht="15.75" x14ac:dyDescent="0.25">
      <c r="A437" s="21">
        <v>45351</v>
      </c>
      <c r="B437" t="str">
        <f>IFERROR(IF(VLOOKUP(C437,Hoja1!$B$1:$C$6191,2,0)="",_xlfn.XLOOKUP(C437,Hoja1!$B$2:$B$6191,Hoja1!$A$2:$A$6191),VLOOKUP(C437,Hoja1!$B$1:$C$6191,2,0)),"No esta en Infor")</f>
        <v>NAC0515</v>
      </c>
      <c r="C437" s="19" t="s">
        <v>66</v>
      </c>
      <c r="D437" s="9">
        <v>0</v>
      </c>
      <c r="E437" s="9">
        <v>0</v>
      </c>
      <c r="F437" s="9">
        <v>0</v>
      </c>
      <c r="G437" s="9">
        <v>-5.93</v>
      </c>
      <c r="H437" s="9">
        <v>0</v>
      </c>
      <c r="I437" s="9">
        <v>0</v>
      </c>
      <c r="J437" s="9">
        <v>-5.93</v>
      </c>
    </row>
    <row r="438" spans="1:10" ht="15.75" x14ac:dyDescent="0.25">
      <c r="A438" s="21">
        <v>45351</v>
      </c>
      <c r="B438" t="str">
        <f>IFERROR(IF(VLOOKUP(C438,Hoja1!$B$1:$C$6191,2,0)="",_xlfn.XLOOKUP(C438,Hoja1!$B$2:$B$6191,Hoja1!$A$2:$A$6191),VLOOKUP(C438,Hoja1!$B$1:$C$6191,2,0)),"No esta en Infor")</f>
        <v>SH00055</v>
      </c>
      <c r="C438" s="19" t="s">
        <v>379</v>
      </c>
      <c r="D438" s="9">
        <v>0</v>
      </c>
      <c r="E438" s="9">
        <v>64.459999999999994</v>
      </c>
      <c r="F438" s="9">
        <v>0</v>
      </c>
      <c r="G438" s="9">
        <v>0</v>
      </c>
      <c r="H438" s="9">
        <v>0</v>
      </c>
      <c r="I438" s="9">
        <v>0</v>
      </c>
      <c r="J438" s="9">
        <v>64.459999999999994</v>
      </c>
    </row>
    <row r="439" spans="1:10" ht="15.75" x14ac:dyDescent="0.25">
      <c r="A439" s="21">
        <v>45351</v>
      </c>
      <c r="B439" t="str">
        <f>IFERROR(IF(VLOOKUP(C439,Hoja1!$B$1:$C$6191,2,0)="",_xlfn.XLOOKUP(C439,Hoja1!$B$2:$B$6191,Hoja1!$A$2:$A$6191),VLOOKUP(C439,Hoja1!$B$1:$C$6191,2,0)),"No esta en Infor")</f>
        <v>NAC0516</v>
      </c>
      <c r="C439" s="19" t="s">
        <v>67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-26.1</v>
      </c>
      <c r="J439" s="9">
        <v>-26.1</v>
      </c>
    </row>
    <row r="440" spans="1:10" ht="15.75" x14ac:dyDescent="0.25">
      <c r="A440" s="21">
        <v>45351</v>
      </c>
      <c r="B440" t="str">
        <f>IFERROR(IF(VLOOKUP(C440,Hoja1!$B$1:$C$6191,2,0)="",_xlfn.XLOOKUP(C440,Hoja1!$B$2:$B$6191,Hoja1!$A$2:$A$6191),VLOOKUP(C440,Hoja1!$B$1:$C$6191,2,0)),"No esta en Infor")</f>
        <v>NAC0520</v>
      </c>
      <c r="C440" s="19" t="s">
        <v>68</v>
      </c>
      <c r="D440" s="9">
        <v>3261.4</v>
      </c>
      <c r="E440" s="9">
        <v>25156.19</v>
      </c>
      <c r="F440" s="9">
        <v>-604.5</v>
      </c>
      <c r="G440" s="9">
        <v>0</v>
      </c>
      <c r="H440" s="9">
        <v>-0.01</v>
      </c>
      <c r="I440" s="9">
        <v>0</v>
      </c>
      <c r="J440" s="9">
        <v>27813.08</v>
      </c>
    </row>
    <row r="441" spans="1:10" ht="15.75" x14ac:dyDescent="0.25">
      <c r="A441" s="21">
        <v>45351</v>
      </c>
      <c r="B441" t="str">
        <f>IFERROR(IF(VLOOKUP(C441,Hoja1!$B$1:$C$6191,2,0)="",_xlfn.XLOOKUP(C441,Hoja1!$B$2:$B$6191,Hoja1!$A$2:$A$6191),VLOOKUP(C441,Hoja1!$B$1:$C$6191,2,0)),"No esta en Infor")</f>
        <v>NAC0521</v>
      </c>
      <c r="C441" s="19" t="s">
        <v>69</v>
      </c>
      <c r="D441" s="9">
        <v>0</v>
      </c>
      <c r="E441" s="9">
        <v>-0.03</v>
      </c>
      <c r="F441" s="9">
        <v>0</v>
      </c>
      <c r="G441" s="9">
        <v>0</v>
      </c>
      <c r="H441" s="9">
        <v>0</v>
      </c>
      <c r="I441" s="9">
        <v>0</v>
      </c>
      <c r="J441" s="9">
        <v>-0.03</v>
      </c>
    </row>
    <row r="442" spans="1:10" ht="15.75" x14ac:dyDescent="0.25">
      <c r="A442" s="21">
        <v>45351</v>
      </c>
      <c r="B442" t="str">
        <f>IFERROR(IF(VLOOKUP(C442,Hoja1!$B$1:$C$6191,2,0)="",_xlfn.XLOOKUP(C442,Hoja1!$B$2:$B$6191,Hoja1!$A$2:$A$6191),VLOOKUP(C442,Hoja1!$B$1:$C$6191,2,0)),"No esta en Infor")</f>
        <v>NAC1617</v>
      </c>
      <c r="C442" s="19" t="s">
        <v>70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8803.11</v>
      </c>
      <c r="J442" s="9">
        <v>8803.11</v>
      </c>
    </row>
    <row r="443" spans="1:10" ht="15.75" x14ac:dyDescent="0.25">
      <c r="A443" s="21">
        <v>45351</v>
      </c>
      <c r="B443" t="str">
        <f>IFERROR(IF(VLOOKUP(C443,Hoja1!$B$1:$C$6191,2,0)="",_xlfn.XLOOKUP(C443,Hoja1!$B$2:$B$6191,Hoja1!$A$2:$A$6191),VLOOKUP(C443,Hoja1!$B$1:$C$6191,2,0)),"No esta en Infor")</f>
        <v>NAC0525</v>
      </c>
      <c r="C443" s="19" t="s">
        <v>71</v>
      </c>
      <c r="D443" s="9">
        <v>62289</v>
      </c>
      <c r="E443" s="9">
        <v>11344.58</v>
      </c>
      <c r="F443" s="9">
        <v>0</v>
      </c>
      <c r="G443" s="9">
        <v>0</v>
      </c>
      <c r="H443" s="9">
        <v>0</v>
      </c>
      <c r="I443" s="9">
        <v>0</v>
      </c>
      <c r="J443" s="9">
        <v>73633.58</v>
      </c>
    </row>
    <row r="444" spans="1:10" ht="15.75" x14ac:dyDescent="0.25">
      <c r="A444" s="21">
        <v>45351</v>
      </c>
      <c r="B444" t="str">
        <f>IFERROR(IF(VLOOKUP(C444,Hoja1!$B$1:$C$6191,2,0)="",_xlfn.XLOOKUP(C444,Hoja1!$B$2:$B$6191,Hoja1!$A$2:$A$6191),VLOOKUP(C444,Hoja1!$B$1:$C$6191,2,0)),"No esta en Infor")</f>
        <v>SH00092</v>
      </c>
      <c r="C444" s="19" t="s">
        <v>72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-945.86</v>
      </c>
      <c r="J444" s="9">
        <v>-945.86</v>
      </c>
    </row>
    <row r="445" spans="1:10" ht="15.75" x14ac:dyDescent="0.25">
      <c r="A445" s="21">
        <v>45351</v>
      </c>
      <c r="B445" t="str">
        <f>IFERROR(IF(VLOOKUP(C445,Hoja1!$B$1:$C$6191,2,0)="",_xlfn.XLOOKUP(C445,Hoja1!$B$2:$B$6191,Hoja1!$A$2:$A$6191),VLOOKUP(C445,Hoja1!$B$1:$C$6191,2,0)),"No esta en Infor")</f>
        <v>SH00099</v>
      </c>
      <c r="C445" s="19" t="s">
        <v>380</v>
      </c>
      <c r="D445" s="9">
        <v>78.430000000000007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78.430000000000007</v>
      </c>
    </row>
    <row r="446" spans="1:10" ht="15.75" x14ac:dyDescent="0.25">
      <c r="A446" s="21">
        <v>45351</v>
      </c>
      <c r="B446" t="str">
        <f>IFERROR(IF(VLOOKUP(C446,Hoja1!$B$1:$C$6191,2,0)="",_xlfn.XLOOKUP(C446,Hoja1!$B$2:$B$6191,Hoja1!$A$2:$A$6191),VLOOKUP(C446,Hoja1!$B$1:$C$6191,2,0)),"No esta en Infor")</f>
        <v>NAC0528</v>
      </c>
      <c r="C446" s="19" t="s">
        <v>76</v>
      </c>
      <c r="D446" s="9">
        <v>63285.86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63285.86</v>
      </c>
    </row>
    <row r="447" spans="1:10" ht="15.75" x14ac:dyDescent="0.25">
      <c r="A447" s="21">
        <v>45351</v>
      </c>
      <c r="B447" t="str">
        <f>IFERROR(IF(VLOOKUP(C447,Hoja1!$B$1:$C$6191,2,0)="",_xlfn.XLOOKUP(C447,Hoja1!$B$2:$B$6191,Hoja1!$A$2:$A$6191),VLOOKUP(C447,Hoja1!$B$1:$C$6191,2,0)),"No esta en Infor")</f>
        <v>NAC0533</v>
      </c>
      <c r="C447" s="19" t="s">
        <v>381</v>
      </c>
      <c r="D447" s="9">
        <v>1434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1434</v>
      </c>
    </row>
    <row r="448" spans="1:10" ht="15.75" x14ac:dyDescent="0.25">
      <c r="A448" s="21">
        <v>45351</v>
      </c>
      <c r="B448" t="str">
        <f>IFERROR(IF(VLOOKUP(C448,Hoja1!$B$1:$C$6191,2,0)="",_xlfn.XLOOKUP(C448,Hoja1!$B$2:$B$6191,Hoja1!$A$2:$A$6191),VLOOKUP(C448,Hoja1!$B$1:$C$6191,2,0)),"No esta en Infor")</f>
        <v>NAC0537</v>
      </c>
      <c r="C448" s="19" t="s">
        <v>13</v>
      </c>
      <c r="D448" s="9">
        <v>0</v>
      </c>
      <c r="E448" s="9">
        <v>11073.4</v>
      </c>
      <c r="F448" s="9">
        <v>0</v>
      </c>
      <c r="G448" s="9">
        <v>0</v>
      </c>
      <c r="H448" s="9">
        <v>0</v>
      </c>
      <c r="I448" s="9">
        <v>0</v>
      </c>
      <c r="J448" s="9">
        <v>11073.4</v>
      </c>
    </row>
    <row r="449" spans="1:10" ht="15.75" x14ac:dyDescent="0.25">
      <c r="A449" s="21">
        <v>45351</v>
      </c>
      <c r="B449" t="str">
        <f>IFERROR(IF(VLOOKUP(C449,Hoja1!$B$1:$C$6191,2,0)="",_xlfn.XLOOKUP(C449,Hoja1!$B$2:$B$6191,Hoja1!$A$2:$A$6191),VLOOKUP(C449,Hoja1!$B$1:$C$6191,2,0)),"No esta en Infor")</f>
        <v>NAC0539</v>
      </c>
      <c r="C449" s="19" t="s">
        <v>80</v>
      </c>
      <c r="D449" s="9">
        <v>4386.82</v>
      </c>
      <c r="E449" s="9">
        <v>4645.01</v>
      </c>
      <c r="F449" s="9">
        <v>0</v>
      </c>
      <c r="G449" s="9">
        <v>0</v>
      </c>
      <c r="H449" s="9">
        <v>0</v>
      </c>
      <c r="I449" s="9">
        <v>0</v>
      </c>
      <c r="J449" s="9">
        <v>9031.83</v>
      </c>
    </row>
    <row r="450" spans="1:10" ht="15.75" x14ac:dyDescent="0.25">
      <c r="A450" s="21">
        <v>45351</v>
      </c>
      <c r="B450" t="str">
        <f>IFERROR(IF(VLOOKUP(C450,Hoja1!$B$1:$C$6191,2,0)="",_xlfn.XLOOKUP(C450,Hoja1!$B$2:$B$6191,Hoja1!$A$2:$A$6191),VLOOKUP(C450,Hoja1!$B$1:$C$6191,2,0)),"No esta en Infor")</f>
        <v>NAC0544</v>
      </c>
      <c r="C450" s="19" t="s">
        <v>82</v>
      </c>
      <c r="D450" s="9">
        <v>356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356</v>
      </c>
    </row>
    <row r="451" spans="1:10" ht="15.75" x14ac:dyDescent="0.25">
      <c r="A451" s="21">
        <v>45351</v>
      </c>
      <c r="B451" t="str">
        <f>IFERROR(IF(VLOOKUP(C451,Hoja1!$B$1:$C$6191,2,0)="",_xlfn.XLOOKUP(C451,Hoja1!$B$2:$B$6191,Hoja1!$A$2:$A$6191),VLOOKUP(C451,Hoja1!$B$1:$C$6191,2,0)),"No esta en Infor")</f>
        <v>NAC0546</v>
      </c>
      <c r="C451" s="19" t="s">
        <v>83</v>
      </c>
      <c r="D451" s="9">
        <v>0</v>
      </c>
      <c r="E451" s="9">
        <v>9336.5</v>
      </c>
      <c r="F451" s="9">
        <v>0</v>
      </c>
      <c r="G451" s="9">
        <v>0</v>
      </c>
      <c r="H451" s="9">
        <v>0</v>
      </c>
      <c r="I451" s="9">
        <v>0</v>
      </c>
      <c r="J451" s="9">
        <v>9336.5</v>
      </c>
    </row>
    <row r="452" spans="1:10" ht="15.75" x14ac:dyDescent="0.25">
      <c r="A452" s="21">
        <v>45351</v>
      </c>
      <c r="B452" t="str">
        <f>IFERROR(IF(VLOOKUP(C452,Hoja1!$B$1:$C$6191,2,0)="",_xlfn.XLOOKUP(C452,Hoja1!$B$2:$B$6191,Hoja1!$A$2:$A$6191),VLOOKUP(C452,Hoja1!$B$1:$C$6191,2,0)),"No esta en Infor")</f>
        <v>NAC0550</v>
      </c>
      <c r="C452" s="19" t="s">
        <v>84</v>
      </c>
      <c r="D452" s="9">
        <v>153908.10999999999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153908.10999999999</v>
      </c>
    </row>
    <row r="453" spans="1:10" ht="15.75" x14ac:dyDescent="0.25">
      <c r="A453" s="21">
        <v>45351</v>
      </c>
      <c r="B453" t="str">
        <f>IFERROR(IF(VLOOKUP(C453,Hoja1!$B$1:$C$6191,2,0)="",_xlfn.XLOOKUP(C453,Hoja1!$B$2:$B$6191,Hoja1!$A$2:$A$6191),VLOOKUP(C453,Hoja1!$B$1:$C$6191,2,0)),"No esta en Infor")</f>
        <v>NAC0558</v>
      </c>
      <c r="C453" s="19" t="s">
        <v>86</v>
      </c>
      <c r="D453" s="9">
        <v>6370.48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6370.48</v>
      </c>
    </row>
    <row r="454" spans="1:10" ht="15.75" x14ac:dyDescent="0.25">
      <c r="A454" s="21">
        <v>45351</v>
      </c>
      <c r="B454" t="str">
        <f>IFERROR(IF(VLOOKUP(C454,Hoja1!$B$1:$C$6191,2,0)="",_xlfn.XLOOKUP(C454,Hoja1!$B$2:$B$6191,Hoja1!$A$2:$A$6191),VLOOKUP(C454,Hoja1!$B$1:$C$6191,2,0)),"No esta en Infor")</f>
        <v>CAN0002</v>
      </c>
      <c r="C454" s="19" t="s">
        <v>87</v>
      </c>
      <c r="D454" s="9">
        <v>10627.47</v>
      </c>
      <c r="E454" s="9">
        <v>3793.81</v>
      </c>
      <c r="F454" s="9">
        <v>0</v>
      </c>
      <c r="G454" s="9">
        <v>0</v>
      </c>
      <c r="H454" s="9">
        <v>0</v>
      </c>
      <c r="I454" s="9">
        <v>0</v>
      </c>
      <c r="J454" s="9">
        <v>14421.28</v>
      </c>
    </row>
    <row r="455" spans="1:10" ht="15.75" x14ac:dyDescent="0.25">
      <c r="A455" s="21">
        <v>45351</v>
      </c>
      <c r="B455" t="str">
        <f>IFERROR(IF(VLOOKUP(C455,Hoja1!$B$1:$C$6191,2,0)="",_xlfn.XLOOKUP(C455,Hoja1!$B$2:$B$6191,Hoja1!$A$2:$A$6191),VLOOKUP(C455,Hoja1!$B$1:$C$6191,2,0)),"No esta en Infor")</f>
        <v>SH00218</v>
      </c>
      <c r="C455" s="19" t="s">
        <v>88</v>
      </c>
      <c r="D455" s="9">
        <v>0</v>
      </c>
      <c r="E455" s="9">
        <v>59.42</v>
      </c>
      <c r="F455" s="9">
        <v>84.55</v>
      </c>
      <c r="G455" s="9">
        <v>0</v>
      </c>
      <c r="H455" s="9">
        <v>0</v>
      </c>
      <c r="I455" s="9">
        <v>0</v>
      </c>
      <c r="J455" s="9">
        <v>143.97</v>
      </c>
    </row>
    <row r="456" spans="1:10" ht="15.75" x14ac:dyDescent="0.25">
      <c r="A456" s="21">
        <v>45351</v>
      </c>
      <c r="B456" t="str">
        <f>IFERROR(IF(VLOOKUP(C456,Hoja1!$B$1:$C$6191,2,0)="",_xlfn.XLOOKUP(C456,Hoja1!$B$2:$B$6191,Hoja1!$A$2:$A$6191),VLOOKUP(C456,Hoja1!$B$1:$C$6191,2,0)),"No esta en Infor")</f>
        <v>NAC0569</v>
      </c>
      <c r="C456" s="19" t="s">
        <v>382</v>
      </c>
      <c r="D456" s="9">
        <v>3500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3500</v>
      </c>
    </row>
    <row r="457" spans="1:10" ht="15.75" x14ac:dyDescent="0.25">
      <c r="A457" s="21">
        <v>45351</v>
      </c>
      <c r="B457" t="str">
        <f>IFERROR(IF(VLOOKUP(C457,Hoja1!$B$1:$C$6191,2,0)="",_xlfn.XLOOKUP(C457,Hoja1!$B$2:$B$6191,Hoja1!$A$2:$A$6191),VLOOKUP(C457,Hoja1!$B$1:$C$6191,2,0)),"No esta en Infor")</f>
        <v>SH00250</v>
      </c>
      <c r="C457" s="19" t="s">
        <v>383</v>
      </c>
      <c r="D457" s="9">
        <v>0</v>
      </c>
      <c r="E457" s="9">
        <v>154.77000000000001</v>
      </c>
      <c r="F457" s="9">
        <v>0</v>
      </c>
      <c r="G457" s="9">
        <v>0</v>
      </c>
      <c r="H457" s="9">
        <v>0</v>
      </c>
      <c r="I457" s="9">
        <v>0</v>
      </c>
      <c r="J457" s="9">
        <v>154.77000000000001</v>
      </c>
    </row>
    <row r="458" spans="1:10" ht="15.75" x14ac:dyDescent="0.25">
      <c r="A458" s="21">
        <v>45351</v>
      </c>
      <c r="B458" t="str">
        <f>IFERROR(IF(VLOOKUP(C458,Hoja1!$B$1:$C$6191,2,0)="",_xlfn.XLOOKUP(C458,Hoja1!$B$2:$B$6191,Hoja1!$A$2:$A$6191),VLOOKUP(C458,Hoja1!$B$1:$C$6191,2,0)),"No esta en Infor")</f>
        <v>NAC0581</v>
      </c>
      <c r="C458" s="19" t="s">
        <v>384</v>
      </c>
      <c r="D458" s="9">
        <v>623.27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623.27</v>
      </c>
    </row>
    <row r="459" spans="1:10" ht="15.75" x14ac:dyDescent="0.25">
      <c r="A459" s="21">
        <v>45351</v>
      </c>
      <c r="B459" t="str">
        <f>IFERROR(IF(VLOOKUP(C459,Hoja1!$B$1:$C$6191,2,0)="",_xlfn.XLOOKUP(C459,Hoja1!$B$2:$B$6191,Hoja1!$A$2:$A$6191),VLOOKUP(C459,Hoja1!$B$1:$C$6191,2,0)),"No esta en Infor")</f>
        <v>NAC0583</v>
      </c>
      <c r="C459" s="19" t="s">
        <v>385</v>
      </c>
      <c r="D459" s="9">
        <v>0</v>
      </c>
      <c r="E459" s="9">
        <v>40</v>
      </c>
      <c r="F459" s="9">
        <v>0</v>
      </c>
      <c r="G459" s="9">
        <v>0</v>
      </c>
      <c r="H459" s="9">
        <v>0</v>
      </c>
      <c r="I459" s="9">
        <v>0</v>
      </c>
      <c r="J459" s="9">
        <v>40</v>
      </c>
    </row>
    <row r="460" spans="1:10" ht="15.75" x14ac:dyDescent="0.25">
      <c r="A460" s="21">
        <v>45351</v>
      </c>
      <c r="B460" t="str">
        <f>IFERROR(IF(VLOOKUP(C460,Hoja1!$B$1:$C$6191,2,0)="",_xlfn.XLOOKUP(C460,Hoja1!$B$2:$B$6191,Hoja1!$A$2:$A$6191),VLOOKUP(C460,Hoja1!$B$1:$C$6191,2,0)),"No esta en Infor")</f>
        <v>NAC0584</v>
      </c>
      <c r="C460" s="19" t="s">
        <v>91</v>
      </c>
      <c r="D460" s="9">
        <v>0</v>
      </c>
      <c r="E460" s="9">
        <v>-404.46</v>
      </c>
      <c r="F460" s="9">
        <v>0</v>
      </c>
      <c r="G460" s="9">
        <v>0</v>
      </c>
      <c r="H460" s="9">
        <v>0</v>
      </c>
      <c r="I460" s="9">
        <v>0</v>
      </c>
      <c r="J460" s="9">
        <v>-404.46</v>
      </c>
    </row>
    <row r="461" spans="1:10" ht="15.75" x14ac:dyDescent="0.25">
      <c r="A461" s="21">
        <v>45351</v>
      </c>
      <c r="B461" t="str">
        <f>IFERROR(IF(VLOOKUP(C461,Hoja1!$B$1:$C$6191,2,0)="",_xlfn.XLOOKUP(C461,Hoja1!$B$2:$B$6191,Hoja1!$A$2:$A$6191),VLOOKUP(C461,Hoja1!$B$1:$C$6191,2,0)),"No esta en Infor")</f>
        <v>NAC0589</v>
      </c>
      <c r="C461" s="19" t="s">
        <v>92</v>
      </c>
      <c r="D461" s="9">
        <v>3162</v>
      </c>
      <c r="E461" s="9">
        <v>15869.2</v>
      </c>
      <c r="F461" s="9">
        <v>0</v>
      </c>
      <c r="G461" s="9">
        <v>0</v>
      </c>
      <c r="H461" s="9">
        <v>0</v>
      </c>
      <c r="I461" s="9">
        <v>0</v>
      </c>
      <c r="J461" s="9">
        <v>19031.2</v>
      </c>
    </row>
    <row r="462" spans="1:10" ht="15.75" x14ac:dyDescent="0.25">
      <c r="A462" s="21">
        <v>45351</v>
      </c>
      <c r="B462" t="str">
        <f>IFERROR(IF(VLOOKUP(C462,Hoja1!$B$1:$C$6191,2,0)="",_xlfn.XLOOKUP(C462,Hoja1!$B$2:$B$6191,Hoja1!$A$2:$A$6191),VLOOKUP(C462,Hoja1!$B$1:$C$6191,2,0)),"No esta en Infor")</f>
        <v>NAC0592</v>
      </c>
      <c r="C462" s="19" t="s">
        <v>93</v>
      </c>
      <c r="D462" s="9">
        <v>0</v>
      </c>
      <c r="E462" s="9">
        <v>-2547.65</v>
      </c>
      <c r="F462" s="9">
        <v>0</v>
      </c>
      <c r="G462" s="9">
        <v>0</v>
      </c>
      <c r="H462" s="9">
        <v>0</v>
      </c>
      <c r="I462" s="9">
        <v>0</v>
      </c>
      <c r="J462" s="9">
        <v>-2547.65</v>
      </c>
    </row>
    <row r="463" spans="1:10" ht="15.75" x14ac:dyDescent="0.25">
      <c r="A463" s="21">
        <v>45351</v>
      </c>
      <c r="B463" t="str">
        <f>IFERROR(IF(VLOOKUP(C463,Hoja1!$B$1:$C$6191,2,0)="",_xlfn.XLOOKUP(C463,Hoja1!$B$2:$B$6191,Hoja1!$A$2:$A$6191),VLOOKUP(C463,Hoja1!$B$1:$C$6191,2,0)),"No esta en Infor")</f>
        <v>NAC0594</v>
      </c>
      <c r="C463" s="19" t="s">
        <v>94</v>
      </c>
      <c r="D463" s="9">
        <v>50276</v>
      </c>
      <c r="E463" s="9">
        <v>238546.9</v>
      </c>
      <c r="F463" s="9">
        <v>0</v>
      </c>
      <c r="G463" s="9">
        <v>0</v>
      </c>
      <c r="H463" s="9">
        <v>0</v>
      </c>
      <c r="I463" s="9">
        <v>0</v>
      </c>
      <c r="J463" s="9">
        <v>288822.90000000002</v>
      </c>
    </row>
    <row r="464" spans="1:10" ht="15.75" x14ac:dyDescent="0.25">
      <c r="A464" s="21">
        <v>45351</v>
      </c>
      <c r="B464" t="str">
        <f>IFERROR(IF(VLOOKUP(C464,Hoja1!$B$1:$C$6191,2,0)="",_xlfn.XLOOKUP(C464,Hoja1!$B$2:$B$6191,Hoja1!$A$2:$A$6191),VLOOKUP(C464,Hoja1!$B$1:$C$6191,2,0)),"No esta en Infor")</f>
        <v>SH00267</v>
      </c>
      <c r="C464" s="19" t="s">
        <v>386</v>
      </c>
      <c r="D464" s="9">
        <v>0</v>
      </c>
      <c r="E464" s="9">
        <v>172.13</v>
      </c>
      <c r="F464" s="9">
        <v>0</v>
      </c>
      <c r="G464" s="9">
        <v>0</v>
      </c>
      <c r="H464" s="9">
        <v>0</v>
      </c>
      <c r="I464" s="9">
        <v>0</v>
      </c>
      <c r="J464" s="9">
        <v>172.13</v>
      </c>
    </row>
    <row r="465" spans="1:10" ht="15.75" x14ac:dyDescent="0.25">
      <c r="A465" s="21">
        <v>45351</v>
      </c>
      <c r="B465" t="str">
        <f>IFERROR(IF(VLOOKUP(C465,Hoja1!$B$1:$C$6191,2,0)="",_xlfn.XLOOKUP(C465,Hoja1!$B$2:$B$6191,Hoja1!$A$2:$A$6191),VLOOKUP(C465,Hoja1!$B$1:$C$6191,2,0)),"No esta en Infor")</f>
        <v>SH00268</v>
      </c>
      <c r="C465" s="19" t="s">
        <v>387</v>
      </c>
      <c r="D465" s="9">
        <v>0</v>
      </c>
      <c r="E465" s="9">
        <v>157.59</v>
      </c>
      <c r="F465" s="9">
        <v>0</v>
      </c>
      <c r="G465" s="9">
        <v>0</v>
      </c>
      <c r="H465" s="9">
        <v>0</v>
      </c>
      <c r="I465" s="9">
        <v>0</v>
      </c>
      <c r="J465" s="9">
        <v>157.59</v>
      </c>
    </row>
    <row r="466" spans="1:10" ht="15.75" x14ac:dyDescent="0.25">
      <c r="A466" s="21">
        <v>45351</v>
      </c>
      <c r="B466" t="str">
        <f>IFERROR(IF(VLOOKUP(C466,Hoja1!$B$1:$C$6191,2,0)="",_xlfn.XLOOKUP(C466,Hoja1!$B$2:$B$6191,Hoja1!$A$2:$A$6191),VLOOKUP(C466,Hoja1!$B$1:$C$6191,2,0)),"No esta en Infor")</f>
        <v>NAC0597</v>
      </c>
      <c r="C466" s="11" t="s">
        <v>1368</v>
      </c>
      <c r="D466" s="9">
        <v>0</v>
      </c>
      <c r="E466" s="9">
        <v>0</v>
      </c>
      <c r="F466" s="9">
        <v>488.2</v>
      </c>
      <c r="G466" s="9">
        <v>0</v>
      </c>
      <c r="H466" s="9">
        <v>0</v>
      </c>
      <c r="I466" s="9">
        <v>0</v>
      </c>
      <c r="J466" s="9">
        <v>488.2</v>
      </c>
    </row>
    <row r="467" spans="1:10" ht="15.75" x14ac:dyDescent="0.25">
      <c r="A467" s="21">
        <v>45351</v>
      </c>
      <c r="B467" t="str">
        <f>IFERROR(IF(VLOOKUP(C467,Hoja1!$B$1:$C$6191,2,0)="",_xlfn.XLOOKUP(C467,Hoja1!$B$2:$B$6191,Hoja1!$A$2:$A$6191),VLOOKUP(C467,Hoja1!$B$1:$C$6191,2,0)),"No esta en Infor")</f>
        <v>NAC0600</v>
      </c>
      <c r="C467" s="19" t="s">
        <v>96</v>
      </c>
      <c r="D467" s="9">
        <v>2091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2091</v>
      </c>
    </row>
    <row r="468" spans="1:10" ht="15.75" x14ac:dyDescent="0.25">
      <c r="A468" s="21">
        <v>45351</v>
      </c>
      <c r="B468" t="str">
        <f>IFERROR(IF(VLOOKUP(C468,Hoja1!$B$1:$C$6191,2,0)="",_xlfn.XLOOKUP(C468,Hoja1!$B$2:$B$6191,Hoja1!$A$2:$A$6191),VLOOKUP(C468,Hoja1!$B$1:$C$6191,2,0)),"No esta en Infor")</f>
        <v>NAC0604</v>
      </c>
      <c r="C468" s="19" t="s">
        <v>97</v>
      </c>
      <c r="D468" s="9">
        <v>6591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6591</v>
      </c>
    </row>
    <row r="469" spans="1:10" ht="15.75" x14ac:dyDescent="0.25">
      <c r="A469" s="21">
        <v>45351</v>
      </c>
      <c r="B469" t="str">
        <f>IFERROR(IF(VLOOKUP(C469,Hoja1!$B$1:$C$6191,2,0)="",_xlfn.XLOOKUP(C469,Hoja1!$B$2:$B$6191,Hoja1!$A$2:$A$6191),VLOOKUP(C469,Hoja1!$B$1:$C$6191,2,0)),"No esta en Infor")</f>
        <v>NAC0607</v>
      </c>
      <c r="C469" s="19" t="s">
        <v>99</v>
      </c>
      <c r="D469" s="9">
        <v>-204.11</v>
      </c>
      <c r="E469" s="9">
        <v>3119.61</v>
      </c>
      <c r="F469" s="9">
        <v>0</v>
      </c>
      <c r="G469" s="9">
        <v>0</v>
      </c>
      <c r="H469" s="9">
        <v>0</v>
      </c>
      <c r="I469" s="9">
        <v>0</v>
      </c>
      <c r="J469" s="9">
        <v>2915.5</v>
      </c>
    </row>
    <row r="470" spans="1:10" ht="15.75" x14ac:dyDescent="0.25">
      <c r="A470" s="21">
        <v>45351</v>
      </c>
      <c r="B470" t="str">
        <f>IFERROR(IF(VLOOKUP(C470,Hoja1!$B$1:$C$6191,2,0)="",_xlfn.XLOOKUP(C470,Hoja1!$B$2:$B$6191,Hoja1!$A$2:$A$6191),VLOOKUP(C470,Hoja1!$B$1:$C$6191,2,0)),"No esta en Infor")</f>
        <v>NAC0612</v>
      </c>
      <c r="C470" s="19" t="s">
        <v>100</v>
      </c>
      <c r="D470" s="9">
        <v>9776.8700000000008</v>
      </c>
      <c r="E470" s="9">
        <v>402.25</v>
      </c>
      <c r="F470" s="9">
        <v>0</v>
      </c>
      <c r="G470" s="9">
        <v>0</v>
      </c>
      <c r="H470" s="9">
        <v>0</v>
      </c>
      <c r="I470" s="9">
        <v>0</v>
      </c>
      <c r="J470" s="9">
        <v>10179.120000000001</v>
      </c>
    </row>
    <row r="471" spans="1:10" ht="15.75" x14ac:dyDescent="0.25">
      <c r="A471" s="21">
        <v>45351</v>
      </c>
      <c r="B471" t="str">
        <f>IFERROR(IF(VLOOKUP(C471,Hoja1!$B$1:$C$6191,2,0)="",_xlfn.XLOOKUP(C471,Hoja1!$B$2:$B$6191,Hoja1!$A$2:$A$6191),VLOOKUP(C471,Hoja1!$B$1:$C$6191,2,0)),"No esta en Infor")</f>
        <v>NAC0613</v>
      </c>
      <c r="C471" s="19" t="s">
        <v>101</v>
      </c>
      <c r="D471" s="9">
        <v>1416.16</v>
      </c>
      <c r="E471" s="9">
        <v>-79.08</v>
      </c>
      <c r="F471" s="9">
        <v>0</v>
      </c>
      <c r="G471" s="9">
        <v>0</v>
      </c>
      <c r="H471" s="9">
        <v>0</v>
      </c>
      <c r="I471" s="9">
        <v>0</v>
      </c>
      <c r="J471" s="9">
        <v>1337.08</v>
      </c>
    </row>
    <row r="472" spans="1:10" ht="15.75" x14ac:dyDescent="0.25">
      <c r="A472" s="21">
        <v>45351</v>
      </c>
      <c r="B472" t="str">
        <f>IFERROR(IF(VLOOKUP(C472,Hoja1!$B$1:$C$6191,2,0)="",_xlfn.XLOOKUP(C472,Hoja1!$B$2:$B$6191,Hoja1!$A$2:$A$6191),VLOOKUP(C472,Hoja1!$B$1:$C$6191,2,0)),"No esta en Infor")</f>
        <v>NAC0614</v>
      </c>
      <c r="C472" s="19" t="s">
        <v>102</v>
      </c>
      <c r="D472" s="9">
        <v>0</v>
      </c>
      <c r="E472" s="9">
        <v>8020</v>
      </c>
      <c r="F472" s="9">
        <v>0</v>
      </c>
      <c r="G472" s="9">
        <v>0</v>
      </c>
      <c r="H472" s="9">
        <v>0</v>
      </c>
      <c r="I472" s="9">
        <v>0</v>
      </c>
      <c r="J472" s="9">
        <v>8020</v>
      </c>
    </row>
    <row r="473" spans="1:10" ht="15.75" x14ac:dyDescent="0.25">
      <c r="A473" s="21">
        <v>45351</v>
      </c>
      <c r="B473" t="str">
        <f>IFERROR(IF(VLOOKUP(C473,Hoja1!$B$1:$C$6191,2,0)="",_xlfn.XLOOKUP(C473,Hoja1!$B$2:$B$6191,Hoja1!$A$2:$A$6191),VLOOKUP(C473,Hoja1!$B$1:$C$6191,2,0)),"No esta en Infor")</f>
        <v>NAC0616</v>
      </c>
      <c r="C473" s="19" t="s">
        <v>103</v>
      </c>
      <c r="D473" s="9">
        <v>0</v>
      </c>
      <c r="E473" s="9">
        <v>982.04</v>
      </c>
      <c r="F473" s="9">
        <v>0</v>
      </c>
      <c r="G473" s="9">
        <v>0</v>
      </c>
      <c r="H473" s="9">
        <v>0</v>
      </c>
      <c r="I473" s="9">
        <v>0</v>
      </c>
      <c r="J473" s="9">
        <v>982.04</v>
      </c>
    </row>
    <row r="474" spans="1:10" ht="15.75" x14ac:dyDescent="0.25">
      <c r="A474" s="21">
        <v>45351</v>
      </c>
      <c r="B474" t="str">
        <f>IFERROR(IF(VLOOKUP(C474,Hoja1!$B$1:$C$6191,2,0)="",_xlfn.XLOOKUP(C474,Hoja1!$B$2:$B$6191,Hoja1!$A$2:$A$6191),VLOOKUP(C474,Hoja1!$B$1:$C$6191,2,0)),"No esta en Infor")</f>
        <v>NAC0620</v>
      </c>
      <c r="C474" s="19" t="s">
        <v>388</v>
      </c>
      <c r="D474" s="9">
        <v>5780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5780</v>
      </c>
    </row>
    <row r="475" spans="1:10" ht="15.75" x14ac:dyDescent="0.25">
      <c r="A475" s="21">
        <v>45351</v>
      </c>
      <c r="B475" t="str">
        <f>IFERROR(IF(VLOOKUP(C475,Hoja1!$B$1:$C$6191,2,0)="",_xlfn.XLOOKUP(C475,Hoja1!$B$2:$B$6191,Hoja1!$A$2:$A$6191),VLOOKUP(C475,Hoja1!$B$1:$C$6191,2,0)),"No esta en Infor")</f>
        <v>NAC0624</v>
      </c>
      <c r="C475" s="19" t="s">
        <v>105</v>
      </c>
      <c r="D475" s="9">
        <v>-231</v>
      </c>
      <c r="E475" s="9">
        <v>52.88</v>
      </c>
      <c r="F475" s="9">
        <v>0</v>
      </c>
      <c r="G475" s="9">
        <v>0</v>
      </c>
      <c r="H475" s="9">
        <v>0</v>
      </c>
      <c r="I475" s="9">
        <v>0</v>
      </c>
      <c r="J475" s="9">
        <v>-178.12</v>
      </c>
    </row>
    <row r="476" spans="1:10" ht="15.75" x14ac:dyDescent="0.25">
      <c r="A476" s="21">
        <v>45351</v>
      </c>
      <c r="B476" t="str">
        <f>IFERROR(IF(VLOOKUP(C476,Hoja1!$B$1:$C$6191,2,0)="",_xlfn.XLOOKUP(C476,Hoja1!$B$2:$B$6191,Hoja1!$A$2:$A$6191),VLOOKUP(C476,Hoja1!$B$1:$C$6191,2,0)),"No esta en Infor")</f>
        <v>CAN0007</v>
      </c>
      <c r="C476" s="19" t="s">
        <v>107</v>
      </c>
      <c r="D476" s="9">
        <v>0</v>
      </c>
      <c r="E476" s="9">
        <v>-15.48</v>
      </c>
      <c r="F476" s="9">
        <v>0</v>
      </c>
      <c r="G476" s="9">
        <v>0</v>
      </c>
      <c r="H476" s="9">
        <v>0</v>
      </c>
      <c r="I476" s="9">
        <v>0</v>
      </c>
      <c r="J476" s="9">
        <v>-15.48</v>
      </c>
    </row>
    <row r="477" spans="1:10" ht="15.75" x14ac:dyDescent="0.25">
      <c r="A477" s="21">
        <v>45351</v>
      </c>
      <c r="B477" t="str">
        <f>IFERROR(IF(VLOOKUP(C477,Hoja1!$B$1:$C$6191,2,0)="",_xlfn.XLOOKUP(C477,Hoja1!$B$2:$B$6191,Hoja1!$A$2:$A$6191),VLOOKUP(C477,Hoja1!$B$1:$C$6191,2,0)),"No esta en Infor")</f>
        <v>NAC0632</v>
      </c>
      <c r="C477" s="19" t="s">
        <v>108</v>
      </c>
      <c r="D477" s="9">
        <v>0</v>
      </c>
      <c r="E477" s="9">
        <v>1525.22</v>
      </c>
      <c r="F477" s="9">
        <v>0</v>
      </c>
      <c r="G477" s="9">
        <v>0</v>
      </c>
      <c r="H477" s="9">
        <v>0</v>
      </c>
      <c r="I477" s="9">
        <v>0</v>
      </c>
      <c r="J477" s="9">
        <v>1525.22</v>
      </c>
    </row>
    <row r="478" spans="1:10" ht="15.75" x14ac:dyDescent="0.25">
      <c r="A478" s="21">
        <v>45351</v>
      </c>
      <c r="B478" t="str">
        <f>IFERROR(IF(VLOOKUP(C478,Hoja1!$B$1:$C$6191,2,0)="",_xlfn.XLOOKUP(C478,Hoja1!$B$2:$B$6191,Hoja1!$A$2:$A$6191),VLOOKUP(C478,Hoja1!$B$1:$C$6191,2,0)),"No esta en Infor")</f>
        <v>SH00412</v>
      </c>
      <c r="C478" s="19" t="s">
        <v>389</v>
      </c>
      <c r="D478" s="9">
        <v>135.49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135.49</v>
      </c>
    </row>
    <row r="479" spans="1:10" ht="15.75" x14ac:dyDescent="0.25">
      <c r="A479" s="21">
        <v>45351</v>
      </c>
      <c r="B479" t="str">
        <f>IFERROR(IF(VLOOKUP(C479,Hoja1!$B$1:$C$6191,2,0)="",_xlfn.XLOOKUP(C479,Hoja1!$B$2:$B$6191,Hoja1!$A$2:$A$6191),VLOOKUP(C479,Hoja1!$B$1:$C$6191,2,0)),"No esta en Infor")</f>
        <v>NAC0645</v>
      </c>
      <c r="C479" s="19" t="s">
        <v>110</v>
      </c>
      <c r="D479" s="9">
        <v>0</v>
      </c>
      <c r="E479" s="9">
        <v>293.57</v>
      </c>
      <c r="F479" s="9">
        <v>0</v>
      </c>
      <c r="G479" s="9">
        <v>0</v>
      </c>
      <c r="H479" s="9">
        <v>0</v>
      </c>
      <c r="I479" s="9">
        <v>0</v>
      </c>
      <c r="J479" s="9">
        <v>293.57</v>
      </c>
    </row>
    <row r="480" spans="1:10" ht="15.75" x14ac:dyDescent="0.25">
      <c r="A480" s="21">
        <v>45351</v>
      </c>
      <c r="B480" t="str">
        <f>IFERROR(IF(VLOOKUP(C480,Hoja1!$B$1:$C$6191,2,0)="",_xlfn.XLOOKUP(C480,Hoja1!$B$2:$B$6191,Hoja1!$A$2:$A$6191),VLOOKUP(C480,Hoja1!$B$1:$C$6191,2,0)),"No esta en Infor")</f>
        <v>NAC0646</v>
      </c>
      <c r="C480" s="19" t="s">
        <v>112</v>
      </c>
      <c r="D480" s="9">
        <v>0</v>
      </c>
      <c r="E480" s="9">
        <v>-0.8</v>
      </c>
      <c r="F480" s="9">
        <v>0</v>
      </c>
      <c r="G480" s="9">
        <v>0</v>
      </c>
      <c r="H480" s="9">
        <v>0</v>
      </c>
      <c r="I480" s="9">
        <v>0</v>
      </c>
      <c r="J480" s="9">
        <v>-0.8</v>
      </c>
    </row>
    <row r="481" spans="1:10" ht="15.75" x14ac:dyDescent="0.25">
      <c r="A481" s="21">
        <v>45351</v>
      </c>
      <c r="B481" t="str">
        <f>IFERROR(IF(VLOOKUP(C481,Hoja1!$B$1:$C$6191,2,0)="",_xlfn.XLOOKUP(C481,Hoja1!$B$2:$B$6191,Hoja1!$A$2:$A$6191),VLOOKUP(C481,Hoja1!$B$1:$C$6191,2,0)),"No esta en Infor")</f>
        <v>NAC0652</v>
      </c>
      <c r="C481" s="19" t="s">
        <v>113</v>
      </c>
      <c r="D481" s="9">
        <v>130.06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130.06</v>
      </c>
    </row>
    <row r="482" spans="1:10" ht="15.75" x14ac:dyDescent="0.25">
      <c r="A482" s="21">
        <v>45351</v>
      </c>
      <c r="B482" t="str">
        <f>IFERROR(IF(VLOOKUP(C482,Hoja1!$B$1:$C$6191,2,0)="",_xlfn.XLOOKUP(C482,Hoja1!$B$2:$B$6191,Hoja1!$A$2:$A$6191),VLOOKUP(C482,Hoja1!$B$1:$C$6191,2,0)),"No esta en Infor")</f>
        <v>CAN0008</v>
      </c>
      <c r="C482" s="19" t="s">
        <v>115</v>
      </c>
      <c r="D482" s="9">
        <v>0</v>
      </c>
      <c r="E482" s="9">
        <v>20</v>
      </c>
      <c r="F482" s="9">
        <v>0</v>
      </c>
      <c r="G482" s="9">
        <v>0</v>
      </c>
      <c r="H482" s="9">
        <v>0</v>
      </c>
      <c r="I482" s="9">
        <v>0</v>
      </c>
      <c r="J482" s="9">
        <v>20</v>
      </c>
    </row>
    <row r="483" spans="1:10" ht="15.75" x14ac:dyDescent="0.25">
      <c r="A483" s="21">
        <v>45351</v>
      </c>
      <c r="B483" t="str">
        <f>IFERROR(IF(VLOOKUP(C483,Hoja1!$B$1:$C$6191,2,0)="",_xlfn.XLOOKUP(C483,Hoja1!$B$2:$B$6191,Hoja1!$A$2:$A$6191),VLOOKUP(C483,Hoja1!$B$1:$C$6191,2,0)),"No esta en Infor")</f>
        <v>CAN0009</v>
      </c>
      <c r="C483" s="19" t="s">
        <v>116</v>
      </c>
      <c r="D483" s="9">
        <v>-354.25</v>
      </c>
      <c r="E483" s="9">
        <v>562.14</v>
      </c>
      <c r="F483" s="9">
        <v>0</v>
      </c>
      <c r="G483" s="9">
        <v>0</v>
      </c>
      <c r="H483" s="9">
        <v>0</v>
      </c>
      <c r="I483" s="9">
        <v>0</v>
      </c>
      <c r="J483" s="9">
        <v>207.89</v>
      </c>
    </row>
    <row r="484" spans="1:10" ht="15.75" x14ac:dyDescent="0.25">
      <c r="A484" s="21">
        <v>45351</v>
      </c>
      <c r="B484" t="str">
        <f>IFERROR(IF(VLOOKUP(C484,Hoja1!$B$1:$C$6191,2,0)="",_xlfn.XLOOKUP(C484,Hoja1!$B$2:$B$6191,Hoja1!$A$2:$A$6191),VLOOKUP(C484,Hoja1!$B$1:$C$6191,2,0)),"No esta en Infor")</f>
        <v>NAC0666</v>
      </c>
      <c r="C484" s="19" t="s">
        <v>118</v>
      </c>
      <c r="D484" s="9">
        <v>16323.2</v>
      </c>
      <c r="E484" s="9">
        <v>13189.4</v>
      </c>
      <c r="F484" s="9">
        <v>0</v>
      </c>
      <c r="G484" s="9">
        <v>0</v>
      </c>
      <c r="H484" s="9">
        <v>0</v>
      </c>
      <c r="I484" s="9">
        <v>0</v>
      </c>
      <c r="J484" s="9">
        <v>29512.6</v>
      </c>
    </row>
    <row r="485" spans="1:10" ht="15.75" x14ac:dyDescent="0.25">
      <c r="A485" s="21">
        <v>45351</v>
      </c>
      <c r="B485" t="str">
        <f>IFERROR(IF(VLOOKUP(C485,Hoja1!$B$1:$C$6191,2,0)="",_xlfn.XLOOKUP(C485,Hoja1!$B$2:$B$6191,Hoja1!$A$2:$A$6191),VLOOKUP(C485,Hoja1!$B$1:$C$6191,2,0)),"No esta en Infor")</f>
        <v>NAC0669</v>
      </c>
      <c r="C485" s="19" t="s">
        <v>119</v>
      </c>
      <c r="D485" s="9">
        <v>0</v>
      </c>
      <c r="E485" s="9">
        <v>317.98</v>
      </c>
      <c r="F485" s="9">
        <v>0</v>
      </c>
      <c r="G485" s="9">
        <v>0</v>
      </c>
      <c r="H485" s="9">
        <v>-0.01</v>
      </c>
      <c r="I485" s="9">
        <v>0</v>
      </c>
      <c r="J485" s="9">
        <v>317.97000000000003</v>
      </c>
    </row>
    <row r="486" spans="1:10" ht="15.75" x14ac:dyDescent="0.25">
      <c r="A486" s="21">
        <v>45351</v>
      </c>
      <c r="B486" t="str">
        <f>IFERROR(IF(VLOOKUP(C486,Hoja1!$B$1:$C$6191,2,0)="",_xlfn.XLOOKUP(C486,Hoja1!$B$2:$B$6191,Hoja1!$A$2:$A$6191),VLOOKUP(C486,Hoja1!$B$1:$C$6191,2,0)),"No esta en Infor")</f>
        <v>NAC0670</v>
      </c>
      <c r="C486" s="19" t="s">
        <v>120</v>
      </c>
      <c r="D486" s="9">
        <v>50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50</v>
      </c>
    </row>
    <row r="487" spans="1:10" ht="15.75" x14ac:dyDescent="0.25">
      <c r="A487" s="21">
        <v>45351</v>
      </c>
      <c r="B487" t="str">
        <f>IFERROR(IF(VLOOKUP(C487,Hoja1!$B$1:$C$6191,2,0)="",_xlfn.XLOOKUP(C487,Hoja1!$B$2:$B$6191,Hoja1!$A$2:$A$6191),VLOOKUP(C487,Hoja1!$B$1:$C$6191,2,0)),"No esta en Infor")</f>
        <v>CAN0011</v>
      </c>
      <c r="C487" s="19" t="s">
        <v>121</v>
      </c>
      <c r="D487" s="9">
        <v>1147.8499999999999</v>
      </c>
      <c r="E487" s="9">
        <v>28903.14</v>
      </c>
      <c r="F487" s="9">
        <v>0</v>
      </c>
      <c r="G487" s="9">
        <v>0</v>
      </c>
      <c r="H487" s="9">
        <v>0</v>
      </c>
      <c r="I487" s="9">
        <v>0</v>
      </c>
      <c r="J487" s="9">
        <v>30050.99</v>
      </c>
    </row>
    <row r="488" spans="1:10" ht="15.75" x14ac:dyDescent="0.25">
      <c r="A488" s="21">
        <v>45351</v>
      </c>
      <c r="B488" t="str">
        <f>IFERROR(IF(VLOOKUP(C488,Hoja1!$B$1:$C$6191,2,0)="",_xlfn.XLOOKUP(C488,Hoja1!$B$2:$B$6191,Hoja1!$A$2:$A$6191),VLOOKUP(C488,Hoja1!$B$1:$C$6191,2,0)),"No esta en Infor")</f>
        <v>NAC0672</v>
      </c>
      <c r="C488" s="19" t="s">
        <v>122</v>
      </c>
      <c r="D488" s="9">
        <v>0</v>
      </c>
      <c r="E488" s="9">
        <v>0</v>
      </c>
      <c r="F488" s="9">
        <v>27860.53</v>
      </c>
      <c r="G488" s="9">
        <v>0</v>
      </c>
      <c r="H488" s="9">
        <v>0</v>
      </c>
      <c r="I488" s="9">
        <v>0</v>
      </c>
      <c r="J488" s="9">
        <v>27860.53</v>
      </c>
    </row>
    <row r="489" spans="1:10" ht="15.75" x14ac:dyDescent="0.25">
      <c r="A489" s="21">
        <v>45351</v>
      </c>
      <c r="B489" t="str">
        <f>IFERROR(IF(VLOOKUP(C489,Hoja1!$B$1:$C$6191,2,0)="",_xlfn.XLOOKUP(C489,Hoja1!$B$2:$B$6191,Hoja1!$A$2:$A$6191),VLOOKUP(C489,Hoja1!$B$1:$C$6191,2,0)),"No esta en Infor")</f>
        <v>NAC0673</v>
      </c>
      <c r="C489" s="19" t="s">
        <v>390</v>
      </c>
      <c r="D489" s="9">
        <v>672.85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672.85</v>
      </c>
    </row>
    <row r="490" spans="1:10" ht="15.75" x14ac:dyDescent="0.25">
      <c r="A490" s="21">
        <v>45351</v>
      </c>
      <c r="B490" t="str">
        <f>IFERROR(IF(VLOOKUP(C490,Hoja1!$B$1:$C$6191,2,0)="",_xlfn.XLOOKUP(C490,Hoja1!$B$2:$B$6191,Hoja1!$A$2:$A$6191),VLOOKUP(C490,Hoja1!$B$1:$C$6191,2,0)),"No esta en Infor")</f>
        <v>SH00498</v>
      </c>
      <c r="C490" s="19" t="s">
        <v>123</v>
      </c>
      <c r="D490" s="9">
        <v>0</v>
      </c>
      <c r="E490" s="9">
        <v>0</v>
      </c>
      <c r="F490" s="9">
        <v>78.38</v>
      </c>
      <c r="G490" s="9">
        <v>0</v>
      </c>
      <c r="H490" s="9">
        <v>0</v>
      </c>
      <c r="I490" s="9">
        <v>0</v>
      </c>
      <c r="J490" s="9">
        <v>78.38</v>
      </c>
    </row>
    <row r="491" spans="1:10" ht="15.75" x14ac:dyDescent="0.25">
      <c r="A491" s="21">
        <v>45351</v>
      </c>
      <c r="B491" t="str">
        <f>IFERROR(IF(VLOOKUP(C491,Hoja1!$B$1:$C$6191,2,0)="",_xlfn.XLOOKUP(C491,Hoja1!$B$2:$B$6191,Hoja1!$A$2:$A$6191),VLOOKUP(C491,Hoja1!$B$1:$C$6191,2,0)),"No esta en Infor")</f>
        <v>NAC0675</v>
      </c>
      <c r="C491" s="19" t="s">
        <v>124</v>
      </c>
      <c r="D491" s="9">
        <v>0</v>
      </c>
      <c r="E491" s="9">
        <v>-787.89</v>
      </c>
      <c r="F491" s="9">
        <v>0</v>
      </c>
      <c r="G491" s="9">
        <v>0</v>
      </c>
      <c r="H491" s="9">
        <v>0</v>
      </c>
      <c r="I491" s="9">
        <v>0</v>
      </c>
      <c r="J491" s="9">
        <v>-787.89</v>
      </c>
    </row>
    <row r="492" spans="1:10" ht="15.75" x14ac:dyDescent="0.25">
      <c r="A492" s="21">
        <v>45351</v>
      </c>
      <c r="B492" t="str">
        <f>IFERROR(IF(VLOOKUP(C492,Hoja1!$B$1:$C$6191,2,0)="",_xlfn.XLOOKUP(C492,Hoja1!$B$2:$B$6191,Hoja1!$A$2:$A$6191),VLOOKUP(C492,Hoja1!$B$1:$C$6191,2,0)),"No esta en Infor")</f>
        <v>NAC0680</v>
      </c>
      <c r="C492" s="19" t="s">
        <v>125</v>
      </c>
      <c r="D492" s="9">
        <v>0</v>
      </c>
      <c r="E492" s="9">
        <v>116</v>
      </c>
      <c r="F492" s="9">
        <v>0</v>
      </c>
      <c r="G492" s="9">
        <v>0</v>
      </c>
      <c r="H492" s="9">
        <v>0</v>
      </c>
      <c r="I492" s="9">
        <v>0</v>
      </c>
      <c r="J492" s="9">
        <v>116</v>
      </c>
    </row>
    <row r="493" spans="1:10" ht="15.75" x14ac:dyDescent="0.25">
      <c r="A493" s="21">
        <v>45351</v>
      </c>
      <c r="B493" t="str">
        <f>IFERROR(IF(VLOOKUP(C493,Hoja1!$B$1:$C$6191,2,0)="",_xlfn.XLOOKUP(C493,Hoja1!$B$2:$B$6191,Hoja1!$A$2:$A$6191),VLOOKUP(C493,Hoja1!$B$1:$C$6191,2,0)),"No esta en Infor")</f>
        <v>NAC0687</v>
      </c>
      <c r="C493" s="19" t="s">
        <v>128</v>
      </c>
      <c r="D493" s="9">
        <v>0</v>
      </c>
      <c r="E493" s="9">
        <v>0</v>
      </c>
      <c r="F493" s="9">
        <v>-4768.2</v>
      </c>
      <c r="G493" s="9">
        <v>0</v>
      </c>
      <c r="H493" s="9">
        <v>0</v>
      </c>
      <c r="I493" s="9">
        <v>0</v>
      </c>
      <c r="J493" s="9">
        <v>-4768.2</v>
      </c>
    </row>
    <row r="494" spans="1:10" ht="15.75" x14ac:dyDescent="0.25">
      <c r="A494" s="21">
        <v>45351</v>
      </c>
      <c r="B494" t="str">
        <f>IFERROR(IF(VLOOKUP(C494,Hoja1!$B$1:$C$6191,2,0)="",_xlfn.XLOOKUP(C494,Hoja1!$B$2:$B$6191,Hoja1!$A$2:$A$6191),VLOOKUP(C494,Hoja1!$B$1:$C$6191,2,0)),"No esta en Infor")</f>
        <v>SH00560</v>
      </c>
      <c r="C494" s="19" t="s">
        <v>391</v>
      </c>
      <c r="D494" s="9">
        <v>0</v>
      </c>
      <c r="E494" s="9">
        <v>224.78</v>
      </c>
      <c r="F494" s="9">
        <v>0</v>
      </c>
      <c r="G494" s="9">
        <v>0</v>
      </c>
      <c r="H494" s="9">
        <v>0</v>
      </c>
      <c r="I494" s="9">
        <v>0</v>
      </c>
      <c r="J494" s="9">
        <v>224.78</v>
      </c>
    </row>
    <row r="495" spans="1:10" ht="15.75" x14ac:dyDescent="0.25">
      <c r="A495" s="21">
        <v>45351</v>
      </c>
      <c r="B495" t="str">
        <f>IFERROR(IF(VLOOKUP(C495,Hoja1!$B$1:$C$6191,2,0)="",_xlfn.XLOOKUP(C495,Hoja1!$B$2:$B$6191,Hoja1!$A$2:$A$6191),VLOOKUP(C495,Hoja1!$B$1:$C$6191,2,0)),"No esta en Infor")</f>
        <v>SH00610</v>
      </c>
      <c r="C495" s="19" t="s">
        <v>129</v>
      </c>
      <c r="D495" s="9">
        <v>0</v>
      </c>
      <c r="E495" s="9">
        <v>53.53</v>
      </c>
      <c r="F495" s="9">
        <v>0</v>
      </c>
      <c r="G495" s="9">
        <v>0</v>
      </c>
      <c r="H495" s="9">
        <v>0</v>
      </c>
      <c r="I495" s="9">
        <v>0</v>
      </c>
      <c r="J495" s="9">
        <v>53.53</v>
      </c>
    </row>
    <row r="496" spans="1:10" ht="15.75" x14ac:dyDescent="0.25">
      <c r="A496" s="21">
        <v>45351</v>
      </c>
      <c r="B496" t="str">
        <f>IFERROR(IF(VLOOKUP(C496,Hoja1!$B$1:$C$6191,2,0)="",_xlfn.XLOOKUP(C496,Hoja1!$B$2:$B$6191,Hoja1!$A$2:$A$6191),VLOOKUP(C496,Hoja1!$B$1:$C$6191,2,0)),"No esta en Infor")</f>
        <v>INT0052</v>
      </c>
      <c r="C496" s="19" t="s">
        <v>130</v>
      </c>
      <c r="D496" s="9">
        <v>10515.55</v>
      </c>
      <c r="E496" s="9">
        <v>3489.55</v>
      </c>
      <c r="F496" s="9">
        <v>11486.15</v>
      </c>
      <c r="G496" s="9">
        <v>60.19</v>
      </c>
      <c r="H496" s="9">
        <v>1.1000000000000001</v>
      </c>
      <c r="I496" s="9">
        <v>0</v>
      </c>
      <c r="J496" s="9">
        <v>25552.54</v>
      </c>
    </row>
    <row r="497" spans="1:10" ht="15.75" x14ac:dyDescent="0.25">
      <c r="A497" s="21">
        <v>45351</v>
      </c>
      <c r="B497" t="str">
        <f>IFERROR(IF(VLOOKUP(C497,Hoja1!$B$1:$C$6191,2,0)="",_xlfn.XLOOKUP(C497,Hoja1!$B$2:$B$6191,Hoja1!$A$2:$A$6191),VLOOKUP(C497,Hoja1!$B$1:$C$6191,2,0)),"No esta en Infor")</f>
        <v>INT0007</v>
      </c>
      <c r="C497" s="19" t="s">
        <v>131</v>
      </c>
      <c r="D497" s="9">
        <v>1011492.2</v>
      </c>
      <c r="E497" s="9">
        <v>711070.46</v>
      </c>
      <c r="F497" s="9">
        <v>651666.39</v>
      </c>
      <c r="G497" s="9">
        <v>746157.74</v>
      </c>
      <c r="H497" s="9">
        <v>826864.62</v>
      </c>
      <c r="I497" s="9">
        <v>-4352.88</v>
      </c>
      <c r="J497" s="9">
        <v>3942898.53</v>
      </c>
    </row>
    <row r="498" spans="1:10" ht="15.75" x14ac:dyDescent="0.25">
      <c r="A498" s="21">
        <v>45351</v>
      </c>
      <c r="B498" t="str">
        <f>IFERROR(IF(VLOOKUP(C498,Hoja1!$B$1:$C$6191,2,0)="",_xlfn.XLOOKUP(C498,Hoja1!$B$2:$B$6191,Hoja1!$A$2:$A$6191),VLOOKUP(C498,Hoja1!$B$1:$C$6191,2,0)),"No esta en Infor")</f>
        <v>INT0006</v>
      </c>
      <c r="C498" s="19" t="s">
        <v>132</v>
      </c>
      <c r="D498" s="9">
        <v>134851.48000000001</v>
      </c>
      <c r="E498" s="9">
        <v>27483.32</v>
      </c>
      <c r="F498" s="9">
        <v>21328.16</v>
      </c>
      <c r="G498" s="9">
        <v>0</v>
      </c>
      <c r="H498" s="9">
        <v>97133.82</v>
      </c>
      <c r="I498" s="9">
        <v>14.18</v>
      </c>
      <c r="J498" s="9">
        <v>280810.96000000002</v>
      </c>
    </row>
    <row r="499" spans="1:10" ht="15.75" x14ac:dyDescent="0.25">
      <c r="A499" s="21">
        <v>45351</v>
      </c>
      <c r="B499" t="str">
        <f>IFERROR(IF(VLOOKUP(C499,Hoja1!$B$1:$C$6191,2,0)="",_xlfn.XLOOKUP(C499,Hoja1!$B$2:$B$6191,Hoja1!$A$2:$A$6191),VLOOKUP(C499,Hoja1!$B$1:$C$6191,2,0)),"No esta en Infor")</f>
        <v>INT0002</v>
      </c>
      <c r="C499" s="19" t="s">
        <v>133</v>
      </c>
      <c r="D499" s="9">
        <v>41.61</v>
      </c>
      <c r="E499" s="9">
        <v>-13000</v>
      </c>
      <c r="F499" s="9">
        <v>0</v>
      </c>
      <c r="G499" s="9">
        <v>0</v>
      </c>
      <c r="H499" s="9">
        <v>0</v>
      </c>
      <c r="I499" s="9">
        <v>0</v>
      </c>
      <c r="J499" s="9">
        <v>-12958.39</v>
      </c>
    </row>
    <row r="500" spans="1:10" ht="15.75" x14ac:dyDescent="0.25">
      <c r="A500" s="21">
        <v>45351</v>
      </c>
      <c r="B500" t="str">
        <f>IFERROR(IF(VLOOKUP(C500,Hoja1!$B$1:$C$6191,2,0)="",_xlfn.XLOOKUP(C500,Hoja1!$B$2:$B$6191,Hoja1!$A$2:$A$6191),VLOOKUP(C500,Hoja1!$B$1:$C$6191,2,0)),"No esta en Infor")</f>
        <v>INT0001</v>
      </c>
      <c r="C500" s="19" t="s">
        <v>134</v>
      </c>
      <c r="D500" s="9">
        <v>49038.51</v>
      </c>
      <c r="E500" s="9">
        <v>0</v>
      </c>
      <c r="F500" s="9">
        <v>0</v>
      </c>
      <c r="G500" s="9">
        <v>-531.94000000000005</v>
      </c>
      <c r="H500" s="9">
        <v>0</v>
      </c>
      <c r="I500" s="9">
        <v>0</v>
      </c>
      <c r="J500" s="9">
        <v>48506.57</v>
      </c>
    </row>
    <row r="501" spans="1:10" ht="15.75" x14ac:dyDescent="0.25">
      <c r="A501" s="21">
        <v>45351</v>
      </c>
      <c r="B501" t="str">
        <f>IFERROR(IF(VLOOKUP(C501,Hoja1!$B$1:$C$6191,2,0)="",_xlfn.XLOOKUP(C501,Hoja1!$B$2:$B$6191,Hoja1!$A$2:$A$6191),VLOOKUP(C501,Hoja1!$B$1:$C$6191,2,0)),"No esta en Infor")</f>
        <v>INT0065</v>
      </c>
      <c r="C501" s="19" t="s">
        <v>135</v>
      </c>
      <c r="D501" s="9">
        <v>21562.17</v>
      </c>
      <c r="E501" s="9">
        <v>-3019.42</v>
      </c>
      <c r="F501" s="9">
        <v>0</v>
      </c>
      <c r="G501" s="9">
        <v>0</v>
      </c>
      <c r="H501" s="9">
        <v>-14950</v>
      </c>
      <c r="I501" s="9">
        <v>0</v>
      </c>
      <c r="J501" s="9">
        <v>3592.75</v>
      </c>
    </row>
    <row r="502" spans="1:10" ht="15.75" x14ac:dyDescent="0.25">
      <c r="A502" s="21">
        <v>45351</v>
      </c>
      <c r="B502" t="str">
        <f>IFERROR(IF(VLOOKUP(C502,Hoja1!$B$1:$C$6191,2,0)="",_xlfn.XLOOKUP(C502,Hoja1!$B$2:$B$6191,Hoja1!$A$2:$A$6191),VLOOKUP(C502,Hoja1!$B$1:$C$6191,2,0)),"No esta en Infor")</f>
        <v>INT0009</v>
      </c>
      <c r="C502" t="s">
        <v>658</v>
      </c>
      <c r="D502" s="9">
        <v>23172.81</v>
      </c>
      <c r="E502" s="9">
        <v>852.38</v>
      </c>
      <c r="F502" s="9">
        <v>0</v>
      </c>
      <c r="G502" s="9">
        <v>0</v>
      </c>
      <c r="H502" s="9">
        <v>-14950</v>
      </c>
      <c r="I502" s="9">
        <v>0</v>
      </c>
      <c r="J502" s="9">
        <v>9075.19</v>
      </c>
    </row>
    <row r="503" spans="1:10" ht="15.75" x14ac:dyDescent="0.25">
      <c r="A503" s="21">
        <v>45351</v>
      </c>
      <c r="B503" t="str">
        <f>IFERROR(IF(VLOOKUP(C503,Hoja1!$B$1:$C$6191,2,0)="",_xlfn.XLOOKUP(C503,Hoja1!$B$2:$B$6191,Hoja1!$A$2:$A$6191),VLOOKUP(C503,Hoja1!$B$1:$C$6191,2,0)),"No esta en Infor")</f>
        <v>INT0060</v>
      </c>
      <c r="C503" s="19" t="s">
        <v>136</v>
      </c>
      <c r="D503" s="9">
        <v>15869.74</v>
      </c>
      <c r="E503" s="9">
        <v>6341.76</v>
      </c>
      <c r="F503" s="9">
        <v>1224</v>
      </c>
      <c r="G503" s="9">
        <v>3762.5</v>
      </c>
      <c r="H503" s="9">
        <v>435</v>
      </c>
      <c r="I503" s="9">
        <v>15030.43</v>
      </c>
      <c r="J503" s="9">
        <v>42663.43</v>
      </c>
    </row>
    <row r="504" spans="1:10" ht="15.75" x14ac:dyDescent="0.25">
      <c r="A504" s="21">
        <v>45351</v>
      </c>
      <c r="B504" t="str">
        <f>IFERROR(IF(VLOOKUP(C504,Hoja1!$B$1:$C$6191,2,0)="",_xlfn.XLOOKUP(C504,Hoja1!$B$2:$B$6191,Hoja1!$A$2:$A$6191),VLOOKUP(C504,Hoja1!$B$1:$C$6191,2,0)),"No esta en Infor")</f>
        <v>NAC0704</v>
      </c>
      <c r="C504" s="19" t="s">
        <v>138</v>
      </c>
      <c r="D504" s="9">
        <v>0</v>
      </c>
      <c r="E504" s="9">
        <v>6324</v>
      </c>
      <c r="F504" s="9">
        <v>0</v>
      </c>
      <c r="G504" s="9">
        <v>0</v>
      </c>
      <c r="H504" s="9">
        <v>0</v>
      </c>
      <c r="I504" s="9">
        <v>0</v>
      </c>
      <c r="J504" s="9">
        <v>6324</v>
      </c>
    </row>
    <row r="505" spans="1:10" ht="15.75" x14ac:dyDescent="0.25">
      <c r="A505" s="21">
        <v>45351</v>
      </c>
      <c r="B505" t="str">
        <f>IFERROR(IF(VLOOKUP(C505,Hoja1!$B$1:$C$6191,2,0)="",_xlfn.XLOOKUP(C505,Hoja1!$B$2:$B$6191,Hoja1!$A$2:$A$6191),VLOOKUP(C505,Hoja1!$B$1:$C$6191,2,0)),"No esta en Infor")</f>
        <v>NAC0706</v>
      </c>
      <c r="C505" s="19" t="s">
        <v>139</v>
      </c>
      <c r="D505" s="9">
        <v>0</v>
      </c>
      <c r="E505" s="9">
        <v>667.38</v>
      </c>
      <c r="F505" s="9">
        <v>0</v>
      </c>
      <c r="G505" s="9">
        <v>0</v>
      </c>
      <c r="H505" s="9">
        <v>0</v>
      </c>
      <c r="I505" s="9">
        <v>0</v>
      </c>
      <c r="J505" s="9">
        <v>667.38</v>
      </c>
    </row>
    <row r="506" spans="1:10" ht="15.75" x14ac:dyDescent="0.25">
      <c r="A506" s="21">
        <v>45351</v>
      </c>
      <c r="B506" t="str">
        <f>IFERROR(IF(VLOOKUP(C506,Hoja1!$B$1:$C$6191,2,0)="",_xlfn.XLOOKUP(C506,Hoja1!$B$2:$B$6191,Hoja1!$A$2:$A$6191),VLOOKUP(C506,Hoja1!$B$1:$C$6191,2,0)),"No esta en Infor")</f>
        <v>NAC0710</v>
      </c>
      <c r="C506" s="19" t="s">
        <v>140</v>
      </c>
      <c r="D506" s="9">
        <v>1849</v>
      </c>
      <c r="E506" s="9">
        <v>38</v>
      </c>
      <c r="F506" s="9">
        <v>0</v>
      </c>
      <c r="G506" s="9">
        <v>0</v>
      </c>
      <c r="H506" s="9">
        <v>0</v>
      </c>
      <c r="I506" s="9">
        <v>0</v>
      </c>
      <c r="J506" s="9">
        <v>1887</v>
      </c>
    </row>
    <row r="507" spans="1:10" ht="15.75" x14ac:dyDescent="0.25">
      <c r="A507" s="21">
        <v>45351</v>
      </c>
      <c r="B507" t="str">
        <f>IFERROR(IF(VLOOKUP(C507,Hoja1!$B$1:$C$6191,2,0)="",_xlfn.XLOOKUP(C507,Hoja1!$B$2:$B$6191,Hoja1!$A$2:$A$6191),VLOOKUP(C507,Hoja1!$B$1:$C$6191,2,0)),"No esta en Infor")</f>
        <v>CAN0014</v>
      </c>
      <c r="C507" s="19" t="s">
        <v>141</v>
      </c>
      <c r="D507" s="9">
        <v>1475.1</v>
      </c>
      <c r="E507" s="9">
        <v>3470.25</v>
      </c>
      <c r="F507" s="9">
        <v>-119.88</v>
      </c>
      <c r="G507" s="9">
        <v>0</v>
      </c>
      <c r="H507" s="9">
        <v>0</v>
      </c>
      <c r="I507" s="9">
        <v>0</v>
      </c>
      <c r="J507" s="9">
        <v>4825.47</v>
      </c>
    </row>
    <row r="508" spans="1:10" ht="15.75" x14ac:dyDescent="0.25">
      <c r="A508" s="21">
        <v>45351</v>
      </c>
      <c r="B508" t="str">
        <f>IFERROR(IF(VLOOKUP(C508,Hoja1!$B$1:$C$6191,2,0)="",_xlfn.XLOOKUP(C508,Hoja1!$B$2:$B$6191,Hoja1!$A$2:$A$6191),VLOOKUP(C508,Hoja1!$B$1:$C$6191,2,0)),"No esta en Infor")</f>
        <v>NAC0712</v>
      </c>
      <c r="C508" s="19" t="s">
        <v>142</v>
      </c>
      <c r="D508" s="9">
        <v>17234.5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17234.5</v>
      </c>
    </row>
    <row r="509" spans="1:10" ht="15.75" x14ac:dyDescent="0.25">
      <c r="A509" s="21">
        <v>45351</v>
      </c>
      <c r="B509" t="str">
        <f>IFERROR(IF(VLOOKUP(C509,Hoja1!$B$1:$C$6191,2,0)="",_xlfn.XLOOKUP(C509,Hoja1!$B$2:$B$6191,Hoja1!$A$2:$A$6191),VLOOKUP(C509,Hoja1!$B$1:$C$6191,2,0)),"No esta en Infor")</f>
        <v>FOC0023</v>
      </c>
      <c r="C509" s="19" t="s">
        <v>143</v>
      </c>
      <c r="D509" s="9">
        <v>0</v>
      </c>
      <c r="E509" s="9">
        <v>18788.189999999999</v>
      </c>
      <c r="F509" s="9">
        <v>-17126.03</v>
      </c>
      <c r="G509" s="9">
        <v>0</v>
      </c>
      <c r="H509" s="9">
        <v>18335</v>
      </c>
      <c r="I509" s="9">
        <v>2188.25</v>
      </c>
      <c r="J509" s="9">
        <v>22185.41</v>
      </c>
    </row>
    <row r="510" spans="1:10" ht="15.75" x14ac:dyDescent="0.25">
      <c r="A510" s="21">
        <v>45351</v>
      </c>
      <c r="B510" t="str">
        <f>IFERROR(IF(VLOOKUP(C510,Hoja1!$B$1:$C$6191,2,0)="",_xlfn.XLOOKUP(C510,Hoja1!$B$2:$B$6191,Hoja1!$A$2:$A$6191),VLOOKUP(C510,Hoja1!$B$1:$C$6191,2,0)),"No esta en Infor")</f>
        <v>SH00640</v>
      </c>
      <c r="C510" s="19" t="s">
        <v>392</v>
      </c>
      <c r="D510" s="9">
        <v>0</v>
      </c>
      <c r="E510" s="9">
        <v>-41.16</v>
      </c>
      <c r="F510" s="9">
        <v>0</v>
      </c>
      <c r="G510" s="9">
        <v>0</v>
      </c>
      <c r="H510" s="9">
        <v>0</v>
      </c>
      <c r="I510" s="9">
        <v>0</v>
      </c>
      <c r="J510" s="9">
        <v>-41.16</v>
      </c>
    </row>
    <row r="511" spans="1:10" ht="15.75" x14ac:dyDescent="0.25">
      <c r="A511" s="21">
        <v>45351</v>
      </c>
      <c r="B511" t="str">
        <f>IFERROR(IF(VLOOKUP(C511,Hoja1!$B$1:$C$6191,2,0)="",_xlfn.XLOOKUP(C511,Hoja1!$B$2:$B$6191,Hoja1!$A$2:$A$6191),VLOOKUP(C511,Hoja1!$B$1:$C$6191,2,0)),"No esta en Infor")</f>
        <v>SH00642</v>
      </c>
      <c r="C511" s="19" t="s">
        <v>144</v>
      </c>
      <c r="D511" s="9">
        <v>0</v>
      </c>
      <c r="E511" s="9">
        <v>323.89</v>
      </c>
      <c r="F511" s="9">
        <v>0</v>
      </c>
      <c r="G511" s="9">
        <v>0</v>
      </c>
      <c r="H511" s="9">
        <v>0</v>
      </c>
      <c r="I511" s="9">
        <v>0</v>
      </c>
      <c r="J511" s="9">
        <v>323.89</v>
      </c>
    </row>
    <row r="512" spans="1:10" ht="15.75" x14ac:dyDescent="0.25">
      <c r="A512" s="21">
        <v>45351</v>
      </c>
      <c r="B512" t="str">
        <f>IFERROR(IF(VLOOKUP(C512,Hoja1!$B$1:$C$6191,2,0)="",_xlfn.XLOOKUP(C512,Hoja1!$B$2:$B$6191,Hoja1!$A$2:$A$6191),VLOOKUP(C512,Hoja1!$B$1:$C$6191,2,0)),"No esta en Infor")</f>
        <v>NAC0720</v>
      </c>
      <c r="C512" s="19" t="s">
        <v>145</v>
      </c>
      <c r="D512" s="9">
        <v>1727</v>
      </c>
      <c r="E512" s="9">
        <v>10704</v>
      </c>
      <c r="F512" s="9">
        <v>0</v>
      </c>
      <c r="G512" s="9">
        <v>0</v>
      </c>
      <c r="H512" s="9">
        <v>0</v>
      </c>
      <c r="I512" s="9">
        <v>0</v>
      </c>
      <c r="J512" s="9">
        <v>12431</v>
      </c>
    </row>
    <row r="513" spans="1:10" ht="15.75" x14ac:dyDescent="0.25">
      <c r="A513" s="21">
        <v>45351</v>
      </c>
      <c r="B513" t="str">
        <f>IFERROR(IF(VLOOKUP(C513,Hoja1!$B$1:$C$6191,2,0)="",_xlfn.XLOOKUP(C513,Hoja1!$B$2:$B$6191,Hoja1!$A$2:$A$6191),VLOOKUP(C513,Hoja1!$B$1:$C$6191,2,0)),"No esta en Infor")</f>
        <v>NAC0723</v>
      </c>
      <c r="C513" s="19" t="s">
        <v>146</v>
      </c>
      <c r="D513" s="9">
        <v>0</v>
      </c>
      <c r="E513" s="9">
        <v>323.27999999999997</v>
      </c>
      <c r="F513" s="9">
        <v>0</v>
      </c>
      <c r="G513" s="9">
        <v>0</v>
      </c>
      <c r="H513" s="9">
        <v>0</v>
      </c>
      <c r="I513" s="9">
        <v>0</v>
      </c>
      <c r="J513" s="9">
        <v>323.27999999999997</v>
      </c>
    </row>
    <row r="514" spans="1:10" ht="15.75" x14ac:dyDescent="0.25">
      <c r="A514" s="21">
        <v>45351</v>
      </c>
      <c r="B514" t="str">
        <f>IFERROR(IF(VLOOKUP(C514,Hoja1!$B$1:$C$6191,2,0)="",_xlfn.XLOOKUP(C514,Hoja1!$B$2:$B$6191,Hoja1!$A$2:$A$6191),VLOOKUP(C514,Hoja1!$B$1:$C$6191,2,0)),"No esta en Infor")</f>
        <v>NAC0726</v>
      </c>
      <c r="C514" s="19" t="s">
        <v>147</v>
      </c>
      <c r="D514" s="9">
        <v>0</v>
      </c>
      <c r="E514" s="9">
        <v>35329.629999999997</v>
      </c>
      <c r="F514" s="9">
        <v>0</v>
      </c>
      <c r="G514" s="9">
        <v>0</v>
      </c>
      <c r="H514" s="9">
        <v>0</v>
      </c>
      <c r="I514" s="9">
        <v>0</v>
      </c>
      <c r="J514" s="9">
        <v>35329.629999999997</v>
      </c>
    </row>
    <row r="515" spans="1:10" ht="15.75" x14ac:dyDescent="0.25">
      <c r="A515" s="21">
        <v>45351</v>
      </c>
      <c r="B515" t="str">
        <f>IFERROR(IF(VLOOKUP(C515,Hoja1!$B$1:$C$6191,2,0)="",_xlfn.XLOOKUP(C515,Hoja1!$B$2:$B$6191,Hoja1!$A$2:$A$6191),VLOOKUP(C515,Hoja1!$B$1:$C$6191,2,0)),"No esta en Infor")</f>
        <v>NAC0729</v>
      </c>
      <c r="C515" s="19" t="s">
        <v>148</v>
      </c>
      <c r="D515" s="9">
        <v>0</v>
      </c>
      <c r="E515" s="9">
        <v>316</v>
      </c>
      <c r="F515" s="9">
        <v>0</v>
      </c>
      <c r="G515" s="9">
        <v>0</v>
      </c>
      <c r="H515" s="9">
        <v>0</v>
      </c>
      <c r="I515" s="9">
        <v>0</v>
      </c>
      <c r="J515" s="9">
        <v>316</v>
      </c>
    </row>
    <row r="516" spans="1:10" ht="15.75" x14ac:dyDescent="0.25">
      <c r="A516" s="21">
        <v>45351</v>
      </c>
      <c r="B516" t="str">
        <f>IFERROR(IF(VLOOKUP(C516,Hoja1!$B$1:$C$6191,2,0)="",_xlfn.XLOOKUP(C516,Hoja1!$B$2:$B$6191,Hoja1!$A$2:$A$6191),VLOOKUP(C516,Hoja1!$B$1:$C$6191,2,0)),"No esta en Infor")</f>
        <v>NAC0734</v>
      </c>
      <c r="C516" s="19" t="s">
        <v>149</v>
      </c>
      <c r="D516" s="9">
        <v>0</v>
      </c>
      <c r="E516" s="9">
        <v>880.98</v>
      </c>
      <c r="F516" s="9">
        <v>0</v>
      </c>
      <c r="G516" s="9">
        <v>0</v>
      </c>
      <c r="H516" s="9">
        <v>0</v>
      </c>
      <c r="I516" s="9">
        <v>0</v>
      </c>
      <c r="J516" s="9">
        <v>880.98</v>
      </c>
    </row>
    <row r="517" spans="1:10" ht="15.75" x14ac:dyDescent="0.25">
      <c r="A517" s="21">
        <v>45351</v>
      </c>
      <c r="B517" t="str">
        <f>IFERROR(IF(VLOOKUP(C517,Hoja1!$B$1:$C$6191,2,0)="",_xlfn.XLOOKUP(C517,Hoja1!$B$2:$B$6191,Hoja1!$A$2:$A$6191),VLOOKUP(C517,Hoja1!$B$1:$C$6191,2,0)),"No esta en Infor")</f>
        <v>NAC0738</v>
      </c>
      <c r="C517" s="19" t="s">
        <v>150</v>
      </c>
      <c r="D517" s="9">
        <v>0</v>
      </c>
      <c r="E517" s="9">
        <v>-715.64</v>
      </c>
      <c r="F517" s="9">
        <v>0</v>
      </c>
      <c r="G517" s="9">
        <v>0</v>
      </c>
      <c r="H517" s="9">
        <v>0</v>
      </c>
      <c r="I517" s="9">
        <v>0</v>
      </c>
      <c r="J517" s="9">
        <v>-715.64</v>
      </c>
    </row>
    <row r="518" spans="1:10" ht="15.75" x14ac:dyDescent="0.25">
      <c r="A518" s="21">
        <v>45351</v>
      </c>
      <c r="B518" t="str">
        <f>IFERROR(IF(VLOOKUP(C518,Hoja1!$B$1:$C$6191,2,0)="",_xlfn.XLOOKUP(C518,Hoja1!$B$2:$B$6191,Hoja1!$A$2:$A$6191),VLOOKUP(C518,Hoja1!$B$1:$C$6191,2,0)),"No esta en Infor")</f>
        <v>NAC0740</v>
      </c>
      <c r="C518" s="19" t="s">
        <v>151</v>
      </c>
      <c r="D518" s="9">
        <v>0</v>
      </c>
      <c r="E518" s="9">
        <v>0</v>
      </c>
      <c r="F518" s="9">
        <v>0</v>
      </c>
      <c r="G518" s="9">
        <v>96.38</v>
      </c>
      <c r="H518" s="9">
        <v>0</v>
      </c>
      <c r="I518" s="9">
        <v>0</v>
      </c>
      <c r="J518" s="9">
        <v>96.38</v>
      </c>
    </row>
    <row r="519" spans="1:10" ht="15.75" x14ac:dyDescent="0.25">
      <c r="A519" s="21">
        <v>45351</v>
      </c>
      <c r="B519" t="str">
        <f>IFERROR(IF(VLOOKUP(C519,Hoja1!$B$1:$C$6191,2,0)="",_xlfn.XLOOKUP(C519,Hoja1!$B$2:$B$6191,Hoja1!$A$2:$A$6191),VLOOKUP(C519,Hoja1!$B$1:$C$6191,2,0)),"No esta en Infor")</f>
        <v>NAC1608</v>
      </c>
      <c r="C519" s="19" t="s">
        <v>152</v>
      </c>
      <c r="D519" s="9">
        <v>0</v>
      </c>
      <c r="E519" s="9">
        <v>0</v>
      </c>
      <c r="F519" s="9">
        <v>-308</v>
      </c>
      <c r="G519" s="9">
        <v>0</v>
      </c>
      <c r="H519" s="9">
        <v>0</v>
      </c>
      <c r="I519" s="9">
        <v>0</v>
      </c>
      <c r="J519" s="9">
        <v>-308</v>
      </c>
    </row>
    <row r="520" spans="1:10" ht="15.75" x14ac:dyDescent="0.25">
      <c r="A520" s="21">
        <v>45351</v>
      </c>
      <c r="B520" t="str">
        <f>IFERROR(IF(VLOOKUP(C520,Hoja1!$B$1:$C$6191,2,0)="",_xlfn.XLOOKUP(C520,Hoja1!$B$2:$B$6191,Hoja1!$A$2:$A$6191),VLOOKUP(C520,Hoja1!$B$1:$C$6191,2,0)),"No esta en Infor")</f>
        <v>NAC0756</v>
      </c>
      <c r="C520" s="19" t="s">
        <v>154</v>
      </c>
      <c r="D520" s="9">
        <v>0</v>
      </c>
      <c r="E520" s="9">
        <v>0</v>
      </c>
      <c r="F520" s="9">
        <v>-3.79</v>
      </c>
      <c r="G520" s="9">
        <v>0</v>
      </c>
      <c r="H520" s="9">
        <v>0</v>
      </c>
      <c r="I520" s="9">
        <v>0</v>
      </c>
      <c r="J520" s="9">
        <v>-3.79</v>
      </c>
    </row>
    <row r="521" spans="1:10" ht="15.75" x14ac:dyDescent="0.25">
      <c r="A521" s="21">
        <v>45351</v>
      </c>
      <c r="B521" t="str">
        <f>IFERROR(IF(VLOOKUP(C521,Hoja1!$B$1:$C$6191,2,0)="",_xlfn.XLOOKUP(C521,Hoja1!$B$2:$B$6191,Hoja1!$A$2:$A$6191),VLOOKUP(C521,Hoja1!$B$1:$C$6191,2,0)),"No esta en Infor")</f>
        <v>NAC0767</v>
      </c>
      <c r="C521" s="19" t="s">
        <v>155</v>
      </c>
      <c r="D521" s="9">
        <v>7509</v>
      </c>
      <c r="E521" s="9">
        <v>244878</v>
      </c>
      <c r="F521" s="9">
        <v>0</v>
      </c>
      <c r="G521" s="9">
        <v>-21257.9</v>
      </c>
      <c r="H521" s="9">
        <v>0</v>
      </c>
      <c r="I521" s="9">
        <v>0</v>
      </c>
      <c r="J521" s="9">
        <v>231129.1</v>
      </c>
    </row>
    <row r="522" spans="1:10" ht="15.75" x14ac:dyDescent="0.25">
      <c r="A522" s="21">
        <v>45351</v>
      </c>
      <c r="B522" t="str">
        <f>IFERROR(IF(VLOOKUP(C522,Hoja1!$B$1:$C$6191,2,0)="",_xlfn.XLOOKUP(C522,Hoja1!$B$2:$B$6191,Hoja1!$A$2:$A$6191),VLOOKUP(C522,Hoja1!$B$1:$C$6191,2,0)),"No esta en Infor")</f>
        <v>SH00705</v>
      </c>
      <c r="C522" s="19" t="s">
        <v>393</v>
      </c>
      <c r="D522" s="9">
        <v>0</v>
      </c>
      <c r="E522" s="9">
        <v>61.9</v>
      </c>
      <c r="F522" s="9">
        <v>0</v>
      </c>
      <c r="G522" s="9">
        <v>0</v>
      </c>
      <c r="H522" s="9">
        <v>0</v>
      </c>
      <c r="I522" s="9">
        <v>0</v>
      </c>
      <c r="J522" s="9">
        <v>61.9</v>
      </c>
    </row>
    <row r="523" spans="1:10" ht="15.75" x14ac:dyDescent="0.25">
      <c r="A523" s="21">
        <v>45351</v>
      </c>
      <c r="B523" t="str">
        <f>IFERROR(IF(VLOOKUP(C523,Hoja1!$B$1:$C$6191,2,0)="",_xlfn.XLOOKUP(C523,Hoja1!$B$2:$B$6191,Hoja1!$A$2:$A$6191),VLOOKUP(C523,Hoja1!$B$1:$C$6191,2,0)),"No esta en Infor")</f>
        <v>NAC0769</v>
      </c>
      <c r="C523" s="19" t="s">
        <v>156</v>
      </c>
      <c r="D523" s="9">
        <v>4752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4752</v>
      </c>
    </row>
    <row r="524" spans="1:10" ht="15.75" x14ac:dyDescent="0.25">
      <c r="A524" s="21">
        <v>45351</v>
      </c>
      <c r="B524" t="str">
        <f>IFERROR(IF(VLOOKUP(C524,Hoja1!$B$1:$C$6191,2,0)="",_xlfn.XLOOKUP(C524,Hoja1!$B$2:$B$6191,Hoja1!$A$2:$A$6191),VLOOKUP(C524,Hoja1!$B$1:$C$6191,2,0)),"No esta en Infor")</f>
        <v>NAC0775</v>
      </c>
      <c r="C524" s="19" t="s">
        <v>158</v>
      </c>
      <c r="D524" s="9">
        <v>0</v>
      </c>
      <c r="E524" s="9">
        <v>-29.24</v>
      </c>
      <c r="F524" s="9">
        <v>0</v>
      </c>
      <c r="G524" s="9">
        <v>0</v>
      </c>
      <c r="H524" s="9">
        <v>0</v>
      </c>
      <c r="I524" s="9">
        <v>0</v>
      </c>
      <c r="J524" s="9">
        <v>-29.24</v>
      </c>
    </row>
    <row r="525" spans="1:10" ht="15.75" x14ac:dyDescent="0.25">
      <c r="A525" s="21">
        <v>45351</v>
      </c>
      <c r="B525" t="str">
        <f>IFERROR(IF(VLOOKUP(C525,Hoja1!$B$1:$C$6191,2,0)="",_xlfn.XLOOKUP(C525,Hoja1!$B$2:$B$6191,Hoja1!$A$2:$A$6191),VLOOKUP(C525,Hoja1!$B$1:$C$6191,2,0)),"No esta en Infor")</f>
        <v>NAC0778</v>
      </c>
      <c r="C525" s="19" t="s">
        <v>159</v>
      </c>
      <c r="D525" s="9">
        <v>0</v>
      </c>
      <c r="E525" s="9">
        <v>-781.38</v>
      </c>
      <c r="F525" s="9">
        <v>0</v>
      </c>
      <c r="G525" s="9">
        <v>0</v>
      </c>
      <c r="H525" s="9">
        <v>0</v>
      </c>
      <c r="I525" s="9">
        <v>0</v>
      </c>
      <c r="J525" s="9">
        <v>-781.38</v>
      </c>
    </row>
    <row r="526" spans="1:10" ht="15.75" x14ac:dyDescent="0.25">
      <c r="A526" s="21">
        <v>45351</v>
      </c>
      <c r="B526" t="str">
        <f>IFERROR(IF(VLOOKUP(C526,Hoja1!$B$1:$C$6191,2,0)="",_xlfn.XLOOKUP(C526,Hoja1!$B$2:$B$6191,Hoja1!$A$2:$A$6191),VLOOKUP(C526,Hoja1!$B$1:$C$6191,2,0)),"No esta en Infor")</f>
        <v>NAC0779</v>
      </c>
      <c r="C526" s="19" t="s">
        <v>160</v>
      </c>
      <c r="D526" s="9">
        <v>7664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7664</v>
      </c>
    </row>
    <row r="527" spans="1:10" ht="15.75" x14ac:dyDescent="0.25">
      <c r="A527" s="21">
        <v>45351</v>
      </c>
      <c r="B527" t="str">
        <f>IFERROR(IF(VLOOKUP(C527,Hoja1!$B$1:$C$6191,2,0)="",_xlfn.XLOOKUP(C527,Hoja1!$B$2:$B$6191,Hoja1!$A$2:$A$6191),VLOOKUP(C527,Hoja1!$B$1:$C$6191,2,0)),"No esta en Infor")</f>
        <v>NAC0781</v>
      </c>
      <c r="C527" s="19" t="s">
        <v>162</v>
      </c>
      <c r="D527" s="9">
        <v>0</v>
      </c>
      <c r="E527" s="9">
        <v>-60</v>
      </c>
      <c r="F527" s="9">
        <v>0</v>
      </c>
      <c r="G527" s="9">
        <v>0</v>
      </c>
      <c r="H527" s="9">
        <v>-390</v>
      </c>
      <c r="I527" s="9">
        <v>0</v>
      </c>
      <c r="J527" s="9">
        <v>-450</v>
      </c>
    </row>
    <row r="528" spans="1:10" ht="15.75" x14ac:dyDescent="0.25">
      <c r="A528" s="21">
        <v>45351</v>
      </c>
      <c r="B528" t="str">
        <f>IFERROR(IF(VLOOKUP(C528,Hoja1!$B$1:$C$6191,2,0)="",_xlfn.XLOOKUP(C528,Hoja1!$B$2:$B$6191,Hoja1!$A$2:$A$6191),VLOOKUP(C528,Hoja1!$B$1:$C$6191,2,0)),"No esta en Infor")</f>
        <v>NAC0788</v>
      </c>
      <c r="C528" s="19" t="s">
        <v>163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-366</v>
      </c>
      <c r="J528" s="9">
        <v>-366</v>
      </c>
    </row>
    <row r="529" spans="1:10" ht="15.75" x14ac:dyDescent="0.25">
      <c r="A529" s="21">
        <v>45351</v>
      </c>
      <c r="B529" t="str">
        <f>IFERROR(IF(VLOOKUP(C529,Hoja1!$B$1:$C$6191,2,0)="",_xlfn.XLOOKUP(C529,Hoja1!$B$2:$B$6191,Hoja1!$A$2:$A$6191),VLOOKUP(C529,Hoja1!$B$1:$C$6191,2,0)),"No esta en Infor")</f>
        <v>NAC0792</v>
      </c>
      <c r="C529" s="19" t="s">
        <v>164</v>
      </c>
      <c r="D529" s="9">
        <v>11475.92</v>
      </c>
      <c r="E529" s="9">
        <v>70848.7</v>
      </c>
      <c r="F529" s="9">
        <v>0</v>
      </c>
      <c r="G529" s="9">
        <v>-0.01</v>
      </c>
      <c r="H529" s="9">
        <v>0</v>
      </c>
      <c r="I529" s="9">
        <v>-0.01</v>
      </c>
      <c r="J529" s="9">
        <v>82324.600000000006</v>
      </c>
    </row>
    <row r="530" spans="1:10" ht="15.75" x14ac:dyDescent="0.25">
      <c r="A530" s="21">
        <v>45351</v>
      </c>
      <c r="B530" t="str">
        <f>IFERROR(IF(VLOOKUP(C530,Hoja1!$B$1:$C$6191,2,0)="",_xlfn.XLOOKUP(C530,Hoja1!$B$2:$B$6191,Hoja1!$A$2:$A$6191),VLOOKUP(C530,Hoja1!$B$1:$C$6191,2,0)),"No esta en Infor")</f>
        <v>NAC1612</v>
      </c>
      <c r="C530" s="19" t="s">
        <v>394</v>
      </c>
      <c r="D530" s="9">
        <v>0</v>
      </c>
      <c r="E530" s="9">
        <v>-0.01</v>
      </c>
      <c r="F530" s="9">
        <v>0</v>
      </c>
      <c r="G530" s="9">
        <v>0</v>
      </c>
      <c r="H530" s="9">
        <v>0</v>
      </c>
      <c r="I530" s="9">
        <v>0</v>
      </c>
      <c r="J530" s="9">
        <v>-0.01</v>
      </c>
    </row>
    <row r="531" spans="1:10" ht="15.75" x14ac:dyDescent="0.25">
      <c r="A531" s="21">
        <v>45351</v>
      </c>
      <c r="B531" t="str">
        <f>IFERROR(IF(VLOOKUP(C531,Hoja1!$B$1:$C$6191,2,0)="",_xlfn.XLOOKUP(C531,Hoja1!$B$2:$B$6191,Hoja1!$A$2:$A$6191),VLOOKUP(C531,Hoja1!$B$1:$C$6191,2,0)),"No esta en Infor")</f>
        <v>NAC1612</v>
      </c>
      <c r="C531" s="19" t="s">
        <v>165</v>
      </c>
      <c r="D531" s="9">
        <v>0</v>
      </c>
      <c r="E531" s="9">
        <v>273.99</v>
      </c>
      <c r="F531" s="9">
        <v>0</v>
      </c>
      <c r="G531" s="9">
        <v>0</v>
      </c>
      <c r="H531" s="9">
        <v>0</v>
      </c>
      <c r="I531" s="9">
        <v>0</v>
      </c>
      <c r="J531" s="9">
        <v>273.99</v>
      </c>
    </row>
    <row r="532" spans="1:10" ht="15.75" x14ac:dyDescent="0.25">
      <c r="A532" s="21">
        <v>45351</v>
      </c>
      <c r="B532" t="str">
        <f>IFERROR(IF(VLOOKUP(C532,Hoja1!$B$1:$C$6191,2,0)="",_xlfn.XLOOKUP(C532,Hoja1!$B$2:$B$6191,Hoja1!$A$2:$A$6191),VLOOKUP(C532,Hoja1!$B$1:$C$6191,2,0)),"No esta en Infor")</f>
        <v>NAC0796</v>
      </c>
      <c r="C532" s="19" t="s">
        <v>395</v>
      </c>
      <c r="D532" s="9">
        <v>322.39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322.39</v>
      </c>
    </row>
    <row r="533" spans="1:10" ht="15.75" x14ac:dyDescent="0.25">
      <c r="A533" s="21">
        <v>45351</v>
      </c>
      <c r="B533" t="str">
        <f>IFERROR(IF(VLOOKUP(C533,Hoja1!$B$1:$C$6191,2,0)="",_xlfn.XLOOKUP(C533,Hoja1!$B$2:$B$6191,Hoja1!$A$2:$A$6191),VLOOKUP(C533,Hoja1!$B$1:$C$6191,2,0)),"No esta en Infor")</f>
        <v>NAC0798</v>
      </c>
      <c r="C533" s="19" t="s">
        <v>167</v>
      </c>
      <c r="D533" s="9">
        <v>753</v>
      </c>
      <c r="E533" s="9">
        <v>7063.5</v>
      </c>
      <c r="F533" s="9">
        <v>0</v>
      </c>
      <c r="G533" s="9">
        <v>0</v>
      </c>
      <c r="H533" s="9">
        <v>0</v>
      </c>
      <c r="I533" s="9">
        <v>0</v>
      </c>
      <c r="J533" s="9">
        <v>7816.5</v>
      </c>
    </row>
    <row r="534" spans="1:10" ht="15.75" x14ac:dyDescent="0.25">
      <c r="A534" s="21">
        <v>45351</v>
      </c>
      <c r="B534" t="str">
        <f>IFERROR(IF(VLOOKUP(C534,Hoja1!$B$1:$C$6191,2,0)="",_xlfn.XLOOKUP(C534,Hoja1!$B$2:$B$6191,Hoja1!$A$2:$A$6191),VLOOKUP(C534,Hoja1!$B$1:$C$6191,2,0)),"No esta en Infor")</f>
        <v>NAC0801</v>
      </c>
      <c r="C534" s="19" t="s">
        <v>168</v>
      </c>
      <c r="D534" s="9">
        <v>328.44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328.44</v>
      </c>
    </row>
    <row r="535" spans="1:10" ht="15.75" x14ac:dyDescent="0.25">
      <c r="A535" s="21">
        <v>45351</v>
      </c>
      <c r="B535" t="str">
        <f>IFERROR(IF(VLOOKUP(C535,Hoja1!$B$1:$C$6191,2,0)="",_xlfn.XLOOKUP(C535,Hoja1!$B$2:$B$6191,Hoja1!$A$2:$A$6191),VLOOKUP(C535,Hoja1!$B$1:$C$6191,2,0)),"No esta en Infor")</f>
        <v>NAC0804</v>
      </c>
      <c r="C535" s="19" t="s">
        <v>169</v>
      </c>
      <c r="D535" s="9">
        <v>6063.03</v>
      </c>
      <c r="E535" s="9">
        <v>2125.12</v>
      </c>
      <c r="F535" s="9">
        <v>0</v>
      </c>
      <c r="G535" s="9">
        <v>0</v>
      </c>
      <c r="H535" s="9">
        <v>0</v>
      </c>
      <c r="I535" s="9">
        <v>0</v>
      </c>
      <c r="J535" s="9">
        <v>8188.15</v>
      </c>
    </row>
    <row r="536" spans="1:10" ht="15.75" x14ac:dyDescent="0.25">
      <c r="A536" s="21">
        <v>45351</v>
      </c>
      <c r="B536" t="str">
        <f>IFERROR(IF(VLOOKUP(C536,Hoja1!$B$1:$C$6191,2,0)="",_xlfn.XLOOKUP(C536,Hoja1!$B$2:$B$6191,Hoja1!$A$2:$A$6191),VLOOKUP(C536,Hoja1!$B$1:$C$6191,2,0)),"No esta en Infor")</f>
        <v>NAC0805</v>
      </c>
      <c r="C536" s="19" t="s">
        <v>170</v>
      </c>
      <c r="D536" s="9">
        <v>0</v>
      </c>
      <c r="E536" s="9">
        <v>0</v>
      </c>
      <c r="F536" s="9">
        <v>0</v>
      </c>
      <c r="G536" s="9">
        <v>0</v>
      </c>
      <c r="H536" s="9">
        <v>-0.03</v>
      </c>
      <c r="I536" s="9">
        <v>0</v>
      </c>
      <c r="J536" s="9">
        <v>-0.03</v>
      </c>
    </row>
    <row r="537" spans="1:10" ht="15.75" x14ac:dyDescent="0.25">
      <c r="A537" s="21">
        <v>45351</v>
      </c>
      <c r="B537" t="str">
        <f>IFERROR(IF(VLOOKUP(C537,Hoja1!$B$1:$C$6191,2,0)="",_xlfn.XLOOKUP(C537,Hoja1!$B$2:$B$6191,Hoja1!$A$2:$A$6191),VLOOKUP(C537,Hoja1!$B$1:$C$6191,2,0)),"No esta en Infor")</f>
        <v>NAC0809</v>
      </c>
      <c r="C537" s="19" t="s">
        <v>171</v>
      </c>
      <c r="D537" s="9">
        <v>0</v>
      </c>
      <c r="E537" s="9">
        <v>312.31</v>
      </c>
      <c r="F537" s="9">
        <v>0</v>
      </c>
      <c r="G537" s="9">
        <v>0</v>
      </c>
      <c r="H537" s="9">
        <v>0</v>
      </c>
      <c r="I537" s="9">
        <v>0</v>
      </c>
      <c r="J537" s="9">
        <v>312.31</v>
      </c>
    </row>
    <row r="538" spans="1:10" ht="15.75" x14ac:dyDescent="0.25">
      <c r="A538" s="21">
        <v>45351</v>
      </c>
      <c r="B538" t="str">
        <f>IFERROR(IF(VLOOKUP(C538,Hoja1!$B$1:$C$6191,2,0)="",_xlfn.XLOOKUP(C538,Hoja1!$B$2:$B$6191,Hoja1!$A$2:$A$6191),VLOOKUP(C538,Hoja1!$B$1:$C$6191,2,0)),"No esta en Infor")</f>
        <v>CAN0019</v>
      </c>
      <c r="C538" s="19" t="s">
        <v>172</v>
      </c>
      <c r="D538" s="9">
        <v>43903.32</v>
      </c>
      <c r="E538" s="9">
        <v>61256.36</v>
      </c>
      <c r="F538" s="9">
        <v>0</v>
      </c>
      <c r="G538" s="9">
        <v>0</v>
      </c>
      <c r="H538" s="9">
        <v>0</v>
      </c>
      <c r="I538" s="9">
        <v>0</v>
      </c>
      <c r="J538" s="9">
        <v>105159.67999999999</v>
      </c>
    </row>
    <row r="539" spans="1:10" ht="15.75" x14ac:dyDescent="0.25">
      <c r="A539" s="21">
        <v>45351</v>
      </c>
      <c r="B539" t="str">
        <f>IFERROR(IF(VLOOKUP(C539,Hoja1!$B$1:$C$6191,2,0)="",_xlfn.XLOOKUP(C539,Hoja1!$B$2:$B$6191,Hoja1!$A$2:$A$6191),VLOOKUP(C539,Hoja1!$B$1:$C$6191,2,0)),"No esta en Infor")</f>
        <v>CAN0020</v>
      </c>
      <c r="C539" s="19" t="s">
        <v>174</v>
      </c>
      <c r="D539" s="9">
        <v>1970.48</v>
      </c>
      <c r="E539" s="9">
        <v>-1045.25</v>
      </c>
      <c r="F539" s="9">
        <v>0</v>
      </c>
      <c r="G539" s="9">
        <v>0</v>
      </c>
      <c r="H539" s="9">
        <v>0</v>
      </c>
      <c r="I539" s="9">
        <v>0</v>
      </c>
      <c r="J539" s="9">
        <v>925.23</v>
      </c>
    </row>
    <row r="540" spans="1:10" ht="15.75" x14ac:dyDescent="0.25">
      <c r="A540" s="21">
        <v>45351</v>
      </c>
      <c r="B540" t="str">
        <f>IFERROR(IF(VLOOKUP(C540,Hoja1!$B$1:$C$6191,2,0)="",_xlfn.XLOOKUP(C540,Hoja1!$B$2:$B$6191,Hoja1!$A$2:$A$6191),VLOOKUP(C540,Hoja1!$B$1:$C$6191,2,0)),"No esta en Infor")</f>
        <v>NAC0816</v>
      </c>
      <c r="C540" s="19" t="s">
        <v>176</v>
      </c>
      <c r="D540" s="9">
        <v>0</v>
      </c>
      <c r="E540" s="9">
        <v>279</v>
      </c>
      <c r="F540" s="9">
        <v>0</v>
      </c>
      <c r="G540" s="9">
        <v>0</v>
      </c>
      <c r="H540" s="9">
        <v>0</v>
      </c>
      <c r="I540" s="9">
        <v>0</v>
      </c>
      <c r="J540" s="9">
        <v>279</v>
      </c>
    </row>
    <row r="541" spans="1:10" ht="15.75" x14ac:dyDescent="0.25">
      <c r="A541" s="21">
        <v>45351</v>
      </c>
      <c r="B541" t="str">
        <f>IFERROR(IF(VLOOKUP(C541,Hoja1!$B$1:$C$6191,2,0)="",_xlfn.XLOOKUP(C541,Hoja1!$B$2:$B$6191,Hoja1!$A$2:$A$6191),VLOOKUP(C541,Hoja1!$B$1:$C$6191,2,0)),"No esta en Infor")</f>
        <v>NAC0818</v>
      </c>
      <c r="C541" s="19" t="s">
        <v>177</v>
      </c>
      <c r="D541" s="9">
        <v>0</v>
      </c>
      <c r="E541" s="9">
        <v>0</v>
      </c>
      <c r="F541" s="9">
        <v>0</v>
      </c>
      <c r="G541" s="9">
        <v>0</v>
      </c>
      <c r="H541" s="9">
        <v>-26</v>
      </c>
      <c r="I541" s="9">
        <v>0</v>
      </c>
      <c r="J541" s="9">
        <v>-26</v>
      </c>
    </row>
    <row r="542" spans="1:10" ht="15.75" x14ac:dyDescent="0.25">
      <c r="A542" s="21">
        <v>45351</v>
      </c>
      <c r="B542" t="str">
        <f>IFERROR(IF(VLOOKUP(C542,Hoja1!$B$1:$C$6191,2,0)="",_xlfn.XLOOKUP(C542,Hoja1!$B$2:$B$6191,Hoja1!$A$2:$A$6191),VLOOKUP(C542,Hoja1!$B$1:$C$6191,2,0)),"No esta en Infor")</f>
        <v>NAC0824</v>
      </c>
      <c r="C542" s="19" t="s">
        <v>178</v>
      </c>
      <c r="D542" s="9">
        <v>2332.6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2332.6</v>
      </c>
    </row>
    <row r="543" spans="1:10" ht="15.75" x14ac:dyDescent="0.25">
      <c r="A543" s="21">
        <v>45351</v>
      </c>
      <c r="B543" t="str">
        <f>IFERROR(IF(VLOOKUP(C543,Hoja1!$B$1:$C$6191,2,0)="",_xlfn.XLOOKUP(C543,Hoja1!$B$2:$B$6191,Hoja1!$A$2:$A$6191),VLOOKUP(C543,Hoja1!$B$1:$C$6191,2,0)),"No esta en Infor")</f>
        <v>NAC0825</v>
      </c>
      <c r="C543" s="19" t="s">
        <v>179</v>
      </c>
      <c r="D543" s="9">
        <v>36083.629999999997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36083.629999999997</v>
      </c>
    </row>
    <row r="544" spans="1:10" ht="15.75" x14ac:dyDescent="0.25">
      <c r="A544" s="21">
        <v>45351</v>
      </c>
      <c r="B544" t="str">
        <f>IFERROR(IF(VLOOKUP(C544,Hoja1!$B$1:$C$6191,2,0)="",_xlfn.XLOOKUP(C544,Hoja1!$B$2:$B$6191,Hoja1!$A$2:$A$6191),VLOOKUP(C544,Hoja1!$B$1:$C$6191,2,0)),"No esta en Infor")</f>
        <v>NAC0835</v>
      </c>
      <c r="C544" s="19" t="s">
        <v>182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-188.04</v>
      </c>
      <c r="J544" s="9">
        <v>-188.04</v>
      </c>
    </row>
    <row r="545" spans="1:10" ht="15.75" x14ac:dyDescent="0.25">
      <c r="A545" s="21">
        <v>45351</v>
      </c>
      <c r="B545" t="str">
        <f>IFERROR(IF(VLOOKUP(C545,Hoja1!$B$1:$C$6191,2,0)="",_xlfn.XLOOKUP(C545,Hoja1!$B$2:$B$6191,Hoja1!$A$2:$A$6191),VLOOKUP(C545,Hoja1!$B$1:$C$6191,2,0)),"No esta en Infor")</f>
        <v>NAC0838</v>
      </c>
      <c r="C545" s="19" t="s">
        <v>396</v>
      </c>
      <c r="D545" s="9">
        <v>0</v>
      </c>
      <c r="E545" s="9">
        <v>218.5</v>
      </c>
      <c r="F545" s="9">
        <v>0</v>
      </c>
      <c r="G545" s="9">
        <v>0</v>
      </c>
      <c r="H545" s="9">
        <v>0</v>
      </c>
      <c r="I545" s="9">
        <v>0</v>
      </c>
      <c r="J545" s="9">
        <v>218.5</v>
      </c>
    </row>
    <row r="546" spans="1:10" ht="15.75" x14ac:dyDescent="0.25">
      <c r="A546" s="21">
        <v>45351</v>
      </c>
      <c r="B546" t="str">
        <f>IFERROR(IF(VLOOKUP(C546,Hoja1!$B$1:$C$6191,2,0)="",_xlfn.XLOOKUP(C546,Hoja1!$B$2:$B$6191,Hoja1!$A$2:$A$6191),VLOOKUP(C546,Hoja1!$B$1:$C$6191,2,0)),"No esta en Infor")</f>
        <v>NAC0844</v>
      </c>
      <c r="C546" s="19" t="s">
        <v>22</v>
      </c>
      <c r="D546" s="9">
        <v>0</v>
      </c>
      <c r="E546" s="9">
        <v>0</v>
      </c>
      <c r="F546" s="9">
        <v>0</v>
      </c>
      <c r="G546" s="9">
        <v>63</v>
      </c>
      <c r="H546" s="9">
        <v>0</v>
      </c>
      <c r="I546" s="9">
        <v>0</v>
      </c>
      <c r="J546" s="9">
        <v>63</v>
      </c>
    </row>
    <row r="547" spans="1:10" ht="15.75" x14ac:dyDescent="0.25">
      <c r="A547" s="21">
        <v>45351</v>
      </c>
      <c r="B547" t="str">
        <f>IFERROR(IF(VLOOKUP(C547,Hoja1!$B$1:$C$6191,2,0)="",_xlfn.XLOOKUP(C547,Hoja1!$B$2:$B$6191,Hoja1!$A$2:$A$6191),VLOOKUP(C547,Hoja1!$B$1:$C$6191,2,0)),"No esta en Infor")</f>
        <v>NAC0847</v>
      </c>
      <c r="C547" s="19" t="s">
        <v>184</v>
      </c>
      <c r="D547" s="9">
        <v>0</v>
      </c>
      <c r="E547" s="9">
        <v>0</v>
      </c>
      <c r="F547" s="9">
        <v>0</v>
      </c>
      <c r="G547" s="9">
        <v>-1</v>
      </c>
      <c r="H547" s="9">
        <v>0</v>
      </c>
      <c r="I547" s="9">
        <v>0</v>
      </c>
      <c r="J547" s="9">
        <v>-1</v>
      </c>
    </row>
    <row r="548" spans="1:10" ht="15.75" x14ac:dyDescent="0.25">
      <c r="A548" s="21">
        <v>45351</v>
      </c>
      <c r="B548" t="str">
        <f>IFERROR(IF(VLOOKUP(C548,Hoja1!$B$1:$C$6191,2,0)="",_xlfn.XLOOKUP(C548,Hoja1!$B$2:$B$6191,Hoja1!$A$2:$A$6191),VLOOKUP(C548,Hoja1!$B$1:$C$6191,2,0)),"No esta en Infor")</f>
        <v>NAC0851</v>
      </c>
      <c r="C548" s="19" t="s">
        <v>185</v>
      </c>
      <c r="D548" s="9">
        <v>0</v>
      </c>
      <c r="E548" s="9">
        <v>-75.599999999999994</v>
      </c>
      <c r="F548" s="9">
        <v>-680.4</v>
      </c>
      <c r="G548" s="9">
        <v>0</v>
      </c>
      <c r="H548" s="9">
        <v>0</v>
      </c>
      <c r="I548" s="9">
        <v>0</v>
      </c>
      <c r="J548" s="9">
        <v>-756</v>
      </c>
    </row>
    <row r="549" spans="1:10" ht="15.75" x14ac:dyDescent="0.25">
      <c r="A549" s="21">
        <v>45351</v>
      </c>
      <c r="B549" t="str">
        <f>IFERROR(IF(VLOOKUP(C549,Hoja1!$B$1:$C$6191,2,0)="",_xlfn.XLOOKUP(C549,Hoja1!$B$2:$B$6191,Hoja1!$A$2:$A$6191),VLOOKUP(C549,Hoja1!$B$1:$C$6191,2,0)),"No esta en Infor")</f>
        <v>SH00787</v>
      </c>
      <c r="C549" s="19" t="s">
        <v>186</v>
      </c>
      <c r="D549" s="9">
        <v>0</v>
      </c>
      <c r="E549" s="9">
        <v>174.63</v>
      </c>
      <c r="F549" s="9">
        <v>0</v>
      </c>
      <c r="G549" s="9">
        <v>0</v>
      </c>
      <c r="H549" s="9">
        <v>0</v>
      </c>
      <c r="I549" s="9">
        <v>0</v>
      </c>
      <c r="J549" s="9">
        <v>174.63</v>
      </c>
    </row>
    <row r="550" spans="1:10" ht="15.75" x14ac:dyDescent="0.25">
      <c r="A550" s="21">
        <v>45351</v>
      </c>
      <c r="B550" t="str">
        <f>IFERROR(IF(VLOOKUP(C550,Hoja1!$B$1:$C$6191,2,0)="",_xlfn.XLOOKUP(C550,Hoja1!$B$2:$B$6191,Hoja1!$A$2:$A$6191),VLOOKUP(C550,Hoja1!$B$1:$C$6191,2,0)),"No esta en Infor")</f>
        <v>No esta en Infor</v>
      </c>
      <c r="C550" s="19" t="s">
        <v>187</v>
      </c>
      <c r="D550" s="9">
        <v>0</v>
      </c>
      <c r="E550" s="9">
        <v>-4.6500000000000004</v>
      </c>
      <c r="F550" s="9">
        <v>0</v>
      </c>
      <c r="G550" s="9">
        <v>0</v>
      </c>
      <c r="H550" s="9">
        <v>0</v>
      </c>
      <c r="I550" s="9">
        <v>0</v>
      </c>
      <c r="J550" s="9">
        <v>-4.6500000000000004</v>
      </c>
    </row>
    <row r="551" spans="1:10" ht="15.75" x14ac:dyDescent="0.25">
      <c r="A551" s="21">
        <v>45351</v>
      </c>
      <c r="B551" t="str">
        <f>IFERROR(IF(VLOOKUP(C551,Hoja1!$B$1:$C$6191,2,0)="",_xlfn.XLOOKUP(C551,Hoja1!$B$2:$B$6191,Hoja1!$A$2:$A$6191),VLOOKUP(C551,Hoja1!$B$1:$C$6191,2,0)),"No esta en Infor")</f>
        <v>NAC0858</v>
      </c>
      <c r="C551" s="19" t="s">
        <v>188</v>
      </c>
      <c r="D551" s="9">
        <v>13410.8</v>
      </c>
      <c r="E551" s="9">
        <v>2396</v>
      </c>
      <c r="F551" s="9">
        <v>0</v>
      </c>
      <c r="G551" s="9">
        <v>0</v>
      </c>
      <c r="H551" s="9">
        <v>0</v>
      </c>
      <c r="I551" s="9">
        <v>0</v>
      </c>
      <c r="J551" s="9">
        <v>15806.8</v>
      </c>
    </row>
    <row r="552" spans="1:10" ht="15.75" x14ac:dyDescent="0.25">
      <c r="A552" s="21">
        <v>45351</v>
      </c>
      <c r="B552" t="str">
        <f>IFERROR(IF(VLOOKUP(C552,Hoja1!$B$1:$C$6191,2,0)="",_xlfn.XLOOKUP(C552,Hoja1!$B$2:$B$6191,Hoja1!$A$2:$A$6191),VLOOKUP(C552,Hoja1!$B$1:$C$6191,2,0)),"No esta en Infor")</f>
        <v>NAC0861</v>
      </c>
      <c r="C552" s="19" t="s">
        <v>189</v>
      </c>
      <c r="D552" s="9">
        <v>0</v>
      </c>
      <c r="E552" s="9">
        <v>2944</v>
      </c>
      <c r="F552" s="9">
        <v>0</v>
      </c>
      <c r="G552" s="9">
        <v>0</v>
      </c>
      <c r="H552" s="9">
        <v>0</v>
      </c>
      <c r="I552" s="9">
        <v>0</v>
      </c>
      <c r="J552" s="9">
        <v>2944</v>
      </c>
    </row>
    <row r="553" spans="1:10" ht="15.75" x14ac:dyDescent="0.25">
      <c r="A553" s="21">
        <v>45351</v>
      </c>
      <c r="B553" t="str">
        <f>IFERROR(IF(VLOOKUP(C553,Hoja1!$B$1:$C$6191,2,0)="",_xlfn.XLOOKUP(C553,Hoja1!$B$2:$B$6191,Hoja1!$A$2:$A$6191),VLOOKUP(C553,Hoja1!$B$1:$C$6191,2,0)),"No esta en Infor")</f>
        <v>CAN0022</v>
      </c>
      <c r="C553" s="19" t="s">
        <v>397</v>
      </c>
      <c r="D553" s="9">
        <v>0</v>
      </c>
      <c r="E553" s="9">
        <v>4739.67</v>
      </c>
      <c r="F553" s="9">
        <v>0</v>
      </c>
      <c r="G553" s="9">
        <v>0</v>
      </c>
      <c r="H553" s="9">
        <v>0</v>
      </c>
      <c r="I553" s="9">
        <v>0</v>
      </c>
      <c r="J553" s="9">
        <v>4739.67</v>
      </c>
    </row>
    <row r="554" spans="1:10" ht="15.75" x14ac:dyDescent="0.25">
      <c r="A554" s="21">
        <v>45351</v>
      </c>
      <c r="B554" t="str">
        <f>IFERROR(IF(VLOOKUP(C554,Hoja1!$B$1:$C$6191,2,0)="",_xlfn.XLOOKUP(C554,Hoja1!$B$2:$B$6191,Hoja1!$A$2:$A$6191),VLOOKUP(C554,Hoja1!$B$1:$C$6191,2,0)),"No esta en Infor")</f>
        <v>NAC0863</v>
      </c>
      <c r="C554" s="19" t="s">
        <v>398</v>
      </c>
      <c r="D554" s="9">
        <v>0</v>
      </c>
      <c r="E554" s="9">
        <v>-1314.47</v>
      </c>
      <c r="F554" s="9">
        <v>0</v>
      </c>
      <c r="G554" s="9">
        <v>0</v>
      </c>
      <c r="H554" s="9">
        <v>0</v>
      </c>
      <c r="I554" s="9">
        <v>0</v>
      </c>
      <c r="J554" s="9">
        <v>-1314.47</v>
      </c>
    </row>
    <row r="555" spans="1:10" ht="15.75" x14ac:dyDescent="0.25">
      <c r="A555" s="21">
        <v>45351</v>
      </c>
      <c r="B555" t="str">
        <f>IFERROR(IF(VLOOKUP(C555,Hoja1!$B$1:$C$6191,2,0)="",_xlfn.XLOOKUP(C555,Hoja1!$B$2:$B$6191,Hoja1!$A$2:$A$6191),VLOOKUP(C555,Hoja1!$B$1:$C$6191,2,0)),"No esta en Infor")</f>
        <v>NAC0866</v>
      </c>
      <c r="C555" s="19" t="s">
        <v>191</v>
      </c>
      <c r="D555" s="9">
        <v>0</v>
      </c>
      <c r="E555" s="9">
        <v>0</v>
      </c>
      <c r="F555" s="9">
        <v>0</v>
      </c>
      <c r="G555" s="9">
        <v>0</v>
      </c>
      <c r="H555" s="9">
        <v>-622</v>
      </c>
      <c r="I555" s="9">
        <v>0</v>
      </c>
      <c r="J555" s="9">
        <v>-622</v>
      </c>
    </row>
    <row r="556" spans="1:10" ht="15.75" x14ac:dyDescent="0.25">
      <c r="A556" s="21">
        <v>45351</v>
      </c>
      <c r="B556" t="str">
        <f>IFERROR(IF(VLOOKUP(C556,Hoja1!$B$1:$C$6191,2,0)="",_xlfn.XLOOKUP(C556,Hoja1!$B$2:$B$6191,Hoja1!$A$2:$A$6191),VLOOKUP(C556,Hoja1!$B$1:$C$6191,2,0)),"No esta en Infor")</f>
        <v>NAC0869</v>
      </c>
      <c r="C556" s="19" t="s">
        <v>192</v>
      </c>
      <c r="D556" s="9">
        <v>26235.65</v>
      </c>
      <c r="E556" s="9">
        <v>2650.8</v>
      </c>
      <c r="F556" s="9">
        <v>-70.650000000000006</v>
      </c>
      <c r="G556" s="9">
        <v>-802.53</v>
      </c>
      <c r="H556" s="9">
        <v>-430.27</v>
      </c>
      <c r="I556" s="9">
        <v>0</v>
      </c>
      <c r="J556" s="9">
        <v>27583</v>
      </c>
    </row>
    <row r="557" spans="1:10" ht="15.75" x14ac:dyDescent="0.25">
      <c r="A557" s="21">
        <v>45351</v>
      </c>
      <c r="B557" t="str">
        <f>IFERROR(IF(VLOOKUP(C557,Hoja1!$B$1:$C$6191,2,0)="",_xlfn.XLOOKUP(C557,Hoja1!$B$2:$B$6191,Hoja1!$A$2:$A$6191),VLOOKUP(C557,Hoja1!$B$1:$C$6191,2,0)),"No esta en Infor")</f>
        <v>NAC0871</v>
      </c>
      <c r="C557" s="19" t="s">
        <v>193</v>
      </c>
      <c r="D557" s="9">
        <v>721</v>
      </c>
      <c r="E557" s="9">
        <v>896.7</v>
      </c>
      <c r="F557" s="9">
        <v>0</v>
      </c>
      <c r="G557" s="9">
        <v>0</v>
      </c>
      <c r="H557" s="9">
        <v>0</v>
      </c>
      <c r="I557" s="9">
        <v>0</v>
      </c>
      <c r="J557" s="9">
        <v>1617.7</v>
      </c>
    </row>
    <row r="558" spans="1:10" ht="15.75" x14ac:dyDescent="0.25">
      <c r="A558" s="21">
        <v>45351</v>
      </c>
      <c r="B558" t="str">
        <f>IFERROR(IF(VLOOKUP(C558,Hoja1!$B$1:$C$6191,2,0)="",_xlfn.XLOOKUP(C558,Hoja1!$B$2:$B$6191,Hoja1!$A$2:$A$6191),VLOOKUP(C558,Hoja1!$B$1:$C$6191,2,0)),"No esta en Infor")</f>
        <v>NAC0879</v>
      </c>
      <c r="C558" s="19" t="s">
        <v>194</v>
      </c>
      <c r="D558" s="9">
        <v>0</v>
      </c>
      <c r="E558" s="9">
        <v>-117.9</v>
      </c>
      <c r="F558" s="9">
        <v>0</v>
      </c>
      <c r="G558" s="9">
        <v>0</v>
      </c>
      <c r="H558" s="9">
        <v>0</v>
      </c>
      <c r="I558" s="9">
        <v>0</v>
      </c>
      <c r="J558" s="9">
        <v>-117.9</v>
      </c>
    </row>
    <row r="559" spans="1:10" ht="15.75" x14ac:dyDescent="0.25">
      <c r="A559" s="21">
        <v>45351</v>
      </c>
      <c r="B559" t="str">
        <f>IFERROR(IF(VLOOKUP(C559,Hoja1!$B$1:$C$6191,2,0)="",_xlfn.XLOOKUP(C559,Hoja1!$B$2:$B$6191,Hoja1!$A$2:$A$6191),VLOOKUP(C559,Hoja1!$B$1:$C$6191,2,0)),"No esta en Infor")</f>
        <v>NAC0881</v>
      </c>
      <c r="C559" s="19" t="s">
        <v>195</v>
      </c>
      <c r="D559" s="9">
        <v>34025.160000000003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34025.160000000003</v>
      </c>
    </row>
    <row r="560" spans="1:10" ht="15.75" x14ac:dyDescent="0.25">
      <c r="A560" s="21">
        <v>45351</v>
      </c>
      <c r="B560" t="str">
        <f>IFERROR(IF(VLOOKUP(C560,Hoja1!$B$1:$C$6191,2,0)="",_xlfn.XLOOKUP(C560,Hoja1!$B$2:$B$6191,Hoja1!$A$2:$A$6191),VLOOKUP(C560,Hoja1!$B$1:$C$6191,2,0)),"No esta en Infor")</f>
        <v>NAC0886</v>
      </c>
      <c r="C560" s="19" t="s">
        <v>196</v>
      </c>
      <c r="D560" s="9">
        <v>32342.53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32342.53</v>
      </c>
    </row>
    <row r="561" spans="1:10" ht="15.75" x14ac:dyDescent="0.25">
      <c r="A561" s="21">
        <v>45351</v>
      </c>
      <c r="B561" t="str">
        <f>IFERROR(IF(VLOOKUP(C561,Hoja1!$B$1:$C$6191,2,0)="",_xlfn.XLOOKUP(C561,Hoja1!$B$2:$B$6191,Hoja1!$A$2:$A$6191),VLOOKUP(C561,Hoja1!$B$1:$C$6191,2,0)),"No esta en Infor")</f>
        <v>NAC0888</v>
      </c>
      <c r="C561" s="19" t="s">
        <v>198</v>
      </c>
      <c r="D561" s="9">
        <v>17875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17875</v>
      </c>
    </row>
    <row r="562" spans="1:10" ht="15.75" x14ac:dyDescent="0.25">
      <c r="A562" s="21">
        <v>45351</v>
      </c>
      <c r="B562" t="str">
        <f>IFERROR(IF(VLOOKUP(C562,Hoja1!$B$1:$C$6191,2,0)="",_xlfn.XLOOKUP(C562,Hoja1!$B$2:$B$6191,Hoja1!$A$2:$A$6191),VLOOKUP(C562,Hoja1!$B$1:$C$6191,2,0)),"No esta en Infor")</f>
        <v>NAC0894</v>
      </c>
      <c r="C562" s="19" t="s">
        <v>199</v>
      </c>
      <c r="D562" s="9">
        <v>0</v>
      </c>
      <c r="E562" s="9">
        <v>814.97</v>
      </c>
      <c r="F562" s="9">
        <v>0</v>
      </c>
      <c r="G562" s="9">
        <v>0</v>
      </c>
      <c r="H562" s="9">
        <v>0</v>
      </c>
      <c r="I562" s="9">
        <v>0</v>
      </c>
      <c r="J562" s="9">
        <v>814.97</v>
      </c>
    </row>
    <row r="563" spans="1:10" ht="15.75" x14ac:dyDescent="0.25">
      <c r="A563" s="21">
        <v>45351</v>
      </c>
      <c r="B563" t="str">
        <f>IFERROR(IF(VLOOKUP(C563,Hoja1!$B$1:$C$6191,2,0)="",_xlfn.XLOOKUP(C563,Hoja1!$B$2:$B$6191,Hoja1!$A$2:$A$6191),VLOOKUP(C563,Hoja1!$B$1:$C$6191,2,0)),"No esta en Infor")</f>
        <v>NAC0896</v>
      </c>
      <c r="C563" s="19" t="s">
        <v>399</v>
      </c>
      <c r="D563" s="9">
        <v>333.84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333.84</v>
      </c>
    </row>
    <row r="564" spans="1:10" ht="15.75" x14ac:dyDescent="0.25">
      <c r="A564" s="21">
        <v>45351</v>
      </c>
      <c r="B564" t="str">
        <f>IFERROR(IF(VLOOKUP(C564,Hoja1!$B$1:$C$6191,2,0)="",_xlfn.XLOOKUP(C564,Hoja1!$B$2:$B$6191,Hoja1!$A$2:$A$6191),VLOOKUP(C564,Hoja1!$B$1:$C$6191,2,0)),"No esta en Infor")</f>
        <v>NAC0897</v>
      </c>
      <c r="C564" s="19" t="s">
        <v>25</v>
      </c>
      <c r="D564" s="9">
        <v>1792.5</v>
      </c>
      <c r="E564" s="9">
        <v>-56</v>
      </c>
      <c r="F564" s="9">
        <v>0</v>
      </c>
      <c r="G564" s="9">
        <v>0</v>
      </c>
      <c r="H564" s="9">
        <v>0</v>
      </c>
      <c r="I564" s="9">
        <v>0</v>
      </c>
      <c r="J564" s="9">
        <v>1736.5</v>
      </c>
    </row>
    <row r="565" spans="1:10" ht="15.75" x14ac:dyDescent="0.25">
      <c r="A565" s="21">
        <v>45351</v>
      </c>
      <c r="B565" t="str">
        <f>IFERROR(IF(VLOOKUP(C565,Hoja1!$B$1:$C$6191,2,0)="",_xlfn.XLOOKUP(C565,Hoja1!$B$2:$B$6191,Hoja1!$A$2:$A$6191),VLOOKUP(C565,Hoja1!$B$1:$C$6191,2,0)),"No esta en Infor")</f>
        <v>NAC0898</v>
      </c>
      <c r="C565" s="19" t="s">
        <v>200</v>
      </c>
      <c r="D565" s="9">
        <v>106.25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106.25</v>
      </c>
    </row>
    <row r="566" spans="1:10" ht="15.75" x14ac:dyDescent="0.25">
      <c r="A566" s="21">
        <v>45351</v>
      </c>
      <c r="B566" t="str">
        <f>IFERROR(IF(VLOOKUP(C566,Hoja1!$B$1:$C$6191,2,0)="",_xlfn.XLOOKUP(C566,Hoja1!$B$2:$B$6191,Hoja1!$A$2:$A$6191),VLOOKUP(C566,Hoja1!$B$1:$C$6191,2,0)),"No esta en Infor")</f>
        <v>NAC0900</v>
      </c>
      <c r="C566" s="19" t="s">
        <v>201</v>
      </c>
      <c r="D566" s="9">
        <v>1312.48</v>
      </c>
      <c r="E566" s="9">
        <v>0</v>
      </c>
      <c r="F566" s="9">
        <v>413.65</v>
      </c>
      <c r="G566" s="9">
        <v>0</v>
      </c>
      <c r="H566" s="9">
        <v>0</v>
      </c>
      <c r="I566" s="9">
        <v>0</v>
      </c>
      <c r="J566" s="9">
        <v>1726.13</v>
      </c>
    </row>
    <row r="567" spans="1:10" ht="15.75" x14ac:dyDescent="0.25">
      <c r="A567" s="21">
        <v>45351</v>
      </c>
      <c r="B567" t="str">
        <f>IFERROR(IF(VLOOKUP(C567,Hoja1!$B$1:$C$6191,2,0)="",_xlfn.XLOOKUP(C567,Hoja1!$B$2:$B$6191,Hoja1!$A$2:$A$6191),VLOOKUP(C567,Hoja1!$B$1:$C$6191,2,0)),"No esta en Infor")</f>
        <v>NAC0904</v>
      </c>
      <c r="C567" s="19" t="s">
        <v>400</v>
      </c>
      <c r="D567" s="9">
        <v>2066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2066</v>
      </c>
    </row>
    <row r="568" spans="1:10" ht="15.75" x14ac:dyDescent="0.25">
      <c r="A568" s="21">
        <v>45351</v>
      </c>
      <c r="B568" t="str">
        <f>IFERROR(IF(VLOOKUP(C568,Hoja1!$B$1:$C$6191,2,0)="",_xlfn.XLOOKUP(C568,Hoja1!$B$2:$B$6191,Hoja1!$A$2:$A$6191),VLOOKUP(C568,Hoja1!$B$1:$C$6191,2,0)),"No esta en Infor")</f>
        <v>NAC0914</v>
      </c>
      <c r="C568" s="19" t="s">
        <v>202</v>
      </c>
      <c r="D568" s="9">
        <v>0</v>
      </c>
      <c r="E568" s="9">
        <v>-100.21</v>
      </c>
      <c r="F568" s="9">
        <v>0</v>
      </c>
      <c r="G568" s="9">
        <v>0</v>
      </c>
      <c r="H568" s="9">
        <v>0</v>
      </c>
      <c r="I568" s="9">
        <v>0</v>
      </c>
      <c r="J568" s="9">
        <v>-100.21</v>
      </c>
    </row>
    <row r="569" spans="1:10" ht="15.75" x14ac:dyDescent="0.25">
      <c r="A569" s="21">
        <v>45351</v>
      </c>
      <c r="B569" t="str">
        <f>IFERROR(IF(VLOOKUP(C569,Hoja1!$B$1:$C$6191,2,0)="",_xlfn.XLOOKUP(C569,Hoja1!$B$2:$B$6191,Hoja1!$A$2:$A$6191),VLOOKUP(C569,Hoja1!$B$1:$C$6191,2,0)),"No esta en Infor")</f>
        <v>NAC0924</v>
      </c>
      <c r="C569" s="19" t="s">
        <v>205</v>
      </c>
      <c r="D569" s="9">
        <v>23356.799999999999</v>
      </c>
      <c r="E569" s="9">
        <v>265.02999999999997</v>
      </c>
      <c r="F569" s="9">
        <v>0</v>
      </c>
      <c r="G569" s="9">
        <v>0</v>
      </c>
      <c r="H569" s="9">
        <v>0</v>
      </c>
      <c r="I569" s="9">
        <v>0</v>
      </c>
      <c r="J569" s="9">
        <v>23621.83</v>
      </c>
    </row>
    <row r="570" spans="1:10" ht="15.75" x14ac:dyDescent="0.25">
      <c r="A570" s="21">
        <v>45351</v>
      </c>
      <c r="B570" t="str">
        <f>IFERROR(IF(VLOOKUP(C570,Hoja1!$B$1:$C$6191,2,0)="",_xlfn.XLOOKUP(C570,Hoja1!$B$2:$B$6191,Hoja1!$A$2:$A$6191),VLOOKUP(C570,Hoja1!$B$1:$C$6191,2,0)),"No esta en Infor")</f>
        <v>NAC0926</v>
      </c>
      <c r="C570" s="19" t="s">
        <v>206</v>
      </c>
      <c r="D570" s="9">
        <v>0</v>
      </c>
      <c r="E570" s="9">
        <v>1958.78</v>
      </c>
      <c r="F570" s="9">
        <v>0</v>
      </c>
      <c r="G570" s="9">
        <v>0</v>
      </c>
      <c r="H570" s="9">
        <v>0</v>
      </c>
      <c r="I570" s="9">
        <v>0</v>
      </c>
      <c r="J570" s="9">
        <v>1958.78</v>
      </c>
    </row>
    <row r="571" spans="1:10" ht="15.75" x14ac:dyDescent="0.25">
      <c r="A571" s="21">
        <v>45351</v>
      </c>
      <c r="B571" t="str">
        <f>IFERROR(IF(VLOOKUP(C571,Hoja1!$B$1:$C$6191,2,0)="",_xlfn.XLOOKUP(C571,Hoja1!$B$2:$B$6191,Hoja1!$A$2:$A$6191),VLOOKUP(C571,Hoja1!$B$1:$C$6191,2,0)),"No esta en Infor")</f>
        <v>NAC0929</v>
      </c>
      <c r="C571" s="19" t="s">
        <v>207</v>
      </c>
      <c r="D571" s="9">
        <v>31594.75</v>
      </c>
      <c r="E571" s="9">
        <v>8770</v>
      </c>
      <c r="F571" s="9">
        <v>0</v>
      </c>
      <c r="G571" s="9">
        <v>0</v>
      </c>
      <c r="H571" s="9">
        <v>0</v>
      </c>
      <c r="I571" s="9">
        <v>0</v>
      </c>
      <c r="J571" s="9">
        <v>40364.75</v>
      </c>
    </row>
    <row r="572" spans="1:10" ht="15.75" x14ac:dyDescent="0.25">
      <c r="A572" s="21">
        <v>45351</v>
      </c>
      <c r="B572" t="str">
        <f>IFERROR(IF(VLOOKUP(C572,Hoja1!$B$1:$C$6191,2,0)="",_xlfn.XLOOKUP(C572,Hoja1!$B$2:$B$6191,Hoja1!$A$2:$A$6191),VLOOKUP(C572,Hoja1!$B$1:$C$6191,2,0)),"No esta en Infor")</f>
        <v>CAN0028</v>
      </c>
      <c r="C572" s="19" t="s">
        <v>208</v>
      </c>
      <c r="D572" s="9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</row>
    <row r="573" spans="1:10" ht="15.75" x14ac:dyDescent="0.25">
      <c r="A573" s="21">
        <v>45351</v>
      </c>
      <c r="B573" t="str">
        <f>IFERROR(IF(VLOOKUP(C573,Hoja1!$B$1:$C$6191,2,0)="",_xlfn.XLOOKUP(C573,Hoja1!$B$2:$B$6191,Hoja1!$A$2:$A$6191),VLOOKUP(C573,Hoja1!$B$1:$C$6191,2,0)),"No esta en Infor")</f>
        <v>NAC0934</v>
      </c>
      <c r="C573" s="19" t="s">
        <v>209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-154</v>
      </c>
      <c r="J573" s="9">
        <v>-154</v>
      </c>
    </row>
    <row r="574" spans="1:10" ht="15.75" x14ac:dyDescent="0.25">
      <c r="A574" s="21">
        <v>45351</v>
      </c>
      <c r="B574" t="str">
        <f>IFERROR(IF(VLOOKUP(C574,Hoja1!$B$1:$C$6191,2,0)="",_xlfn.XLOOKUP(C574,Hoja1!$B$2:$B$6191,Hoja1!$A$2:$A$6191),VLOOKUP(C574,Hoja1!$B$1:$C$6191,2,0)),"No esta en Infor")</f>
        <v>CAN0030</v>
      </c>
      <c r="C574" s="19" t="s">
        <v>210</v>
      </c>
      <c r="D574" s="9">
        <v>17068.939999999999</v>
      </c>
      <c r="E574" s="9">
        <v>17459.86</v>
      </c>
      <c r="F574" s="9">
        <v>0</v>
      </c>
      <c r="G574" s="9">
        <v>0</v>
      </c>
      <c r="H574" s="9">
        <v>0</v>
      </c>
      <c r="I574" s="9">
        <v>0</v>
      </c>
      <c r="J574" s="9">
        <v>34528.800000000003</v>
      </c>
    </row>
    <row r="575" spans="1:10" ht="15.75" x14ac:dyDescent="0.25">
      <c r="A575" s="21">
        <v>45351</v>
      </c>
      <c r="B575" t="str">
        <f>IFERROR(IF(VLOOKUP(C575,Hoja1!$B$1:$C$6191,2,0)="",_xlfn.XLOOKUP(C575,Hoja1!$B$2:$B$6191,Hoja1!$A$2:$A$6191),VLOOKUP(C575,Hoja1!$B$1:$C$6191,2,0)),"No esta en Infor")</f>
        <v>NAC1607</v>
      </c>
      <c r="C575" s="19" t="s">
        <v>668</v>
      </c>
      <c r="D575" s="9">
        <v>0</v>
      </c>
      <c r="E575" s="9">
        <v>1.83</v>
      </c>
      <c r="F575" s="9">
        <v>0</v>
      </c>
      <c r="G575" s="9">
        <v>0</v>
      </c>
      <c r="H575" s="9">
        <v>0</v>
      </c>
      <c r="I575" s="9">
        <v>0</v>
      </c>
      <c r="J575" s="9">
        <v>1.83</v>
      </c>
    </row>
    <row r="576" spans="1:10" ht="15.75" x14ac:dyDescent="0.25">
      <c r="A576" s="21">
        <v>45351</v>
      </c>
      <c r="B576" t="str">
        <f>IFERROR(IF(VLOOKUP(C576,Hoja1!$B$1:$C$6191,2,0)="",_xlfn.XLOOKUP(C576,Hoja1!$B$2:$B$6191,Hoja1!$A$2:$A$6191),VLOOKUP(C576,Hoja1!$B$1:$C$6191,2,0)),"No esta en Infor")</f>
        <v>NAC1607</v>
      </c>
      <c r="C576" s="19" t="s">
        <v>211</v>
      </c>
      <c r="D576" s="9">
        <v>-14.06</v>
      </c>
      <c r="E576" s="9">
        <v>2.11</v>
      </c>
      <c r="F576" s="9">
        <v>0</v>
      </c>
      <c r="G576" s="9">
        <v>0</v>
      </c>
      <c r="H576" s="9">
        <v>0</v>
      </c>
      <c r="I576" s="9">
        <v>0</v>
      </c>
      <c r="J576" s="9">
        <v>-11.95</v>
      </c>
    </row>
    <row r="577" spans="1:10" ht="15.75" x14ac:dyDescent="0.25">
      <c r="A577" s="21">
        <v>45351</v>
      </c>
      <c r="B577" t="str">
        <f>IFERROR(IF(VLOOKUP(C577,Hoja1!$B$1:$C$6191,2,0)="",_xlfn.XLOOKUP(C577,Hoja1!$B$2:$B$6191,Hoja1!$A$2:$A$6191),VLOOKUP(C577,Hoja1!$B$1:$C$6191,2,0)),"No esta en Infor")</f>
        <v>NAC1607</v>
      </c>
      <c r="C577" s="19" t="s">
        <v>401</v>
      </c>
      <c r="D577" s="9">
        <v>217.96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217.96</v>
      </c>
    </row>
    <row r="578" spans="1:10" ht="15.75" x14ac:dyDescent="0.25">
      <c r="A578" s="21">
        <v>45351</v>
      </c>
      <c r="B578" t="str">
        <f>IFERROR(IF(VLOOKUP(C578,Hoja1!$B$1:$C$6191,2,0)="",_xlfn.XLOOKUP(C578,Hoja1!$B$2:$B$6191,Hoja1!$A$2:$A$6191),VLOOKUP(C578,Hoja1!$B$1:$C$6191,2,0)),"No esta en Infor")</f>
        <v>NAC1607</v>
      </c>
      <c r="C578" s="19" t="s">
        <v>213</v>
      </c>
      <c r="D578" s="9">
        <v>424.61</v>
      </c>
      <c r="E578" s="9">
        <v>219.09</v>
      </c>
      <c r="F578" s="9">
        <v>0</v>
      </c>
      <c r="G578" s="9">
        <v>0</v>
      </c>
      <c r="H578" s="9">
        <v>0</v>
      </c>
      <c r="I578" s="9">
        <v>0</v>
      </c>
      <c r="J578" s="9">
        <v>643.70000000000005</v>
      </c>
    </row>
    <row r="579" spans="1:10" ht="15.75" x14ac:dyDescent="0.25">
      <c r="A579" s="21">
        <v>45351</v>
      </c>
      <c r="B579" t="str">
        <f>IFERROR(IF(VLOOKUP(C579,Hoja1!$B$1:$C$6191,2,0)="",_xlfn.XLOOKUP(C579,Hoja1!$B$2:$B$6191,Hoja1!$A$2:$A$6191),VLOOKUP(C579,Hoja1!$B$1:$C$6191,2,0)),"No esta en Infor")</f>
        <v>NAC0958</v>
      </c>
      <c r="C579" s="19" t="s">
        <v>214</v>
      </c>
      <c r="D579" s="9">
        <v>0</v>
      </c>
      <c r="E579" s="9">
        <v>0</v>
      </c>
      <c r="F579" s="9">
        <v>0</v>
      </c>
      <c r="G579" s="9">
        <v>-674.94</v>
      </c>
      <c r="H579" s="9">
        <v>0</v>
      </c>
      <c r="I579" s="9">
        <v>0</v>
      </c>
      <c r="J579" s="9">
        <v>-674.94</v>
      </c>
    </row>
    <row r="580" spans="1:10" ht="15.75" x14ac:dyDescent="0.25">
      <c r="A580" s="21">
        <v>45351</v>
      </c>
      <c r="B580" t="str">
        <f>IFERROR(IF(VLOOKUP(C580,Hoja1!$B$1:$C$6191,2,0)="",_xlfn.XLOOKUP(C580,Hoja1!$B$2:$B$6191,Hoja1!$A$2:$A$6191),VLOOKUP(C580,Hoja1!$B$1:$C$6191,2,0)),"No esta en Infor")</f>
        <v>NAC0955</v>
      </c>
      <c r="C580" s="19" t="s">
        <v>215</v>
      </c>
      <c r="D580" s="9">
        <v>0</v>
      </c>
      <c r="E580" s="9">
        <v>725.77</v>
      </c>
      <c r="F580" s="9">
        <v>0</v>
      </c>
      <c r="G580" s="9">
        <v>0</v>
      </c>
      <c r="H580" s="9">
        <v>0</v>
      </c>
      <c r="I580" s="9">
        <v>0</v>
      </c>
      <c r="J580" s="9">
        <v>725.77</v>
      </c>
    </row>
    <row r="581" spans="1:10" ht="15.75" x14ac:dyDescent="0.25">
      <c r="A581" s="21">
        <v>45351</v>
      </c>
      <c r="B581" t="str">
        <f>IFERROR(IF(VLOOKUP(C581,Hoja1!$B$1:$C$6191,2,0)="",_xlfn.XLOOKUP(C581,Hoja1!$B$2:$B$6191,Hoja1!$A$2:$A$6191),VLOOKUP(C581,Hoja1!$B$1:$C$6191,2,0)),"No esta en Infor")</f>
        <v>NAC0960</v>
      </c>
      <c r="C581" s="19" t="s">
        <v>216</v>
      </c>
      <c r="D581" s="9">
        <v>0</v>
      </c>
      <c r="E581" s="9">
        <v>2078.98</v>
      </c>
      <c r="F581" s="9">
        <v>0</v>
      </c>
      <c r="G581" s="9">
        <v>0</v>
      </c>
      <c r="H581" s="9">
        <v>0</v>
      </c>
      <c r="I581" s="9">
        <v>0</v>
      </c>
      <c r="J581" s="9">
        <v>2078.98</v>
      </c>
    </row>
    <row r="582" spans="1:10" ht="15.75" x14ac:dyDescent="0.25">
      <c r="A582" s="21">
        <v>45351</v>
      </c>
      <c r="B582" t="str">
        <f>IFERROR(IF(VLOOKUP(C582,Hoja1!$B$1:$C$6191,2,0)="",_xlfn.XLOOKUP(C582,Hoja1!$B$2:$B$6191,Hoja1!$A$2:$A$6191),VLOOKUP(C582,Hoja1!$B$1:$C$6191,2,0)),"No esta en Infor")</f>
        <v>NAC0963</v>
      </c>
      <c r="C582" s="19" t="s">
        <v>217</v>
      </c>
      <c r="D582" s="9">
        <v>0</v>
      </c>
      <c r="E582" s="9">
        <v>0</v>
      </c>
      <c r="F582" s="9">
        <v>0</v>
      </c>
      <c r="G582" s="9">
        <v>-595.57000000000005</v>
      </c>
      <c r="H582" s="9">
        <v>0</v>
      </c>
      <c r="I582" s="9">
        <v>0</v>
      </c>
      <c r="J582" s="9">
        <v>-595.57000000000005</v>
      </c>
    </row>
    <row r="583" spans="1:10" ht="15.75" x14ac:dyDescent="0.25">
      <c r="A583" s="21">
        <v>45351</v>
      </c>
      <c r="B583" t="str">
        <f>IFERROR(IF(VLOOKUP(C583,Hoja1!$B$1:$C$6191,2,0)="",_xlfn.XLOOKUP(C583,Hoja1!$B$2:$B$6191,Hoja1!$A$2:$A$6191),VLOOKUP(C583,Hoja1!$B$1:$C$6191,2,0)),"No esta en Infor")</f>
        <v>NAC0972</v>
      </c>
      <c r="C583" s="19" t="s">
        <v>221</v>
      </c>
      <c r="D583" s="9">
        <v>0</v>
      </c>
      <c r="E583" s="9">
        <v>217.86</v>
      </c>
      <c r="F583" s="9">
        <v>0</v>
      </c>
      <c r="G583" s="9">
        <v>0</v>
      </c>
      <c r="H583" s="9">
        <v>0</v>
      </c>
      <c r="I583" s="9">
        <v>0</v>
      </c>
      <c r="J583" s="9">
        <v>217.86</v>
      </c>
    </row>
    <row r="584" spans="1:10" ht="15.75" x14ac:dyDescent="0.25">
      <c r="A584" s="21">
        <v>45351</v>
      </c>
      <c r="B584" t="str">
        <f>IFERROR(IF(VLOOKUP(C584,Hoja1!$B$1:$C$6191,2,0)="",_xlfn.XLOOKUP(C584,Hoja1!$B$2:$B$6191,Hoja1!$A$2:$A$6191),VLOOKUP(C584,Hoja1!$B$1:$C$6191,2,0)),"No esta en Infor")</f>
        <v>SH00952</v>
      </c>
      <c r="C584" s="19" t="s">
        <v>402</v>
      </c>
      <c r="D584" s="9">
        <v>0</v>
      </c>
      <c r="E584" s="9">
        <v>136.37</v>
      </c>
      <c r="F584" s="9">
        <v>0</v>
      </c>
      <c r="G584" s="9">
        <v>0</v>
      </c>
      <c r="H584" s="9">
        <v>0</v>
      </c>
      <c r="I584" s="9">
        <v>0</v>
      </c>
      <c r="J584" s="9">
        <v>136.37</v>
      </c>
    </row>
    <row r="585" spans="1:10" ht="15.75" x14ac:dyDescent="0.25">
      <c r="A585" s="21">
        <v>45351</v>
      </c>
      <c r="B585" t="str">
        <f>IFERROR(IF(VLOOKUP(C585,Hoja1!$B$1:$C$6191,2,0)="",_xlfn.XLOOKUP(C585,Hoja1!$B$2:$B$6191,Hoja1!$A$2:$A$6191),VLOOKUP(C585,Hoja1!$B$1:$C$6191,2,0)),"No esta en Infor")</f>
        <v>NAC0979</v>
      </c>
      <c r="C585" s="19" t="s">
        <v>222</v>
      </c>
      <c r="D585" s="9">
        <v>0</v>
      </c>
      <c r="E585" s="9">
        <v>-110</v>
      </c>
      <c r="F585" s="9">
        <v>0</v>
      </c>
      <c r="G585" s="9">
        <v>0</v>
      </c>
      <c r="H585" s="9">
        <v>0</v>
      </c>
      <c r="I585" s="9">
        <v>0</v>
      </c>
      <c r="J585" s="9">
        <v>-110</v>
      </c>
    </row>
    <row r="586" spans="1:10" ht="15.75" x14ac:dyDescent="0.25">
      <c r="A586" s="21">
        <v>45351</v>
      </c>
      <c r="B586" t="str">
        <f>IFERROR(IF(VLOOKUP(C586,Hoja1!$B$1:$C$6191,2,0)="",_xlfn.XLOOKUP(C586,Hoja1!$B$2:$B$6191,Hoja1!$A$2:$A$6191),VLOOKUP(C586,Hoja1!$B$1:$C$6191,2,0)),"No esta en Infor")</f>
        <v>SH00995</v>
      </c>
      <c r="C586" s="19" t="s">
        <v>403</v>
      </c>
      <c r="D586" s="9">
        <v>55.96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55.96</v>
      </c>
    </row>
    <row r="587" spans="1:10" ht="15.75" x14ac:dyDescent="0.25">
      <c r="A587" s="21">
        <v>45351</v>
      </c>
      <c r="B587" t="str">
        <f>IFERROR(IF(VLOOKUP(C587,Hoja1!$B$1:$C$6191,2,0)="",_xlfn.XLOOKUP(C587,Hoja1!$B$2:$B$6191,Hoja1!$A$2:$A$6191),VLOOKUP(C587,Hoja1!$B$1:$C$6191,2,0)),"No esta en Infor")</f>
        <v>NAC0986</v>
      </c>
      <c r="C587" s="19" t="s">
        <v>224</v>
      </c>
      <c r="D587" s="9">
        <v>742.14</v>
      </c>
      <c r="E587" s="9">
        <v>18559.759999999998</v>
      </c>
      <c r="F587" s="9">
        <v>9331.24</v>
      </c>
      <c r="G587" s="9">
        <v>8.93</v>
      </c>
      <c r="H587" s="9">
        <v>0</v>
      </c>
      <c r="I587" s="9">
        <v>0</v>
      </c>
      <c r="J587" s="9">
        <v>28642.07</v>
      </c>
    </row>
    <row r="588" spans="1:10" ht="15.75" x14ac:dyDescent="0.25">
      <c r="A588" s="21">
        <v>45351</v>
      </c>
      <c r="B588" t="str">
        <f>IFERROR(IF(VLOOKUP(C588,Hoja1!$B$1:$C$6191,2,0)="",_xlfn.XLOOKUP(C588,Hoja1!$B$2:$B$6191,Hoja1!$A$2:$A$6191),VLOOKUP(C588,Hoja1!$B$1:$C$6191,2,0)),"No esta en Infor")</f>
        <v>NAC0987</v>
      </c>
      <c r="C588" s="19" t="s">
        <v>225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2040.5</v>
      </c>
      <c r="J588" s="9">
        <v>2040.5</v>
      </c>
    </row>
    <row r="589" spans="1:10" ht="15.75" x14ac:dyDescent="0.25">
      <c r="A589" s="21">
        <v>45351</v>
      </c>
      <c r="B589" t="str">
        <f>IFERROR(IF(VLOOKUP(C589,Hoja1!$B$1:$C$6191,2,0)="",_xlfn.XLOOKUP(C589,Hoja1!$B$2:$B$6191,Hoja1!$A$2:$A$6191),VLOOKUP(C589,Hoja1!$B$1:$C$6191,2,0)),"No esta en Infor")</f>
        <v>NAC0997</v>
      </c>
      <c r="C589" s="19" t="s">
        <v>228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-148</v>
      </c>
      <c r="J589" s="9">
        <v>-148</v>
      </c>
    </row>
    <row r="590" spans="1:10" ht="15.75" x14ac:dyDescent="0.25">
      <c r="A590" s="21">
        <v>45351</v>
      </c>
      <c r="B590" t="str">
        <f>IFERROR(IF(VLOOKUP(C590,Hoja1!$B$1:$C$6191,2,0)="",_xlfn.XLOOKUP(C590,Hoja1!$B$2:$B$6191,Hoja1!$A$2:$A$6191),VLOOKUP(C590,Hoja1!$B$1:$C$6191,2,0)),"No esta en Infor")</f>
        <v>NAC0998</v>
      </c>
      <c r="C590" s="19" t="s">
        <v>229</v>
      </c>
      <c r="D590" s="9">
        <v>0</v>
      </c>
      <c r="E590" s="9">
        <v>184.99</v>
      </c>
      <c r="F590" s="9">
        <v>0</v>
      </c>
      <c r="G590" s="9">
        <v>0</v>
      </c>
      <c r="H590" s="9">
        <v>0</v>
      </c>
      <c r="I590" s="9">
        <v>0</v>
      </c>
      <c r="J590" s="9">
        <v>184.99</v>
      </c>
    </row>
    <row r="591" spans="1:10" ht="15.75" x14ac:dyDescent="0.25">
      <c r="A591" s="21">
        <v>45351</v>
      </c>
      <c r="B591" t="str">
        <f>IFERROR(IF(VLOOKUP(C591,Hoja1!$B$1:$C$6191,2,0)="",_xlfn.XLOOKUP(C591,Hoja1!$B$2:$B$6191,Hoja1!$A$2:$A$6191),VLOOKUP(C591,Hoja1!$B$1:$C$6191,2,0)),"No esta en Infor")</f>
        <v>SH01173</v>
      </c>
      <c r="C591" s="19" t="s">
        <v>404</v>
      </c>
      <c r="D591" s="9">
        <v>80.78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80.78</v>
      </c>
    </row>
    <row r="592" spans="1:10" ht="15.75" x14ac:dyDescent="0.25">
      <c r="A592" s="21">
        <v>45351</v>
      </c>
      <c r="B592" t="str">
        <f>IFERROR(IF(VLOOKUP(C592,Hoja1!$B$1:$C$6191,2,0)="",_xlfn.XLOOKUP(C592,Hoja1!$B$2:$B$6191,Hoja1!$A$2:$A$6191),VLOOKUP(C592,Hoja1!$B$1:$C$6191,2,0)),"No esta en Infor")</f>
        <v>NAC1000</v>
      </c>
      <c r="C592" s="19" t="s">
        <v>405</v>
      </c>
      <c r="D592" s="9">
        <v>760.76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760.76</v>
      </c>
    </row>
    <row r="593" spans="1:10" ht="15.75" x14ac:dyDescent="0.25">
      <c r="A593" s="21">
        <v>45351</v>
      </c>
      <c r="B593" t="str">
        <f>IFERROR(IF(VLOOKUP(C593,Hoja1!$B$1:$C$6191,2,0)="",_xlfn.XLOOKUP(C593,Hoja1!$B$2:$B$6191,Hoja1!$A$2:$A$6191),VLOOKUP(C593,Hoja1!$B$1:$C$6191,2,0)),"No esta en Infor")</f>
        <v>NAC1005</v>
      </c>
      <c r="C593" s="19" t="s">
        <v>231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-35.14</v>
      </c>
      <c r="J593" s="9">
        <v>-35.14</v>
      </c>
    </row>
    <row r="594" spans="1:10" ht="15.75" x14ac:dyDescent="0.25">
      <c r="A594" s="21">
        <v>45351</v>
      </c>
      <c r="B594" t="str">
        <f>IFERROR(IF(VLOOKUP(C594,Hoja1!$B$1:$C$6191,2,0)="",_xlfn.XLOOKUP(C594,Hoja1!$B$2:$B$6191,Hoja1!$A$2:$A$6191),VLOOKUP(C594,Hoja1!$B$1:$C$6191,2,0)),"No esta en Infor")</f>
        <v>NAC1007</v>
      </c>
      <c r="C594" s="19" t="s">
        <v>233</v>
      </c>
      <c r="D594" s="9">
        <v>-1440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-1440</v>
      </c>
    </row>
    <row r="595" spans="1:10" ht="15.75" x14ac:dyDescent="0.25">
      <c r="A595" s="21">
        <v>45351</v>
      </c>
      <c r="B595" t="str">
        <f>IFERROR(IF(VLOOKUP(C595,Hoja1!$B$1:$C$6191,2,0)="",_xlfn.XLOOKUP(C595,Hoja1!$B$2:$B$6191,Hoja1!$A$2:$A$6191),VLOOKUP(C595,Hoja1!$B$1:$C$6191,2,0)),"No esta en Infor")</f>
        <v>SH01268</v>
      </c>
      <c r="C595" s="19" t="s">
        <v>234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</row>
    <row r="596" spans="1:10" ht="15.75" x14ac:dyDescent="0.25">
      <c r="A596" s="21">
        <v>45351</v>
      </c>
      <c r="B596" t="str">
        <f>IFERROR(IF(VLOOKUP(C596,Hoja1!$B$1:$C$6191,2,0)="",_xlfn.XLOOKUP(C596,Hoja1!$B$2:$B$6191,Hoja1!$A$2:$A$6191),VLOOKUP(C596,Hoja1!$B$1:$C$6191,2,0)),"No esta en Infor")</f>
        <v>NAC1616</v>
      </c>
      <c r="C596" s="19" t="s">
        <v>2970</v>
      </c>
      <c r="D596" s="9">
        <v>17905.599999999999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17905.599999999999</v>
      </c>
    </row>
    <row r="597" spans="1:10" ht="15.75" x14ac:dyDescent="0.25">
      <c r="A597" s="21">
        <v>45351</v>
      </c>
      <c r="B597" t="str">
        <f>IFERROR(IF(VLOOKUP(C597,Hoja1!$B$1:$C$6191,2,0)="",_xlfn.XLOOKUP(C597,Hoja1!$B$2:$B$6191,Hoja1!$A$2:$A$6191),VLOOKUP(C597,Hoja1!$B$1:$C$6191,2,0)),"No esta en Infor")</f>
        <v>NAC1606</v>
      </c>
      <c r="C597" s="19" t="s">
        <v>236</v>
      </c>
      <c r="D597" s="9">
        <v>6964.44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6964.44</v>
      </c>
    </row>
    <row r="598" spans="1:10" ht="15.75" x14ac:dyDescent="0.25">
      <c r="A598" s="21">
        <v>45351</v>
      </c>
      <c r="B598" t="str">
        <f>IFERROR(IF(VLOOKUP(C598,Hoja1!$B$1:$C$6191,2,0)="",_xlfn.XLOOKUP(C598,Hoja1!$B$2:$B$6191,Hoja1!$A$2:$A$6191),VLOOKUP(C598,Hoja1!$B$1:$C$6191,2,0)),"No esta en Infor")</f>
        <v>NAC1019</v>
      </c>
      <c r="C598" s="19" t="s">
        <v>238</v>
      </c>
      <c r="D598" s="9">
        <v>0</v>
      </c>
      <c r="E598" s="9">
        <v>0</v>
      </c>
      <c r="F598" s="9">
        <v>0</v>
      </c>
      <c r="G598" s="9">
        <v>0</v>
      </c>
      <c r="H598" s="9">
        <v>-1620</v>
      </c>
      <c r="I598" s="9">
        <v>0</v>
      </c>
      <c r="J598" s="9">
        <v>-1620</v>
      </c>
    </row>
    <row r="599" spans="1:10" ht="15.75" x14ac:dyDescent="0.25">
      <c r="A599" s="21">
        <v>45351</v>
      </c>
      <c r="B599" t="str">
        <f>IFERROR(IF(VLOOKUP(C599,Hoja1!$B$1:$C$6191,2,0)="",_xlfn.XLOOKUP(C599,Hoja1!$B$2:$B$6191,Hoja1!$A$2:$A$6191),VLOOKUP(C599,Hoja1!$B$1:$C$6191,2,0)),"No esta en Infor")</f>
        <v>NAC1021</v>
      </c>
      <c r="C599" s="19" t="s">
        <v>239</v>
      </c>
      <c r="D599" s="9">
        <v>0</v>
      </c>
      <c r="E599" s="9">
        <v>0</v>
      </c>
      <c r="F599" s="9">
        <v>-5</v>
      </c>
      <c r="G599" s="9">
        <v>-8</v>
      </c>
      <c r="H599" s="9">
        <v>-0.01</v>
      </c>
      <c r="I599" s="9">
        <v>0</v>
      </c>
      <c r="J599" s="9">
        <v>-13.01</v>
      </c>
    </row>
    <row r="600" spans="1:10" ht="15.75" x14ac:dyDescent="0.25">
      <c r="A600" s="21">
        <v>45351</v>
      </c>
      <c r="B600" t="str">
        <f>IFERROR(IF(VLOOKUP(C600,Hoja1!$B$1:$C$6191,2,0)="",_xlfn.XLOOKUP(C600,Hoja1!$B$2:$B$6191,Hoja1!$A$2:$A$6191),VLOOKUP(C600,Hoja1!$B$1:$C$6191,2,0)),"No esta en Infor")</f>
        <v>NAC1024</v>
      </c>
      <c r="C600" s="19" t="s">
        <v>241</v>
      </c>
      <c r="D600" s="9">
        <v>0</v>
      </c>
      <c r="E600" s="9">
        <v>0</v>
      </c>
      <c r="F600" s="9">
        <v>0</v>
      </c>
      <c r="G600" s="9">
        <v>0</v>
      </c>
      <c r="H600" s="9">
        <v>-16.41</v>
      </c>
      <c r="I600" s="9">
        <v>0</v>
      </c>
      <c r="J600" s="9">
        <v>-16.41</v>
      </c>
    </row>
    <row r="601" spans="1:10" ht="15.75" x14ac:dyDescent="0.25">
      <c r="A601" s="21">
        <v>45351</v>
      </c>
      <c r="B601" t="str">
        <f>IFERROR(IF(VLOOKUP(C601,Hoja1!$B$1:$C$6191,2,0)="",_xlfn.XLOOKUP(C601,Hoja1!$B$2:$B$6191,Hoja1!$A$2:$A$6191),VLOOKUP(C601,Hoja1!$B$1:$C$6191,2,0)),"No esta en Infor")</f>
        <v>NAC1025</v>
      </c>
      <c r="C601" s="19" t="s">
        <v>242</v>
      </c>
      <c r="D601" s="9">
        <v>0</v>
      </c>
      <c r="E601" s="9">
        <v>191.78</v>
      </c>
      <c r="F601" s="9">
        <v>-683.75</v>
      </c>
      <c r="G601" s="9">
        <v>0</v>
      </c>
      <c r="H601" s="9">
        <v>0</v>
      </c>
      <c r="I601" s="9">
        <v>0</v>
      </c>
      <c r="J601" s="9">
        <v>-491.97</v>
      </c>
    </row>
    <row r="602" spans="1:10" ht="15.75" x14ac:dyDescent="0.25">
      <c r="A602" s="21">
        <v>45351</v>
      </c>
      <c r="B602" t="str">
        <f>IFERROR(IF(VLOOKUP(C602,Hoja1!$B$1:$C$6191,2,0)="",_xlfn.XLOOKUP(C602,Hoja1!$B$2:$B$6191,Hoja1!$A$2:$A$6191),VLOOKUP(C602,Hoja1!$B$1:$C$6191,2,0)),"No esta en Infor")</f>
        <v>NAC1027</v>
      </c>
      <c r="C602" s="19" t="s">
        <v>243</v>
      </c>
      <c r="D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-2408</v>
      </c>
      <c r="J602" s="9">
        <v>-2408</v>
      </c>
    </row>
    <row r="603" spans="1:10" ht="15.75" x14ac:dyDescent="0.25">
      <c r="A603" s="21">
        <v>45351</v>
      </c>
      <c r="B603" t="str">
        <f>IFERROR(IF(VLOOKUP(C603,Hoja1!$B$1:$C$6191,2,0)="",_xlfn.XLOOKUP(C603,Hoja1!$B$2:$B$6191,Hoja1!$A$2:$A$6191),VLOOKUP(C603,Hoja1!$B$1:$C$6191,2,0)),"No esta en Infor")</f>
        <v>NAC1042</v>
      </c>
      <c r="C603" s="19" t="s">
        <v>244</v>
      </c>
      <c r="D603" s="9">
        <v>88759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88759</v>
      </c>
    </row>
    <row r="604" spans="1:10" ht="15.75" x14ac:dyDescent="0.25">
      <c r="A604" s="21">
        <v>45351</v>
      </c>
      <c r="B604" t="str">
        <f>IFERROR(IF(VLOOKUP(C604,Hoja1!$B$1:$C$6191,2,0)="",_xlfn.XLOOKUP(C604,Hoja1!$B$2:$B$6191,Hoja1!$A$2:$A$6191),VLOOKUP(C604,Hoja1!$B$1:$C$6191,2,0)),"No esta en Infor")</f>
        <v>NAC1051</v>
      </c>
      <c r="C604" s="19" t="s">
        <v>246</v>
      </c>
      <c r="D604" s="9">
        <v>0</v>
      </c>
      <c r="E604" s="9">
        <v>270.81</v>
      </c>
      <c r="F604" s="9">
        <v>0</v>
      </c>
      <c r="G604" s="9">
        <v>0</v>
      </c>
      <c r="H604" s="9">
        <v>0</v>
      </c>
      <c r="I604" s="9">
        <v>0</v>
      </c>
      <c r="J604" s="9">
        <v>270.81</v>
      </c>
    </row>
    <row r="605" spans="1:10" ht="15.75" x14ac:dyDescent="0.25">
      <c r="A605" s="21">
        <v>45351</v>
      </c>
      <c r="B605" t="str">
        <f>IFERROR(IF(VLOOKUP(C605,Hoja1!$B$1:$C$6191,2,0)="",_xlfn.XLOOKUP(C605,Hoja1!$B$2:$B$6191,Hoja1!$A$2:$A$6191),VLOOKUP(C605,Hoja1!$B$1:$C$6191,2,0)),"No esta en Infor")</f>
        <v>FOC0001</v>
      </c>
      <c r="C605" s="19" t="s">
        <v>247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-88.81</v>
      </c>
      <c r="J605" s="9">
        <v>-88.81</v>
      </c>
    </row>
    <row r="606" spans="1:10" ht="15.75" x14ac:dyDescent="0.25">
      <c r="A606" s="21">
        <v>45351</v>
      </c>
      <c r="B606" t="str">
        <f>IFERROR(IF(VLOOKUP(C606,Hoja1!$B$1:$C$6191,2,0)="",_xlfn.XLOOKUP(C606,Hoja1!$B$2:$B$6191,Hoja1!$A$2:$A$6191),VLOOKUP(C606,Hoja1!$B$1:$C$6191,2,0)),"No esta en Infor")</f>
        <v>NAC1054</v>
      </c>
      <c r="C606" s="19" t="s">
        <v>248</v>
      </c>
      <c r="D606" s="9">
        <v>2454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2454</v>
      </c>
    </row>
    <row r="607" spans="1:10" ht="15.75" x14ac:dyDescent="0.25">
      <c r="A607" s="21">
        <v>45351</v>
      </c>
      <c r="B607" t="str">
        <f>IFERROR(IF(VLOOKUP(C607,Hoja1!$B$1:$C$6191,2,0)="",_xlfn.XLOOKUP(C607,Hoja1!$B$2:$B$6191,Hoja1!$A$2:$A$6191),VLOOKUP(C607,Hoja1!$B$1:$C$6191,2,0)),"No esta en Infor")</f>
        <v>SH01523</v>
      </c>
      <c r="C607" s="19" t="s">
        <v>406</v>
      </c>
      <c r="D607" s="9">
        <v>0</v>
      </c>
      <c r="E607" s="9">
        <v>498.6</v>
      </c>
      <c r="F607" s="9">
        <v>0</v>
      </c>
      <c r="G607" s="9">
        <v>0</v>
      </c>
      <c r="H607" s="9">
        <v>0</v>
      </c>
      <c r="I607" s="9">
        <v>0</v>
      </c>
      <c r="J607" s="9">
        <v>498.6</v>
      </c>
    </row>
    <row r="608" spans="1:10" ht="15.75" x14ac:dyDescent="0.25">
      <c r="A608" s="21">
        <v>45351</v>
      </c>
      <c r="B608" t="str">
        <f>IFERROR(IF(VLOOKUP(C608,Hoja1!$B$1:$C$6191,2,0)="",_xlfn.XLOOKUP(C608,Hoja1!$B$2:$B$6191,Hoja1!$A$2:$A$6191),VLOOKUP(C608,Hoja1!$B$1:$C$6191,2,0)),"No esta en Infor")</f>
        <v>NAC1061</v>
      </c>
      <c r="C608" s="19" t="s">
        <v>251</v>
      </c>
      <c r="D608" s="9">
        <v>0</v>
      </c>
      <c r="E608" s="9">
        <v>1289</v>
      </c>
      <c r="F608" s="9">
        <v>0</v>
      </c>
      <c r="G608" s="9">
        <v>0</v>
      </c>
      <c r="H608" s="9">
        <v>0</v>
      </c>
      <c r="I608" s="9">
        <v>0</v>
      </c>
      <c r="J608" s="9">
        <v>1289</v>
      </c>
    </row>
    <row r="609" spans="1:10" ht="15.75" x14ac:dyDescent="0.25">
      <c r="A609" s="21">
        <v>45351</v>
      </c>
      <c r="B609" t="str">
        <f>IFERROR(IF(VLOOKUP(C609,Hoja1!$B$1:$C$6191,2,0)="",_xlfn.XLOOKUP(C609,Hoja1!$B$2:$B$6191,Hoja1!$A$2:$A$6191),VLOOKUP(C609,Hoja1!$B$1:$C$6191,2,0)),"No esta en Infor")</f>
        <v>NAC1066</v>
      </c>
      <c r="C609" s="19" t="s">
        <v>407</v>
      </c>
      <c r="D609" s="9">
        <v>2278.5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2278.5</v>
      </c>
    </row>
    <row r="610" spans="1:10" ht="15.75" x14ac:dyDescent="0.25">
      <c r="A610" s="21">
        <v>45351</v>
      </c>
      <c r="B610" t="str">
        <f>IFERROR(IF(VLOOKUP(C610,Hoja1!$B$1:$C$6191,2,0)="",_xlfn.XLOOKUP(C610,Hoja1!$B$2:$B$6191,Hoja1!$A$2:$A$6191),VLOOKUP(C610,Hoja1!$B$1:$C$6191,2,0)),"No esta en Infor")</f>
        <v>NAC1074</v>
      </c>
      <c r="C610" s="19" t="s">
        <v>252</v>
      </c>
      <c r="D610" s="9">
        <v>1176.8399999999999</v>
      </c>
      <c r="E610" s="9">
        <v>-66.400000000000006</v>
      </c>
      <c r="F610" s="9">
        <v>0</v>
      </c>
      <c r="G610" s="9">
        <v>0</v>
      </c>
      <c r="H610" s="9">
        <v>0</v>
      </c>
      <c r="I610" s="9">
        <v>0</v>
      </c>
      <c r="J610" s="9">
        <v>1110.44</v>
      </c>
    </row>
    <row r="611" spans="1:10" ht="15.75" x14ac:dyDescent="0.25">
      <c r="A611" s="21">
        <v>45351</v>
      </c>
      <c r="B611" t="str">
        <f>IFERROR(IF(VLOOKUP(C611,Hoja1!$B$1:$C$6191,2,0)="",_xlfn.XLOOKUP(C611,Hoja1!$B$2:$B$6191,Hoja1!$A$2:$A$6191),VLOOKUP(C611,Hoja1!$B$1:$C$6191,2,0)),"No esta en Infor")</f>
        <v>NAC1076</v>
      </c>
      <c r="C611" s="19" t="s">
        <v>253</v>
      </c>
      <c r="D611" s="9">
        <v>0</v>
      </c>
      <c r="E611" s="9">
        <v>0</v>
      </c>
      <c r="F611" s="9">
        <v>-47.19</v>
      </c>
      <c r="G611" s="9">
        <v>0</v>
      </c>
      <c r="H611" s="9">
        <v>0</v>
      </c>
      <c r="I611" s="9">
        <v>0</v>
      </c>
      <c r="J611" s="9">
        <v>-47.19</v>
      </c>
    </row>
    <row r="612" spans="1:10" ht="15.75" x14ac:dyDescent="0.25">
      <c r="A612" s="21">
        <v>45351</v>
      </c>
      <c r="B612" t="str">
        <f>IFERROR(IF(VLOOKUP(C612,Hoja1!$B$1:$C$6191,2,0)="",_xlfn.XLOOKUP(C612,Hoja1!$B$2:$B$6191,Hoja1!$A$2:$A$6191),VLOOKUP(C612,Hoja1!$B$1:$C$6191,2,0)),"No esta en Infor")</f>
        <v>NAC1077</v>
      </c>
      <c r="C612" s="19" t="s">
        <v>254</v>
      </c>
      <c r="D612" s="9">
        <v>0</v>
      </c>
      <c r="E612" s="9">
        <v>2060.42</v>
      </c>
      <c r="F612" s="9">
        <v>0</v>
      </c>
      <c r="G612" s="9">
        <v>0</v>
      </c>
      <c r="H612" s="9">
        <v>0</v>
      </c>
      <c r="I612" s="9">
        <v>0</v>
      </c>
      <c r="J612" s="9">
        <v>2060.42</v>
      </c>
    </row>
    <row r="613" spans="1:10" ht="15.75" x14ac:dyDescent="0.25">
      <c r="A613" s="21">
        <v>45351</v>
      </c>
      <c r="B613" t="str">
        <f>IFERROR(IF(VLOOKUP(C613,Hoja1!$B$1:$C$6191,2,0)="",_xlfn.XLOOKUP(C613,Hoja1!$B$2:$B$6191,Hoja1!$A$2:$A$6191),VLOOKUP(C613,Hoja1!$B$1:$C$6191,2,0)),"No esta en Infor")</f>
        <v>CAN0036</v>
      </c>
      <c r="C613" s="19" t="s">
        <v>256</v>
      </c>
      <c r="D613" s="9">
        <v>4030.28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4030.28</v>
      </c>
    </row>
    <row r="614" spans="1:10" ht="15.75" x14ac:dyDescent="0.25">
      <c r="A614" s="21">
        <v>45351</v>
      </c>
      <c r="B614" t="str">
        <f>IFERROR(IF(VLOOKUP(C614,Hoja1!$B$1:$C$6191,2,0)="",_xlfn.XLOOKUP(C614,Hoja1!$B$2:$B$6191,Hoja1!$A$2:$A$6191),VLOOKUP(C614,Hoja1!$B$1:$C$6191,2,0)),"No esta en Infor")</f>
        <v>NAC1106</v>
      </c>
      <c r="C614" s="19" t="s">
        <v>259</v>
      </c>
      <c r="D614" s="9">
        <v>569.80999999999995</v>
      </c>
      <c r="E614" s="9">
        <v>608.64</v>
      </c>
      <c r="F614" s="9">
        <v>0</v>
      </c>
      <c r="G614" s="9">
        <v>0</v>
      </c>
      <c r="H614" s="9">
        <v>0</v>
      </c>
      <c r="I614" s="9">
        <v>0</v>
      </c>
      <c r="J614" s="9">
        <v>1178.45</v>
      </c>
    </row>
    <row r="615" spans="1:10" ht="15.75" x14ac:dyDescent="0.25">
      <c r="A615" s="21">
        <v>45351</v>
      </c>
      <c r="B615" t="str">
        <f>IFERROR(IF(VLOOKUP(C615,Hoja1!$B$1:$C$6191,2,0)="",_xlfn.XLOOKUP(C615,Hoja1!$B$2:$B$6191,Hoja1!$A$2:$A$6191),VLOOKUP(C615,Hoja1!$B$1:$C$6191,2,0)),"No esta en Infor")</f>
        <v>NAC1114</v>
      </c>
      <c r="C615" s="19" t="s">
        <v>408</v>
      </c>
      <c r="D615" s="9">
        <v>0</v>
      </c>
      <c r="E615" s="9">
        <v>664.87</v>
      </c>
      <c r="F615" s="9">
        <v>0</v>
      </c>
      <c r="G615" s="9">
        <v>0</v>
      </c>
      <c r="H615" s="9">
        <v>0</v>
      </c>
      <c r="I615" s="9">
        <v>0</v>
      </c>
      <c r="J615" s="9">
        <v>664.87</v>
      </c>
    </row>
    <row r="616" spans="1:10" ht="15.75" x14ac:dyDescent="0.25">
      <c r="A616" s="21">
        <v>45351</v>
      </c>
      <c r="B616" t="str">
        <f>IFERROR(IF(VLOOKUP(C616,Hoja1!$B$1:$C$6191,2,0)="",_xlfn.XLOOKUP(C616,Hoja1!$B$2:$B$6191,Hoja1!$A$2:$A$6191),VLOOKUP(C616,Hoja1!$B$1:$C$6191,2,0)),"No esta en Infor")</f>
        <v>NAC1116</v>
      </c>
      <c r="C616" s="19" t="s">
        <v>260</v>
      </c>
      <c r="D616" s="9">
        <v>0</v>
      </c>
      <c r="E616" s="9">
        <v>0</v>
      </c>
      <c r="F616" s="9">
        <v>0</v>
      </c>
      <c r="G616" s="9">
        <v>109.44</v>
      </c>
      <c r="H616" s="9">
        <v>0</v>
      </c>
      <c r="I616" s="9">
        <v>0</v>
      </c>
      <c r="J616" s="9">
        <v>109.44</v>
      </c>
    </row>
    <row r="617" spans="1:10" ht="15.75" x14ac:dyDescent="0.25">
      <c r="A617" s="21">
        <v>45351</v>
      </c>
      <c r="B617" t="str">
        <f>IFERROR(IF(VLOOKUP(C617,Hoja1!$B$1:$C$6191,2,0)="",_xlfn.XLOOKUP(C617,Hoja1!$B$2:$B$6191,Hoja1!$A$2:$A$6191),VLOOKUP(C617,Hoja1!$B$1:$C$6191,2,0)),"No esta en Infor")</f>
        <v>NAC1125</v>
      </c>
      <c r="C617" s="19" t="s">
        <v>262</v>
      </c>
      <c r="D617" s="9">
        <v>0</v>
      </c>
      <c r="E617" s="9">
        <v>0</v>
      </c>
      <c r="F617" s="9">
        <v>0</v>
      </c>
      <c r="G617" s="9">
        <v>0</v>
      </c>
      <c r="H617" s="9">
        <v>-3413.5</v>
      </c>
      <c r="I617" s="9">
        <v>-379.3</v>
      </c>
      <c r="J617" s="9">
        <v>-3792.8</v>
      </c>
    </row>
    <row r="618" spans="1:10" ht="15.75" x14ac:dyDescent="0.25">
      <c r="A618" s="21">
        <v>45351</v>
      </c>
      <c r="B618" t="str">
        <f>IFERROR(IF(VLOOKUP(C618,Hoja1!$B$1:$C$6191,2,0)="",_xlfn.XLOOKUP(C618,Hoja1!$B$2:$B$6191,Hoja1!$A$2:$A$6191),VLOOKUP(C618,Hoja1!$B$1:$C$6191,2,0)),"No esta en Infor")</f>
        <v>NAC1128</v>
      </c>
      <c r="C618" s="19" t="s">
        <v>263</v>
      </c>
      <c r="D618" s="9">
        <v>-2395</v>
      </c>
      <c r="E618" s="9">
        <v>7665</v>
      </c>
      <c r="F618" s="9">
        <v>0</v>
      </c>
      <c r="G618" s="9">
        <v>0</v>
      </c>
      <c r="H618" s="9">
        <v>0</v>
      </c>
      <c r="I618" s="9">
        <v>0</v>
      </c>
      <c r="J618" s="9">
        <v>5270</v>
      </c>
    </row>
    <row r="619" spans="1:10" ht="15.75" x14ac:dyDescent="0.25">
      <c r="A619" s="21">
        <v>45351</v>
      </c>
      <c r="B619" t="str">
        <f>IFERROR(IF(VLOOKUP(C619,Hoja1!$B$1:$C$6191,2,0)="",_xlfn.XLOOKUP(C619,Hoja1!$B$2:$B$6191,Hoja1!$A$2:$A$6191),VLOOKUP(C619,Hoja1!$B$1:$C$6191,2,0)),"No esta en Infor")</f>
        <v>CAN0038</v>
      </c>
      <c r="C619" s="19" t="s">
        <v>264</v>
      </c>
      <c r="D619" s="9">
        <v>250.53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250.53</v>
      </c>
    </row>
    <row r="620" spans="1:10" ht="15.75" x14ac:dyDescent="0.25">
      <c r="A620" s="21">
        <v>45351</v>
      </c>
      <c r="B620" t="str">
        <f>IFERROR(IF(VLOOKUP(C620,Hoja1!$B$1:$C$6191,2,0)="",_xlfn.XLOOKUP(C620,Hoja1!$B$2:$B$6191,Hoja1!$A$2:$A$6191),VLOOKUP(C620,Hoja1!$B$1:$C$6191,2,0)),"No esta en Infor")</f>
        <v>NAC1131</v>
      </c>
      <c r="C620" s="19" t="s">
        <v>409</v>
      </c>
      <c r="D620" s="9">
        <v>5174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5174</v>
      </c>
    </row>
    <row r="621" spans="1:10" ht="15.75" x14ac:dyDescent="0.25">
      <c r="A621" s="21">
        <v>45351</v>
      </c>
      <c r="B621" t="str">
        <f>IFERROR(IF(VLOOKUP(C621,Hoja1!$B$1:$C$6191,2,0)="",_xlfn.XLOOKUP(C621,Hoja1!$B$2:$B$6191,Hoja1!$A$2:$A$6191),VLOOKUP(C621,Hoja1!$B$1:$C$6191,2,0)),"No esta en Infor")</f>
        <v>CAN0039</v>
      </c>
      <c r="C621" s="19" t="s">
        <v>265</v>
      </c>
      <c r="D621" s="9">
        <v>21946.31</v>
      </c>
      <c r="E621" s="9">
        <v>17986.5</v>
      </c>
      <c r="F621" s="9">
        <v>0</v>
      </c>
      <c r="G621" s="9">
        <v>0</v>
      </c>
      <c r="H621" s="9">
        <v>0</v>
      </c>
      <c r="I621" s="9">
        <v>0</v>
      </c>
      <c r="J621" s="9">
        <v>39932.81</v>
      </c>
    </row>
    <row r="622" spans="1:10" ht="15.75" x14ac:dyDescent="0.25">
      <c r="A622" s="21">
        <v>45351</v>
      </c>
      <c r="B622" t="str">
        <f>IFERROR(IF(VLOOKUP(C622,Hoja1!$B$1:$C$6191,2,0)="",_xlfn.XLOOKUP(C622,Hoja1!$B$2:$B$6191,Hoja1!$A$2:$A$6191),VLOOKUP(C622,Hoja1!$B$1:$C$6191,2,0)),"No esta en Infor")</f>
        <v>NAC1134</v>
      </c>
      <c r="C622" s="19" t="s">
        <v>266</v>
      </c>
      <c r="D622" s="9">
        <v>0</v>
      </c>
      <c r="E622" s="9">
        <v>0</v>
      </c>
      <c r="F622" s="9">
        <v>14.6</v>
      </c>
      <c r="G622" s="9">
        <v>0</v>
      </c>
      <c r="H622" s="9">
        <v>0</v>
      </c>
      <c r="I622" s="9">
        <v>0</v>
      </c>
      <c r="J622" s="9">
        <v>14.6</v>
      </c>
    </row>
    <row r="623" spans="1:10" ht="15.75" x14ac:dyDescent="0.25">
      <c r="A623" s="21">
        <v>45351</v>
      </c>
      <c r="B623" t="str">
        <f>IFERROR(IF(VLOOKUP(C623,Hoja1!$B$1:$C$6191,2,0)="",_xlfn.XLOOKUP(C623,Hoja1!$B$2:$B$6191,Hoja1!$A$2:$A$6191),VLOOKUP(C623,Hoja1!$B$1:$C$6191,2,0)),"No esta en Infor")</f>
        <v>NAC1611</v>
      </c>
      <c r="C623" s="19" t="s">
        <v>2210</v>
      </c>
      <c r="D623" s="9">
        <v>62345.41</v>
      </c>
      <c r="E623" s="9">
        <v>2145</v>
      </c>
      <c r="F623" s="9">
        <v>0</v>
      </c>
      <c r="G623" s="9">
        <v>0</v>
      </c>
      <c r="H623" s="9">
        <v>0</v>
      </c>
      <c r="I623" s="9">
        <v>0</v>
      </c>
      <c r="J623" s="9">
        <v>64490.41</v>
      </c>
    </row>
    <row r="624" spans="1:10" ht="15.75" x14ac:dyDescent="0.25">
      <c r="A624" s="21">
        <v>45351</v>
      </c>
      <c r="B624" t="str">
        <f>IFERROR(IF(VLOOKUP(C624,Hoja1!$B$1:$C$6191,2,0)="",_xlfn.XLOOKUP(C624,Hoja1!$B$2:$B$6191,Hoja1!$A$2:$A$6191),VLOOKUP(C624,Hoja1!$B$1:$C$6191,2,0)),"No esta en Infor")</f>
        <v>NAC1142</v>
      </c>
      <c r="C624" s="19" t="s">
        <v>410</v>
      </c>
      <c r="D624" s="9">
        <v>1400.52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1400.52</v>
      </c>
    </row>
    <row r="625" spans="1:10" ht="15.75" x14ac:dyDescent="0.25">
      <c r="A625" s="21">
        <v>45351</v>
      </c>
      <c r="B625" t="str">
        <f>IFERROR(IF(VLOOKUP(C625,Hoja1!$B$1:$C$6191,2,0)="",_xlfn.XLOOKUP(C625,Hoja1!$B$2:$B$6191,Hoja1!$A$2:$A$6191),VLOOKUP(C625,Hoja1!$B$1:$C$6191,2,0)),"No esta en Infor")</f>
        <v>NAC1143</v>
      </c>
      <c r="C625" s="19" t="s">
        <v>268</v>
      </c>
      <c r="D625" s="9">
        <v>4436.8500000000004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4436.8500000000004</v>
      </c>
    </row>
    <row r="626" spans="1:10" ht="15.75" x14ac:dyDescent="0.25">
      <c r="A626" s="21">
        <v>45351</v>
      </c>
      <c r="B626" t="str">
        <f>IFERROR(IF(VLOOKUP(C626,Hoja1!$B$1:$C$6191,2,0)="",_xlfn.XLOOKUP(C626,Hoja1!$B$2:$B$6191,Hoja1!$A$2:$A$6191),VLOOKUP(C626,Hoja1!$B$1:$C$6191,2,0)),"No esta en Infor")</f>
        <v>NAC1144</v>
      </c>
      <c r="C626" s="19" t="s">
        <v>411</v>
      </c>
      <c r="D626" s="9">
        <v>336.61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336.61</v>
      </c>
    </row>
    <row r="627" spans="1:10" ht="15.75" x14ac:dyDescent="0.25">
      <c r="A627" s="21">
        <v>45351</v>
      </c>
      <c r="B627" t="str">
        <f>IFERROR(IF(VLOOKUP(C627,Hoja1!$B$1:$C$6191,2,0)="",_xlfn.XLOOKUP(C627,Hoja1!$B$2:$B$6191,Hoja1!$A$2:$A$6191),VLOOKUP(C627,Hoja1!$B$1:$C$6191,2,0)),"No esta en Infor")</f>
        <v>NAC1145</v>
      </c>
      <c r="C627" s="19" t="s">
        <v>269</v>
      </c>
      <c r="D627" s="9">
        <v>0</v>
      </c>
      <c r="E627" s="9">
        <v>-16.16</v>
      </c>
      <c r="F627" s="9">
        <v>0</v>
      </c>
      <c r="G627" s="9">
        <v>0</v>
      </c>
      <c r="H627" s="9">
        <v>0</v>
      </c>
      <c r="I627" s="9">
        <v>0</v>
      </c>
      <c r="J627" s="9">
        <v>-16.16</v>
      </c>
    </row>
    <row r="628" spans="1:10" ht="15.75" x14ac:dyDescent="0.25">
      <c r="A628" s="21">
        <v>45351</v>
      </c>
      <c r="B628" t="str">
        <f>IFERROR(IF(VLOOKUP(C628,Hoja1!$B$1:$C$6191,2,0)="",_xlfn.XLOOKUP(C628,Hoja1!$B$2:$B$6191,Hoja1!$A$2:$A$6191),VLOOKUP(C628,Hoja1!$B$1:$C$6191,2,0)),"No esta en Infor")</f>
        <v>NAC1148</v>
      </c>
      <c r="C628" s="19" t="s">
        <v>270</v>
      </c>
      <c r="D628" s="9">
        <v>18500.09</v>
      </c>
      <c r="E628" s="9">
        <v>868.96</v>
      </c>
      <c r="F628" s="9">
        <v>0</v>
      </c>
      <c r="G628" s="9">
        <v>0</v>
      </c>
      <c r="H628" s="9">
        <v>0</v>
      </c>
      <c r="I628" s="9">
        <v>0</v>
      </c>
      <c r="J628" s="9">
        <v>19369.05</v>
      </c>
    </row>
    <row r="629" spans="1:10" ht="15.75" x14ac:dyDescent="0.25">
      <c r="A629" s="21">
        <v>45351</v>
      </c>
      <c r="B629" t="str">
        <f>IFERROR(IF(VLOOKUP(C629,Hoja1!$B$1:$C$6191,2,0)="",_xlfn.XLOOKUP(C629,Hoja1!$B$2:$B$6191,Hoja1!$A$2:$A$6191),VLOOKUP(C629,Hoja1!$B$1:$C$6191,2,0)),"No esta en Infor")</f>
        <v>NAC1151</v>
      </c>
      <c r="C629" s="19" t="s">
        <v>271</v>
      </c>
      <c r="D629" s="9">
        <v>4650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4650</v>
      </c>
    </row>
    <row r="630" spans="1:10" ht="15.75" x14ac:dyDescent="0.25">
      <c r="A630" s="21">
        <v>45351</v>
      </c>
      <c r="B630" t="str">
        <f>IFERROR(IF(VLOOKUP(C630,Hoja1!$B$1:$C$6191,2,0)="",_xlfn.XLOOKUP(C630,Hoja1!$B$2:$B$6191,Hoja1!$A$2:$A$6191),VLOOKUP(C630,Hoja1!$B$1:$C$6191,2,0)),"No esta en Infor")</f>
        <v>NAC1158</v>
      </c>
      <c r="C630" s="19" t="s">
        <v>272</v>
      </c>
      <c r="D630" s="9">
        <v>6239.97</v>
      </c>
      <c r="E630" s="9">
        <v>3242.68</v>
      </c>
      <c r="F630" s="9">
        <v>0</v>
      </c>
      <c r="G630" s="9">
        <v>0</v>
      </c>
      <c r="H630" s="9">
        <v>0</v>
      </c>
      <c r="I630" s="9">
        <v>0</v>
      </c>
      <c r="J630" s="9">
        <v>9482.65</v>
      </c>
    </row>
    <row r="631" spans="1:10" ht="15.75" x14ac:dyDescent="0.25">
      <c r="A631" s="21">
        <v>45351</v>
      </c>
      <c r="B631" t="str">
        <f>IFERROR(IF(VLOOKUP(C631,Hoja1!$B$1:$C$6191,2,0)="",_xlfn.XLOOKUP(C631,Hoja1!$B$2:$B$6191,Hoja1!$A$2:$A$6191),VLOOKUP(C631,Hoja1!$B$1:$C$6191,2,0)),"No esta en Infor")</f>
        <v>NAC1604</v>
      </c>
      <c r="C631" s="19" t="s">
        <v>273</v>
      </c>
      <c r="D631" s="9">
        <v>0</v>
      </c>
      <c r="E631" s="9">
        <v>38817.949999999997</v>
      </c>
      <c r="F631" s="9">
        <v>0</v>
      </c>
      <c r="G631" s="9">
        <v>0</v>
      </c>
      <c r="H631" s="9">
        <v>0</v>
      </c>
      <c r="I631" s="9">
        <v>0</v>
      </c>
      <c r="J631" s="9">
        <v>38817.949999999997</v>
      </c>
    </row>
    <row r="632" spans="1:10" ht="15.75" x14ac:dyDescent="0.25">
      <c r="A632" s="21">
        <v>45351</v>
      </c>
      <c r="B632" t="str">
        <f>IFERROR(IF(VLOOKUP(C632,Hoja1!$B$1:$C$6191,2,0)="",_xlfn.XLOOKUP(C632,Hoja1!$B$2:$B$6191,Hoja1!$A$2:$A$6191),VLOOKUP(C632,Hoja1!$B$1:$C$6191,2,0)),"No esta en Infor")</f>
        <v>NAC1604</v>
      </c>
      <c r="C632" s="19" t="s">
        <v>274</v>
      </c>
      <c r="D632" s="9">
        <v>0</v>
      </c>
      <c r="E632" s="9">
        <v>15295.8</v>
      </c>
      <c r="F632" s="9">
        <v>0</v>
      </c>
      <c r="G632" s="9">
        <v>0</v>
      </c>
      <c r="H632" s="9">
        <v>0</v>
      </c>
      <c r="I632" s="9">
        <v>0</v>
      </c>
      <c r="J632" s="9">
        <v>15295.8</v>
      </c>
    </row>
    <row r="633" spans="1:10" ht="15.75" x14ac:dyDescent="0.25">
      <c r="A633" s="21">
        <v>45351</v>
      </c>
      <c r="B633" t="str">
        <f>IFERROR(IF(VLOOKUP(C633,Hoja1!$B$1:$C$6191,2,0)="",_xlfn.XLOOKUP(C633,Hoja1!$B$2:$B$6191,Hoja1!$A$2:$A$6191),VLOOKUP(C633,Hoja1!$B$1:$C$6191,2,0)),"No esta en Infor")</f>
        <v>NAC1604</v>
      </c>
      <c r="C633" s="19" t="s">
        <v>275</v>
      </c>
      <c r="D633" s="9">
        <v>1044.57</v>
      </c>
      <c r="E633" s="9">
        <v>45875.21</v>
      </c>
      <c r="F633" s="9">
        <v>0</v>
      </c>
      <c r="G633" s="9">
        <v>-44.8</v>
      </c>
      <c r="H633" s="9">
        <v>0</v>
      </c>
      <c r="I633" s="9">
        <v>-318</v>
      </c>
      <c r="J633" s="9">
        <v>46556.98</v>
      </c>
    </row>
    <row r="634" spans="1:10" ht="15.75" x14ac:dyDescent="0.25">
      <c r="A634" s="21">
        <v>45351</v>
      </c>
      <c r="B634" t="str">
        <f>IFERROR(IF(VLOOKUP(C634,Hoja1!$B$1:$C$6191,2,0)="",_xlfn.XLOOKUP(C634,Hoja1!$B$2:$B$6191,Hoja1!$A$2:$A$6191),VLOOKUP(C634,Hoja1!$B$1:$C$6191,2,0)),"No esta en Infor")</f>
        <v>NAC1604</v>
      </c>
      <c r="C634" s="19" t="s">
        <v>12389</v>
      </c>
      <c r="D634" s="9">
        <v>6608.1</v>
      </c>
      <c r="E634" s="9">
        <v>55376.68</v>
      </c>
      <c r="F634" s="9">
        <v>0</v>
      </c>
      <c r="G634" s="9">
        <v>0</v>
      </c>
      <c r="H634" s="9">
        <v>0</v>
      </c>
      <c r="I634" s="9">
        <v>0</v>
      </c>
      <c r="J634" s="9">
        <v>61984.78</v>
      </c>
    </row>
    <row r="635" spans="1:10" ht="15.75" x14ac:dyDescent="0.25">
      <c r="A635" s="21">
        <v>45351</v>
      </c>
      <c r="B635" t="str">
        <f>IFERROR(IF(VLOOKUP(C635,Hoja1!$B$1:$C$6191,2,0)="",_xlfn.XLOOKUP(C635,Hoja1!$B$2:$B$6191,Hoja1!$A$2:$A$6191),VLOOKUP(C635,Hoja1!$B$1:$C$6191,2,0)),"No esta en Infor")</f>
        <v>NAC1604</v>
      </c>
      <c r="C635" s="19" t="s">
        <v>276</v>
      </c>
      <c r="D635" s="9">
        <v>0</v>
      </c>
      <c r="E635" s="9">
        <v>14674</v>
      </c>
      <c r="F635" s="9">
        <v>0</v>
      </c>
      <c r="G635" s="9">
        <v>0</v>
      </c>
      <c r="H635" s="9">
        <v>0</v>
      </c>
      <c r="I635" s="9">
        <v>0</v>
      </c>
      <c r="J635" s="9">
        <v>14674</v>
      </c>
    </row>
    <row r="636" spans="1:10" ht="15.75" x14ac:dyDescent="0.25">
      <c r="A636" s="21">
        <v>45351</v>
      </c>
      <c r="B636" t="str">
        <f>IFERROR(IF(VLOOKUP(C636,Hoja1!$B$1:$C$6191,2,0)="",_xlfn.XLOOKUP(C636,Hoja1!$B$2:$B$6191,Hoja1!$A$2:$A$6191),VLOOKUP(C636,Hoja1!$B$1:$C$6191,2,0)),"No esta en Infor")</f>
        <v>NAC1168</v>
      </c>
      <c r="C636" s="19" t="s">
        <v>277</v>
      </c>
      <c r="D636" s="9">
        <v>60</v>
      </c>
      <c r="E636" s="9">
        <v>60</v>
      </c>
      <c r="F636" s="9">
        <v>0</v>
      </c>
      <c r="G636" s="9">
        <v>0</v>
      </c>
      <c r="H636" s="9">
        <v>0</v>
      </c>
      <c r="I636" s="9">
        <v>0</v>
      </c>
      <c r="J636" s="9">
        <v>120</v>
      </c>
    </row>
    <row r="637" spans="1:10" ht="15.75" x14ac:dyDescent="0.25">
      <c r="A637" s="21">
        <v>45351</v>
      </c>
      <c r="B637" t="str">
        <f>IFERROR(IF(VLOOKUP(C637,Hoja1!$B$1:$C$6191,2,0)="",_xlfn.XLOOKUP(C637,Hoja1!$B$2:$B$6191,Hoja1!$A$2:$A$6191),VLOOKUP(C637,Hoja1!$B$1:$C$6191,2,0)),"No esta en Infor")</f>
        <v>NAC1170</v>
      </c>
      <c r="C637" s="19" t="s">
        <v>278</v>
      </c>
      <c r="D637" s="9">
        <v>161496.47</v>
      </c>
      <c r="E637" s="9">
        <v>9245</v>
      </c>
      <c r="F637" s="9">
        <v>0</v>
      </c>
      <c r="G637" s="9">
        <v>0</v>
      </c>
      <c r="H637" s="9">
        <v>0</v>
      </c>
      <c r="I637" s="9">
        <v>0</v>
      </c>
      <c r="J637" s="9">
        <v>170741.47</v>
      </c>
    </row>
    <row r="638" spans="1:10" ht="15.75" x14ac:dyDescent="0.25">
      <c r="A638" s="21">
        <v>45351</v>
      </c>
      <c r="B638" t="str">
        <f>IFERROR(IF(VLOOKUP(C638,Hoja1!$B$1:$C$6191,2,0)="",_xlfn.XLOOKUP(C638,Hoja1!$B$2:$B$6191,Hoja1!$A$2:$A$6191),VLOOKUP(C638,Hoja1!$B$1:$C$6191,2,0)),"No esta en Infor")</f>
        <v>NAC1174</v>
      </c>
      <c r="C638" s="19" t="s">
        <v>279</v>
      </c>
      <c r="D638" s="9">
        <v>0</v>
      </c>
      <c r="E638" s="9">
        <v>-27.89</v>
      </c>
      <c r="F638" s="9">
        <v>0</v>
      </c>
      <c r="G638" s="9">
        <v>0</v>
      </c>
      <c r="H638" s="9">
        <v>0</v>
      </c>
      <c r="I638" s="9">
        <v>0</v>
      </c>
      <c r="J638" s="9">
        <v>-27.89</v>
      </c>
    </row>
    <row r="639" spans="1:10" ht="15.75" x14ac:dyDescent="0.25">
      <c r="A639" s="21">
        <v>45351</v>
      </c>
      <c r="B639" t="str">
        <f>IFERROR(IF(VLOOKUP(C639,Hoja1!$B$1:$C$6191,2,0)="",_xlfn.XLOOKUP(C639,Hoja1!$B$2:$B$6191,Hoja1!$A$2:$A$6191),VLOOKUP(C639,Hoja1!$B$1:$C$6191,2,0)),"No esta en Infor")</f>
        <v>SH01928</v>
      </c>
      <c r="C639" s="19" t="s">
        <v>412</v>
      </c>
      <c r="D639" s="9">
        <v>0</v>
      </c>
      <c r="E639" s="9">
        <v>176.49</v>
      </c>
      <c r="F639" s="9">
        <v>0</v>
      </c>
      <c r="G639" s="9">
        <v>0</v>
      </c>
      <c r="H639" s="9">
        <v>0</v>
      </c>
      <c r="I639" s="9">
        <v>0</v>
      </c>
      <c r="J639" s="9">
        <v>176.49</v>
      </c>
    </row>
    <row r="640" spans="1:10" ht="15.75" x14ac:dyDescent="0.25">
      <c r="A640" s="21">
        <v>45351</v>
      </c>
      <c r="B640" t="str">
        <f>IFERROR(IF(VLOOKUP(C640,Hoja1!$B$1:$C$6191,2,0)="",_xlfn.XLOOKUP(C640,Hoja1!$B$2:$B$6191,Hoja1!$A$2:$A$6191),VLOOKUP(C640,Hoja1!$B$1:$C$6191,2,0)),"No esta en Infor")</f>
        <v>SH01947</v>
      </c>
      <c r="C640" s="19" t="s">
        <v>413</v>
      </c>
      <c r="D640" s="9">
        <v>0</v>
      </c>
      <c r="E640" s="9">
        <v>53.87</v>
      </c>
      <c r="F640" s="9">
        <v>0</v>
      </c>
      <c r="G640" s="9">
        <v>0</v>
      </c>
      <c r="H640" s="9">
        <v>0</v>
      </c>
      <c r="I640" s="9">
        <v>0</v>
      </c>
      <c r="J640" s="9">
        <v>53.87</v>
      </c>
    </row>
    <row r="641" spans="1:10" ht="15.75" x14ac:dyDescent="0.25">
      <c r="A641" s="21">
        <v>45351</v>
      </c>
      <c r="B641" t="str">
        <f>IFERROR(IF(VLOOKUP(C641,Hoja1!$B$1:$C$6191,2,0)="",_xlfn.XLOOKUP(C641,Hoja1!$B$2:$B$6191,Hoja1!$A$2:$A$6191),VLOOKUP(C641,Hoja1!$B$1:$C$6191,2,0)),"No esta en Infor")</f>
        <v>SH01955</v>
      </c>
      <c r="C641" s="19" t="s">
        <v>414</v>
      </c>
      <c r="D641" s="9">
        <v>0</v>
      </c>
      <c r="E641" s="9">
        <v>-45.76</v>
      </c>
      <c r="F641" s="9">
        <v>0</v>
      </c>
      <c r="G641" s="9">
        <v>0</v>
      </c>
      <c r="H641" s="9">
        <v>0</v>
      </c>
      <c r="I641" s="9">
        <v>0</v>
      </c>
      <c r="J641" s="9">
        <v>-45.76</v>
      </c>
    </row>
    <row r="642" spans="1:10" ht="15.75" x14ac:dyDescent="0.25">
      <c r="A642" s="21">
        <v>45351</v>
      </c>
      <c r="B642" t="str">
        <f>IFERROR(IF(VLOOKUP(C642,Hoja1!$B$1:$C$6191,2,0)="",_xlfn.XLOOKUP(C642,Hoja1!$B$2:$B$6191,Hoja1!$A$2:$A$6191),VLOOKUP(C642,Hoja1!$B$1:$C$6191,2,0)),"No esta en Infor")</f>
        <v>CAN0043</v>
      </c>
      <c r="C642" s="19" t="s">
        <v>280</v>
      </c>
      <c r="D642" s="9">
        <v>3118.8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3118.8</v>
      </c>
    </row>
    <row r="643" spans="1:10" ht="15.75" x14ac:dyDescent="0.25">
      <c r="A643" s="21">
        <v>45351</v>
      </c>
      <c r="B643" t="str">
        <f>IFERROR(IF(VLOOKUP(C643,Hoja1!$B$1:$C$6191,2,0)="",_xlfn.XLOOKUP(C643,Hoja1!$B$2:$B$6191,Hoja1!$A$2:$A$6191),VLOOKUP(C643,Hoja1!$B$1:$C$6191,2,0)),"No esta en Infor")</f>
        <v>SH01970</v>
      </c>
      <c r="C643" s="19" t="s">
        <v>415</v>
      </c>
      <c r="D643" s="9">
        <v>0</v>
      </c>
      <c r="E643" s="9">
        <v>59.18</v>
      </c>
      <c r="F643" s="9">
        <v>0</v>
      </c>
      <c r="G643" s="9">
        <v>0</v>
      </c>
      <c r="H643" s="9">
        <v>0</v>
      </c>
      <c r="I643" s="9">
        <v>0</v>
      </c>
      <c r="J643" s="9">
        <v>59.18</v>
      </c>
    </row>
    <row r="644" spans="1:10" ht="15.75" x14ac:dyDescent="0.25">
      <c r="A644" s="21">
        <v>45351</v>
      </c>
      <c r="B644" t="str">
        <f>IFERROR(IF(VLOOKUP(C644,Hoja1!$B$1:$C$6191,2,0)="",_xlfn.XLOOKUP(C644,Hoja1!$B$2:$B$6191,Hoja1!$A$2:$A$6191),VLOOKUP(C644,Hoja1!$B$1:$C$6191,2,0)),"No esta en Infor")</f>
        <v>NAC1189</v>
      </c>
      <c r="C644" s="19" t="s">
        <v>282</v>
      </c>
      <c r="D644" s="9">
        <v>0</v>
      </c>
      <c r="E644" s="9">
        <v>2874</v>
      </c>
      <c r="F644" s="9">
        <v>0</v>
      </c>
      <c r="G644" s="9">
        <v>0</v>
      </c>
      <c r="H644" s="9">
        <v>0</v>
      </c>
      <c r="I644" s="9">
        <v>0</v>
      </c>
      <c r="J644" s="9">
        <v>2874</v>
      </c>
    </row>
    <row r="645" spans="1:10" ht="15.75" x14ac:dyDescent="0.25">
      <c r="A645" s="21">
        <v>45351</v>
      </c>
      <c r="B645" t="str">
        <f>IFERROR(IF(VLOOKUP(C645,Hoja1!$B$1:$C$6191,2,0)="",_xlfn.XLOOKUP(C645,Hoja1!$B$2:$B$6191,Hoja1!$A$2:$A$6191),VLOOKUP(C645,Hoja1!$B$1:$C$6191,2,0)),"No esta en Infor")</f>
        <v>NAC1202</v>
      </c>
      <c r="C645" s="19" t="s">
        <v>416</v>
      </c>
      <c r="D645" s="9">
        <v>2523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2523</v>
      </c>
    </row>
    <row r="646" spans="1:10" ht="15.75" x14ac:dyDescent="0.25">
      <c r="A646" s="21">
        <v>45351</v>
      </c>
      <c r="B646" t="str">
        <f>IFERROR(IF(VLOOKUP(C646,Hoja1!$B$1:$C$6191,2,0)="",_xlfn.XLOOKUP(C646,Hoja1!$B$2:$B$6191,Hoja1!$A$2:$A$6191),VLOOKUP(C646,Hoja1!$B$1:$C$6191,2,0)),"No esta en Infor")</f>
        <v>NAC1207</v>
      </c>
      <c r="C646" s="19" t="s">
        <v>417</v>
      </c>
      <c r="D646" s="9">
        <v>879.6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879.6</v>
      </c>
    </row>
    <row r="647" spans="1:10" ht="15.75" x14ac:dyDescent="0.25">
      <c r="A647" s="21">
        <v>45351</v>
      </c>
      <c r="B647" t="str">
        <f>IFERROR(IF(VLOOKUP(C647,Hoja1!$B$1:$C$6191,2,0)="",_xlfn.XLOOKUP(C647,Hoja1!$B$2:$B$6191,Hoja1!$A$2:$A$6191),VLOOKUP(C647,Hoja1!$B$1:$C$6191,2,0)),"No esta en Infor")</f>
        <v>NAC1211</v>
      </c>
      <c r="C647" s="19" t="s">
        <v>284</v>
      </c>
      <c r="D647" s="9">
        <v>109011.52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109011.52</v>
      </c>
    </row>
    <row r="648" spans="1:10" ht="15.75" x14ac:dyDescent="0.25">
      <c r="A648" s="21">
        <v>45351</v>
      </c>
      <c r="B648" t="str">
        <f>IFERROR(IF(VLOOKUP(C648,Hoja1!$B$1:$C$6191,2,0)="",_xlfn.XLOOKUP(C648,Hoja1!$B$2:$B$6191,Hoja1!$A$2:$A$6191),VLOOKUP(C648,Hoja1!$B$1:$C$6191,2,0)),"No esta en Infor")</f>
        <v>NAC1212</v>
      </c>
      <c r="C648" s="19" t="s">
        <v>285</v>
      </c>
      <c r="D648" s="9">
        <v>24060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24060</v>
      </c>
    </row>
    <row r="649" spans="1:10" ht="15.75" x14ac:dyDescent="0.25">
      <c r="A649" s="21">
        <v>45351</v>
      </c>
      <c r="B649" t="str">
        <f>IFERROR(IF(VLOOKUP(C649,Hoja1!$B$1:$C$6191,2,0)="",_xlfn.XLOOKUP(C649,Hoja1!$B$2:$B$6191,Hoja1!$A$2:$A$6191),VLOOKUP(C649,Hoja1!$B$1:$C$6191,2,0)),"No esta en Infor")</f>
        <v>NAC1216</v>
      </c>
      <c r="C649" s="19" t="s">
        <v>287</v>
      </c>
      <c r="D649" s="9">
        <v>0</v>
      </c>
      <c r="E649" s="9">
        <v>-0.01</v>
      </c>
      <c r="F649" s="9">
        <v>0</v>
      </c>
      <c r="G649" s="9">
        <v>0</v>
      </c>
      <c r="H649" s="9">
        <v>0</v>
      </c>
      <c r="I649" s="9">
        <v>0</v>
      </c>
      <c r="J649" s="9">
        <v>-0.01</v>
      </c>
    </row>
    <row r="650" spans="1:10" ht="15.75" x14ac:dyDescent="0.25">
      <c r="A650" s="21">
        <v>45351</v>
      </c>
      <c r="B650" t="str">
        <f>IFERROR(IF(VLOOKUP(C650,Hoja1!$B$1:$C$6191,2,0)="",_xlfn.XLOOKUP(C650,Hoja1!$B$2:$B$6191,Hoja1!$A$2:$A$6191),VLOOKUP(C650,Hoja1!$B$1:$C$6191,2,0)),"No esta en Infor")</f>
        <v>CAN0049</v>
      </c>
      <c r="C650" s="19" t="s">
        <v>289</v>
      </c>
      <c r="D650" s="9">
        <v>16394.8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16394.8</v>
      </c>
    </row>
    <row r="651" spans="1:10" ht="15.75" x14ac:dyDescent="0.25">
      <c r="A651" s="21">
        <v>45351</v>
      </c>
      <c r="B651" t="str">
        <f>IFERROR(IF(VLOOKUP(C651,Hoja1!$B$1:$C$6191,2,0)="",_xlfn.XLOOKUP(C651,Hoja1!$B$2:$B$6191,Hoja1!$A$2:$A$6191),VLOOKUP(C651,Hoja1!$B$1:$C$6191,2,0)),"No esta en Infor")</f>
        <v>NAC1229</v>
      </c>
      <c r="C651" s="19" t="s">
        <v>418</v>
      </c>
      <c r="D651" s="9">
        <v>505.49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505.49</v>
      </c>
    </row>
    <row r="652" spans="1:10" ht="15.75" x14ac:dyDescent="0.25">
      <c r="A652" s="21">
        <v>45351</v>
      </c>
      <c r="B652" t="str">
        <f>IFERROR(IF(VLOOKUP(C652,Hoja1!$B$1:$C$6191,2,0)="",_xlfn.XLOOKUP(C652,Hoja1!$B$2:$B$6191,Hoja1!$A$2:$A$6191),VLOOKUP(C652,Hoja1!$B$1:$C$6191,2,0)),"No esta en Infor")</f>
        <v>NAC1231</v>
      </c>
      <c r="C652" s="19" t="s">
        <v>290</v>
      </c>
      <c r="D652" s="9">
        <v>0</v>
      </c>
      <c r="E652" s="9">
        <v>36561.449999999997</v>
      </c>
      <c r="F652" s="9">
        <v>0</v>
      </c>
      <c r="G652" s="9">
        <v>0</v>
      </c>
      <c r="H652" s="9">
        <v>0</v>
      </c>
      <c r="I652" s="9">
        <v>0</v>
      </c>
      <c r="J652" s="9">
        <v>36561.449999999997</v>
      </c>
    </row>
    <row r="653" spans="1:10" ht="15.75" x14ac:dyDescent="0.25">
      <c r="A653" s="21">
        <v>45351</v>
      </c>
      <c r="B653" t="str">
        <f>IFERROR(IF(VLOOKUP(C653,Hoja1!$B$1:$C$6191,2,0)="",_xlfn.XLOOKUP(C653,Hoja1!$B$2:$B$6191,Hoja1!$A$2:$A$6191),VLOOKUP(C653,Hoja1!$B$1:$C$6191,2,0)),"No esta en Infor")</f>
        <v>CAN0050</v>
      </c>
      <c r="C653" s="19" t="s">
        <v>291</v>
      </c>
      <c r="D653" s="9">
        <v>103292.01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103292.01</v>
      </c>
    </row>
    <row r="654" spans="1:10" ht="15.75" x14ac:dyDescent="0.25">
      <c r="A654" s="21">
        <v>45351</v>
      </c>
      <c r="B654" t="str">
        <f>IFERROR(IF(VLOOKUP(C654,Hoja1!$B$1:$C$6191,2,0)="",_xlfn.XLOOKUP(C654,Hoja1!$B$2:$B$6191,Hoja1!$A$2:$A$6191),VLOOKUP(C654,Hoja1!$B$1:$C$6191,2,0)),"No esta en Infor")</f>
        <v>NAC1234</v>
      </c>
      <c r="C654" s="19" t="s">
        <v>293</v>
      </c>
      <c r="D654" s="9">
        <v>8793.5</v>
      </c>
      <c r="E654" s="9">
        <v>2975</v>
      </c>
      <c r="F654" s="9">
        <v>0</v>
      </c>
      <c r="G654" s="9">
        <v>0</v>
      </c>
      <c r="H654" s="9">
        <v>0</v>
      </c>
      <c r="I654" s="9">
        <v>0</v>
      </c>
      <c r="J654" s="9">
        <v>11768.5</v>
      </c>
    </row>
    <row r="655" spans="1:10" ht="15.75" x14ac:dyDescent="0.25">
      <c r="A655" s="21">
        <v>45351</v>
      </c>
      <c r="B655" t="str">
        <f>IFERROR(IF(VLOOKUP(C655,Hoja1!$B$1:$C$6191,2,0)="",_xlfn.XLOOKUP(C655,Hoja1!$B$2:$B$6191,Hoja1!$A$2:$A$6191),VLOOKUP(C655,Hoja1!$B$1:$C$6191,2,0)),"No esta en Infor")</f>
        <v>SH02051</v>
      </c>
      <c r="C655" s="19" t="s">
        <v>294</v>
      </c>
      <c r="D655" s="9">
        <v>0</v>
      </c>
      <c r="E655" s="9">
        <v>0</v>
      </c>
      <c r="F655" s="9">
        <v>23.82</v>
      </c>
      <c r="G655" s="9">
        <v>0</v>
      </c>
      <c r="H655" s="9">
        <v>0</v>
      </c>
      <c r="I655" s="9">
        <v>0</v>
      </c>
      <c r="J655" s="9">
        <v>23.82</v>
      </c>
    </row>
    <row r="656" spans="1:10" ht="15.75" x14ac:dyDescent="0.25">
      <c r="A656" s="21">
        <v>45351</v>
      </c>
      <c r="B656" t="str">
        <f>IFERROR(IF(VLOOKUP(C656,Hoja1!$B$1:$C$6191,2,0)="",_xlfn.XLOOKUP(C656,Hoja1!$B$2:$B$6191,Hoja1!$A$2:$A$6191),VLOOKUP(C656,Hoja1!$B$1:$C$6191,2,0)),"No esta en Infor")</f>
        <v>NAC1241</v>
      </c>
      <c r="C656" s="19" t="s">
        <v>295</v>
      </c>
      <c r="D656" s="9">
        <v>13125</v>
      </c>
      <c r="E656" s="9">
        <v>0</v>
      </c>
      <c r="F656" s="9">
        <v>0</v>
      </c>
      <c r="G656" s="9">
        <v>0</v>
      </c>
      <c r="H656" s="9">
        <v>-75</v>
      </c>
      <c r="I656" s="9">
        <v>0</v>
      </c>
      <c r="J656" s="9">
        <v>13050</v>
      </c>
    </row>
    <row r="657" spans="1:10" ht="15.75" x14ac:dyDescent="0.25">
      <c r="A657" s="21">
        <v>45351</v>
      </c>
      <c r="B657" t="str">
        <f>IFERROR(IF(VLOOKUP(C657,Hoja1!$B$1:$C$6191,2,0)="",_xlfn.XLOOKUP(C657,Hoja1!$B$2:$B$6191,Hoja1!$A$2:$A$6191),VLOOKUP(C657,Hoja1!$B$1:$C$6191,2,0)),"No esta en Infor")</f>
        <v>NAC1242</v>
      </c>
      <c r="C657" s="19" t="s">
        <v>296</v>
      </c>
      <c r="D657" s="9">
        <v>0</v>
      </c>
      <c r="E657" s="9">
        <v>10.44</v>
      </c>
      <c r="F657" s="9">
        <v>0</v>
      </c>
      <c r="G657" s="9">
        <v>0</v>
      </c>
      <c r="H657" s="9">
        <v>0</v>
      </c>
      <c r="I657" s="9">
        <v>0</v>
      </c>
      <c r="J657" s="9">
        <v>10.44</v>
      </c>
    </row>
    <row r="658" spans="1:10" ht="15.75" x14ac:dyDescent="0.25">
      <c r="A658" s="21">
        <v>45351</v>
      </c>
      <c r="B658" t="str">
        <f>IFERROR(IF(VLOOKUP(C658,Hoja1!$B$1:$C$6191,2,0)="",_xlfn.XLOOKUP(C658,Hoja1!$B$2:$B$6191,Hoja1!$A$2:$A$6191),VLOOKUP(C658,Hoja1!$B$1:$C$6191,2,0)),"No esta en Infor")</f>
        <v>NAC1247</v>
      </c>
      <c r="C658" s="19" t="s">
        <v>298</v>
      </c>
      <c r="D658" s="9">
        <v>226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226</v>
      </c>
    </row>
    <row r="659" spans="1:10" ht="15.75" x14ac:dyDescent="0.25">
      <c r="A659" s="21">
        <v>45351</v>
      </c>
      <c r="B659" t="str">
        <f>IFERROR(IF(VLOOKUP(C659,Hoja1!$B$1:$C$6191,2,0)="",_xlfn.XLOOKUP(C659,Hoja1!$B$2:$B$6191,Hoja1!$A$2:$A$6191),VLOOKUP(C659,Hoja1!$B$1:$C$6191,2,0)),"No esta en Infor")</f>
        <v>CAN0051</v>
      </c>
      <c r="C659" s="19" t="s">
        <v>299</v>
      </c>
      <c r="D659" s="9">
        <v>0</v>
      </c>
      <c r="E659" s="9">
        <v>-0.34</v>
      </c>
      <c r="F659" s="9">
        <v>0</v>
      </c>
      <c r="G659" s="9">
        <v>0</v>
      </c>
      <c r="H659" s="9">
        <v>0</v>
      </c>
      <c r="I659" s="9">
        <v>0</v>
      </c>
      <c r="J659" s="9">
        <v>-0.34</v>
      </c>
    </row>
    <row r="660" spans="1:10" ht="15.75" x14ac:dyDescent="0.25">
      <c r="A660" s="21">
        <v>45351</v>
      </c>
      <c r="B660" t="str">
        <f>IFERROR(IF(VLOOKUP(C660,Hoja1!$B$1:$C$6191,2,0)="",_xlfn.XLOOKUP(C660,Hoja1!$B$2:$B$6191,Hoja1!$A$2:$A$6191),VLOOKUP(C660,Hoja1!$B$1:$C$6191,2,0)),"No esta en Infor")</f>
        <v>NAC1249</v>
      </c>
      <c r="C660" s="19" t="s">
        <v>300</v>
      </c>
      <c r="D660" s="9">
        <v>796.68</v>
      </c>
      <c r="E660" s="9">
        <v>79982.820000000007</v>
      </c>
      <c r="F660" s="9">
        <v>0</v>
      </c>
      <c r="G660" s="9">
        <v>0</v>
      </c>
      <c r="H660" s="9">
        <v>0</v>
      </c>
      <c r="I660" s="9">
        <v>0</v>
      </c>
      <c r="J660" s="9">
        <v>80779.5</v>
      </c>
    </row>
    <row r="661" spans="1:10" ht="15.75" x14ac:dyDescent="0.25">
      <c r="A661" s="21">
        <v>45351</v>
      </c>
      <c r="B661" t="str">
        <f>IFERROR(IF(VLOOKUP(C661,Hoja1!$B$1:$C$6191,2,0)="",_xlfn.XLOOKUP(C661,Hoja1!$B$2:$B$6191,Hoja1!$A$2:$A$6191),VLOOKUP(C661,Hoja1!$B$1:$C$6191,2,0)),"No esta en Infor")</f>
        <v>NAC1252</v>
      </c>
      <c r="C661" s="19" t="s">
        <v>301</v>
      </c>
      <c r="D661" s="9">
        <v>13769.4</v>
      </c>
      <c r="E661" s="9">
        <v>1535</v>
      </c>
      <c r="F661" s="9">
        <v>0</v>
      </c>
      <c r="G661" s="9">
        <v>0</v>
      </c>
      <c r="H661" s="9">
        <v>0</v>
      </c>
      <c r="I661" s="9">
        <v>0</v>
      </c>
      <c r="J661" s="9">
        <v>15304.4</v>
      </c>
    </row>
    <row r="662" spans="1:10" ht="15.75" x14ac:dyDescent="0.25">
      <c r="A662" s="21">
        <v>45351</v>
      </c>
      <c r="B662" t="str">
        <f>IFERROR(IF(VLOOKUP(C662,Hoja1!$B$1:$C$6191,2,0)="",_xlfn.XLOOKUP(C662,Hoja1!$B$2:$B$6191,Hoja1!$A$2:$A$6191),VLOOKUP(C662,Hoja1!$B$1:$C$6191,2,0)),"No esta en Infor")</f>
        <v>NAC1255</v>
      </c>
      <c r="C662" s="19" t="s">
        <v>419</v>
      </c>
      <c r="D662" s="9">
        <v>617.53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617.53</v>
      </c>
    </row>
    <row r="663" spans="1:10" ht="15.75" x14ac:dyDescent="0.25">
      <c r="A663" s="21">
        <v>45351</v>
      </c>
      <c r="B663" t="str">
        <f>IFERROR(IF(VLOOKUP(C663,Hoja1!$B$1:$C$6191,2,0)="",_xlfn.XLOOKUP(C663,Hoja1!$B$2:$B$6191,Hoja1!$A$2:$A$6191),VLOOKUP(C663,Hoja1!$B$1:$C$6191,2,0)),"No esta en Infor")</f>
        <v>SH02056</v>
      </c>
      <c r="C663" s="19" t="s">
        <v>420</v>
      </c>
      <c r="D663" s="9">
        <v>0</v>
      </c>
      <c r="E663" s="9">
        <v>54.13</v>
      </c>
      <c r="F663" s="9">
        <v>0</v>
      </c>
      <c r="G663" s="9">
        <v>0</v>
      </c>
      <c r="H663" s="9">
        <v>0</v>
      </c>
      <c r="I663" s="9">
        <v>0</v>
      </c>
      <c r="J663" s="9">
        <v>54.13</v>
      </c>
    </row>
    <row r="664" spans="1:10" ht="15.75" x14ac:dyDescent="0.25">
      <c r="A664" s="21">
        <v>45351</v>
      </c>
      <c r="B664" t="str">
        <f>IFERROR(IF(VLOOKUP(C664,Hoja1!$B$1:$C$6191,2,0)="",_xlfn.XLOOKUP(C664,Hoja1!$B$2:$B$6191,Hoja1!$A$2:$A$6191),VLOOKUP(C664,Hoja1!$B$1:$C$6191,2,0)),"No esta en Infor")</f>
        <v>NAC1261</v>
      </c>
      <c r="C664" s="19" t="s">
        <v>303</v>
      </c>
      <c r="D664" s="9">
        <v>0</v>
      </c>
      <c r="E664" s="9">
        <v>1504.9</v>
      </c>
      <c r="F664" s="9">
        <v>0</v>
      </c>
      <c r="G664" s="9">
        <v>0</v>
      </c>
      <c r="H664" s="9">
        <v>0</v>
      </c>
      <c r="I664" s="9">
        <v>0</v>
      </c>
      <c r="J664" s="9">
        <v>1504.9</v>
      </c>
    </row>
    <row r="665" spans="1:10" ht="15.75" x14ac:dyDescent="0.25">
      <c r="A665" s="21">
        <v>45351</v>
      </c>
      <c r="B665" t="str">
        <f>IFERROR(IF(VLOOKUP(C665,Hoja1!$B$1:$C$6191,2,0)="",_xlfn.XLOOKUP(C665,Hoja1!$B$2:$B$6191,Hoja1!$A$2:$A$6191),VLOOKUP(C665,Hoja1!$B$1:$C$6191,2,0)),"No esta en Infor")</f>
        <v>NAC1281</v>
      </c>
      <c r="C665" s="19" t="s">
        <v>305</v>
      </c>
      <c r="D665" s="9">
        <v>0</v>
      </c>
      <c r="E665" s="9">
        <v>649.98</v>
      </c>
      <c r="F665" s="9">
        <v>0</v>
      </c>
      <c r="G665" s="9">
        <v>0</v>
      </c>
      <c r="H665" s="9">
        <v>0</v>
      </c>
      <c r="I665" s="9">
        <v>0</v>
      </c>
      <c r="J665" s="9">
        <v>649.98</v>
      </c>
    </row>
    <row r="666" spans="1:10" ht="15.75" x14ac:dyDescent="0.25">
      <c r="A666" s="21">
        <v>45351</v>
      </c>
      <c r="B666" t="str">
        <f>IFERROR(IF(VLOOKUP(C666,Hoja1!$B$1:$C$6191,2,0)="",_xlfn.XLOOKUP(C666,Hoja1!$B$2:$B$6191,Hoja1!$A$2:$A$6191),VLOOKUP(C666,Hoja1!$B$1:$C$6191,2,0)),"No esta en Infor")</f>
        <v>NAC1281</v>
      </c>
      <c r="C666" s="19" t="s">
        <v>306</v>
      </c>
      <c r="D666" s="9">
        <v>0</v>
      </c>
      <c r="E666" s="9">
        <v>497.14</v>
      </c>
      <c r="F666" s="9">
        <v>0</v>
      </c>
      <c r="G666" s="9">
        <v>146.31</v>
      </c>
      <c r="H666" s="9">
        <v>0</v>
      </c>
      <c r="I666" s="9">
        <v>0</v>
      </c>
      <c r="J666" s="9">
        <v>643.45000000000005</v>
      </c>
    </row>
    <row r="667" spans="1:10" ht="15.75" x14ac:dyDescent="0.25">
      <c r="A667" s="21">
        <v>45351</v>
      </c>
      <c r="B667" t="str">
        <f>IFERROR(IF(VLOOKUP(C667,Hoja1!$B$1:$C$6191,2,0)="",_xlfn.XLOOKUP(C667,Hoja1!$B$2:$B$6191,Hoja1!$A$2:$A$6191),VLOOKUP(C667,Hoja1!$B$1:$C$6191,2,0)),"No esta en Infor")</f>
        <v>SH02092</v>
      </c>
      <c r="C667" s="19" t="s">
        <v>421</v>
      </c>
      <c r="D667" s="9">
        <v>102.56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102.56</v>
      </c>
    </row>
    <row r="668" spans="1:10" ht="15.75" x14ac:dyDescent="0.25">
      <c r="A668" s="21">
        <v>45351</v>
      </c>
      <c r="B668" t="str">
        <f>IFERROR(IF(VLOOKUP(C668,Hoja1!$B$1:$C$6191,2,0)="",_xlfn.XLOOKUP(C668,Hoja1!$B$2:$B$6191,Hoja1!$A$2:$A$6191),VLOOKUP(C668,Hoja1!$B$1:$C$6191,2,0)),"No esta en Infor")</f>
        <v>NAC1283</v>
      </c>
      <c r="C668" s="19" t="s">
        <v>308</v>
      </c>
      <c r="D668" s="9">
        <v>-118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-118</v>
      </c>
    </row>
    <row r="669" spans="1:10" ht="15.75" x14ac:dyDescent="0.25">
      <c r="A669" s="21">
        <v>45351</v>
      </c>
      <c r="B669" t="str">
        <f>IFERROR(IF(VLOOKUP(C669,Hoja1!$B$1:$C$6191,2,0)="",_xlfn.XLOOKUP(C669,Hoja1!$B$2:$B$6191,Hoja1!$A$2:$A$6191),VLOOKUP(C669,Hoja1!$B$1:$C$6191,2,0)),"No esta en Infor")</f>
        <v>No esta en Infor</v>
      </c>
      <c r="C669" s="19" t="s">
        <v>47</v>
      </c>
      <c r="D669" s="9">
        <v>850</v>
      </c>
      <c r="E669" s="9">
        <v>0</v>
      </c>
      <c r="F669" s="9">
        <v>39</v>
      </c>
      <c r="G669" s="9">
        <v>0</v>
      </c>
      <c r="H669" s="9">
        <v>0</v>
      </c>
      <c r="I669" s="9">
        <v>0</v>
      </c>
      <c r="J669" s="9">
        <v>889</v>
      </c>
    </row>
    <row r="670" spans="1:10" ht="15.75" x14ac:dyDescent="0.25">
      <c r="A670" s="21">
        <v>45351</v>
      </c>
      <c r="B670" t="str">
        <f>IFERROR(IF(VLOOKUP(C670,Hoja1!$B$1:$C$6191,2,0)="",_xlfn.XLOOKUP(C670,Hoja1!$B$2:$B$6191,Hoja1!$A$2:$A$6191),VLOOKUP(C670,Hoja1!$B$1:$C$6191,2,0)),"No esta en Infor")</f>
        <v>NAC1311</v>
      </c>
      <c r="C670" s="19" t="s">
        <v>311</v>
      </c>
      <c r="D670" s="9">
        <v>0</v>
      </c>
      <c r="E670" s="9">
        <v>0</v>
      </c>
      <c r="F670" s="9">
        <v>0</v>
      </c>
      <c r="G670" s="9">
        <v>0</v>
      </c>
      <c r="H670" s="9">
        <v>-116.74</v>
      </c>
      <c r="I670" s="9">
        <v>0</v>
      </c>
      <c r="J670" s="9">
        <v>-116.74</v>
      </c>
    </row>
    <row r="671" spans="1:10" ht="15.75" x14ac:dyDescent="0.25">
      <c r="A671" s="21">
        <v>45351</v>
      </c>
      <c r="B671" t="str">
        <f>IFERROR(IF(VLOOKUP(C671,Hoja1!$B$1:$C$6191,2,0)="",_xlfn.XLOOKUP(C671,Hoja1!$B$2:$B$6191,Hoja1!$A$2:$A$6191),VLOOKUP(C671,Hoja1!$B$1:$C$6191,2,0)),"No esta en Infor")</f>
        <v>NAC1312</v>
      </c>
      <c r="C671" s="19" t="s">
        <v>314</v>
      </c>
      <c r="D671" s="9">
        <v>25233.55</v>
      </c>
      <c r="E671" s="9">
        <v>0</v>
      </c>
      <c r="F671" s="9">
        <v>6392.93</v>
      </c>
      <c r="G671" s="9">
        <v>0</v>
      </c>
      <c r="H671" s="9">
        <v>0</v>
      </c>
      <c r="I671" s="9">
        <v>0</v>
      </c>
      <c r="J671" s="9">
        <v>31626.48</v>
      </c>
    </row>
    <row r="672" spans="1:10" ht="15.75" x14ac:dyDescent="0.25">
      <c r="A672" s="21">
        <v>45351</v>
      </c>
      <c r="B672" t="str">
        <f>IFERROR(IF(VLOOKUP(C672,Hoja1!$B$1:$C$6191,2,0)="",_xlfn.XLOOKUP(C672,Hoja1!$B$2:$B$6191,Hoja1!$A$2:$A$6191),VLOOKUP(C672,Hoja1!$B$1:$C$6191,2,0)),"No esta en Infor")</f>
        <v>NAC1313</v>
      </c>
      <c r="C672" s="19" t="s">
        <v>315</v>
      </c>
      <c r="D672" s="9">
        <v>4800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4800</v>
      </c>
    </row>
    <row r="673" spans="1:10" ht="15.75" x14ac:dyDescent="0.25">
      <c r="A673" s="21">
        <v>45351</v>
      </c>
      <c r="B673" t="str">
        <f>IFERROR(IF(VLOOKUP(C673,Hoja1!$B$1:$C$6191,2,0)="",_xlfn.XLOOKUP(C673,Hoja1!$B$2:$B$6191,Hoja1!$A$2:$A$6191),VLOOKUP(C673,Hoja1!$B$1:$C$6191,2,0)),"No esta en Infor")</f>
        <v>CAN0060</v>
      </c>
      <c r="C673" s="19" t="s">
        <v>422</v>
      </c>
      <c r="D673" s="9">
        <v>219.21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219.21</v>
      </c>
    </row>
    <row r="674" spans="1:10" ht="15.75" x14ac:dyDescent="0.25">
      <c r="A674" s="21">
        <v>45351</v>
      </c>
      <c r="B674" t="str">
        <f>IFERROR(IF(VLOOKUP(C674,Hoja1!$B$1:$C$6191,2,0)="",_xlfn.XLOOKUP(C674,Hoja1!$B$2:$B$6191,Hoja1!$A$2:$A$6191),VLOOKUP(C674,Hoja1!$B$1:$C$6191,2,0)),"No esta en Infor")</f>
        <v>NAC1332</v>
      </c>
      <c r="C674" s="19" t="s">
        <v>317</v>
      </c>
      <c r="D674" s="9">
        <v>0</v>
      </c>
      <c r="E674" s="9">
        <v>1102</v>
      </c>
      <c r="F674" s="9">
        <v>0</v>
      </c>
      <c r="G674" s="9">
        <v>0</v>
      </c>
      <c r="H674" s="9">
        <v>0</v>
      </c>
      <c r="I674" s="9">
        <v>0</v>
      </c>
      <c r="J674" s="9">
        <v>1102</v>
      </c>
    </row>
    <row r="675" spans="1:10" ht="15.75" x14ac:dyDescent="0.25">
      <c r="A675" s="21">
        <v>45351</v>
      </c>
      <c r="B675" t="str">
        <f>IFERROR(IF(VLOOKUP(C675,Hoja1!$B$1:$C$6191,2,0)="",_xlfn.XLOOKUP(C675,Hoja1!$B$2:$B$6191,Hoja1!$A$2:$A$6191),VLOOKUP(C675,Hoja1!$B$1:$C$6191,2,0)),"No esta en Infor")</f>
        <v>NAC1333</v>
      </c>
      <c r="C675" s="19" t="s">
        <v>318</v>
      </c>
      <c r="D675" s="9">
        <v>0</v>
      </c>
      <c r="E675" s="9">
        <v>8179.97</v>
      </c>
      <c r="F675" s="9">
        <v>0</v>
      </c>
      <c r="G675" s="9">
        <v>0</v>
      </c>
      <c r="H675" s="9">
        <v>0</v>
      </c>
      <c r="I675" s="9">
        <v>0</v>
      </c>
      <c r="J675" s="9">
        <v>8179.97</v>
      </c>
    </row>
    <row r="676" spans="1:10" ht="15.75" x14ac:dyDescent="0.25">
      <c r="A676" s="21">
        <v>45351</v>
      </c>
      <c r="B676" t="str">
        <f>IFERROR(IF(VLOOKUP(C676,Hoja1!$B$1:$C$6191,2,0)="",_xlfn.XLOOKUP(C676,Hoja1!$B$2:$B$6191,Hoja1!$A$2:$A$6191),VLOOKUP(C676,Hoja1!$B$1:$C$6191,2,0)),"No esta en Infor")</f>
        <v>No esta en Infor</v>
      </c>
      <c r="C676" s="19" t="s">
        <v>320</v>
      </c>
      <c r="D676" s="9">
        <v>0</v>
      </c>
      <c r="E676" s="9">
        <v>48.29</v>
      </c>
      <c r="F676" s="9">
        <v>0</v>
      </c>
      <c r="G676" s="9">
        <v>0</v>
      </c>
      <c r="H676" s="9">
        <v>0</v>
      </c>
      <c r="I676" s="9">
        <v>0</v>
      </c>
      <c r="J676" s="9">
        <v>48.29</v>
      </c>
    </row>
    <row r="677" spans="1:10" ht="15.75" x14ac:dyDescent="0.25">
      <c r="A677" s="21">
        <v>45351</v>
      </c>
      <c r="B677" t="str">
        <f>IFERROR(IF(VLOOKUP(C677,Hoja1!$B$1:$C$6191,2,0)="",_xlfn.XLOOKUP(C677,Hoja1!$B$2:$B$6191,Hoja1!$A$2:$A$6191),VLOOKUP(C677,Hoja1!$B$1:$C$6191,2,0)),"No esta en Infor")</f>
        <v>NAC1346</v>
      </c>
      <c r="C677" s="19" t="s">
        <v>321</v>
      </c>
      <c r="D677" s="9">
        <v>544.87</v>
      </c>
      <c r="E677" s="9">
        <v>829.26</v>
      </c>
      <c r="F677" s="9">
        <v>0</v>
      </c>
      <c r="G677" s="9">
        <v>0</v>
      </c>
      <c r="H677" s="9">
        <v>-2497.46</v>
      </c>
      <c r="I677" s="9">
        <v>0</v>
      </c>
      <c r="J677" s="9">
        <v>-1123.33</v>
      </c>
    </row>
    <row r="678" spans="1:10" ht="15.75" x14ac:dyDescent="0.25">
      <c r="A678" s="21">
        <v>45351</v>
      </c>
      <c r="B678" t="str">
        <f>IFERROR(IF(VLOOKUP(C678,Hoja1!$B$1:$C$6191,2,0)="",_xlfn.XLOOKUP(C678,Hoja1!$B$2:$B$6191,Hoja1!$A$2:$A$6191),VLOOKUP(C678,Hoja1!$B$1:$C$6191,2,0)),"No esta en Infor")</f>
        <v>NAC1349</v>
      </c>
      <c r="C678" s="19" t="s">
        <v>322</v>
      </c>
      <c r="D678" s="9">
        <v>-178.85</v>
      </c>
      <c r="E678" s="9">
        <v>0</v>
      </c>
      <c r="F678" s="9">
        <v>-169.96</v>
      </c>
      <c r="G678" s="9">
        <v>0</v>
      </c>
      <c r="H678" s="9">
        <v>0</v>
      </c>
      <c r="I678" s="9">
        <v>0</v>
      </c>
      <c r="J678" s="9">
        <v>-348.81</v>
      </c>
    </row>
    <row r="679" spans="1:10" ht="15.75" x14ac:dyDescent="0.25">
      <c r="A679" s="21">
        <v>45351</v>
      </c>
      <c r="B679" t="str">
        <f>IFERROR(IF(VLOOKUP(C679,Hoja1!$B$1:$C$6191,2,0)="",_xlfn.XLOOKUP(C679,Hoja1!$B$2:$B$6191,Hoja1!$A$2:$A$6191),VLOOKUP(C679,Hoja1!$B$1:$C$6191,2,0)),"No esta en Infor")</f>
        <v>NAC1348</v>
      </c>
      <c r="C679" s="19" t="s">
        <v>323</v>
      </c>
      <c r="D679" s="9">
        <v>0</v>
      </c>
      <c r="E679" s="9">
        <v>0</v>
      </c>
      <c r="F679" s="9">
        <v>0</v>
      </c>
      <c r="G679" s="9">
        <v>-343.9</v>
      </c>
      <c r="H679" s="9">
        <v>0</v>
      </c>
      <c r="I679" s="9">
        <v>0</v>
      </c>
      <c r="J679" s="9">
        <v>-343.9</v>
      </c>
    </row>
    <row r="680" spans="1:10" ht="15.75" x14ac:dyDescent="0.25">
      <c r="A680" s="21">
        <v>45351</v>
      </c>
      <c r="B680" t="str">
        <f>IFERROR(IF(VLOOKUP(C680,Hoja1!$B$1:$C$6191,2,0)="",_xlfn.XLOOKUP(C680,Hoja1!$B$2:$B$6191,Hoja1!$A$2:$A$6191),VLOOKUP(C680,Hoja1!$B$1:$C$6191,2,0)),"No esta en Infor")</f>
        <v>NAC1354</v>
      </c>
      <c r="C680" s="19" t="s">
        <v>324</v>
      </c>
      <c r="D680" s="9">
        <v>0</v>
      </c>
      <c r="E680" s="9">
        <v>424.57</v>
      </c>
      <c r="F680" s="9">
        <v>0</v>
      </c>
      <c r="G680" s="9">
        <v>0</v>
      </c>
      <c r="H680" s="9">
        <v>0</v>
      </c>
      <c r="I680" s="9">
        <v>0</v>
      </c>
      <c r="J680" s="9">
        <v>424.57</v>
      </c>
    </row>
    <row r="681" spans="1:10" ht="15.75" x14ac:dyDescent="0.25">
      <c r="A681" s="21">
        <v>45351</v>
      </c>
      <c r="B681" t="str">
        <f>IFERROR(IF(VLOOKUP(C681,Hoja1!$B$1:$C$6191,2,0)="",_xlfn.XLOOKUP(C681,Hoja1!$B$2:$B$6191,Hoja1!$A$2:$A$6191),VLOOKUP(C681,Hoja1!$B$1:$C$6191,2,0)),"No esta en Infor")</f>
        <v>NAC1356</v>
      </c>
      <c r="C681" s="19" t="s">
        <v>325</v>
      </c>
      <c r="D681" s="9">
        <v>0</v>
      </c>
      <c r="E681" s="9">
        <v>-421.28</v>
      </c>
      <c r="F681" s="9">
        <v>0</v>
      </c>
      <c r="G681" s="9">
        <v>0</v>
      </c>
      <c r="H681" s="9">
        <v>0</v>
      </c>
      <c r="I681" s="9">
        <v>0</v>
      </c>
      <c r="J681" s="9">
        <v>-421.28</v>
      </c>
    </row>
    <row r="682" spans="1:10" ht="15.75" x14ac:dyDescent="0.25">
      <c r="A682" s="21">
        <v>45351</v>
      </c>
      <c r="B682" t="str">
        <f>IFERROR(IF(VLOOKUP(C682,Hoja1!$B$1:$C$6191,2,0)="",_xlfn.XLOOKUP(C682,Hoja1!$B$2:$B$6191,Hoja1!$A$2:$A$6191),VLOOKUP(C682,Hoja1!$B$1:$C$6191,2,0)),"No esta en Infor")</f>
        <v>NAC1357</v>
      </c>
      <c r="C682" s="19" t="s">
        <v>423</v>
      </c>
      <c r="D682" s="9">
        <v>1391.8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1391.8</v>
      </c>
    </row>
    <row r="683" spans="1:10" ht="15.75" x14ac:dyDescent="0.25">
      <c r="A683" s="21">
        <v>45351</v>
      </c>
      <c r="B683" t="str">
        <f>IFERROR(IF(VLOOKUP(C683,Hoja1!$B$1:$C$6191,2,0)="",_xlfn.XLOOKUP(C683,Hoja1!$B$2:$B$6191,Hoja1!$A$2:$A$6191),VLOOKUP(C683,Hoja1!$B$1:$C$6191,2,0)),"No esta en Infor")</f>
        <v>NAC1361</v>
      </c>
      <c r="C683" s="19" t="s">
        <v>326</v>
      </c>
      <c r="D683" s="9">
        <v>0</v>
      </c>
      <c r="E683" s="9">
        <v>0</v>
      </c>
      <c r="F683" s="9">
        <v>8611.74</v>
      </c>
      <c r="G683" s="9">
        <v>0</v>
      </c>
      <c r="H683" s="9">
        <v>0</v>
      </c>
      <c r="I683" s="9">
        <v>0</v>
      </c>
      <c r="J683" s="9">
        <v>8611.74</v>
      </c>
    </row>
    <row r="684" spans="1:10" ht="15.75" x14ac:dyDescent="0.25">
      <c r="A684" s="21">
        <v>45351</v>
      </c>
      <c r="B684" t="str">
        <f>IFERROR(IF(VLOOKUP(C684,Hoja1!$B$1:$C$6191,2,0)="",_xlfn.XLOOKUP(C684,Hoja1!$B$2:$B$6191,Hoja1!$A$2:$A$6191),VLOOKUP(C684,Hoja1!$B$1:$C$6191,2,0)),"No esta en Infor")</f>
        <v>CAN0065</v>
      </c>
      <c r="C684" s="19" t="s">
        <v>327</v>
      </c>
      <c r="D684" s="9">
        <v>34389.980000000003</v>
      </c>
      <c r="E684" s="9">
        <v>15015.18</v>
      </c>
      <c r="F684" s="9">
        <v>0</v>
      </c>
      <c r="G684" s="9">
        <v>0</v>
      </c>
      <c r="H684" s="9">
        <v>0</v>
      </c>
      <c r="I684" s="9">
        <v>0</v>
      </c>
      <c r="J684" s="9">
        <v>49405.16</v>
      </c>
    </row>
    <row r="685" spans="1:10" ht="15.75" x14ac:dyDescent="0.25">
      <c r="A685" s="21">
        <v>45351</v>
      </c>
      <c r="B685" t="str">
        <f>IFERROR(IF(VLOOKUP(C685,Hoja1!$B$1:$C$6191,2,0)="",_xlfn.XLOOKUP(C685,Hoja1!$B$2:$B$6191,Hoja1!$A$2:$A$6191),VLOOKUP(C685,Hoja1!$B$1:$C$6191,2,0)),"No esta en Infor")</f>
        <v>NAC1367</v>
      </c>
      <c r="C685" s="19" t="s">
        <v>424</v>
      </c>
      <c r="D685" s="9">
        <v>0</v>
      </c>
      <c r="E685" s="9">
        <v>0</v>
      </c>
      <c r="F685" s="9">
        <v>0</v>
      </c>
      <c r="G685" s="9">
        <v>0</v>
      </c>
      <c r="H685" s="9">
        <v>-199.08</v>
      </c>
      <c r="I685" s="9">
        <v>0</v>
      </c>
      <c r="J685" s="9">
        <v>-199.08</v>
      </c>
    </row>
    <row r="686" spans="1:10" ht="15.75" x14ac:dyDescent="0.25">
      <c r="A686" s="21">
        <v>45351</v>
      </c>
      <c r="B686" t="str">
        <f>IFERROR(IF(VLOOKUP(C686,Hoja1!$B$1:$C$6191,2,0)="",_xlfn.XLOOKUP(C686,Hoja1!$B$2:$B$6191,Hoja1!$A$2:$A$6191),VLOOKUP(C686,Hoja1!$B$1:$C$6191,2,0)),"No esta en Infor")</f>
        <v>No esta en Infor</v>
      </c>
      <c r="C686" s="19" t="s">
        <v>328</v>
      </c>
      <c r="D686" s="9">
        <v>35509.18</v>
      </c>
      <c r="E686" s="9">
        <v>0</v>
      </c>
      <c r="F686" s="9">
        <v>470</v>
      </c>
      <c r="G686" s="9">
        <v>0</v>
      </c>
      <c r="H686" s="9">
        <v>0</v>
      </c>
      <c r="I686" s="9">
        <v>0</v>
      </c>
      <c r="J686" s="9">
        <v>35979.18</v>
      </c>
    </row>
    <row r="687" spans="1:10" ht="15.75" x14ac:dyDescent="0.25">
      <c r="A687" s="21">
        <v>45351</v>
      </c>
      <c r="B687" t="str">
        <f>IFERROR(IF(VLOOKUP(C687,Hoja1!$B$1:$C$6191,2,0)="",_xlfn.XLOOKUP(C687,Hoja1!$B$2:$B$6191,Hoja1!$A$2:$A$6191),VLOOKUP(C687,Hoja1!$B$1:$C$6191,2,0)),"No esta en Infor")</f>
        <v>SH02352</v>
      </c>
      <c r="C687" s="19" t="s">
        <v>425</v>
      </c>
      <c r="D687" s="9">
        <v>0</v>
      </c>
      <c r="E687" s="9">
        <v>48.96</v>
      </c>
      <c r="F687" s="9">
        <v>0</v>
      </c>
      <c r="G687" s="9">
        <v>0</v>
      </c>
      <c r="H687" s="9">
        <v>0</v>
      </c>
      <c r="I687" s="9">
        <v>0</v>
      </c>
      <c r="J687" s="9">
        <v>48.96</v>
      </c>
    </row>
    <row r="688" spans="1:10" ht="15.75" x14ac:dyDescent="0.25">
      <c r="A688" s="21">
        <v>45351</v>
      </c>
      <c r="B688" t="str">
        <f>IFERROR(IF(VLOOKUP(C688,Hoja1!$B$1:$C$6191,2,0)="",_xlfn.XLOOKUP(C688,Hoja1!$B$2:$B$6191,Hoja1!$A$2:$A$6191),VLOOKUP(C688,Hoja1!$B$1:$C$6191,2,0)),"No esta en Infor")</f>
        <v>SH02365</v>
      </c>
      <c r="C688" s="19" t="s">
        <v>329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</row>
    <row r="689" spans="1:10" ht="15.75" x14ac:dyDescent="0.25">
      <c r="A689" s="21">
        <v>45351</v>
      </c>
      <c r="B689" t="str">
        <f>IFERROR(IF(VLOOKUP(C689,Hoja1!$B$1:$C$6191,2,0)="",_xlfn.XLOOKUP(C689,Hoja1!$B$2:$B$6191,Hoja1!$A$2:$A$6191),VLOOKUP(C689,Hoja1!$B$1:$C$6191,2,0)),"No esta en Infor")</f>
        <v>CAN0066</v>
      </c>
      <c r="C689" s="19" t="s">
        <v>330</v>
      </c>
      <c r="D689" s="9">
        <v>0</v>
      </c>
      <c r="E689" s="9">
        <v>0</v>
      </c>
      <c r="F689" s="9">
        <v>-18.57</v>
      </c>
      <c r="G689" s="9">
        <v>0</v>
      </c>
      <c r="H689" s="9">
        <v>0</v>
      </c>
      <c r="I689" s="9">
        <v>0</v>
      </c>
      <c r="J689" s="9">
        <v>-18.57</v>
      </c>
    </row>
    <row r="690" spans="1:10" ht="15.75" x14ac:dyDescent="0.25">
      <c r="A690" s="21">
        <v>45351</v>
      </c>
      <c r="B690" t="str">
        <f>IFERROR(IF(VLOOKUP(C690,Hoja1!$B$1:$C$6191,2,0)="",_xlfn.XLOOKUP(C690,Hoja1!$B$2:$B$6191,Hoja1!$A$2:$A$6191),VLOOKUP(C690,Hoja1!$B$1:$C$6191,2,0)),"No esta en Infor")</f>
        <v>NAC1375</v>
      </c>
      <c r="C690" s="19" t="s">
        <v>426</v>
      </c>
      <c r="D690" s="9">
        <v>1935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1935</v>
      </c>
    </row>
    <row r="691" spans="1:10" ht="15.75" x14ac:dyDescent="0.25">
      <c r="A691" s="21">
        <v>45351</v>
      </c>
      <c r="B691" t="str">
        <f>IFERROR(IF(VLOOKUP(C691,Hoja1!$B$1:$C$6191,2,0)="",_xlfn.XLOOKUP(C691,Hoja1!$B$2:$B$6191,Hoja1!$A$2:$A$6191),VLOOKUP(C691,Hoja1!$B$1:$C$6191,2,0)),"No esta en Infor")</f>
        <v>NAC1376</v>
      </c>
      <c r="C691" s="19" t="s">
        <v>331</v>
      </c>
      <c r="D691" s="9">
        <v>30257.3</v>
      </c>
      <c r="E691" s="9">
        <v>65117.4</v>
      </c>
      <c r="F691" s="9">
        <v>0</v>
      </c>
      <c r="G691" s="9">
        <v>0</v>
      </c>
      <c r="H691" s="9">
        <v>0</v>
      </c>
      <c r="I691" s="9">
        <v>0</v>
      </c>
      <c r="J691" s="9">
        <v>95374.7</v>
      </c>
    </row>
    <row r="692" spans="1:10" ht="15.75" x14ac:dyDescent="0.25">
      <c r="A692" s="21">
        <v>45351</v>
      </c>
      <c r="B692" t="str">
        <f>IFERROR(IF(VLOOKUP(C692,Hoja1!$B$1:$C$6191,2,0)="",_xlfn.XLOOKUP(C692,Hoja1!$B$2:$B$6191,Hoja1!$A$2:$A$6191),VLOOKUP(C692,Hoja1!$B$1:$C$6191,2,0)),"No esta en Infor")</f>
        <v>NAC1380</v>
      </c>
      <c r="C692" s="19" t="s">
        <v>427</v>
      </c>
      <c r="D692" s="9">
        <v>11000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11000</v>
      </c>
    </row>
    <row r="693" spans="1:10" ht="15.75" x14ac:dyDescent="0.25">
      <c r="A693" s="21">
        <v>45351</v>
      </c>
      <c r="B693" t="str">
        <f>IFERROR(IF(VLOOKUP(C693,Hoja1!$B$1:$C$6191,2,0)="",_xlfn.XLOOKUP(C693,Hoja1!$B$2:$B$6191,Hoja1!$A$2:$A$6191),VLOOKUP(C693,Hoja1!$B$1:$C$6191,2,0)),"No esta en Infor")</f>
        <v>NAC1382</v>
      </c>
      <c r="C693" s="19" t="s">
        <v>332</v>
      </c>
      <c r="D693" s="9">
        <v>62586.879999999997</v>
      </c>
      <c r="E693" s="9">
        <v>134941.82999999999</v>
      </c>
      <c r="F693" s="9">
        <v>0</v>
      </c>
      <c r="G693" s="9">
        <v>0</v>
      </c>
      <c r="H693" s="9">
        <v>0</v>
      </c>
      <c r="I693" s="9">
        <v>0</v>
      </c>
      <c r="J693" s="9">
        <v>197528.71</v>
      </c>
    </row>
    <row r="694" spans="1:10" ht="15.75" x14ac:dyDescent="0.25">
      <c r="A694" s="21">
        <v>45351</v>
      </c>
      <c r="B694" t="str">
        <f>IFERROR(IF(VLOOKUP(C694,Hoja1!$B$1:$C$6191,2,0)="",_xlfn.XLOOKUP(C694,Hoja1!$B$2:$B$6191,Hoja1!$A$2:$A$6191),VLOOKUP(C694,Hoja1!$B$1:$C$6191,2,0)),"No esta en Infor")</f>
        <v>NAC1385</v>
      </c>
      <c r="C694" s="19" t="s">
        <v>428</v>
      </c>
      <c r="D694" s="9">
        <v>9001.7999999999993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9001.7999999999993</v>
      </c>
    </row>
    <row r="695" spans="1:10" ht="15.75" x14ac:dyDescent="0.25">
      <c r="A695" s="21">
        <v>45351</v>
      </c>
      <c r="B695" t="str">
        <f>IFERROR(IF(VLOOKUP(C695,Hoja1!$B$1:$C$6191,2,0)="",_xlfn.XLOOKUP(C695,Hoja1!$B$2:$B$6191,Hoja1!$A$2:$A$6191),VLOOKUP(C695,Hoja1!$B$1:$C$6191,2,0)),"No esta en Infor")</f>
        <v>NAC1610</v>
      </c>
      <c r="C695" s="19" t="s">
        <v>333</v>
      </c>
      <c r="D695" s="9">
        <v>0</v>
      </c>
      <c r="E695" s="9">
        <v>744.05</v>
      </c>
      <c r="F695" s="9">
        <v>0</v>
      </c>
      <c r="G695" s="9">
        <v>0</v>
      </c>
      <c r="H695" s="9">
        <v>0</v>
      </c>
      <c r="I695" s="9">
        <v>0</v>
      </c>
      <c r="J695" s="9">
        <v>744.05</v>
      </c>
    </row>
    <row r="696" spans="1:10" ht="15.75" x14ac:dyDescent="0.25">
      <c r="A696" s="21">
        <v>45351</v>
      </c>
      <c r="B696" t="str">
        <f>IFERROR(IF(VLOOKUP(C696,Hoja1!$B$1:$C$6191,2,0)="",_xlfn.XLOOKUP(C696,Hoja1!$B$2:$B$6191,Hoja1!$A$2:$A$6191),VLOOKUP(C696,Hoja1!$B$1:$C$6191,2,0)),"No esta en Infor")</f>
        <v>NAC1448</v>
      </c>
      <c r="C696" s="19" t="s">
        <v>53</v>
      </c>
      <c r="D696" s="9">
        <v>-238</v>
      </c>
      <c r="E696" s="9">
        <v>0</v>
      </c>
      <c r="F696" s="9">
        <v>0</v>
      </c>
      <c r="G696" s="9">
        <v>0</v>
      </c>
      <c r="H696" s="9">
        <v>0</v>
      </c>
      <c r="I696" s="9">
        <v>-162.37</v>
      </c>
      <c r="J696" s="9">
        <v>-400.37</v>
      </c>
    </row>
    <row r="697" spans="1:10" ht="15.75" x14ac:dyDescent="0.25">
      <c r="A697" s="21">
        <v>45351</v>
      </c>
      <c r="B697" t="str">
        <f>IFERROR(IF(VLOOKUP(C697,Hoja1!$B$1:$C$6191,2,0)="",_xlfn.XLOOKUP(C697,Hoja1!$B$2:$B$6191,Hoja1!$A$2:$A$6191),VLOOKUP(C697,Hoja1!$B$1:$C$6191,2,0)),"No esta en Infor")</f>
        <v>NAC1393</v>
      </c>
      <c r="C697" s="19" t="s">
        <v>335</v>
      </c>
      <c r="D697" s="9">
        <v>0</v>
      </c>
      <c r="E697" s="9">
        <v>-3.21</v>
      </c>
      <c r="F697" s="9">
        <v>0</v>
      </c>
      <c r="G697" s="9">
        <v>0</v>
      </c>
      <c r="H697" s="9">
        <v>0</v>
      </c>
      <c r="I697" s="9">
        <v>0</v>
      </c>
      <c r="J697" s="9">
        <v>-3.21</v>
      </c>
    </row>
    <row r="698" spans="1:10" ht="15.75" x14ac:dyDescent="0.25">
      <c r="A698" s="21">
        <v>45351</v>
      </c>
      <c r="B698" t="str">
        <f>IFERROR(IF(VLOOKUP(C698,Hoja1!$B$1:$C$6191,2,0)="",_xlfn.XLOOKUP(C698,Hoja1!$B$2:$B$6191,Hoja1!$A$2:$A$6191),VLOOKUP(C698,Hoja1!$B$1:$C$6191,2,0)),"No esta en Infor")</f>
        <v>SH02398</v>
      </c>
      <c r="C698" s="19" t="s">
        <v>429</v>
      </c>
      <c r="D698" s="9">
        <v>107.58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107.58</v>
      </c>
    </row>
    <row r="699" spans="1:10" ht="15.75" x14ac:dyDescent="0.25">
      <c r="A699" s="21">
        <v>45351</v>
      </c>
      <c r="B699" t="str">
        <f>IFERROR(IF(VLOOKUP(C699,Hoja1!$B$1:$C$6191,2,0)="",_xlfn.XLOOKUP(C699,Hoja1!$B$2:$B$6191,Hoja1!$A$2:$A$6191),VLOOKUP(C699,Hoja1!$B$1:$C$6191,2,0)),"No esta en Infor")</f>
        <v>NAC1395</v>
      </c>
      <c r="C699" s="19" t="s">
        <v>337</v>
      </c>
      <c r="D699" s="9">
        <v>9203.23</v>
      </c>
      <c r="E699" s="9">
        <v>25591.64</v>
      </c>
      <c r="F699" s="9">
        <v>0</v>
      </c>
      <c r="G699" s="9">
        <v>0</v>
      </c>
      <c r="H699" s="9">
        <v>0</v>
      </c>
      <c r="I699" s="9">
        <v>0</v>
      </c>
      <c r="J699" s="9">
        <v>34794.870000000003</v>
      </c>
    </row>
    <row r="700" spans="1:10" ht="15.75" x14ac:dyDescent="0.25">
      <c r="A700" s="21">
        <v>45351</v>
      </c>
      <c r="B700" t="str">
        <f>IFERROR(IF(VLOOKUP(C700,Hoja1!$B$1:$C$6191,2,0)="",_xlfn.XLOOKUP(C700,Hoja1!$B$2:$B$6191,Hoja1!$A$2:$A$6191),VLOOKUP(C700,Hoja1!$B$1:$C$6191,2,0)),"No esta en Infor")</f>
        <v>No esta en Infor</v>
      </c>
      <c r="C700" s="19" t="s">
        <v>338</v>
      </c>
      <c r="D700" s="9">
        <v>0</v>
      </c>
      <c r="E700" s="9">
        <v>0</v>
      </c>
      <c r="F700" s="9">
        <v>0</v>
      </c>
      <c r="G700" s="9">
        <v>0</v>
      </c>
      <c r="H700" s="9">
        <v>0</v>
      </c>
      <c r="I700" s="9">
        <v>-340.25</v>
      </c>
      <c r="J700" s="9">
        <v>-340.25</v>
      </c>
    </row>
    <row r="701" spans="1:10" ht="15.75" x14ac:dyDescent="0.25">
      <c r="A701" s="21">
        <v>45351</v>
      </c>
      <c r="B701" t="str">
        <f>IFERROR(IF(VLOOKUP(C701,Hoja1!$B$1:$C$6191,2,0)="",_xlfn.XLOOKUP(C701,Hoja1!$B$2:$B$6191,Hoja1!$A$2:$A$6191),VLOOKUP(C701,Hoja1!$B$1:$C$6191,2,0)),"No esta en Infor")</f>
        <v>SH02430</v>
      </c>
      <c r="C701" s="19" t="s">
        <v>430</v>
      </c>
      <c r="D701" s="9">
        <v>0</v>
      </c>
      <c r="E701" s="9">
        <v>52.91</v>
      </c>
      <c r="F701" s="9">
        <v>0</v>
      </c>
      <c r="G701" s="9">
        <v>0</v>
      </c>
      <c r="H701" s="9">
        <v>0</v>
      </c>
      <c r="I701" s="9">
        <v>0</v>
      </c>
      <c r="J701" s="9">
        <v>52.91</v>
      </c>
    </row>
    <row r="702" spans="1:10" ht="15.75" x14ac:dyDescent="0.25">
      <c r="A702" s="21">
        <v>45351</v>
      </c>
      <c r="B702" t="str">
        <f>IFERROR(IF(VLOOKUP(C702,Hoja1!$B$1:$C$6191,2,0)="",_xlfn.XLOOKUP(C702,Hoja1!$B$2:$B$6191,Hoja1!$A$2:$A$6191),VLOOKUP(C702,Hoja1!$B$1:$C$6191,2,0)),"No esta en Infor")</f>
        <v>CAN0090</v>
      </c>
      <c r="C702" s="19" t="s">
        <v>574</v>
      </c>
      <c r="D702" s="9">
        <v>16959.599999999999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16959.599999999999</v>
      </c>
    </row>
    <row r="703" spans="1:10" ht="15.75" x14ac:dyDescent="0.25">
      <c r="A703" s="21">
        <v>45351</v>
      </c>
      <c r="B703" t="str">
        <f>IFERROR(IF(VLOOKUP(C703,Hoja1!$B$1:$C$6191,2,0)="",_xlfn.XLOOKUP(C703,Hoja1!$B$2:$B$6191,Hoja1!$A$2:$A$6191),VLOOKUP(C703,Hoja1!$B$1:$C$6191,2,0)),"No esta en Infor")</f>
        <v>NAC1413</v>
      </c>
      <c r="C703" s="19" t="s">
        <v>342</v>
      </c>
      <c r="D703" s="9">
        <v>21758.16</v>
      </c>
      <c r="E703" s="9">
        <v>17836.3</v>
      </c>
      <c r="F703" s="9">
        <v>0</v>
      </c>
      <c r="G703" s="9">
        <v>0</v>
      </c>
      <c r="H703" s="9">
        <v>0</v>
      </c>
      <c r="I703" s="9">
        <v>0</v>
      </c>
      <c r="J703" s="9">
        <v>39594.46</v>
      </c>
    </row>
    <row r="704" spans="1:10" ht="15.75" x14ac:dyDescent="0.25">
      <c r="A704" s="21">
        <v>45351</v>
      </c>
      <c r="B704" t="str">
        <f>IFERROR(IF(VLOOKUP(C704,Hoja1!$B$1:$C$6191,2,0)="",_xlfn.XLOOKUP(C704,Hoja1!$B$2:$B$6191,Hoja1!$A$2:$A$6191),VLOOKUP(C704,Hoja1!$B$1:$C$6191,2,0)),"No esta en Infor")</f>
        <v>NAC1419</v>
      </c>
      <c r="C704" s="19" t="s">
        <v>343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-4.18</v>
      </c>
      <c r="J704" s="9">
        <v>-4.18</v>
      </c>
    </row>
    <row r="705" spans="1:10" ht="15.75" x14ac:dyDescent="0.25">
      <c r="A705" s="21">
        <v>45351</v>
      </c>
      <c r="B705" t="str">
        <f>IFERROR(IF(VLOOKUP(C705,Hoja1!$B$1:$C$6191,2,0)="",_xlfn.XLOOKUP(C705,Hoja1!$B$2:$B$6191,Hoja1!$A$2:$A$6191),VLOOKUP(C705,Hoja1!$B$1:$C$6191,2,0)),"No esta en Infor")</f>
        <v>NAC1422</v>
      </c>
      <c r="C705" s="19" t="s">
        <v>344</v>
      </c>
      <c r="D705" s="9">
        <v>0</v>
      </c>
      <c r="E705" s="9">
        <v>-838.34</v>
      </c>
      <c r="F705" s="9">
        <v>0</v>
      </c>
      <c r="G705" s="9">
        <v>0</v>
      </c>
      <c r="H705" s="9">
        <v>-0.01</v>
      </c>
      <c r="I705" s="9">
        <v>0</v>
      </c>
      <c r="J705" s="9">
        <v>-838.35</v>
      </c>
    </row>
    <row r="706" spans="1:10" ht="15.75" x14ac:dyDescent="0.25">
      <c r="A706" s="21">
        <v>45351</v>
      </c>
      <c r="B706" t="str">
        <f>IFERROR(IF(VLOOKUP(C706,Hoja1!$B$1:$C$6191,2,0)="",_xlfn.XLOOKUP(C706,Hoja1!$B$2:$B$6191,Hoja1!$A$2:$A$6191),VLOOKUP(C706,Hoja1!$B$1:$C$6191,2,0)),"No esta en Infor")</f>
        <v>NAC1424</v>
      </c>
      <c r="C706" s="19" t="s">
        <v>345</v>
      </c>
      <c r="D706" s="9">
        <v>14740.8</v>
      </c>
      <c r="E706" s="9">
        <v>4116.5</v>
      </c>
      <c r="F706" s="9">
        <v>0</v>
      </c>
      <c r="G706" s="9">
        <v>0</v>
      </c>
      <c r="H706" s="9">
        <v>0</v>
      </c>
      <c r="I706" s="9">
        <v>0</v>
      </c>
      <c r="J706" s="9">
        <v>18857.3</v>
      </c>
    </row>
    <row r="707" spans="1:10" ht="15.75" x14ac:dyDescent="0.25">
      <c r="A707" s="21">
        <v>45351</v>
      </c>
      <c r="B707" t="str">
        <f>IFERROR(IF(VLOOKUP(C707,Hoja1!$B$1:$C$6191,2,0)="",_xlfn.XLOOKUP(C707,Hoja1!$B$2:$B$6191,Hoja1!$A$2:$A$6191),VLOOKUP(C707,Hoja1!$B$1:$C$6191,2,0)),"No esta en Infor")</f>
        <v>NAC1429</v>
      </c>
      <c r="C707" s="19" t="s">
        <v>347</v>
      </c>
      <c r="D707" s="9">
        <v>0</v>
      </c>
      <c r="E707" s="9">
        <v>18.48</v>
      </c>
      <c r="F707" s="9">
        <v>0</v>
      </c>
      <c r="G707" s="9">
        <v>0</v>
      </c>
      <c r="H707" s="9">
        <v>0</v>
      </c>
      <c r="I707" s="9">
        <v>0</v>
      </c>
      <c r="J707" s="9">
        <v>18.48</v>
      </c>
    </row>
    <row r="708" spans="1:10" ht="15.75" x14ac:dyDescent="0.25">
      <c r="A708" s="21">
        <v>45351</v>
      </c>
      <c r="B708" t="str">
        <f>IFERROR(IF(VLOOKUP(C708,Hoja1!$B$1:$C$6191,2,0)="",_xlfn.XLOOKUP(C708,Hoja1!$B$2:$B$6191,Hoja1!$A$2:$A$6191),VLOOKUP(C708,Hoja1!$B$1:$C$6191,2,0)),"No esta en Infor")</f>
        <v>NAC1434</v>
      </c>
      <c r="C708" s="19" t="s">
        <v>348</v>
      </c>
      <c r="D708" s="9">
        <v>0</v>
      </c>
      <c r="E708" s="9">
        <v>-0.01</v>
      </c>
      <c r="F708" s="9">
        <v>0</v>
      </c>
      <c r="G708" s="9">
        <v>0</v>
      </c>
      <c r="H708" s="9">
        <v>0</v>
      </c>
      <c r="I708" s="9">
        <v>0</v>
      </c>
      <c r="J708" s="9">
        <v>-0.01</v>
      </c>
    </row>
    <row r="709" spans="1:10" ht="15.75" x14ac:dyDescent="0.25">
      <c r="A709" s="21">
        <v>45351</v>
      </c>
      <c r="B709" t="str">
        <f>IFERROR(IF(VLOOKUP(C709,Hoja1!$B$1:$C$6191,2,0)="",_xlfn.XLOOKUP(C709,Hoja1!$B$2:$B$6191,Hoja1!$A$2:$A$6191),VLOOKUP(C709,Hoja1!$B$1:$C$6191,2,0)),"No esta en Infor")</f>
        <v>CAN0073</v>
      </c>
      <c r="C709" s="19" t="s">
        <v>349</v>
      </c>
      <c r="D709" s="9">
        <v>1126.82</v>
      </c>
      <c r="E709" s="9">
        <v>959.93</v>
      </c>
      <c r="F709" s="9">
        <v>0</v>
      </c>
      <c r="G709" s="9">
        <v>0</v>
      </c>
      <c r="H709" s="9">
        <v>0</v>
      </c>
      <c r="I709" s="9">
        <v>0</v>
      </c>
      <c r="J709" s="9">
        <v>2086.75</v>
      </c>
    </row>
    <row r="710" spans="1:10" ht="15.75" x14ac:dyDescent="0.25">
      <c r="A710" s="21">
        <v>45351</v>
      </c>
      <c r="B710" t="str">
        <f>IFERROR(IF(VLOOKUP(C710,Hoja1!$B$1:$C$6191,2,0)="",_xlfn.XLOOKUP(C710,Hoja1!$B$2:$B$6191,Hoja1!$A$2:$A$6191),VLOOKUP(C710,Hoja1!$B$1:$C$6191,2,0)),"No esta en Infor")</f>
        <v>CAN0074</v>
      </c>
      <c r="C710" s="19" t="s">
        <v>350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-100</v>
      </c>
      <c r="J710" s="9">
        <v>-100</v>
      </c>
    </row>
    <row r="711" spans="1:10" ht="15.75" x14ac:dyDescent="0.25">
      <c r="A711" s="21">
        <v>45351</v>
      </c>
      <c r="B711" t="str">
        <f>IFERROR(IF(VLOOKUP(C711,Hoja1!$B$1:$C$6191,2,0)="",_xlfn.XLOOKUP(C711,Hoja1!$B$2:$B$6191,Hoja1!$A$2:$A$6191),VLOOKUP(C711,Hoja1!$B$1:$C$6191,2,0)),"No esta en Infor")</f>
        <v>NAC1471</v>
      </c>
      <c r="C711" s="19" t="s">
        <v>351</v>
      </c>
      <c r="D711" s="9">
        <v>72586.75</v>
      </c>
      <c r="E711" s="9">
        <v>1820</v>
      </c>
      <c r="F711" s="9">
        <v>0</v>
      </c>
      <c r="G711" s="9">
        <v>0</v>
      </c>
      <c r="H711" s="9">
        <v>0</v>
      </c>
      <c r="I711" s="9">
        <v>0</v>
      </c>
      <c r="J711" s="9">
        <v>74406.75</v>
      </c>
    </row>
    <row r="712" spans="1:10" ht="15.75" x14ac:dyDescent="0.25">
      <c r="A712" s="21">
        <v>45351</v>
      </c>
      <c r="B712" t="str">
        <f>IFERROR(IF(VLOOKUP(C712,Hoja1!$B$1:$C$6191,2,0)="",_xlfn.XLOOKUP(C712,Hoja1!$B$2:$B$6191,Hoja1!$A$2:$A$6191),VLOOKUP(C712,Hoja1!$B$1:$C$6191,2,0)),"No esta en Infor")</f>
        <v>NAC1474</v>
      </c>
      <c r="C712" s="19" t="s">
        <v>352</v>
      </c>
      <c r="D712" s="9">
        <v>13125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13125</v>
      </c>
    </row>
    <row r="713" spans="1:10" ht="15.75" x14ac:dyDescent="0.25">
      <c r="A713" s="21">
        <v>45351</v>
      </c>
      <c r="B713" t="str">
        <f>IFERROR(IF(VLOOKUP(C713,Hoja1!$B$1:$C$6191,2,0)="",_xlfn.XLOOKUP(C713,Hoja1!$B$2:$B$6191,Hoja1!$A$2:$A$6191),VLOOKUP(C713,Hoja1!$B$1:$C$6191,2,0)),"No esta en Infor")</f>
        <v>CAN0077</v>
      </c>
      <c r="C713" s="19" t="s">
        <v>353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-364.86</v>
      </c>
      <c r="J713" s="9">
        <v>-364.86</v>
      </c>
    </row>
    <row r="714" spans="1:10" ht="15.75" x14ac:dyDescent="0.25">
      <c r="A714" s="21">
        <v>45351</v>
      </c>
      <c r="B714" t="str">
        <f>IFERROR(IF(VLOOKUP(C714,Hoja1!$B$1:$C$6191,2,0)="",_xlfn.XLOOKUP(C714,Hoja1!$B$2:$B$6191,Hoja1!$A$2:$A$6191),VLOOKUP(C714,Hoja1!$B$1:$C$6191,2,0)),"No esta en Infor")</f>
        <v>NAC1479</v>
      </c>
      <c r="C714" s="19" t="s">
        <v>354</v>
      </c>
      <c r="D714" s="9">
        <v>0</v>
      </c>
      <c r="E714" s="9">
        <v>-6.68</v>
      </c>
      <c r="F714" s="9">
        <v>0</v>
      </c>
      <c r="G714" s="9">
        <v>0</v>
      </c>
      <c r="H714" s="9">
        <v>0</v>
      </c>
      <c r="I714" s="9">
        <v>0</v>
      </c>
      <c r="J714" s="9">
        <v>-6.68</v>
      </c>
    </row>
    <row r="715" spans="1:10" ht="15.75" x14ac:dyDescent="0.25">
      <c r="A715" s="21">
        <v>45351</v>
      </c>
      <c r="B715" t="str">
        <f>IFERROR(IF(VLOOKUP(C715,Hoja1!$B$1:$C$6191,2,0)="",_xlfn.XLOOKUP(C715,Hoja1!$B$2:$B$6191,Hoja1!$A$2:$A$6191),VLOOKUP(C715,Hoja1!$B$1:$C$6191,2,0)),"No esta en Infor")</f>
        <v>NAC1611</v>
      </c>
      <c r="C715" s="19" t="s">
        <v>355</v>
      </c>
      <c r="D715" s="9">
        <v>23144.46</v>
      </c>
      <c r="E715" s="9">
        <v>0</v>
      </c>
      <c r="F715" s="9">
        <v>0</v>
      </c>
      <c r="G715" s="9">
        <v>0</v>
      </c>
      <c r="H715" s="9">
        <v>0</v>
      </c>
      <c r="I715" s="9">
        <v>-184</v>
      </c>
      <c r="J715" s="9">
        <v>22960.46</v>
      </c>
    </row>
    <row r="716" spans="1:10" ht="15.75" x14ac:dyDescent="0.25">
      <c r="A716" s="21">
        <v>45351</v>
      </c>
      <c r="B716" t="str">
        <f>IFERROR(IF(VLOOKUP(C716,Hoja1!$B$1:$C$6191,2,0)="",_xlfn.XLOOKUP(C716,Hoja1!$B$2:$B$6191,Hoja1!$A$2:$A$6191),VLOOKUP(C716,Hoja1!$B$1:$C$6191,2,0)),"No esta en Infor")</f>
        <v>NAC1482</v>
      </c>
      <c r="C716" s="19" t="s">
        <v>356</v>
      </c>
      <c r="D716" s="9">
        <v>362.74</v>
      </c>
      <c r="E716" s="9">
        <v>0</v>
      </c>
      <c r="F716" s="9">
        <v>-53.68</v>
      </c>
      <c r="G716" s="9">
        <v>0</v>
      </c>
      <c r="H716" s="9">
        <v>0</v>
      </c>
      <c r="I716" s="9">
        <v>0</v>
      </c>
      <c r="J716" s="9">
        <v>309.06</v>
      </c>
    </row>
    <row r="717" spans="1:10" ht="15.75" x14ac:dyDescent="0.25">
      <c r="A717" s="21">
        <v>45351</v>
      </c>
      <c r="B717" t="str">
        <f>IFERROR(IF(VLOOKUP(C717,Hoja1!$B$1:$C$6191,2,0)="",_xlfn.XLOOKUP(C717,Hoja1!$B$2:$B$6191,Hoja1!$A$2:$A$6191),VLOOKUP(C717,Hoja1!$B$1:$C$6191,2,0)),"No esta en Infor")</f>
        <v>NAC1483</v>
      </c>
      <c r="C717" s="19" t="s">
        <v>357</v>
      </c>
      <c r="D717" s="9">
        <v>0</v>
      </c>
      <c r="E717" s="9">
        <v>378</v>
      </c>
      <c r="F717" s="9">
        <v>0</v>
      </c>
      <c r="G717" s="9">
        <v>0</v>
      </c>
      <c r="H717" s="9">
        <v>0</v>
      </c>
      <c r="I717" s="9">
        <v>0</v>
      </c>
      <c r="J717" s="9">
        <v>378</v>
      </c>
    </row>
    <row r="718" spans="1:10" ht="15.75" x14ac:dyDescent="0.25">
      <c r="A718" s="21">
        <v>45351</v>
      </c>
      <c r="B718" t="str">
        <f>IFERROR(IF(VLOOKUP(C718,Hoja1!$B$1:$C$6191,2,0)="",_xlfn.XLOOKUP(C718,Hoja1!$B$2:$B$6191,Hoja1!$A$2:$A$6191),VLOOKUP(C718,Hoja1!$B$1:$C$6191,2,0)),"No esta en Infor")</f>
        <v>NAC1485</v>
      </c>
      <c r="C718" s="19" t="s">
        <v>358</v>
      </c>
      <c r="D718" s="9">
        <v>0</v>
      </c>
      <c r="E718" s="9">
        <v>-10</v>
      </c>
      <c r="F718" s="9">
        <v>0</v>
      </c>
      <c r="G718" s="9">
        <v>0</v>
      </c>
      <c r="H718" s="9">
        <v>0</v>
      </c>
      <c r="I718" s="9">
        <v>0</v>
      </c>
      <c r="J718" s="9">
        <v>-10</v>
      </c>
    </row>
    <row r="719" spans="1:10" ht="15.75" x14ac:dyDescent="0.25">
      <c r="A719" s="21">
        <v>45351</v>
      </c>
      <c r="B719" t="str">
        <f>IFERROR(IF(VLOOKUP(C719,Hoja1!$B$1:$C$6191,2,0)="",_xlfn.XLOOKUP(C719,Hoja1!$B$2:$B$6191,Hoja1!$A$2:$A$6191),VLOOKUP(C719,Hoja1!$B$1:$C$6191,2,0)),"No esta en Infor")</f>
        <v>NAC1488</v>
      </c>
      <c r="C719" s="19" t="s">
        <v>359</v>
      </c>
      <c r="D719" s="9">
        <v>0</v>
      </c>
      <c r="E719" s="9">
        <v>110124</v>
      </c>
      <c r="F719" s="9">
        <v>0</v>
      </c>
      <c r="G719" s="9">
        <v>0</v>
      </c>
      <c r="H719" s="9">
        <v>0</v>
      </c>
      <c r="I719" s="9">
        <v>0</v>
      </c>
      <c r="J719" s="9">
        <v>110124</v>
      </c>
    </row>
    <row r="720" spans="1:10" ht="15.75" x14ac:dyDescent="0.25">
      <c r="A720" s="21">
        <v>45351</v>
      </c>
      <c r="B720" t="str">
        <f>IFERROR(IF(VLOOKUP(C720,Hoja1!$B$1:$C$6191,2,0)="",_xlfn.XLOOKUP(C720,Hoja1!$B$2:$B$6191,Hoja1!$A$2:$A$6191),VLOOKUP(C720,Hoja1!$B$1:$C$6191,2,0)),"No esta en Infor")</f>
        <v>CAN0081</v>
      </c>
      <c r="C720" s="19" t="s">
        <v>431</v>
      </c>
      <c r="D720" s="9">
        <v>1150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1150</v>
      </c>
    </row>
    <row r="721" spans="1:10" ht="15.75" x14ac:dyDescent="0.25">
      <c r="A721" s="21">
        <v>45351</v>
      </c>
      <c r="B721" t="str">
        <f>IFERROR(IF(VLOOKUP(C721,Hoja1!$B$1:$C$6191,2,0)="",_xlfn.XLOOKUP(C721,Hoja1!$B$2:$B$6191,Hoja1!$A$2:$A$6191),VLOOKUP(C721,Hoja1!$B$1:$C$6191,2,0)),"No esta en Infor")</f>
        <v>NAC1494</v>
      </c>
      <c r="C721" s="19" t="s">
        <v>360</v>
      </c>
      <c r="D721" s="9">
        <v>0</v>
      </c>
      <c r="E721" s="9">
        <v>0</v>
      </c>
      <c r="F721" s="9">
        <v>0</v>
      </c>
      <c r="G721" s="9">
        <v>0</v>
      </c>
      <c r="H721" s="9">
        <v>-286.77999999999997</v>
      </c>
      <c r="I721" s="9">
        <v>0</v>
      </c>
      <c r="J721" s="9">
        <v>-286.77999999999997</v>
      </c>
    </row>
    <row r="722" spans="1:10" ht="15.75" x14ac:dyDescent="0.25">
      <c r="A722" s="21">
        <v>45351</v>
      </c>
      <c r="B722" t="str">
        <f>IFERROR(IF(VLOOKUP(C722,Hoja1!$B$1:$C$6191,2,0)="",_xlfn.XLOOKUP(C722,Hoja1!$B$2:$B$6191,Hoja1!$A$2:$A$6191),VLOOKUP(C722,Hoja1!$B$1:$C$6191,2,0)),"No esta en Infor")</f>
        <v>NAC1500</v>
      </c>
      <c r="C722" s="19" t="s">
        <v>432</v>
      </c>
      <c r="D722" s="9">
        <v>107.8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107.8</v>
      </c>
    </row>
    <row r="723" spans="1:10" ht="15.75" x14ac:dyDescent="0.25">
      <c r="A723" s="21">
        <v>45351</v>
      </c>
      <c r="B723" t="str">
        <f>IFERROR(IF(VLOOKUP(C723,Hoja1!$B$1:$C$6191,2,0)="",_xlfn.XLOOKUP(C723,Hoja1!$B$2:$B$6191,Hoja1!$A$2:$A$6191),VLOOKUP(C723,Hoja1!$B$1:$C$6191,2,0)),"No esta en Infor")</f>
        <v>NAC1501</v>
      </c>
      <c r="C723" s="19" t="s">
        <v>361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-179.49</v>
      </c>
      <c r="J723" s="9">
        <v>-179.49</v>
      </c>
    </row>
    <row r="724" spans="1:10" ht="15.75" x14ac:dyDescent="0.25">
      <c r="A724" s="21">
        <v>45351</v>
      </c>
      <c r="B724" t="str">
        <f>IFERROR(IF(VLOOKUP(C724,Hoja1!$B$1:$C$6191,2,0)="",_xlfn.XLOOKUP(C724,Hoja1!$B$2:$B$6191,Hoja1!$A$2:$A$6191),VLOOKUP(C724,Hoja1!$B$1:$C$6191,2,0)),"No esta en Infor")</f>
        <v>CAN0082</v>
      </c>
      <c r="C724" s="19" t="s">
        <v>362</v>
      </c>
      <c r="D724" s="9">
        <v>4544.3</v>
      </c>
      <c r="E724" s="9">
        <v>488.16</v>
      </c>
      <c r="F724" s="9">
        <v>0</v>
      </c>
      <c r="G724" s="9">
        <v>0</v>
      </c>
      <c r="H724" s="9">
        <v>0</v>
      </c>
      <c r="I724" s="9">
        <v>0</v>
      </c>
      <c r="J724" s="9">
        <v>5032.46</v>
      </c>
    </row>
    <row r="725" spans="1:10" ht="15.75" x14ac:dyDescent="0.25">
      <c r="A725" s="21">
        <v>45351</v>
      </c>
      <c r="B725" t="str">
        <f>IFERROR(IF(VLOOKUP(C725,Hoja1!$B$1:$C$6191,2,0)="",_xlfn.XLOOKUP(C725,Hoja1!$B$2:$B$6191,Hoja1!$A$2:$A$6191),VLOOKUP(C725,Hoja1!$B$1:$C$6191,2,0)),"No esta en Infor")</f>
        <v>NAC1506</v>
      </c>
      <c r="C725" s="19" t="s">
        <v>364</v>
      </c>
      <c r="D725" s="9">
        <v>960</v>
      </c>
      <c r="E725" s="9">
        <v>838.5</v>
      </c>
      <c r="F725" s="9">
        <v>0</v>
      </c>
      <c r="G725" s="9">
        <v>0</v>
      </c>
      <c r="H725" s="9">
        <v>0</v>
      </c>
      <c r="I725" s="9">
        <v>0</v>
      </c>
      <c r="J725" s="9">
        <v>1798.5</v>
      </c>
    </row>
    <row r="726" spans="1:10" ht="15.75" x14ac:dyDescent="0.25">
      <c r="A726" s="21">
        <v>45351</v>
      </c>
      <c r="B726" t="str">
        <f>IFERROR(IF(VLOOKUP(C726,Hoja1!$B$1:$C$6191,2,0)="",_xlfn.XLOOKUP(C726,Hoja1!$B$2:$B$6191,Hoja1!$A$2:$A$6191),VLOOKUP(C726,Hoja1!$B$1:$C$6191,2,0)),"No esta en Infor")</f>
        <v>CAN0083</v>
      </c>
      <c r="C726" s="19" t="s">
        <v>433</v>
      </c>
      <c r="D726" s="9">
        <v>492.96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492.96</v>
      </c>
    </row>
    <row r="727" spans="1:10" ht="15.75" x14ac:dyDescent="0.25">
      <c r="A727" s="21">
        <v>45351</v>
      </c>
      <c r="B727" t="str">
        <f>IFERROR(IF(VLOOKUP(C727,Hoja1!$B$1:$C$6191,2,0)="",_xlfn.XLOOKUP(C727,Hoja1!$B$2:$B$6191,Hoja1!$A$2:$A$6191),VLOOKUP(C727,Hoja1!$B$1:$C$6191,2,0)),"No esta en Infor")</f>
        <v>NAC1517</v>
      </c>
      <c r="C727" s="19" t="s">
        <v>365</v>
      </c>
      <c r="D727" s="9">
        <v>52839.19</v>
      </c>
      <c r="E727" s="9">
        <v>121.6</v>
      </c>
      <c r="F727" s="9">
        <v>-307.39999999999998</v>
      </c>
      <c r="G727" s="9">
        <v>-706.44</v>
      </c>
      <c r="H727" s="9">
        <v>-725.95</v>
      </c>
      <c r="I727" s="9">
        <v>-325</v>
      </c>
      <c r="J727" s="9">
        <v>50896</v>
      </c>
    </row>
    <row r="728" spans="1:10" ht="15.75" x14ac:dyDescent="0.25">
      <c r="A728" s="21">
        <v>45351</v>
      </c>
      <c r="B728" t="str">
        <f>IFERROR(IF(VLOOKUP(C728,Hoja1!$B$1:$C$6191,2,0)="",_xlfn.XLOOKUP(C728,Hoja1!$B$2:$B$6191,Hoja1!$A$2:$A$6191),VLOOKUP(C728,Hoja1!$B$1:$C$6191,2,0)),"No esta en Infor")</f>
        <v>NAC1522</v>
      </c>
      <c r="C728" s="19" t="s">
        <v>366</v>
      </c>
      <c r="D728" s="9">
        <v>0</v>
      </c>
      <c r="E728" s="9">
        <v>421.58</v>
      </c>
      <c r="F728" s="9">
        <v>0</v>
      </c>
      <c r="G728" s="9">
        <v>0</v>
      </c>
      <c r="H728" s="9">
        <v>0</v>
      </c>
      <c r="I728" s="9">
        <v>0</v>
      </c>
      <c r="J728" s="9">
        <v>421.58</v>
      </c>
    </row>
    <row r="729" spans="1:10" ht="15.75" x14ac:dyDescent="0.25">
      <c r="A729" s="21">
        <v>45351</v>
      </c>
      <c r="B729" t="str">
        <f>IFERROR(IF(VLOOKUP(C729,Hoja1!$B$1:$C$6191,2,0)="",_xlfn.XLOOKUP(C729,Hoja1!$B$2:$B$6191,Hoja1!$A$2:$A$6191),VLOOKUP(C729,Hoja1!$B$1:$C$6191,2,0)),"No esta en Infor")</f>
        <v>SH02619</v>
      </c>
      <c r="C729" s="19" t="s">
        <v>434</v>
      </c>
      <c r="D729" s="9">
        <v>0</v>
      </c>
      <c r="E729" s="9">
        <v>113.35</v>
      </c>
      <c r="F729" s="9">
        <v>0</v>
      </c>
      <c r="G729" s="9">
        <v>0</v>
      </c>
      <c r="H729" s="9">
        <v>0</v>
      </c>
      <c r="I729" s="9">
        <v>0</v>
      </c>
      <c r="J729" s="9">
        <v>113.35</v>
      </c>
    </row>
    <row r="730" spans="1:10" ht="15.75" x14ac:dyDescent="0.25">
      <c r="A730" s="21">
        <v>45351</v>
      </c>
      <c r="B730" t="str">
        <f>IFERROR(IF(VLOOKUP(C730,Hoja1!$B$1:$C$6191,2,0)="",_xlfn.XLOOKUP(C730,Hoja1!$B$2:$B$6191,Hoja1!$A$2:$A$6191),VLOOKUP(C730,Hoja1!$B$1:$C$6191,2,0)),"No esta en Infor")</f>
        <v>CAN0087</v>
      </c>
      <c r="C730" s="19" t="s">
        <v>1091</v>
      </c>
      <c r="D730" s="9">
        <v>14631.13</v>
      </c>
      <c r="E730" s="9">
        <v>1180.67</v>
      </c>
      <c r="F730" s="9">
        <v>0</v>
      </c>
      <c r="G730" s="9">
        <v>0</v>
      </c>
      <c r="H730" s="9">
        <v>0</v>
      </c>
      <c r="I730" s="9">
        <v>0</v>
      </c>
      <c r="J730" s="9">
        <v>15811.8</v>
      </c>
    </row>
    <row r="731" spans="1:10" ht="15.75" x14ac:dyDescent="0.25">
      <c r="A731" s="21">
        <v>45351</v>
      </c>
      <c r="B731" t="str">
        <f>IFERROR(IF(VLOOKUP(C731,Hoja1!$B$1:$C$6191,2,0)="",_xlfn.XLOOKUP(C731,Hoja1!$B$2:$B$6191,Hoja1!$A$2:$A$6191),VLOOKUP(C731,Hoja1!$B$1:$C$6191,2,0)),"No esta en Infor")</f>
        <v>NAC1529</v>
      </c>
      <c r="C731" s="19" t="s">
        <v>368</v>
      </c>
      <c r="D731" s="9">
        <v>9455.75</v>
      </c>
      <c r="E731" s="9">
        <v>111.75</v>
      </c>
      <c r="F731" s="9">
        <v>0</v>
      </c>
      <c r="G731" s="9">
        <v>0</v>
      </c>
      <c r="H731" s="9">
        <v>0</v>
      </c>
      <c r="I731" s="9">
        <v>0</v>
      </c>
      <c r="J731" s="9">
        <v>9567.5</v>
      </c>
    </row>
    <row r="732" spans="1:10" ht="15.75" x14ac:dyDescent="0.25">
      <c r="A732" s="21">
        <v>45351</v>
      </c>
      <c r="B732" t="str">
        <f>IFERROR(IF(VLOOKUP(C732,Hoja1!$B$1:$C$6191,2,0)="",_xlfn.XLOOKUP(C732,Hoja1!$B$2:$B$6191,Hoja1!$A$2:$A$6191),VLOOKUP(C732,Hoja1!$B$1:$C$6191,2,0)),"No esta en Infor")</f>
        <v>CAN0088</v>
      </c>
      <c r="C732" s="19" t="s">
        <v>369</v>
      </c>
      <c r="D732" s="9">
        <v>-891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-891</v>
      </c>
    </row>
    <row r="733" spans="1:10" ht="15.75" x14ac:dyDescent="0.25">
      <c r="A733" s="21">
        <v>45351</v>
      </c>
      <c r="B733" t="str">
        <f>IFERROR(IF(VLOOKUP(C733,Hoja1!$B$1:$C$6191,2,0)="",_xlfn.XLOOKUP(C733,Hoja1!$B$2:$B$6191,Hoja1!$A$2:$A$6191),VLOOKUP(C733,Hoja1!$B$1:$C$6191,2,0)),"No esta en Infor")</f>
        <v>NAC1539</v>
      </c>
      <c r="C733" s="19" t="s">
        <v>58</v>
      </c>
      <c r="D733" s="9">
        <v>0</v>
      </c>
      <c r="E733" s="9">
        <v>-5517</v>
      </c>
      <c r="F733" s="9">
        <v>-7.8</v>
      </c>
      <c r="G733" s="9">
        <v>0</v>
      </c>
      <c r="H733" s="9">
        <v>0</v>
      </c>
      <c r="I733" s="9">
        <v>0</v>
      </c>
      <c r="J733" s="9">
        <v>-5524.8</v>
      </c>
    </row>
    <row r="734" spans="1:10" ht="15.75" x14ac:dyDescent="0.25">
      <c r="A734" s="21">
        <v>45382</v>
      </c>
      <c r="B734" t="str">
        <f>IFERROR(IF(VLOOKUP(C734,Hoja1!$B$1:$C$6191,2,0)="",_xlfn.XLOOKUP(C734,Hoja1!$B$2:$B$6191,Hoja1!$A$2:$A$6191),VLOOKUP(C734,Hoja1!$B$1:$C$6191,2,0)),"No esta en Infor")</f>
        <v>NAC0456</v>
      </c>
      <c r="C734" s="11" t="s">
        <v>10</v>
      </c>
      <c r="D734" s="8">
        <v>648.09</v>
      </c>
      <c r="E734" s="8">
        <v>0</v>
      </c>
      <c r="F734" s="8">
        <v>0</v>
      </c>
      <c r="G734" s="8">
        <v>0</v>
      </c>
      <c r="H734" s="8">
        <v>1450.95</v>
      </c>
      <c r="I734" s="8">
        <v>0</v>
      </c>
      <c r="J734" s="8">
        <v>2099.04</v>
      </c>
    </row>
    <row r="735" spans="1:10" ht="15.75" x14ac:dyDescent="0.25">
      <c r="A735" s="21">
        <v>45382</v>
      </c>
      <c r="B735" t="str">
        <f>IFERROR(IF(VLOOKUP(C735,Hoja1!$B$1:$C$6191,2,0)="",_xlfn.XLOOKUP(C735,Hoja1!$B$2:$B$6191,Hoja1!$A$2:$A$6191),VLOOKUP(C735,Hoja1!$B$1:$C$6191,2,0)),"No esta en Infor")</f>
        <v>NAC0476</v>
      </c>
      <c r="C735" s="11" t="s">
        <v>11</v>
      </c>
      <c r="D735" s="8">
        <v>125334.23</v>
      </c>
      <c r="E735" s="8">
        <v>123950.72</v>
      </c>
      <c r="F735" s="8">
        <v>11164.81</v>
      </c>
      <c r="G735" s="8">
        <v>-212</v>
      </c>
      <c r="H735" s="8">
        <v>0</v>
      </c>
      <c r="I735" s="8">
        <v>0</v>
      </c>
      <c r="J735" s="8">
        <v>260237.76</v>
      </c>
    </row>
    <row r="736" spans="1:10" ht="15.75" x14ac:dyDescent="0.25">
      <c r="A736" s="21">
        <v>45382</v>
      </c>
      <c r="B736" t="str">
        <f>IFERROR(IF(VLOOKUP(C736,Hoja1!$B$1:$C$6191,2,0)="",_xlfn.XLOOKUP(C736,Hoja1!$B$2:$B$6191,Hoja1!$A$2:$A$6191),VLOOKUP(C736,Hoja1!$B$1:$C$6191,2,0)),"No esta en Infor")</f>
        <v>NAC0483</v>
      </c>
      <c r="C736" s="11" t="s">
        <v>12</v>
      </c>
      <c r="D736" s="8">
        <v>0</v>
      </c>
      <c r="E736" s="8">
        <v>4855.62</v>
      </c>
      <c r="F736" s="8">
        <v>3657.84</v>
      </c>
      <c r="G736" s="8">
        <v>1402.04</v>
      </c>
      <c r="H736" s="8">
        <v>5405.25</v>
      </c>
      <c r="I736" s="8">
        <v>12409.43</v>
      </c>
      <c r="J736" s="8">
        <v>27730.18</v>
      </c>
    </row>
    <row r="737" spans="1:10" ht="15.75" x14ac:dyDescent="0.25">
      <c r="A737" s="21">
        <v>45382</v>
      </c>
      <c r="B737" t="str">
        <f>IFERROR(IF(VLOOKUP(C737,Hoja1!$B$1:$C$6191,2,0)="",_xlfn.XLOOKUP(C737,Hoja1!$B$2:$B$6191,Hoja1!$A$2:$A$6191),VLOOKUP(C737,Hoja1!$B$1:$C$6191,2,0)),"No esta en Infor")</f>
        <v>NAC0556</v>
      </c>
      <c r="C737" s="11" t="s">
        <v>14</v>
      </c>
      <c r="D737" s="8">
        <v>43551.21</v>
      </c>
      <c r="E737" s="8">
        <v>133</v>
      </c>
      <c r="F737" s="8">
        <v>973.24</v>
      </c>
      <c r="G737" s="8">
        <v>1632.89</v>
      </c>
      <c r="H737" s="8">
        <v>0</v>
      </c>
      <c r="I737" s="8">
        <v>0</v>
      </c>
      <c r="J737" s="8">
        <v>46290.34</v>
      </c>
    </row>
    <row r="738" spans="1:10" ht="15.75" x14ac:dyDescent="0.25">
      <c r="A738" s="21">
        <v>45382</v>
      </c>
      <c r="B738" t="str">
        <f>IFERROR(IF(VLOOKUP(C738,Hoja1!$B$1:$C$6191,2,0)="",_xlfn.XLOOKUP(C738,Hoja1!$B$2:$B$6191,Hoja1!$A$2:$A$6191),VLOOKUP(C738,Hoja1!$B$1:$C$6191,2,0)),"No esta en Infor")</f>
        <v>CAN0002</v>
      </c>
      <c r="C738" s="11" t="s">
        <v>87</v>
      </c>
      <c r="D738" s="8">
        <v>2440.8000000000002</v>
      </c>
      <c r="E738" s="8">
        <v>14005.28</v>
      </c>
      <c r="F738" s="8">
        <v>416</v>
      </c>
      <c r="G738" s="8">
        <v>0</v>
      </c>
      <c r="H738" s="8">
        <v>0</v>
      </c>
      <c r="I738" s="8">
        <v>0</v>
      </c>
      <c r="J738" s="8">
        <v>16862.080000000002</v>
      </c>
    </row>
    <row r="739" spans="1:10" ht="15.75" x14ac:dyDescent="0.25">
      <c r="A739" s="21">
        <v>45382</v>
      </c>
      <c r="B739" t="str">
        <f>IFERROR(IF(VLOOKUP(C739,Hoja1!$B$1:$C$6191,2,0)="",_xlfn.XLOOKUP(C739,Hoja1!$B$2:$B$6191,Hoja1!$A$2:$A$6191),VLOOKUP(C739,Hoja1!$B$1:$C$6191,2,0)),"No esta en Infor")</f>
        <v>NAC0573</v>
      </c>
      <c r="C739" s="11" t="s">
        <v>15</v>
      </c>
      <c r="D739" s="8">
        <v>5301.08</v>
      </c>
      <c r="E739" s="8">
        <v>9457.32</v>
      </c>
      <c r="F739" s="8">
        <v>1438.75</v>
      </c>
      <c r="G739" s="8">
        <v>1660.69</v>
      </c>
      <c r="H739" s="8">
        <v>0</v>
      </c>
      <c r="I739" s="8">
        <v>0</v>
      </c>
      <c r="J739" s="8">
        <v>17857.84</v>
      </c>
    </row>
    <row r="740" spans="1:10" ht="15.75" x14ac:dyDescent="0.25">
      <c r="A740" s="21">
        <v>45382</v>
      </c>
      <c r="B740" t="str">
        <f>IFERROR(IF(VLOOKUP(C740,Hoja1!$B$1:$C$6191,2,0)="",_xlfn.XLOOKUP(C740,Hoja1!$B$2:$B$6191,Hoja1!$A$2:$A$6191),VLOOKUP(C740,Hoja1!$B$1:$C$6191,2,0)),"No esta en Infor")</f>
        <v>CAN0005</v>
      </c>
      <c r="C740" s="11" t="s">
        <v>90</v>
      </c>
      <c r="D740" s="8">
        <v>127780.44</v>
      </c>
      <c r="E740" s="8">
        <v>0</v>
      </c>
      <c r="F740" s="8">
        <v>10260</v>
      </c>
      <c r="G740" s="8">
        <v>-67.2</v>
      </c>
      <c r="H740" s="8">
        <v>0</v>
      </c>
      <c r="I740" s="8">
        <v>0</v>
      </c>
      <c r="J740" s="8">
        <v>137973.24</v>
      </c>
    </row>
    <row r="741" spans="1:10" ht="15.75" x14ac:dyDescent="0.25">
      <c r="A741" s="21">
        <v>45382</v>
      </c>
      <c r="B741" t="str">
        <f>IFERROR(IF(VLOOKUP(C741,Hoja1!$B$1:$C$6191,2,0)="",_xlfn.XLOOKUP(C741,Hoja1!$B$2:$B$6191,Hoja1!$A$2:$A$6191),VLOOKUP(C741,Hoja1!$B$1:$C$6191,2,0)),"No esta en Infor")</f>
        <v>NAC0610</v>
      </c>
      <c r="C741" s="11" t="s">
        <v>16</v>
      </c>
      <c r="D741" s="8">
        <v>60709.67</v>
      </c>
      <c r="E741" s="8">
        <v>0</v>
      </c>
      <c r="F741" s="8">
        <v>24445.89</v>
      </c>
      <c r="G741" s="8">
        <v>0</v>
      </c>
      <c r="H741" s="8">
        <v>0</v>
      </c>
      <c r="I741" s="8">
        <v>0</v>
      </c>
      <c r="J741" s="8">
        <v>85155.56</v>
      </c>
    </row>
    <row r="742" spans="1:10" ht="15.75" x14ac:dyDescent="0.25">
      <c r="A742" s="21">
        <v>45382</v>
      </c>
      <c r="B742" t="str">
        <f>IFERROR(IF(VLOOKUP(C742,Hoja1!$B$1:$C$6191,2,0)="",_xlfn.XLOOKUP(C742,Hoja1!$B$2:$B$6191,Hoja1!$A$2:$A$6191),VLOOKUP(C742,Hoja1!$B$1:$C$6191,2,0)),"No esta en Infor")</f>
        <v>CAN0006</v>
      </c>
      <c r="C742" s="11" t="s">
        <v>17</v>
      </c>
      <c r="D742" s="8">
        <v>21661.5</v>
      </c>
      <c r="E742" s="8">
        <v>-5738.17</v>
      </c>
      <c r="F742" s="8">
        <v>3608.02</v>
      </c>
      <c r="G742" s="8">
        <v>946.48</v>
      </c>
      <c r="H742" s="8">
        <v>0</v>
      </c>
      <c r="I742" s="8">
        <v>0</v>
      </c>
      <c r="J742" s="8">
        <v>20477.830000000002</v>
      </c>
    </row>
    <row r="743" spans="1:10" ht="15.75" x14ac:dyDescent="0.25">
      <c r="A743" s="21">
        <v>45382</v>
      </c>
      <c r="B743" t="str">
        <f>IFERROR(IF(VLOOKUP(C743,Hoja1!$B$1:$C$6191,2,0)="",_xlfn.XLOOKUP(C743,Hoja1!$B$2:$B$6191,Hoja1!$A$2:$A$6191),VLOOKUP(C743,Hoja1!$B$1:$C$6191,2,0)),"No esta en Infor")</f>
        <v>NAC0624</v>
      </c>
      <c r="C743" s="11" t="s">
        <v>105</v>
      </c>
      <c r="D743" s="8">
        <v>0</v>
      </c>
      <c r="E743" s="8">
        <v>-231</v>
      </c>
      <c r="F743" s="8">
        <v>52.88</v>
      </c>
      <c r="G743" s="8">
        <v>0</v>
      </c>
      <c r="H743" s="8">
        <v>0</v>
      </c>
      <c r="I743" s="8">
        <v>0</v>
      </c>
      <c r="J743" s="8">
        <v>-178.12</v>
      </c>
    </row>
    <row r="744" spans="1:10" ht="15.75" x14ac:dyDescent="0.25">
      <c r="A744" s="21">
        <v>45382</v>
      </c>
      <c r="B744" t="str">
        <f>IFERROR(IF(VLOOKUP(C744,Hoja1!$B$1:$C$6191,2,0)="",_xlfn.XLOOKUP(C744,Hoja1!$B$2:$B$6191,Hoja1!$A$2:$A$6191),VLOOKUP(C744,Hoja1!$B$1:$C$6191,2,0)),"No esta en Infor")</f>
        <v>NAC0632</v>
      </c>
      <c r="C744" s="11" t="s">
        <v>108</v>
      </c>
      <c r="D744" s="8">
        <v>0</v>
      </c>
      <c r="E744" s="8">
        <v>0</v>
      </c>
      <c r="F744" s="8">
        <v>1525.22</v>
      </c>
      <c r="G744" s="8">
        <v>0</v>
      </c>
      <c r="H744" s="8">
        <v>0</v>
      </c>
      <c r="I744" s="8">
        <v>0</v>
      </c>
      <c r="J744" s="8">
        <v>1525.22</v>
      </c>
    </row>
    <row r="745" spans="1:10" ht="15.75" x14ac:dyDescent="0.25">
      <c r="A745" s="21">
        <v>45382</v>
      </c>
      <c r="B745" t="str">
        <f>IFERROR(IF(VLOOKUP(C745,Hoja1!$B$1:$C$6191,2,0)="",_xlfn.XLOOKUP(C745,Hoja1!$B$2:$B$6191,Hoja1!$A$2:$A$6191),VLOOKUP(C745,Hoja1!$B$1:$C$6191,2,0)),"No esta en Infor")</f>
        <v>NAC0641</v>
      </c>
      <c r="C745" s="11" t="s">
        <v>18</v>
      </c>
      <c r="D745" s="8">
        <v>0</v>
      </c>
      <c r="E745" s="8">
        <v>0</v>
      </c>
      <c r="F745" s="8">
        <v>363.64</v>
      </c>
      <c r="G745" s="8">
        <v>0</v>
      </c>
      <c r="H745" s="8">
        <v>0</v>
      </c>
      <c r="I745" s="8">
        <v>0</v>
      </c>
      <c r="J745" s="8">
        <v>363.64</v>
      </c>
    </row>
    <row r="746" spans="1:10" ht="15.75" x14ac:dyDescent="0.25">
      <c r="A746" s="21">
        <v>45382</v>
      </c>
      <c r="B746" t="str">
        <f>IFERROR(IF(VLOOKUP(C746,Hoja1!$B$1:$C$6191,2,0)="",_xlfn.XLOOKUP(C746,Hoja1!$B$2:$B$6191,Hoja1!$A$2:$A$6191),VLOOKUP(C746,Hoja1!$B$1:$C$6191,2,0)),"No esta en Infor")</f>
        <v>NAC0645</v>
      </c>
      <c r="C746" s="11" t="s">
        <v>110</v>
      </c>
      <c r="D746" s="8">
        <v>0</v>
      </c>
      <c r="E746" s="8">
        <v>0</v>
      </c>
      <c r="F746" s="8">
        <v>293.57</v>
      </c>
      <c r="G746" s="8">
        <v>0</v>
      </c>
      <c r="H746" s="8">
        <v>0</v>
      </c>
      <c r="I746" s="8">
        <v>0</v>
      </c>
      <c r="J746" s="8">
        <v>293.57</v>
      </c>
    </row>
    <row r="747" spans="1:10" ht="15.75" x14ac:dyDescent="0.25">
      <c r="A747" s="21">
        <v>45382</v>
      </c>
      <c r="B747" t="str">
        <f>IFERROR(IF(VLOOKUP(C747,Hoja1!$B$1:$C$6191,2,0)="",_xlfn.XLOOKUP(C747,Hoja1!$B$2:$B$6191,Hoja1!$A$2:$A$6191),VLOOKUP(C747,Hoja1!$B$1:$C$6191,2,0)),"No esta en Infor")</f>
        <v>NAC0706</v>
      </c>
      <c r="C747" s="11" t="s">
        <v>139</v>
      </c>
      <c r="D747" s="8">
        <v>0</v>
      </c>
      <c r="E747" s="8">
        <v>0</v>
      </c>
      <c r="F747" s="8">
        <v>667.38</v>
      </c>
      <c r="G747" s="8">
        <v>0</v>
      </c>
      <c r="H747" s="8">
        <v>0</v>
      </c>
      <c r="I747" s="8">
        <v>0</v>
      </c>
      <c r="J747" s="8">
        <v>667.38</v>
      </c>
    </row>
    <row r="748" spans="1:10" ht="15.75" x14ac:dyDescent="0.25">
      <c r="A748" s="21">
        <v>45382</v>
      </c>
      <c r="B748" t="str">
        <f>IFERROR(IF(VLOOKUP(C748,Hoja1!$B$1:$C$6191,2,0)="",_xlfn.XLOOKUP(C748,Hoja1!$B$2:$B$6191,Hoja1!$A$2:$A$6191),VLOOKUP(C748,Hoja1!$B$1:$C$6191,2,0)),"No esta en Infor")</f>
        <v>No esta en Infor</v>
      </c>
      <c r="C748" s="11" t="s">
        <v>20</v>
      </c>
      <c r="D748" s="8">
        <v>3360.94</v>
      </c>
      <c r="E748" s="8">
        <v>76.73</v>
      </c>
      <c r="F748" s="8">
        <v>0</v>
      </c>
      <c r="G748" s="8">
        <v>171.99</v>
      </c>
      <c r="H748" s="8">
        <v>0</v>
      </c>
      <c r="I748" s="8">
        <v>0</v>
      </c>
      <c r="J748" s="8">
        <v>3609.66</v>
      </c>
    </row>
    <row r="749" spans="1:10" ht="15.75" x14ac:dyDescent="0.25">
      <c r="A749" s="21">
        <v>45382</v>
      </c>
      <c r="B749" t="str">
        <f>IFERROR(IF(VLOOKUP(C749,Hoja1!$B$1:$C$6191,2,0)="",_xlfn.XLOOKUP(C749,Hoja1!$B$2:$B$6191,Hoja1!$A$2:$A$6191),VLOOKUP(C749,Hoja1!$B$1:$C$6191,2,0)),"No esta en Infor")</f>
        <v>CAN0018</v>
      </c>
      <c r="C749" s="11" t="s">
        <v>21</v>
      </c>
      <c r="D749" s="8">
        <v>18519.64</v>
      </c>
      <c r="E749" s="8">
        <v>0</v>
      </c>
      <c r="F749" s="8">
        <v>3907.99</v>
      </c>
      <c r="G749" s="8">
        <v>656.39</v>
      </c>
      <c r="H749" s="8">
        <v>0</v>
      </c>
      <c r="I749" s="8">
        <v>0</v>
      </c>
      <c r="J749" s="8">
        <v>23084.02</v>
      </c>
    </row>
    <row r="750" spans="1:10" ht="15.75" x14ac:dyDescent="0.25">
      <c r="A750" s="21">
        <v>45382</v>
      </c>
      <c r="B750" t="str">
        <f>IFERROR(IF(VLOOKUP(C750,Hoja1!$B$1:$C$6191,2,0)="",_xlfn.XLOOKUP(C750,Hoja1!$B$2:$B$6191,Hoja1!$A$2:$A$6191),VLOOKUP(C750,Hoja1!$B$1:$C$6191,2,0)),"No esta en Infor")</f>
        <v>CAN0021</v>
      </c>
      <c r="C750" s="11" t="s">
        <v>180</v>
      </c>
      <c r="D750" s="8">
        <v>1359.05</v>
      </c>
      <c r="E750" s="8">
        <v>314.64</v>
      </c>
      <c r="F750" s="8">
        <v>18.38</v>
      </c>
      <c r="G750" s="8">
        <v>0</v>
      </c>
      <c r="H750" s="8">
        <v>0</v>
      </c>
      <c r="I750" s="8">
        <v>0</v>
      </c>
      <c r="J750" s="8">
        <v>1692.07</v>
      </c>
    </row>
    <row r="751" spans="1:10" ht="15.75" x14ac:dyDescent="0.25">
      <c r="A751" s="21">
        <v>45382</v>
      </c>
      <c r="B751" t="str">
        <f>IFERROR(IF(VLOOKUP(C751,Hoja1!$B$1:$C$6191,2,0)="",_xlfn.XLOOKUP(C751,Hoja1!$B$2:$B$6191,Hoja1!$A$2:$A$6191),VLOOKUP(C751,Hoja1!$B$1:$C$6191,2,0)),"No esta en Infor")</f>
        <v>NAC0880</v>
      </c>
      <c r="C751" s="11" t="s">
        <v>24</v>
      </c>
      <c r="D751" s="8">
        <v>4982.45</v>
      </c>
      <c r="E751" s="8">
        <v>431.33</v>
      </c>
      <c r="F751" s="8">
        <v>0</v>
      </c>
      <c r="G751" s="8">
        <v>1357.43</v>
      </c>
      <c r="H751" s="8">
        <v>45.05</v>
      </c>
      <c r="I751" s="8">
        <v>0</v>
      </c>
      <c r="J751" s="8">
        <v>6816.26</v>
      </c>
    </row>
    <row r="752" spans="1:10" ht="15.75" x14ac:dyDescent="0.25">
      <c r="A752" s="21">
        <v>45382</v>
      </c>
      <c r="B752" t="str">
        <f>IFERROR(IF(VLOOKUP(C752,Hoja1!$B$1:$C$6191,2,0)="",_xlfn.XLOOKUP(C752,Hoja1!$B$2:$B$6191,Hoja1!$A$2:$A$6191),VLOOKUP(C752,Hoja1!$B$1:$C$6191,2,0)),"No esta en Infor")</f>
        <v>CAN0025</v>
      </c>
      <c r="C752" s="11" t="s">
        <v>26</v>
      </c>
      <c r="D752" s="8">
        <v>31626.22</v>
      </c>
      <c r="E752" s="8">
        <v>882.75</v>
      </c>
      <c r="F752" s="8">
        <v>161.44999999999999</v>
      </c>
      <c r="G752" s="8">
        <v>0</v>
      </c>
      <c r="H752" s="8">
        <v>0</v>
      </c>
      <c r="I752" s="8">
        <v>0</v>
      </c>
      <c r="J752" s="8">
        <v>32670.42</v>
      </c>
    </row>
    <row r="753" spans="1:10" ht="15.75" x14ac:dyDescent="0.25">
      <c r="A753" s="21">
        <v>45382</v>
      </c>
      <c r="B753" t="str">
        <f>IFERROR(IF(VLOOKUP(C753,Hoja1!$B$1:$C$6191,2,0)="",_xlfn.XLOOKUP(C753,Hoja1!$B$2:$B$6191,Hoja1!$A$2:$A$6191),VLOOKUP(C753,Hoja1!$B$1:$C$6191,2,0)),"No esta en Infor")</f>
        <v>NAC0920</v>
      </c>
      <c r="C753" s="11" t="s">
        <v>204</v>
      </c>
      <c r="D753" s="8">
        <v>0</v>
      </c>
      <c r="E753" s="8">
        <v>0</v>
      </c>
      <c r="F753" s="8">
        <v>591.91</v>
      </c>
      <c r="G753" s="8">
        <v>0</v>
      </c>
      <c r="H753" s="8">
        <v>0</v>
      </c>
      <c r="I753" s="8">
        <v>0</v>
      </c>
      <c r="J753" s="8">
        <v>591.91</v>
      </c>
    </row>
    <row r="754" spans="1:10" ht="15.75" x14ac:dyDescent="0.25">
      <c r="A754" s="21">
        <v>45382</v>
      </c>
      <c r="B754" t="str">
        <f>IFERROR(IF(VLOOKUP(C754,Hoja1!$B$1:$C$6191,2,0)="",_xlfn.XLOOKUP(C754,Hoja1!$B$2:$B$6191,Hoja1!$A$2:$A$6191),VLOOKUP(C754,Hoja1!$B$1:$C$6191,2,0)),"No esta en Infor")</f>
        <v>NAC0922</v>
      </c>
      <c r="C754" s="11" t="s">
        <v>27</v>
      </c>
      <c r="D754" s="8">
        <v>0</v>
      </c>
      <c r="E754" s="8">
        <v>0</v>
      </c>
      <c r="F754" s="8">
        <v>631.96</v>
      </c>
      <c r="G754" s="8">
        <v>0</v>
      </c>
      <c r="H754" s="8">
        <v>0</v>
      </c>
      <c r="I754" s="8">
        <v>0</v>
      </c>
      <c r="J754" s="8">
        <v>631.96</v>
      </c>
    </row>
    <row r="755" spans="1:10" ht="15.75" x14ac:dyDescent="0.25">
      <c r="A755" s="21">
        <v>45382</v>
      </c>
      <c r="B755" t="str">
        <f>IFERROR(IF(VLOOKUP(C755,Hoja1!$B$1:$C$6191,2,0)="",_xlfn.XLOOKUP(C755,Hoja1!$B$2:$B$6191,Hoja1!$A$2:$A$6191),VLOOKUP(C755,Hoja1!$B$1:$C$6191,2,0)),"No esta en Infor")</f>
        <v>NAC0926</v>
      </c>
      <c r="C755" s="11" t="s">
        <v>206</v>
      </c>
      <c r="D755" s="8">
        <v>0</v>
      </c>
      <c r="E755" s="8">
        <v>0</v>
      </c>
      <c r="F755" s="8">
        <v>1958.78</v>
      </c>
      <c r="G755" s="8">
        <v>0</v>
      </c>
      <c r="H755" s="8">
        <v>0</v>
      </c>
      <c r="I755" s="8">
        <v>0</v>
      </c>
      <c r="J755" s="8">
        <v>1958.78</v>
      </c>
    </row>
    <row r="756" spans="1:10" ht="15.75" x14ac:dyDescent="0.25">
      <c r="A756" s="21">
        <v>45382</v>
      </c>
      <c r="B756" t="str">
        <f>IFERROR(IF(VLOOKUP(C756,Hoja1!$B$1:$C$6191,2,0)="",_xlfn.XLOOKUP(C756,Hoja1!$B$2:$B$6191,Hoja1!$A$2:$A$6191),VLOOKUP(C756,Hoja1!$B$1:$C$6191,2,0)),"No esta en Infor")</f>
        <v>NAC0960</v>
      </c>
      <c r="C756" s="11" t="s">
        <v>216</v>
      </c>
      <c r="D756" s="8">
        <v>0</v>
      </c>
      <c r="E756" s="8">
        <v>0</v>
      </c>
      <c r="F756" s="8">
        <v>2078.98</v>
      </c>
      <c r="G756" s="8">
        <v>0</v>
      </c>
      <c r="H756" s="8">
        <v>0</v>
      </c>
      <c r="I756" s="8">
        <v>0</v>
      </c>
      <c r="J756" s="8">
        <v>2078.98</v>
      </c>
    </row>
    <row r="757" spans="1:10" ht="15.75" x14ac:dyDescent="0.25">
      <c r="A757" s="21">
        <v>45382</v>
      </c>
      <c r="B757" t="str">
        <f>IFERROR(IF(VLOOKUP(C757,Hoja1!$B$1:$C$6191,2,0)="",_xlfn.XLOOKUP(C757,Hoja1!$B$2:$B$6191,Hoja1!$A$2:$A$6191),VLOOKUP(C757,Hoja1!$B$1:$C$6191,2,0)),"No esta en Infor")</f>
        <v>NAC0971</v>
      </c>
      <c r="C757" s="11" t="s">
        <v>219</v>
      </c>
      <c r="D757" s="8">
        <v>0</v>
      </c>
      <c r="E757" s="8">
        <v>0</v>
      </c>
      <c r="F757" s="8">
        <v>467.32</v>
      </c>
      <c r="G757" s="8">
        <v>0</v>
      </c>
      <c r="H757" s="8">
        <v>0</v>
      </c>
      <c r="I757" s="8">
        <v>0</v>
      </c>
      <c r="J757" s="8">
        <v>467.32</v>
      </c>
    </row>
    <row r="758" spans="1:10" ht="15.75" x14ac:dyDescent="0.25">
      <c r="A758" s="21">
        <v>45382</v>
      </c>
      <c r="B758" t="str">
        <f>IFERROR(IF(VLOOKUP(C758,Hoja1!$B$1:$C$6191,2,0)="",_xlfn.XLOOKUP(C758,Hoja1!$B$2:$B$6191,Hoja1!$A$2:$A$6191),VLOOKUP(C758,Hoja1!$B$1:$C$6191,2,0)),"No esta en Infor")</f>
        <v>NAC0972</v>
      </c>
      <c r="C758" s="11" t="s">
        <v>221</v>
      </c>
      <c r="D758" s="8">
        <v>0</v>
      </c>
      <c r="E758" s="8">
        <v>0</v>
      </c>
      <c r="F758" s="8">
        <v>217.86</v>
      </c>
      <c r="G758" s="8">
        <v>0</v>
      </c>
      <c r="H758" s="8">
        <v>0</v>
      </c>
      <c r="I758" s="8">
        <v>0</v>
      </c>
      <c r="J758" s="8">
        <v>217.86</v>
      </c>
    </row>
    <row r="759" spans="1:10" ht="15.75" x14ac:dyDescent="0.25">
      <c r="A759" s="21">
        <v>45382</v>
      </c>
      <c r="B759" t="str">
        <f>IFERROR(IF(VLOOKUP(C759,Hoja1!$B$1:$C$6191,2,0)="",_xlfn.XLOOKUP(C759,Hoja1!$B$2:$B$6191,Hoja1!$A$2:$A$6191),VLOOKUP(C759,Hoja1!$B$1:$C$6191,2,0)),"No esta en Infor")</f>
        <v>NAC0988</v>
      </c>
      <c r="C759" s="11" t="s">
        <v>29</v>
      </c>
      <c r="D759" s="8">
        <v>8865</v>
      </c>
      <c r="E759" s="8">
        <v>12325</v>
      </c>
      <c r="F759" s="8">
        <v>52556</v>
      </c>
      <c r="G759" s="8">
        <v>0</v>
      </c>
      <c r="H759" s="8">
        <v>0</v>
      </c>
      <c r="I759" s="8">
        <v>0</v>
      </c>
      <c r="J759" s="8">
        <v>73746</v>
      </c>
    </row>
    <row r="760" spans="1:10" ht="15.75" x14ac:dyDescent="0.25">
      <c r="A760" s="21">
        <v>45382</v>
      </c>
      <c r="B760" t="str">
        <f>IFERROR(IF(VLOOKUP(C760,Hoja1!$B$1:$C$6191,2,0)="",_xlfn.XLOOKUP(C760,Hoja1!$B$2:$B$6191,Hoja1!$A$2:$A$6191),VLOOKUP(C760,Hoja1!$B$1:$C$6191,2,0)),"No esta en Infor")</f>
        <v>NAC1040</v>
      </c>
      <c r="C760" s="11" t="s">
        <v>30</v>
      </c>
      <c r="D760" s="8">
        <v>379347.17</v>
      </c>
      <c r="E760" s="8">
        <v>45766.15</v>
      </c>
      <c r="F760" s="8">
        <v>445.15</v>
      </c>
      <c r="G760" s="8">
        <v>437</v>
      </c>
      <c r="H760" s="8">
        <v>0</v>
      </c>
      <c r="I760" s="8">
        <v>-14786</v>
      </c>
      <c r="J760" s="8">
        <v>411209.47</v>
      </c>
    </row>
    <row r="761" spans="1:10" ht="15.75" x14ac:dyDescent="0.25">
      <c r="A761" s="21">
        <v>45382</v>
      </c>
      <c r="B761" t="str">
        <f>IFERROR(IF(VLOOKUP(C761,Hoja1!$B$1:$C$6191,2,0)="",_xlfn.XLOOKUP(C761,Hoja1!$B$2:$B$6191,Hoja1!$A$2:$A$6191),VLOOKUP(C761,Hoja1!$B$1:$C$6191,2,0)),"No esta en Infor")</f>
        <v>CAN0035</v>
      </c>
      <c r="C761" s="11" t="s">
        <v>31</v>
      </c>
      <c r="D761" s="8">
        <v>5408</v>
      </c>
      <c r="E761" s="8">
        <v>256.62</v>
      </c>
      <c r="F761" s="8">
        <v>115.15</v>
      </c>
      <c r="G761" s="8">
        <v>960.09</v>
      </c>
      <c r="H761" s="8">
        <v>0</v>
      </c>
      <c r="I761" s="8">
        <v>0</v>
      </c>
      <c r="J761" s="8">
        <v>6739.86</v>
      </c>
    </row>
    <row r="762" spans="1:10" ht="15.75" x14ac:dyDescent="0.25">
      <c r="A762" s="21">
        <v>45382</v>
      </c>
      <c r="B762" t="str">
        <f>IFERROR(IF(VLOOKUP(C762,Hoja1!$B$1:$C$6191,2,0)="",_xlfn.XLOOKUP(C762,Hoja1!$B$2:$B$6191,Hoja1!$A$2:$A$6191),VLOOKUP(C762,Hoja1!$B$1:$C$6191,2,0)),"No esta en Infor")</f>
        <v>NAC1105</v>
      </c>
      <c r="C762" s="11" t="s">
        <v>32</v>
      </c>
      <c r="D762" s="8">
        <v>2383.58</v>
      </c>
      <c r="E762" s="8">
        <v>707.71</v>
      </c>
      <c r="F762" s="8">
        <v>7014.08</v>
      </c>
      <c r="G762" s="8">
        <v>2811.41</v>
      </c>
      <c r="H762" s="8">
        <v>561.35</v>
      </c>
      <c r="I762" s="8">
        <v>111.42</v>
      </c>
      <c r="J762" s="8">
        <v>13589.55</v>
      </c>
    </row>
    <row r="763" spans="1:10" ht="15.75" x14ac:dyDescent="0.25">
      <c r="A763" s="21">
        <v>45382</v>
      </c>
      <c r="B763" t="str">
        <f>IFERROR(IF(VLOOKUP(C763,Hoja1!$B$1:$C$6191,2,0)="",_xlfn.XLOOKUP(C763,Hoja1!$B$2:$B$6191,Hoja1!$A$2:$A$6191),VLOOKUP(C763,Hoja1!$B$1:$C$6191,2,0)),"No esta en Infor")</f>
        <v>CAN0037</v>
      </c>
      <c r="C763" s="11" t="s">
        <v>687</v>
      </c>
      <c r="D763" s="8">
        <v>0</v>
      </c>
      <c r="E763" s="8">
        <v>-3777.12</v>
      </c>
      <c r="F763" s="8">
        <v>179.33</v>
      </c>
      <c r="G763" s="8">
        <v>167.43</v>
      </c>
      <c r="H763" s="8">
        <v>0</v>
      </c>
      <c r="I763" s="8">
        <v>0</v>
      </c>
      <c r="J763" s="8">
        <v>-3430.36</v>
      </c>
    </row>
    <row r="764" spans="1:10" ht="15.75" x14ac:dyDescent="0.25">
      <c r="A764" s="21">
        <v>45382</v>
      </c>
      <c r="B764" t="str">
        <f>IFERROR(IF(VLOOKUP(C764,Hoja1!$B$1:$C$6191,2,0)="",_xlfn.XLOOKUP(C764,Hoja1!$B$2:$B$6191,Hoja1!$A$2:$A$6191),VLOOKUP(C764,Hoja1!$B$1:$C$6191,2,0)),"No esta en Infor")</f>
        <v>NAC1146</v>
      </c>
      <c r="C764" s="11" t="s">
        <v>33</v>
      </c>
      <c r="D764" s="8">
        <v>1084.96</v>
      </c>
      <c r="E764" s="8">
        <v>0</v>
      </c>
      <c r="F764" s="8">
        <v>2016.26</v>
      </c>
      <c r="G764" s="8">
        <v>0</v>
      </c>
      <c r="H764" s="8">
        <v>0</v>
      </c>
      <c r="I764" s="8">
        <v>0</v>
      </c>
      <c r="J764" s="8">
        <v>3101.22</v>
      </c>
    </row>
    <row r="765" spans="1:10" ht="15.75" x14ac:dyDescent="0.25">
      <c r="A765" s="21">
        <v>45382</v>
      </c>
      <c r="B765" t="str">
        <f>IFERROR(IF(VLOOKUP(C765,Hoja1!$B$1:$C$6191,2,0)="",_xlfn.XLOOKUP(C765,Hoja1!$B$2:$B$6191,Hoja1!$A$2:$A$6191),VLOOKUP(C765,Hoja1!$B$1:$C$6191,2,0)),"No esta en Infor")</f>
        <v>NAC1170</v>
      </c>
      <c r="C765" s="11" t="s">
        <v>278</v>
      </c>
      <c r="D765" s="8">
        <v>0</v>
      </c>
      <c r="E765" s="8">
        <v>155207.25</v>
      </c>
      <c r="F765" s="8">
        <v>6731.38</v>
      </c>
      <c r="G765" s="8">
        <v>0</v>
      </c>
      <c r="H765" s="8">
        <v>0</v>
      </c>
      <c r="I765" s="8">
        <v>0</v>
      </c>
      <c r="J765" s="8">
        <v>161938.63</v>
      </c>
    </row>
    <row r="766" spans="1:10" ht="15.75" x14ac:dyDescent="0.25">
      <c r="A766" s="21">
        <v>45382</v>
      </c>
      <c r="B766" t="str">
        <f>IFERROR(IF(VLOOKUP(C766,Hoja1!$B$1:$C$6191,2,0)="",_xlfn.XLOOKUP(C766,Hoja1!$B$2:$B$6191,Hoja1!$A$2:$A$6191),VLOOKUP(C766,Hoja1!$B$1:$C$6191,2,0)),"No esta en Infor")</f>
        <v>CAN0044</v>
      </c>
      <c r="C766" s="11" t="s">
        <v>35</v>
      </c>
      <c r="D766" s="8">
        <v>130794.41</v>
      </c>
      <c r="E766" s="8">
        <v>25194.560000000001</v>
      </c>
      <c r="F766" s="8">
        <v>755.04</v>
      </c>
      <c r="G766" s="8">
        <v>16.899999999999999</v>
      </c>
      <c r="H766" s="8">
        <v>-11.19</v>
      </c>
      <c r="I766" s="8">
        <v>0</v>
      </c>
      <c r="J766" s="8">
        <v>156749.72</v>
      </c>
    </row>
    <row r="767" spans="1:10" ht="15.75" x14ac:dyDescent="0.25">
      <c r="A767" s="21">
        <v>45382</v>
      </c>
      <c r="B767" t="str">
        <f>IFERROR(IF(VLOOKUP(C767,Hoja1!$B$1:$C$6191,2,0)="",_xlfn.XLOOKUP(C767,Hoja1!$B$2:$B$6191,Hoja1!$A$2:$A$6191),VLOOKUP(C767,Hoja1!$B$1:$C$6191,2,0)),"No esta en Infor")</f>
        <v>NAC1233</v>
      </c>
      <c r="C767" s="11" t="s">
        <v>292</v>
      </c>
      <c r="D767" s="8">
        <v>0</v>
      </c>
      <c r="E767" s="8">
        <v>1972.2</v>
      </c>
      <c r="F767" s="8">
        <v>10349.299999999999</v>
      </c>
      <c r="G767" s="8">
        <v>0</v>
      </c>
      <c r="H767" s="8">
        <v>-2036</v>
      </c>
      <c r="I767" s="8">
        <v>-388.15</v>
      </c>
      <c r="J767" s="8">
        <v>9897.35</v>
      </c>
    </row>
    <row r="768" spans="1:10" ht="15.75" x14ac:dyDescent="0.25">
      <c r="A768" s="21">
        <v>45382</v>
      </c>
      <c r="B768" t="str">
        <f>IFERROR(IF(VLOOKUP(C768,Hoja1!$B$1:$C$6191,2,0)="",_xlfn.XLOOKUP(C768,Hoja1!$B$2:$B$6191,Hoja1!$A$2:$A$6191),VLOOKUP(C768,Hoja1!$B$1:$C$6191,2,0)),"No esta en Infor")</f>
        <v>NAC1242</v>
      </c>
      <c r="C768" s="11" t="s">
        <v>296</v>
      </c>
      <c r="D768" s="8">
        <v>0</v>
      </c>
      <c r="E768" s="8">
        <v>0</v>
      </c>
      <c r="F768" s="8">
        <v>10.44</v>
      </c>
      <c r="G768" s="8">
        <v>0</v>
      </c>
      <c r="H768" s="8">
        <v>0</v>
      </c>
      <c r="I768" s="8">
        <v>0</v>
      </c>
      <c r="J768" s="8">
        <v>10.44</v>
      </c>
    </row>
    <row r="769" spans="1:10" ht="15.75" x14ac:dyDescent="0.25">
      <c r="A769" s="21">
        <v>45382</v>
      </c>
      <c r="B769" t="str">
        <f>IFERROR(IF(VLOOKUP(C769,Hoja1!$B$1:$C$6191,2,0)="",_xlfn.XLOOKUP(C769,Hoja1!$B$2:$B$6191,Hoja1!$A$2:$A$6191),VLOOKUP(C769,Hoja1!$B$1:$C$6191,2,0)),"No esta en Infor")</f>
        <v>CAN0054</v>
      </c>
      <c r="C769" s="11" t="s">
        <v>36</v>
      </c>
      <c r="D769" s="8">
        <v>0</v>
      </c>
      <c r="E769" s="8">
        <v>448.61</v>
      </c>
      <c r="F769" s="8">
        <v>620.91999999999996</v>
      </c>
      <c r="G769" s="8">
        <v>0</v>
      </c>
      <c r="H769" s="8">
        <v>0</v>
      </c>
      <c r="I769" s="8">
        <v>0</v>
      </c>
      <c r="J769" s="8">
        <v>1069.53</v>
      </c>
    </row>
    <row r="770" spans="1:10" ht="15.75" x14ac:dyDescent="0.25">
      <c r="A770" s="21">
        <v>45382</v>
      </c>
      <c r="B770" t="str">
        <f>IFERROR(IF(VLOOKUP(C770,Hoja1!$B$1:$C$6191,2,0)="",_xlfn.XLOOKUP(C770,Hoja1!$B$2:$B$6191,Hoja1!$A$2:$A$6191),VLOOKUP(C770,Hoja1!$B$1:$C$6191,2,0)),"No esta en Infor")</f>
        <v>NAC1261</v>
      </c>
      <c r="C770" s="11" t="s">
        <v>303</v>
      </c>
      <c r="D770" s="8">
        <v>0</v>
      </c>
      <c r="E770" s="8">
        <v>1280.08</v>
      </c>
      <c r="F770" s="8">
        <v>224.82</v>
      </c>
      <c r="G770" s="8">
        <v>0</v>
      </c>
      <c r="H770" s="8">
        <v>0</v>
      </c>
      <c r="I770" s="8">
        <v>0</v>
      </c>
      <c r="J770" s="8">
        <v>1504.9</v>
      </c>
    </row>
    <row r="771" spans="1:10" ht="15.75" x14ac:dyDescent="0.25">
      <c r="A771" s="21">
        <v>45382</v>
      </c>
      <c r="B771" t="str">
        <f>IFERROR(IF(VLOOKUP(C771,Hoja1!$B$1:$C$6191,2,0)="",_xlfn.XLOOKUP(C771,Hoja1!$B$2:$B$6191,Hoja1!$A$2:$A$6191),VLOOKUP(C771,Hoja1!$B$1:$C$6191,2,0)),"No esta en Infor")</f>
        <v>NAC1281</v>
      </c>
      <c r="C771" s="11" t="s">
        <v>37</v>
      </c>
      <c r="D771" s="8">
        <v>0</v>
      </c>
      <c r="E771" s="8">
        <v>3307.81</v>
      </c>
      <c r="F771" s="8">
        <v>1711.11</v>
      </c>
      <c r="G771" s="8">
        <v>639.20000000000005</v>
      </c>
      <c r="H771" s="8">
        <v>0</v>
      </c>
      <c r="I771" s="8">
        <v>0</v>
      </c>
      <c r="J771" s="8">
        <v>5658.12</v>
      </c>
    </row>
    <row r="772" spans="1:10" ht="15.75" x14ac:dyDescent="0.25">
      <c r="A772" s="21">
        <v>45382</v>
      </c>
      <c r="B772" t="str">
        <f>IFERROR(IF(VLOOKUP(C772,Hoja1!$B$1:$C$6191,2,0)="",_xlfn.XLOOKUP(C772,Hoja1!$B$2:$B$6191,Hoja1!$A$2:$A$6191),VLOOKUP(C772,Hoja1!$B$1:$C$6191,2,0)),"No esta en Infor")</f>
        <v>NAC1281</v>
      </c>
      <c r="C772" s="11" t="s">
        <v>304</v>
      </c>
      <c r="D772" s="8">
        <v>0</v>
      </c>
      <c r="E772" s="8">
        <v>0</v>
      </c>
      <c r="F772" s="8">
        <v>649.13</v>
      </c>
      <c r="G772" s="8">
        <v>0</v>
      </c>
      <c r="H772" s="8">
        <v>0</v>
      </c>
      <c r="I772" s="8">
        <v>0</v>
      </c>
      <c r="J772" s="8">
        <v>649.13</v>
      </c>
    </row>
    <row r="773" spans="1:10" ht="15.75" x14ac:dyDescent="0.25">
      <c r="A773" s="21">
        <v>45382</v>
      </c>
      <c r="B773" t="str">
        <f>IFERROR(IF(VLOOKUP(C773,Hoja1!$B$1:$C$6191,2,0)="",_xlfn.XLOOKUP(C773,Hoja1!$B$2:$B$6191,Hoja1!$A$2:$A$6191),VLOOKUP(C773,Hoja1!$B$1:$C$6191,2,0)),"No esta en Infor")</f>
        <v>NAC1281</v>
      </c>
      <c r="C773" s="11" t="s">
        <v>38</v>
      </c>
      <c r="D773" s="8">
        <v>0</v>
      </c>
      <c r="E773" s="8">
        <v>268.45</v>
      </c>
      <c r="F773" s="12">
        <v>607.67999999999995</v>
      </c>
      <c r="G773" s="8">
        <v>0</v>
      </c>
      <c r="H773" s="8">
        <v>682.22</v>
      </c>
      <c r="I773" s="8">
        <v>0</v>
      </c>
      <c r="J773" s="8">
        <v>1558.35</v>
      </c>
    </row>
    <row r="774" spans="1:10" ht="15.75" x14ac:dyDescent="0.25">
      <c r="A774" s="21">
        <v>45382</v>
      </c>
      <c r="B774" t="str">
        <f>IFERROR(IF(VLOOKUP(C774,Hoja1!$B$1:$C$6191,2,0)="",_xlfn.XLOOKUP(C774,Hoja1!$B$2:$B$6191,Hoja1!$A$2:$A$6191),VLOOKUP(C774,Hoja1!$B$1:$C$6191,2,0)),"No esta en Infor")</f>
        <v>NAC1281</v>
      </c>
      <c r="C774" s="11" t="s">
        <v>39</v>
      </c>
      <c r="D774" s="8">
        <v>0</v>
      </c>
      <c r="E774" s="8">
        <v>767.27</v>
      </c>
      <c r="F774" s="8">
        <v>417.45</v>
      </c>
      <c r="G774" s="8">
        <v>460</v>
      </c>
      <c r="H774" s="8">
        <v>0</v>
      </c>
      <c r="I774" s="8">
        <v>0</v>
      </c>
      <c r="J774" s="8">
        <v>1644.72</v>
      </c>
    </row>
    <row r="775" spans="1:10" ht="15.75" x14ac:dyDescent="0.25">
      <c r="A775" s="21">
        <v>45382</v>
      </c>
      <c r="B775" t="str">
        <f>IFERROR(IF(VLOOKUP(C775,Hoja1!$B$1:$C$6191,2,0)="",_xlfn.XLOOKUP(C775,Hoja1!$B$2:$B$6191,Hoja1!$A$2:$A$6191),VLOOKUP(C775,Hoja1!$B$1:$C$6191,2,0)),"No esta en Infor")</f>
        <v>NAC1281</v>
      </c>
      <c r="C775" s="11" t="s">
        <v>40</v>
      </c>
      <c r="D775" s="8">
        <v>0</v>
      </c>
      <c r="E775" s="8">
        <v>2136.2600000000002</v>
      </c>
      <c r="F775" s="8">
        <v>409.91</v>
      </c>
      <c r="G775" s="8">
        <v>216.33</v>
      </c>
      <c r="H775" s="8">
        <v>0</v>
      </c>
      <c r="I775" s="8">
        <v>0</v>
      </c>
      <c r="J775" s="8">
        <v>2762.5</v>
      </c>
    </row>
    <row r="776" spans="1:10" ht="15.75" x14ac:dyDescent="0.25">
      <c r="A776" s="21">
        <v>45382</v>
      </c>
      <c r="B776" t="str">
        <f>IFERROR(IF(VLOOKUP(C776,Hoja1!$B$1:$C$6191,2,0)="",_xlfn.XLOOKUP(C776,Hoja1!$B$2:$B$6191,Hoja1!$A$2:$A$6191),VLOOKUP(C776,Hoja1!$B$1:$C$6191,2,0)),"No esta en Infor")</f>
        <v>NAC1281</v>
      </c>
      <c r="C776" s="11" t="s">
        <v>41</v>
      </c>
      <c r="D776" s="8">
        <v>115.92</v>
      </c>
      <c r="E776" s="12">
        <v>202.86</v>
      </c>
      <c r="F776" s="8">
        <v>0</v>
      </c>
      <c r="G776" s="8">
        <v>137.12</v>
      </c>
      <c r="H776" s="8">
        <v>300.48</v>
      </c>
      <c r="I776" s="8">
        <v>0</v>
      </c>
      <c r="J776" s="8">
        <v>756.38</v>
      </c>
    </row>
    <row r="777" spans="1:10" ht="15.75" x14ac:dyDescent="0.25">
      <c r="A777" s="21">
        <v>45382</v>
      </c>
      <c r="B777" t="str">
        <f>IFERROR(IF(VLOOKUP(C777,Hoja1!$B$1:$C$6191,2,0)="",_xlfn.XLOOKUP(C777,Hoja1!$B$2:$B$6191,Hoja1!$A$2:$A$6191),VLOOKUP(C777,Hoja1!$B$1:$C$6191,2,0)),"No esta en Infor")</f>
        <v>NAC1281</v>
      </c>
      <c r="C777" s="11" t="s">
        <v>42</v>
      </c>
      <c r="D777" s="8">
        <v>449.84</v>
      </c>
      <c r="E777" s="8">
        <v>0</v>
      </c>
      <c r="F777" s="8">
        <v>568.86</v>
      </c>
      <c r="G777" s="8">
        <v>262.91000000000003</v>
      </c>
      <c r="H777" s="8">
        <v>0</v>
      </c>
      <c r="I777" s="8">
        <v>0</v>
      </c>
      <c r="J777" s="8">
        <v>1281.6099999999999</v>
      </c>
    </row>
    <row r="778" spans="1:10" ht="15.75" x14ac:dyDescent="0.25">
      <c r="A778" s="21">
        <v>45382</v>
      </c>
      <c r="B778" t="str">
        <f>IFERROR(IF(VLOOKUP(C778,Hoja1!$B$1:$C$6191,2,0)="",_xlfn.XLOOKUP(C778,Hoja1!$B$2:$B$6191,Hoja1!$A$2:$A$6191),VLOOKUP(C778,Hoja1!$B$1:$C$6191,2,0)),"No esta en Infor")</f>
        <v>NAC1281</v>
      </c>
      <c r="C778" s="11" t="s">
        <v>306</v>
      </c>
      <c r="D778" s="8">
        <v>0</v>
      </c>
      <c r="E778" s="8">
        <v>114.04</v>
      </c>
      <c r="F778" s="8">
        <v>383.1</v>
      </c>
      <c r="G778" s="12">
        <v>146.31</v>
      </c>
      <c r="H778" s="8">
        <v>0</v>
      </c>
      <c r="I778" s="8">
        <v>0</v>
      </c>
      <c r="J778" s="8">
        <v>643.45000000000005</v>
      </c>
    </row>
    <row r="779" spans="1:10" ht="15.75" x14ac:dyDescent="0.25">
      <c r="A779" s="21">
        <v>45382</v>
      </c>
      <c r="B779" t="str">
        <f>IFERROR(IF(VLOOKUP(C779,Hoja1!$B$1:$C$6191,2,0)="",_xlfn.XLOOKUP(C779,Hoja1!$B$2:$B$6191,Hoja1!$A$2:$A$6191),VLOOKUP(C779,Hoja1!$B$1:$C$6191,2,0)),"No esta en Infor")</f>
        <v>NAC1281</v>
      </c>
      <c r="C779" s="11" t="s">
        <v>43</v>
      </c>
      <c r="D779" s="8">
        <v>177.29</v>
      </c>
      <c r="E779" s="8">
        <v>176.9</v>
      </c>
      <c r="F779" s="8">
        <v>303.04000000000002</v>
      </c>
      <c r="G779" s="8">
        <v>439.86</v>
      </c>
      <c r="H779" s="8">
        <v>193.68</v>
      </c>
      <c r="I779" s="8">
        <v>0</v>
      </c>
      <c r="J779" s="8">
        <v>1290.77</v>
      </c>
    </row>
    <row r="780" spans="1:10" ht="15.75" x14ac:dyDescent="0.25">
      <c r="A780" s="21">
        <v>45382</v>
      </c>
      <c r="B780" t="str">
        <f>IFERROR(IF(VLOOKUP(C780,Hoja1!$B$1:$C$6191,2,0)="",_xlfn.XLOOKUP(C780,Hoja1!$B$2:$B$6191,Hoja1!$A$2:$A$6191),VLOOKUP(C780,Hoja1!$B$1:$C$6191,2,0)),"No esta en Infor")</f>
        <v>NAC1281</v>
      </c>
      <c r="C780" s="11" t="s">
        <v>44</v>
      </c>
      <c r="D780" s="8">
        <v>-30.02</v>
      </c>
      <c r="E780" s="8">
        <v>740.54</v>
      </c>
      <c r="F780" s="8">
        <v>684.41</v>
      </c>
      <c r="G780" s="8">
        <v>0</v>
      </c>
      <c r="H780" s="8">
        <v>208.55</v>
      </c>
      <c r="I780" s="8">
        <v>0</v>
      </c>
      <c r="J780" s="8">
        <v>1603.48</v>
      </c>
    </row>
    <row r="781" spans="1:10" ht="15.75" x14ac:dyDescent="0.25">
      <c r="A781" s="21">
        <v>45382</v>
      </c>
      <c r="B781" t="str">
        <f>IFERROR(IF(VLOOKUP(C781,Hoja1!$B$1:$C$6191,2,0)="",_xlfn.XLOOKUP(C781,Hoja1!$B$2:$B$6191,Hoja1!$A$2:$A$6191),VLOOKUP(C781,Hoja1!$B$1:$C$6191,2,0)),"No esta en Infor")</f>
        <v>NAC1281</v>
      </c>
      <c r="C781" s="11" t="s">
        <v>45</v>
      </c>
      <c r="D781" s="8">
        <v>0</v>
      </c>
      <c r="E781" s="8">
        <v>1460.25</v>
      </c>
      <c r="F781" s="8">
        <v>447.93</v>
      </c>
      <c r="G781" s="8">
        <v>0</v>
      </c>
      <c r="H781" s="8">
        <v>1280.58</v>
      </c>
      <c r="I781" s="8">
        <v>0</v>
      </c>
      <c r="J781" s="8">
        <v>3188.76</v>
      </c>
    </row>
    <row r="782" spans="1:10" ht="15.75" x14ac:dyDescent="0.25">
      <c r="A782" s="21">
        <v>45382</v>
      </c>
      <c r="B782" t="str">
        <f>IFERROR(IF(VLOOKUP(C782,Hoja1!$B$1:$C$6191,2,0)="",_xlfn.XLOOKUP(C782,Hoja1!$B$2:$B$6191,Hoja1!$A$2:$A$6191),VLOOKUP(C782,Hoja1!$B$1:$C$6191,2,0)),"No esta en Infor")</f>
        <v>NAC1281</v>
      </c>
      <c r="C782" s="11" t="s">
        <v>307</v>
      </c>
      <c r="D782" s="8">
        <v>89.47</v>
      </c>
      <c r="E782" s="8">
        <v>892.02</v>
      </c>
      <c r="F782" s="8">
        <v>610.41999999999996</v>
      </c>
      <c r="G782" s="8">
        <v>0</v>
      </c>
      <c r="H782" s="8">
        <v>0</v>
      </c>
      <c r="I782" s="8">
        <v>0</v>
      </c>
      <c r="J782" s="8">
        <v>1591.91</v>
      </c>
    </row>
    <row r="783" spans="1:10" ht="15.75" x14ac:dyDescent="0.25">
      <c r="A783" s="21">
        <v>45382</v>
      </c>
      <c r="B783" t="str">
        <f>IFERROR(IF(VLOOKUP(C783,Hoja1!$B$1:$C$6191,2,0)="",_xlfn.XLOOKUP(C783,Hoja1!$B$2:$B$6191,Hoja1!$A$2:$A$6191),VLOOKUP(C783,Hoja1!$B$1:$C$6191,2,0)),"No esta en Infor")</f>
        <v>NAC1292</v>
      </c>
      <c r="C783" s="11" t="s">
        <v>46</v>
      </c>
      <c r="D783" s="8">
        <v>41815.800000000003</v>
      </c>
      <c r="E783" s="8">
        <v>-2537.5</v>
      </c>
      <c r="F783" s="8">
        <v>3837.5</v>
      </c>
      <c r="G783" s="8">
        <v>0</v>
      </c>
      <c r="H783" s="8">
        <v>0</v>
      </c>
      <c r="I783" s="8">
        <v>0</v>
      </c>
      <c r="J783" s="8">
        <v>43115.8</v>
      </c>
    </row>
    <row r="784" spans="1:10" ht="15.75" x14ac:dyDescent="0.25">
      <c r="A784" s="21">
        <v>45382</v>
      </c>
      <c r="B784" t="str">
        <f>IFERROR(IF(VLOOKUP(C784,Hoja1!$B$1:$C$6191,2,0)="",_xlfn.XLOOKUP(C784,Hoja1!$B$2:$B$6191,Hoja1!$A$2:$A$6191),VLOOKUP(C784,Hoja1!$B$1:$C$6191,2,0)),"No esta en Infor")</f>
        <v>NAC1609</v>
      </c>
      <c r="C784" s="11" t="s">
        <v>48</v>
      </c>
      <c r="D784" s="8">
        <v>0</v>
      </c>
      <c r="E784" s="8">
        <v>0</v>
      </c>
      <c r="F784" s="8">
        <v>0</v>
      </c>
      <c r="G784" s="8">
        <v>246.37</v>
      </c>
      <c r="H784" s="8">
        <v>0</v>
      </c>
      <c r="I784" s="8">
        <v>0</v>
      </c>
      <c r="J784" s="8">
        <v>246.37</v>
      </c>
    </row>
    <row r="785" spans="1:10" ht="15.75" x14ac:dyDescent="0.25">
      <c r="A785" s="21">
        <v>45382</v>
      </c>
      <c r="B785" t="str">
        <f>IFERROR(IF(VLOOKUP(C785,Hoja1!$B$1:$C$6191,2,0)="",_xlfn.XLOOKUP(C785,Hoja1!$B$2:$B$6191,Hoja1!$A$2:$A$6191),VLOOKUP(C785,Hoja1!$B$1:$C$6191,2,0)),"No esta en Infor")</f>
        <v>NAC1323</v>
      </c>
      <c r="C785" s="11" t="s">
        <v>49</v>
      </c>
      <c r="D785" s="8">
        <v>280826.23999999999</v>
      </c>
      <c r="E785" s="8">
        <v>173977.06</v>
      </c>
      <c r="F785" s="8">
        <v>17586.18</v>
      </c>
      <c r="G785" s="8">
        <v>3779.35</v>
      </c>
      <c r="H785" s="8">
        <v>151.19999999999999</v>
      </c>
      <c r="I785" s="8">
        <v>563.14</v>
      </c>
      <c r="J785" s="8">
        <v>476883.17</v>
      </c>
    </row>
    <row r="786" spans="1:10" ht="15.75" x14ac:dyDescent="0.25">
      <c r="A786" s="21">
        <v>45382</v>
      </c>
      <c r="B786" t="str">
        <f>IFERROR(IF(VLOOKUP(C786,Hoja1!$B$1:$C$6191,2,0)="",_xlfn.XLOOKUP(C786,Hoja1!$B$2:$B$6191,Hoja1!$A$2:$A$6191),VLOOKUP(C786,Hoja1!$B$1:$C$6191,2,0)),"No esta en Infor")</f>
        <v>NAC1327</v>
      </c>
      <c r="C786" s="11" t="s">
        <v>50</v>
      </c>
      <c r="D786" s="8">
        <v>126184.8</v>
      </c>
      <c r="E786" s="8">
        <v>67092.240000000005</v>
      </c>
      <c r="F786" s="8">
        <v>290.06</v>
      </c>
      <c r="G786" s="8">
        <v>31.08</v>
      </c>
      <c r="H786" s="8">
        <v>0</v>
      </c>
      <c r="I786" s="8">
        <v>1459.92</v>
      </c>
      <c r="J786" s="8">
        <v>195058.1</v>
      </c>
    </row>
    <row r="787" spans="1:10" ht="15.75" x14ac:dyDescent="0.25">
      <c r="A787" s="21">
        <v>45382</v>
      </c>
      <c r="B787" t="str">
        <f>IFERROR(IF(VLOOKUP(C787,Hoja1!$B$1:$C$6191,2,0)="",_xlfn.XLOOKUP(C787,Hoja1!$B$2:$B$6191,Hoja1!$A$2:$A$6191),VLOOKUP(C787,Hoja1!$B$1:$C$6191,2,0)),"No esta en Infor")</f>
        <v>CAN0059</v>
      </c>
      <c r="C787" s="11" t="s">
        <v>51</v>
      </c>
      <c r="D787" s="8">
        <v>3433.01</v>
      </c>
      <c r="E787" s="8">
        <v>1274.46</v>
      </c>
      <c r="F787" s="8">
        <v>18.649999999999999</v>
      </c>
      <c r="G787" s="8">
        <v>777.12</v>
      </c>
      <c r="H787" s="8">
        <v>0</v>
      </c>
      <c r="I787" s="8">
        <v>0</v>
      </c>
      <c r="J787" s="8">
        <v>5503.24</v>
      </c>
    </row>
    <row r="788" spans="1:10" ht="15.75" x14ac:dyDescent="0.25">
      <c r="A788" s="21">
        <v>45382</v>
      </c>
      <c r="B788" t="str">
        <f>IFERROR(IF(VLOOKUP(C788,Hoja1!$B$1:$C$6191,2,0)="",_xlfn.XLOOKUP(C788,Hoja1!$B$2:$B$6191,Hoja1!$A$2:$A$6191),VLOOKUP(C788,Hoja1!$B$1:$C$6191,2,0)),"No esta en Infor")</f>
        <v>NAC1354</v>
      </c>
      <c r="C788" s="11" t="s">
        <v>324</v>
      </c>
      <c r="D788" s="8">
        <v>0</v>
      </c>
      <c r="E788" s="8">
        <v>0</v>
      </c>
      <c r="F788" s="8">
        <v>424.57</v>
      </c>
      <c r="G788" s="8">
        <v>0</v>
      </c>
      <c r="H788" s="8">
        <v>0</v>
      </c>
      <c r="I788" s="8">
        <v>0</v>
      </c>
      <c r="J788" s="8">
        <v>424.57</v>
      </c>
    </row>
    <row r="789" spans="1:10" ht="15.75" x14ac:dyDescent="0.25">
      <c r="A789" s="21">
        <v>45382</v>
      </c>
      <c r="B789" t="str">
        <f>IFERROR(IF(VLOOKUP(C789,Hoja1!$B$1:$C$6191,2,0)="",_xlfn.XLOOKUP(C789,Hoja1!$B$2:$B$6191,Hoja1!$A$2:$A$6191),VLOOKUP(C789,Hoja1!$B$1:$C$6191,2,0)),"No esta en Infor")</f>
        <v>NAC1610</v>
      </c>
      <c r="C789" s="11" t="s">
        <v>333</v>
      </c>
      <c r="D789" s="8">
        <v>0</v>
      </c>
      <c r="E789" s="8">
        <v>0</v>
      </c>
      <c r="F789" s="8">
        <v>744.05</v>
      </c>
      <c r="G789" s="8">
        <v>0</v>
      </c>
      <c r="H789" s="8">
        <v>0</v>
      </c>
      <c r="I789" s="8">
        <v>0</v>
      </c>
      <c r="J789" s="8">
        <v>744.05</v>
      </c>
    </row>
    <row r="790" spans="1:10" ht="15.75" x14ac:dyDescent="0.25">
      <c r="A790" s="21">
        <v>45382</v>
      </c>
      <c r="B790" t="str">
        <f>IFERROR(IF(VLOOKUP(C790,Hoja1!$B$1:$C$6191,2,0)="",_xlfn.XLOOKUP(C790,Hoja1!$B$2:$B$6191,Hoja1!$A$2:$A$6191),VLOOKUP(C790,Hoja1!$B$1:$C$6191,2,0)),"No esta en Infor")</f>
        <v>NAC1610</v>
      </c>
      <c r="C790" s="11" t="s">
        <v>52</v>
      </c>
      <c r="D790" s="8">
        <v>0</v>
      </c>
      <c r="E790" s="8">
        <v>498</v>
      </c>
      <c r="F790" s="8">
        <v>0</v>
      </c>
      <c r="G790" s="8">
        <v>0</v>
      </c>
      <c r="H790" s="8">
        <v>16.66</v>
      </c>
      <c r="I790" s="8">
        <v>0</v>
      </c>
      <c r="J790" s="8">
        <v>514.66</v>
      </c>
    </row>
    <row r="791" spans="1:10" ht="15.75" x14ac:dyDescent="0.25">
      <c r="A791" s="21">
        <v>45382</v>
      </c>
      <c r="B791" t="str">
        <f>IFERROR(IF(VLOOKUP(C791,Hoja1!$B$1:$C$6191,2,0)="",_xlfn.XLOOKUP(C791,Hoja1!$B$2:$B$6191,Hoja1!$A$2:$A$6191),VLOOKUP(C791,Hoja1!$B$1:$C$6191,2,0)),"No esta en Infor")</f>
        <v>NAC1610</v>
      </c>
      <c r="C791" s="11" t="s">
        <v>334</v>
      </c>
      <c r="D791" s="8">
        <v>0</v>
      </c>
      <c r="E791" s="8">
        <v>0</v>
      </c>
      <c r="F791" s="8">
        <v>167.44</v>
      </c>
      <c r="G791" s="8">
        <v>0</v>
      </c>
      <c r="H791" s="8">
        <v>0</v>
      </c>
      <c r="I791" s="8">
        <v>0</v>
      </c>
      <c r="J791" s="8">
        <v>167.44</v>
      </c>
    </row>
    <row r="792" spans="1:10" ht="15.75" x14ac:dyDescent="0.25">
      <c r="A792" s="21">
        <v>45382</v>
      </c>
      <c r="B792" t="str">
        <f>IFERROR(IF(VLOOKUP(C792,Hoja1!$B$1:$C$6191,2,0)="",_xlfn.XLOOKUP(C792,Hoja1!$B$2:$B$6191,Hoja1!$A$2:$A$6191),VLOOKUP(C792,Hoja1!$B$1:$C$6191,2,0)),"No esta en Infor")</f>
        <v>CAN0069</v>
      </c>
      <c r="C792" s="11" t="s">
        <v>340</v>
      </c>
      <c r="D792" s="8">
        <v>1270.69</v>
      </c>
      <c r="E792" s="8">
        <v>0</v>
      </c>
      <c r="F792" s="8">
        <v>540.15</v>
      </c>
      <c r="G792" s="8">
        <v>0</v>
      </c>
      <c r="H792" s="8">
        <v>0</v>
      </c>
      <c r="I792" s="8">
        <v>0</v>
      </c>
      <c r="J792" s="8">
        <v>1810.84</v>
      </c>
    </row>
    <row r="793" spans="1:10" ht="15.75" x14ac:dyDescent="0.25">
      <c r="A793" s="21">
        <v>45382</v>
      </c>
      <c r="B793" t="str">
        <f>IFERROR(IF(VLOOKUP(C793,Hoja1!$B$1:$C$6191,2,0)="",_xlfn.XLOOKUP(C793,Hoja1!$B$2:$B$6191,Hoja1!$A$2:$A$6191),VLOOKUP(C793,Hoja1!$B$1:$C$6191,2,0)),"No esta en Infor")</f>
        <v>NAC1413</v>
      </c>
      <c r="C793" s="11" t="s">
        <v>342</v>
      </c>
      <c r="D793" s="8">
        <v>44036.32</v>
      </c>
      <c r="E793" s="8">
        <v>21758.16</v>
      </c>
      <c r="F793" s="8">
        <v>17836.3</v>
      </c>
      <c r="G793" s="8">
        <v>0</v>
      </c>
      <c r="H793" s="8">
        <v>0</v>
      </c>
      <c r="I793" s="8">
        <v>0</v>
      </c>
      <c r="J793" s="8">
        <v>83630.78</v>
      </c>
    </row>
    <row r="794" spans="1:10" ht="15.75" x14ac:dyDescent="0.25">
      <c r="A794" s="21">
        <v>45382</v>
      </c>
      <c r="B794" t="str">
        <f>IFERROR(IF(VLOOKUP(C794,Hoja1!$B$1:$C$6191,2,0)="",_xlfn.XLOOKUP(C794,Hoja1!$B$2:$B$6191,Hoja1!$A$2:$A$6191),VLOOKUP(C794,Hoja1!$B$1:$C$6191,2,0)),"No esta en Infor")</f>
        <v>NAC1448</v>
      </c>
      <c r="C794" s="11" t="s">
        <v>9</v>
      </c>
      <c r="D794" s="8">
        <v>26508.22</v>
      </c>
      <c r="E794" s="8">
        <v>10848.4</v>
      </c>
      <c r="F794" s="8">
        <v>17763.650000000001</v>
      </c>
      <c r="G794" s="8">
        <v>4601.2700000000004</v>
      </c>
      <c r="H794" s="8">
        <v>831.97</v>
      </c>
      <c r="I794" s="8">
        <v>0</v>
      </c>
      <c r="J794" s="8">
        <v>60553.51</v>
      </c>
    </row>
    <row r="795" spans="1:10" ht="15.75" x14ac:dyDescent="0.25">
      <c r="A795" s="21">
        <v>45382</v>
      </c>
      <c r="B795" t="str">
        <f>IFERROR(IF(VLOOKUP(C795,Hoja1!$B$1:$C$6191,2,0)="",_xlfn.XLOOKUP(C795,Hoja1!$B$2:$B$6191,Hoja1!$A$2:$A$6191),VLOOKUP(C795,Hoja1!$B$1:$C$6191,2,0)),"No esta en Infor")</f>
        <v>CAN0073</v>
      </c>
      <c r="C795" s="11" t="s">
        <v>349</v>
      </c>
      <c r="D795" s="8">
        <v>2754.94</v>
      </c>
      <c r="E795" s="8">
        <v>-42.46</v>
      </c>
      <c r="F795" s="8">
        <v>282.52999999999997</v>
      </c>
      <c r="G795" s="8">
        <v>0</v>
      </c>
      <c r="H795" s="8">
        <v>0</v>
      </c>
      <c r="I795" s="8">
        <v>0</v>
      </c>
      <c r="J795" s="8">
        <v>2995.01</v>
      </c>
    </row>
    <row r="796" spans="1:10" ht="15.75" x14ac:dyDescent="0.25">
      <c r="A796" s="21">
        <v>45382</v>
      </c>
      <c r="B796" t="str">
        <f>IFERROR(IF(VLOOKUP(C796,Hoja1!$B$1:$C$6191,2,0)="",_xlfn.XLOOKUP(C796,Hoja1!$B$2:$B$6191,Hoja1!$A$2:$A$6191),VLOOKUP(C796,Hoja1!$B$1:$C$6191,2,0)),"No esta en Infor")</f>
        <v>NAC1450</v>
      </c>
      <c r="C796" s="11" t="s">
        <v>54</v>
      </c>
      <c r="D796" s="8">
        <v>320.73</v>
      </c>
      <c r="E796" s="8">
        <v>1637.42</v>
      </c>
      <c r="F796" s="8">
        <v>1258.52</v>
      </c>
      <c r="G796" s="8">
        <v>338.56</v>
      </c>
      <c r="H796" s="8">
        <v>1099.1300000000001</v>
      </c>
      <c r="I796" s="8">
        <v>0</v>
      </c>
      <c r="J796" s="8">
        <v>4654.3599999999997</v>
      </c>
    </row>
    <row r="797" spans="1:10" ht="15.75" x14ac:dyDescent="0.25">
      <c r="A797" s="21">
        <v>45382</v>
      </c>
      <c r="B797" t="str">
        <f>IFERROR(IF(VLOOKUP(C797,Hoja1!$B$1:$C$6191,2,0)="",_xlfn.XLOOKUP(C797,Hoja1!$B$2:$B$6191,Hoja1!$A$2:$A$6191),VLOOKUP(C797,Hoja1!$B$1:$C$6191,2,0)),"No esta en Infor")</f>
        <v>CAN0078</v>
      </c>
      <c r="C797" s="11" t="s">
        <v>55</v>
      </c>
      <c r="D797" s="8">
        <v>0</v>
      </c>
      <c r="E797" s="8">
        <v>0</v>
      </c>
      <c r="F797" s="8">
        <v>0</v>
      </c>
      <c r="G797" s="8">
        <v>34.869999999999997</v>
      </c>
      <c r="H797" s="8">
        <v>0</v>
      </c>
      <c r="I797" s="8">
        <v>0</v>
      </c>
      <c r="J797" s="8">
        <v>34.869999999999997</v>
      </c>
    </row>
    <row r="798" spans="1:10" ht="15.75" x14ac:dyDescent="0.25">
      <c r="A798" s="21">
        <v>45382</v>
      </c>
      <c r="B798" t="str">
        <f>IFERROR(IF(VLOOKUP(C798,Hoja1!$B$1:$C$6191,2,0)="",_xlfn.XLOOKUP(C798,Hoja1!$B$2:$B$6191,Hoja1!$A$2:$A$6191),VLOOKUP(C798,Hoja1!$B$1:$C$6191,2,0)),"No esta en Infor")</f>
        <v>NAC1488</v>
      </c>
      <c r="C798" s="11" t="s">
        <v>359</v>
      </c>
      <c r="D798" s="8">
        <v>0</v>
      </c>
      <c r="E798" s="8">
        <v>0</v>
      </c>
      <c r="F798" s="8">
        <v>260</v>
      </c>
      <c r="G798" s="8">
        <v>0</v>
      </c>
      <c r="H798" s="8">
        <v>0</v>
      </c>
      <c r="I798" s="8">
        <v>0</v>
      </c>
      <c r="J798" s="8">
        <v>260</v>
      </c>
    </row>
    <row r="799" spans="1:10" ht="15.75" x14ac:dyDescent="0.25">
      <c r="A799" s="21">
        <v>45382</v>
      </c>
      <c r="B799" t="str">
        <f>IFERROR(IF(VLOOKUP(C799,Hoja1!$B$1:$C$6191,2,0)="",_xlfn.XLOOKUP(C799,Hoja1!$B$2:$B$6191,Hoja1!$A$2:$A$6191),VLOOKUP(C799,Hoja1!$B$1:$C$6191,2,0)),"No esta en Infor")</f>
        <v>NAC1512</v>
      </c>
      <c r="C799" s="11" t="s">
        <v>56</v>
      </c>
      <c r="D799" s="8">
        <v>0</v>
      </c>
      <c r="E799" s="8">
        <v>0</v>
      </c>
      <c r="F799" s="8">
        <v>4470</v>
      </c>
      <c r="G799" s="8">
        <v>14020</v>
      </c>
      <c r="H799" s="8">
        <v>0</v>
      </c>
      <c r="I799" s="8">
        <v>0</v>
      </c>
      <c r="J799" s="8">
        <v>18490</v>
      </c>
    </row>
    <row r="800" spans="1:10" ht="15.75" x14ac:dyDescent="0.25">
      <c r="A800" s="21">
        <v>45382</v>
      </c>
      <c r="B800" t="str">
        <f>IFERROR(IF(VLOOKUP(C800,Hoja1!$B$1:$C$6191,2,0)="",_xlfn.XLOOKUP(C800,Hoja1!$B$2:$B$6191,Hoja1!$A$2:$A$6191),VLOOKUP(C800,Hoja1!$B$1:$C$6191,2,0)),"No esta en Infor")</f>
        <v>NAC1522</v>
      </c>
      <c r="C800" s="11" t="s">
        <v>366</v>
      </c>
      <c r="D800" s="8">
        <v>0</v>
      </c>
      <c r="E800" s="8">
        <v>0</v>
      </c>
      <c r="F800" s="8">
        <v>421.58</v>
      </c>
      <c r="G800" s="8">
        <v>0</v>
      </c>
      <c r="H800" s="8">
        <v>0</v>
      </c>
      <c r="I800" s="8">
        <v>0</v>
      </c>
      <c r="J800" s="8">
        <v>421.58</v>
      </c>
    </row>
    <row r="801" spans="1:10" ht="15.75" x14ac:dyDescent="0.25">
      <c r="A801" s="21">
        <v>45382</v>
      </c>
      <c r="B801" t="str">
        <f>IFERROR(IF(VLOOKUP(C801,Hoja1!$B$1:$C$6191,2,0)="",_xlfn.XLOOKUP(C801,Hoja1!$B$2:$B$6191,Hoja1!$A$2:$A$6191),VLOOKUP(C801,Hoja1!$B$1:$C$6191,2,0)),"No esta en Infor")</f>
        <v>CAN0087</v>
      </c>
      <c r="C801" s="19" t="s">
        <v>1091</v>
      </c>
      <c r="D801" s="8">
        <v>8325.84</v>
      </c>
      <c r="E801" s="8">
        <v>14631.13</v>
      </c>
      <c r="F801" s="8">
        <v>1180.67</v>
      </c>
      <c r="G801" s="8">
        <v>0</v>
      </c>
      <c r="H801" s="8">
        <v>0</v>
      </c>
      <c r="I801" s="8">
        <v>0</v>
      </c>
      <c r="J801" s="8">
        <v>24137.64</v>
      </c>
    </row>
    <row r="802" spans="1:10" ht="15.75" x14ac:dyDescent="0.25">
      <c r="A802" s="21">
        <v>45382</v>
      </c>
      <c r="B802" t="str">
        <f>IFERROR(IF(VLOOKUP(C802,Hoja1!$B$1:$C$6191,2,0)="",_xlfn.XLOOKUP(C802,Hoja1!$B$2:$B$6191,Hoja1!$A$2:$A$6191),VLOOKUP(C802,Hoja1!$B$1:$C$6191,2,0)),"No esta en Infor")</f>
        <v>NAC0459</v>
      </c>
      <c r="C802" s="19" t="s">
        <v>435</v>
      </c>
      <c r="D802" s="9">
        <v>2145.23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2145.23</v>
      </c>
    </row>
    <row r="803" spans="1:10" ht="15.75" x14ac:dyDescent="0.25">
      <c r="A803" s="21">
        <v>45382</v>
      </c>
      <c r="B803" t="str">
        <f>IFERROR(IF(VLOOKUP(C803,Hoja1!$B$1:$C$6191,2,0)="",_xlfn.XLOOKUP(C803,Hoja1!$B$2:$B$6191,Hoja1!$A$2:$A$6191),VLOOKUP(C803,Hoja1!$B$1:$C$6191,2,0)),"No esta en Infor")</f>
        <v>NAC0468</v>
      </c>
      <c r="C803" s="19" t="s">
        <v>61</v>
      </c>
      <c r="D803" s="9">
        <v>0</v>
      </c>
      <c r="E803" s="9">
        <v>0</v>
      </c>
      <c r="F803" s="9">
        <v>-123.75</v>
      </c>
      <c r="G803" s="9">
        <v>0</v>
      </c>
      <c r="H803" s="9">
        <v>0</v>
      </c>
      <c r="I803" s="9">
        <v>0</v>
      </c>
      <c r="J803" s="9">
        <v>-123.75</v>
      </c>
    </row>
    <row r="804" spans="1:10" ht="15.75" x14ac:dyDescent="0.25">
      <c r="A804" s="21">
        <v>45382</v>
      </c>
      <c r="B804" t="str">
        <f>IFERROR(IF(VLOOKUP(C804,Hoja1!$B$1:$C$6191,2,0)="",_xlfn.XLOOKUP(C804,Hoja1!$B$2:$B$6191,Hoja1!$A$2:$A$6191),VLOOKUP(C804,Hoja1!$B$1:$C$6191,2,0)),"No esta en Infor")</f>
        <v>NAC0470</v>
      </c>
      <c r="C804" s="19" t="s">
        <v>62</v>
      </c>
      <c r="D804" s="9">
        <v>0</v>
      </c>
      <c r="E804" s="9">
        <v>0</v>
      </c>
      <c r="F804" s="9">
        <v>-31</v>
      </c>
      <c r="G804" s="9">
        <v>0</v>
      </c>
      <c r="H804" s="9">
        <v>0</v>
      </c>
      <c r="I804" s="9">
        <v>0</v>
      </c>
      <c r="J804" s="9">
        <v>-31</v>
      </c>
    </row>
    <row r="805" spans="1:10" ht="15.75" x14ac:dyDescent="0.25">
      <c r="A805" s="21">
        <v>45382</v>
      </c>
      <c r="B805" t="str">
        <f>IFERROR(IF(VLOOKUP(C805,Hoja1!$B$1:$C$6191,2,0)="",_xlfn.XLOOKUP(C805,Hoja1!$B$2:$B$6191,Hoja1!$A$2:$A$6191),VLOOKUP(C805,Hoja1!$B$1:$C$6191,2,0)),"No esta en Infor")</f>
        <v>NAC0474</v>
      </c>
      <c r="C805" s="19" t="s">
        <v>375</v>
      </c>
      <c r="D805" s="9">
        <v>0</v>
      </c>
      <c r="E805" s="9">
        <v>195.46</v>
      </c>
      <c r="F805" s="9">
        <v>0</v>
      </c>
      <c r="G805" s="9">
        <v>0</v>
      </c>
      <c r="H805" s="9">
        <v>0</v>
      </c>
      <c r="I805" s="9">
        <v>0</v>
      </c>
      <c r="J805" s="9">
        <v>195.46</v>
      </c>
    </row>
    <row r="806" spans="1:10" ht="15.75" x14ac:dyDescent="0.25">
      <c r="A806" s="21">
        <v>45382</v>
      </c>
      <c r="B806" t="str">
        <f>IFERROR(IF(VLOOKUP(C806,Hoja1!$B$1:$C$6191,2,0)="",_xlfn.XLOOKUP(C806,Hoja1!$B$2:$B$6191,Hoja1!$A$2:$A$6191),VLOOKUP(C806,Hoja1!$B$1:$C$6191,2,0)),"No esta en Infor")</f>
        <v>NAC0475</v>
      </c>
      <c r="C806" s="19" t="s">
        <v>63</v>
      </c>
      <c r="D806" s="9">
        <v>3134.92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3134.92</v>
      </c>
    </row>
    <row r="807" spans="1:10" ht="15.75" x14ac:dyDescent="0.25">
      <c r="A807" s="21">
        <v>45382</v>
      </c>
      <c r="B807" t="str">
        <f>IFERROR(IF(VLOOKUP(C807,Hoja1!$B$1:$C$6191,2,0)="",_xlfn.XLOOKUP(C807,Hoja1!$B$2:$B$6191,Hoja1!$A$2:$A$6191),VLOOKUP(C807,Hoja1!$B$1:$C$6191,2,0)),"No esta en Infor")</f>
        <v>CAN0001</v>
      </c>
      <c r="C807" s="19" t="s">
        <v>64</v>
      </c>
      <c r="D807" s="9">
        <v>59391.96</v>
      </c>
      <c r="E807" s="9">
        <v>12430</v>
      </c>
      <c r="F807" s="9">
        <v>0</v>
      </c>
      <c r="G807" s="9">
        <v>0</v>
      </c>
      <c r="H807" s="9">
        <v>0</v>
      </c>
      <c r="I807" s="9">
        <v>0</v>
      </c>
      <c r="J807" s="9">
        <v>71821.960000000006</v>
      </c>
    </row>
    <row r="808" spans="1:10" ht="15.75" x14ac:dyDescent="0.25">
      <c r="A808" s="21">
        <v>45382</v>
      </c>
      <c r="B808" t="str">
        <f>IFERROR(IF(VLOOKUP(C808,Hoja1!$B$1:$C$6191,2,0)="",_xlfn.XLOOKUP(C808,Hoja1!$B$2:$B$6191,Hoja1!$A$2:$A$6191),VLOOKUP(C808,Hoja1!$B$1:$C$6191,2,0)),"No esta en Infor")</f>
        <v>SH00035</v>
      </c>
      <c r="C808" s="19" t="s">
        <v>436</v>
      </c>
      <c r="D808" s="9">
        <v>0</v>
      </c>
      <c r="E808" s="9">
        <v>37.86</v>
      </c>
      <c r="F808" s="9">
        <v>0</v>
      </c>
      <c r="G808" s="9">
        <v>0</v>
      </c>
      <c r="H808" s="9">
        <v>0</v>
      </c>
      <c r="I808" s="9">
        <v>0</v>
      </c>
      <c r="J808" s="9">
        <v>37.86</v>
      </c>
    </row>
    <row r="809" spans="1:10" ht="15.75" x14ac:dyDescent="0.25">
      <c r="A809" s="21">
        <v>45382</v>
      </c>
      <c r="B809" t="str">
        <f>IFERROR(IF(VLOOKUP(C809,Hoja1!$B$1:$C$6191,2,0)="",_xlfn.XLOOKUP(C809,Hoja1!$B$2:$B$6191,Hoja1!$A$2:$A$6191),VLOOKUP(C809,Hoja1!$B$1:$C$6191,2,0)),"No esta en Infor")</f>
        <v>NAC0512</v>
      </c>
      <c r="C809" s="19" t="s">
        <v>376</v>
      </c>
      <c r="D809" s="9">
        <v>0</v>
      </c>
      <c r="E809" s="9">
        <v>14</v>
      </c>
      <c r="F809" s="9">
        <v>0</v>
      </c>
      <c r="G809" s="9">
        <v>0</v>
      </c>
      <c r="H809" s="9">
        <v>0</v>
      </c>
      <c r="I809" s="9">
        <v>0</v>
      </c>
      <c r="J809" s="9">
        <v>14</v>
      </c>
    </row>
    <row r="810" spans="1:10" ht="15.75" x14ac:dyDescent="0.25">
      <c r="A810" s="21">
        <v>45382</v>
      </c>
      <c r="B810" t="str">
        <f>IFERROR(IF(VLOOKUP(C810,Hoja1!$B$1:$C$6191,2,0)="",_xlfn.XLOOKUP(C810,Hoja1!$B$2:$B$6191,Hoja1!$A$2:$A$6191),VLOOKUP(C810,Hoja1!$B$1:$C$6191,2,0)),"No esta en Infor")</f>
        <v>SH00046</v>
      </c>
      <c r="C810" s="19" t="s">
        <v>437</v>
      </c>
      <c r="D810" s="9">
        <v>0</v>
      </c>
      <c r="E810" s="9">
        <v>110.32</v>
      </c>
      <c r="F810" s="9">
        <v>0</v>
      </c>
      <c r="G810" s="9">
        <v>0</v>
      </c>
      <c r="H810" s="9">
        <v>0</v>
      </c>
      <c r="I810" s="9">
        <v>0</v>
      </c>
      <c r="J810" s="9">
        <v>110.32</v>
      </c>
    </row>
    <row r="811" spans="1:10" ht="15.75" x14ac:dyDescent="0.25">
      <c r="A811" s="21">
        <v>45382</v>
      </c>
      <c r="B811" t="str">
        <f>IFERROR(IF(VLOOKUP(C811,Hoja1!$B$1:$C$6191,2,0)="",_xlfn.XLOOKUP(C811,Hoja1!$B$2:$B$6191,Hoja1!$A$2:$A$6191),VLOOKUP(C811,Hoja1!$B$1:$C$6191,2,0)),"No esta en Infor")</f>
        <v>NAC0513</v>
      </c>
      <c r="C811" s="19" t="s">
        <v>377</v>
      </c>
      <c r="D811" s="9">
        <v>0</v>
      </c>
      <c r="E811" s="9">
        <v>-220.24</v>
      </c>
      <c r="F811" s="9">
        <v>0</v>
      </c>
      <c r="G811" s="9">
        <v>0</v>
      </c>
      <c r="H811" s="9">
        <v>0</v>
      </c>
      <c r="I811" s="9">
        <v>0</v>
      </c>
      <c r="J811" s="9">
        <v>-220.24</v>
      </c>
    </row>
    <row r="812" spans="1:10" ht="15.75" x14ac:dyDescent="0.25">
      <c r="A812" s="21">
        <v>45382</v>
      </c>
      <c r="B812" t="str">
        <f>IFERROR(IF(VLOOKUP(C812,Hoja1!$B$1:$C$6191,2,0)="",_xlfn.XLOOKUP(C812,Hoja1!$B$2:$B$6191,Hoja1!$A$2:$A$6191),VLOOKUP(C812,Hoja1!$B$1:$C$6191,2,0)),"No esta en Infor")</f>
        <v>NAC0515</v>
      </c>
      <c r="C812" s="19" t="s">
        <v>66</v>
      </c>
      <c r="D812" s="9">
        <v>0</v>
      </c>
      <c r="E812" s="9">
        <v>0</v>
      </c>
      <c r="F812" s="9">
        <v>0</v>
      </c>
      <c r="G812" s="9">
        <v>-5.93</v>
      </c>
      <c r="H812" s="9">
        <v>0</v>
      </c>
      <c r="I812" s="9">
        <v>0</v>
      </c>
      <c r="J812" s="9">
        <v>-5.93</v>
      </c>
    </row>
    <row r="813" spans="1:10" ht="15.75" x14ac:dyDescent="0.25">
      <c r="A813" s="21">
        <v>45382</v>
      </c>
      <c r="B813" t="str">
        <f>IFERROR(IF(VLOOKUP(C813,Hoja1!$B$1:$C$6191,2,0)="",_xlfn.XLOOKUP(C813,Hoja1!$B$2:$B$6191,Hoja1!$A$2:$A$6191),VLOOKUP(C813,Hoja1!$B$1:$C$6191,2,0)),"No esta en Infor")</f>
        <v>NAC0516</v>
      </c>
      <c r="C813" s="19" t="s">
        <v>67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-26.1</v>
      </c>
      <c r="J813" s="9">
        <v>-26.1</v>
      </c>
    </row>
    <row r="814" spans="1:10" ht="15.75" x14ac:dyDescent="0.25">
      <c r="A814" s="21">
        <v>45382</v>
      </c>
      <c r="B814" t="str">
        <f>IFERROR(IF(VLOOKUP(C814,Hoja1!$B$1:$C$6191,2,0)="",_xlfn.XLOOKUP(C814,Hoja1!$B$2:$B$6191,Hoja1!$A$2:$A$6191),VLOOKUP(C814,Hoja1!$B$1:$C$6191,2,0)),"No esta en Infor")</f>
        <v>NAC0520</v>
      </c>
      <c r="C814" s="19" t="s">
        <v>68</v>
      </c>
      <c r="D814" s="9">
        <v>29880.2</v>
      </c>
      <c r="E814" s="9">
        <v>3407.58</v>
      </c>
      <c r="F814" s="9">
        <v>-604.5</v>
      </c>
      <c r="G814" s="9">
        <v>0</v>
      </c>
      <c r="H814" s="9">
        <v>0</v>
      </c>
      <c r="I814" s="9">
        <v>-0.01</v>
      </c>
      <c r="J814" s="9">
        <v>32683.27</v>
      </c>
    </row>
    <row r="815" spans="1:10" ht="15.75" x14ac:dyDescent="0.25">
      <c r="A815" s="21">
        <v>45382</v>
      </c>
      <c r="B815" t="str">
        <f>IFERROR(IF(VLOOKUP(C815,Hoja1!$B$1:$C$6191,2,0)="",_xlfn.XLOOKUP(C815,Hoja1!$B$2:$B$6191,Hoja1!$A$2:$A$6191),VLOOKUP(C815,Hoja1!$B$1:$C$6191,2,0)),"No esta en Infor")</f>
        <v>NAC0521</v>
      </c>
      <c r="C815" s="19" t="s">
        <v>69</v>
      </c>
      <c r="D815" s="9">
        <v>0</v>
      </c>
      <c r="E815" s="9">
        <v>-0.03</v>
      </c>
      <c r="F815" s="9">
        <v>0</v>
      </c>
      <c r="G815" s="9">
        <v>0</v>
      </c>
      <c r="H815" s="9">
        <v>0</v>
      </c>
      <c r="I815" s="9">
        <v>0</v>
      </c>
      <c r="J815" s="9">
        <v>-0.03</v>
      </c>
    </row>
    <row r="816" spans="1:10" ht="15.75" x14ac:dyDescent="0.25">
      <c r="A816" s="21">
        <v>45382</v>
      </c>
      <c r="B816" t="str">
        <f>IFERROR(IF(VLOOKUP(C816,Hoja1!$B$1:$C$6191,2,0)="",_xlfn.XLOOKUP(C816,Hoja1!$B$2:$B$6191,Hoja1!$A$2:$A$6191),VLOOKUP(C816,Hoja1!$B$1:$C$6191,2,0)),"No esta en Infor")</f>
        <v>NAC1617</v>
      </c>
      <c r="C816" s="19" t="s">
        <v>70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8803.11</v>
      </c>
      <c r="J816" s="9">
        <v>8803.11</v>
      </c>
    </row>
    <row r="817" spans="1:10" ht="15.75" x14ac:dyDescent="0.25">
      <c r="A817" s="21">
        <v>45382</v>
      </c>
      <c r="B817" t="str">
        <f>IFERROR(IF(VLOOKUP(C817,Hoja1!$B$1:$C$6191,2,0)="",_xlfn.XLOOKUP(C817,Hoja1!$B$2:$B$6191,Hoja1!$A$2:$A$6191),VLOOKUP(C817,Hoja1!$B$1:$C$6191,2,0)),"No esta en Infor")</f>
        <v>NAC0525</v>
      </c>
      <c r="C817" s="19" t="s">
        <v>71</v>
      </c>
      <c r="D817" s="9">
        <v>0</v>
      </c>
      <c r="E817" s="9">
        <v>13844.58</v>
      </c>
      <c r="F817" s="9">
        <v>0</v>
      </c>
      <c r="G817" s="9">
        <v>0</v>
      </c>
      <c r="H817" s="9">
        <v>0</v>
      </c>
      <c r="I817" s="9">
        <v>0</v>
      </c>
      <c r="J817" s="9">
        <v>13844.58</v>
      </c>
    </row>
    <row r="818" spans="1:10" ht="15.75" x14ac:dyDescent="0.25">
      <c r="A818" s="21">
        <v>45382</v>
      </c>
      <c r="B818" t="str">
        <f>IFERROR(IF(VLOOKUP(C818,Hoja1!$B$1:$C$6191,2,0)="",_xlfn.XLOOKUP(C818,Hoja1!$B$2:$B$6191,Hoja1!$A$2:$A$6191),VLOOKUP(C818,Hoja1!$B$1:$C$6191,2,0)),"No esta en Infor")</f>
        <v>SH00092</v>
      </c>
      <c r="C818" s="19" t="s">
        <v>72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-945.86</v>
      </c>
      <c r="J818" s="9">
        <v>-945.86</v>
      </c>
    </row>
    <row r="819" spans="1:10" ht="15.75" x14ac:dyDescent="0.25">
      <c r="A819" s="21">
        <v>45382</v>
      </c>
      <c r="B819" t="str">
        <f>IFERROR(IF(VLOOKUP(C819,Hoja1!$B$1:$C$6191,2,0)="",_xlfn.XLOOKUP(C819,Hoja1!$B$2:$B$6191,Hoja1!$A$2:$A$6191),VLOOKUP(C819,Hoja1!$B$1:$C$6191,2,0)),"No esta en Infor")</f>
        <v>NAC0528</v>
      </c>
      <c r="C819" s="19" t="s">
        <v>76</v>
      </c>
      <c r="D819" s="9">
        <v>56407.78</v>
      </c>
      <c r="E819" s="9">
        <v>0.8</v>
      </c>
      <c r="F819" s="9">
        <v>0</v>
      </c>
      <c r="G819" s="9">
        <v>0</v>
      </c>
      <c r="H819" s="9">
        <v>0</v>
      </c>
      <c r="I819" s="9">
        <v>0</v>
      </c>
      <c r="J819" s="9">
        <v>56408.58</v>
      </c>
    </row>
    <row r="820" spans="1:10" ht="15.75" x14ac:dyDescent="0.25">
      <c r="A820" s="21">
        <v>45382</v>
      </c>
      <c r="B820" t="str">
        <f>IFERROR(IF(VLOOKUP(C820,Hoja1!$B$1:$C$6191,2,0)="",_xlfn.XLOOKUP(C820,Hoja1!$B$2:$B$6191,Hoja1!$A$2:$A$6191),VLOOKUP(C820,Hoja1!$B$1:$C$6191,2,0)),"No esta en Infor")</f>
        <v>SH00163</v>
      </c>
      <c r="C820" s="19" t="s">
        <v>438</v>
      </c>
      <c r="D820" s="9">
        <v>0</v>
      </c>
      <c r="E820" s="9">
        <v>49.19</v>
      </c>
      <c r="F820" s="9">
        <v>0</v>
      </c>
      <c r="G820" s="9">
        <v>0</v>
      </c>
      <c r="H820" s="9">
        <v>0</v>
      </c>
      <c r="I820" s="9">
        <v>0</v>
      </c>
      <c r="J820" s="9">
        <v>49.19</v>
      </c>
    </row>
    <row r="821" spans="1:10" ht="15.75" x14ac:dyDescent="0.25">
      <c r="A821" s="21">
        <v>45382</v>
      </c>
      <c r="B821" t="str">
        <f>IFERROR(IF(VLOOKUP(C821,Hoja1!$B$1:$C$6191,2,0)="",_xlfn.XLOOKUP(C821,Hoja1!$B$2:$B$6191,Hoja1!$A$2:$A$6191),VLOOKUP(C821,Hoja1!$B$1:$C$6191,2,0)),"No esta en Infor")</f>
        <v>NAC0533</v>
      </c>
      <c r="C821" s="19" t="s">
        <v>381</v>
      </c>
      <c r="D821" s="9">
        <v>0</v>
      </c>
      <c r="E821" s="9">
        <v>1434</v>
      </c>
      <c r="F821" s="9">
        <v>0</v>
      </c>
      <c r="G821" s="9">
        <v>0</v>
      </c>
      <c r="H821" s="9">
        <v>0</v>
      </c>
      <c r="I821" s="9">
        <v>0</v>
      </c>
      <c r="J821" s="9">
        <v>1434</v>
      </c>
    </row>
    <row r="822" spans="1:10" ht="15.75" x14ac:dyDescent="0.25">
      <c r="A822" s="21">
        <v>45382</v>
      </c>
      <c r="B822" t="str">
        <f>IFERROR(IF(VLOOKUP(C822,Hoja1!$B$1:$C$6191,2,0)="",_xlfn.XLOOKUP(C822,Hoja1!$B$2:$B$6191,Hoja1!$A$2:$A$6191),VLOOKUP(C822,Hoja1!$B$1:$C$6191,2,0)),"No esta en Infor")</f>
        <v>NAC0537</v>
      </c>
      <c r="C822" s="19" t="s">
        <v>13</v>
      </c>
      <c r="D822" s="9">
        <v>488.5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488.5</v>
      </c>
    </row>
    <row r="823" spans="1:10" ht="15.75" x14ac:dyDescent="0.25">
      <c r="A823" s="21">
        <v>45382</v>
      </c>
      <c r="B823" t="str">
        <f>IFERROR(IF(VLOOKUP(C823,Hoja1!$B$1:$C$6191,2,0)="",_xlfn.XLOOKUP(C823,Hoja1!$B$2:$B$6191,Hoja1!$A$2:$A$6191),VLOOKUP(C823,Hoja1!$B$1:$C$6191,2,0)),"No esta en Infor")</f>
        <v>SH00177</v>
      </c>
      <c r="C823" s="19" t="s">
        <v>439</v>
      </c>
      <c r="D823" s="9">
        <v>0</v>
      </c>
      <c r="E823" s="9">
        <v>71.08</v>
      </c>
      <c r="F823" s="9">
        <v>0</v>
      </c>
      <c r="G823" s="9">
        <v>0</v>
      </c>
      <c r="H823" s="9">
        <v>0</v>
      </c>
      <c r="I823" s="9">
        <v>0</v>
      </c>
      <c r="J823" s="9">
        <v>71.08</v>
      </c>
    </row>
    <row r="824" spans="1:10" ht="15.75" x14ac:dyDescent="0.25">
      <c r="A824" s="21">
        <v>45382</v>
      </c>
      <c r="B824" t="str">
        <f>IFERROR(IF(VLOOKUP(C824,Hoja1!$B$1:$C$6191,2,0)="",_xlfn.XLOOKUP(C824,Hoja1!$B$2:$B$6191,Hoja1!$A$2:$A$6191),VLOOKUP(C824,Hoja1!$B$1:$C$6191,2,0)),"No esta en Infor")</f>
        <v>NAC0539</v>
      </c>
      <c r="C824" s="19" t="s">
        <v>80</v>
      </c>
      <c r="D824" s="9">
        <v>0</v>
      </c>
      <c r="E824" s="9">
        <v>9031.83</v>
      </c>
      <c r="F824" s="9">
        <v>0</v>
      </c>
      <c r="G824" s="9">
        <v>0</v>
      </c>
      <c r="H824" s="9">
        <v>0</v>
      </c>
      <c r="I824" s="9">
        <v>0</v>
      </c>
      <c r="J824" s="9">
        <v>9031.83</v>
      </c>
    </row>
    <row r="825" spans="1:10" ht="15.75" x14ac:dyDescent="0.25">
      <c r="A825" s="21">
        <v>45382</v>
      </c>
      <c r="B825" t="str">
        <f>IFERROR(IF(VLOOKUP(C825,Hoja1!$B$1:$C$6191,2,0)="",_xlfn.XLOOKUP(C825,Hoja1!$B$2:$B$6191,Hoja1!$A$2:$A$6191),VLOOKUP(C825,Hoja1!$B$1:$C$6191,2,0)),"No esta en Infor")</f>
        <v>NAC0544</v>
      </c>
      <c r="C825" s="19" t="s">
        <v>82</v>
      </c>
      <c r="D825" s="9">
        <v>0</v>
      </c>
      <c r="E825" s="9">
        <v>356</v>
      </c>
      <c r="F825" s="9">
        <v>0</v>
      </c>
      <c r="G825" s="9">
        <v>0</v>
      </c>
      <c r="H825" s="9">
        <v>0</v>
      </c>
      <c r="I825" s="9">
        <v>0</v>
      </c>
      <c r="J825" s="9">
        <v>356</v>
      </c>
    </row>
    <row r="826" spans="1:10" ht="15.75" x14ac:dyDescent="0.25">
      <c r="A826" s="21">
        <v>45382</v>
      </c>
      <c r="B826" t="str">
        <f>IFERROR(IF(VLOOKUP(C826,Hoja1!$B$1:$C$6191,2,0)="",_xlfn.XLOOKUP(C826,Hoja1!$B$2:$B$6191,Hoja1!$A$2:$A$6191),VLOOKUP(C826,Hoja1!$B$1:$C$6191,2,0)),"No esta en Infor")</f>
        <v>NAC0550</v>
      </c>
      <c r="C826" s="19" t="s">
        <v>84</v>
      </c>
      <c r="D826" s="9">
        <v>68321.25</v>
      </c>
      <c r="E826" s="9">
        <v>70942.25</v>
      </c>
      <c r="F826" s="9">
        <v>0</v>
      </c>
      <c r="G826" s="9">
        <v>0</v>
      </c>
      <c r="H826" s="9">
        <v>0</v>
      </c>
      <c r="I826" s="9">
        <v>0</v>
      </c>
      <c r="J826" s="9">
        <v>139263.5</v>
      </c>
    </row>
    <row r="827" spans="1:10" ht="15.75" x14ac:dyDescent="0.25">
      <c r="A827" s="21">
        <v>45382</v>
      </c>
      <c r="B827" t="str">
        <f>IFERROR(IF(VLOOKUP(C827,Hoja1!$B$1:$C$6191,2,0)="",_xlfn.XLOOKUP(C827,Hoja1!$B$2:$B$6191,Hoja1!$A$2:$A$6191),VLOOKUP(C827,Hoja1!$B$1:$C$6191,2,0)),"No esta en Infor")</f>
        <v>NAC0558</v>
      </c>
      <c r="C827" s="19" t="s">
        <v>86</v>
      </c>
      <c r="D827" s="9">
        <v>355</v>
      </c>
      <c r="E827" s="9">
        <v>5200.4799999999996</v>
      </c>
      <c r="F827" s="9">
        <v>0</v>
      </c>
      <c r="G827" s="9">
        <v>0</v>
      </c>
      <c r="H827" s="9">
        <v>0</v>
      </c>
      <c r="I827" s="9">
        <v>0</v>
      </c>
      <c r="J827" s="9">
        <v>5555.48</v>
      </c>
    </row>
    <row r="828" spans="1:10" ht="15.75" x14ac:dyDescent="0.25">
      <c r="A828" s="21">
        <v>45382</v>
      </c>
      <c r="B828" t="str">
        <f>IFERROR(IF(VLOOKUP(C828,Hoja1!$B$1:$C$6191,2,0)="",_xlfn.XLOOKUP(C828,Hoja1!$B$2:$B$6191,Hoja1!$A$2:$A$6191),VLOOKUP(C828,Hoja1!$B$1:$C$6191,2,0)),"No esta en Infor")</f>
        <v>SH00218</v>
      </c>
      <c r="C828" s="19" t="s">
        <v>88</v>
      </c>
      <c r="D828" s="9">
        <v>0</v>
      </c>
      <c r="E828" s="9">
        <v>0</v>
      </c>
      <c r="F828" s="9">
        <v>0</v>
      </c>
      <c r="G828" s="9">
        <v>84.55</v>
      </c>
      <c r="H828" s="9">
        <v>0</v>
      </c>
      <c r="I828" s="9">
        <v>0</v>
      </c>
      <c r="J828" s="9">
        <v>84.55</v>
      </c>
    </row>
    <row r="829" spans="1:10" ht="15.75" x14ac:dyDescent="0.25">
      <c r="A829" s="21">
        <v>45382</v>
      </c>
      <c r="B829" t="str">
        <f>IFERROR(IF(VLOOKUP(C829,Hoja1!$B$1:$C$6191,2,0)="",_xlfn.XLOOKUP(C829,Hoja1!$B$2:$B$6191,Hoja1!$A$2:$A$6191),VLOOKUP(C829,Hoja1!$B$1:$C$6191,2,0)),"No esta en Infor")</f>
        <v>NAC0569</v>
      </c>
      <c r="C829" s="19" t="s">
        <v>382</v>
      </c>
      <c r="D829" s="9">
        <v>0</v>
      </c>
      <c r="E829" s="9">
        <v>3500</v>
      </c>
      <c r="F829" s="9">
        <v>0</v>
      </c>
      <c r="G829" s="9">
        <v>0</v>
      </c>
      <c r="H829" s="9">
        <v>0</v>
      </c>
      <c r="I829" s="9">
        <v>0</v>
      </c>
      <c r="J829" s="9">
        <v>3500</v>
      </c>
    </row>
    <row r="830" spans="1:10" ht="15.75" x14ac:dyDescent="0.25">
      <c r="A830" s="21">
        <v>45382</v>
      </c>
      <c r="B830" t="str">
        <f>IFERROR(IF(VLOOKUP(C830,Hoja1!$B$1:$C$6191,2,0)="",_xlfn.XLOOKUP(C830,Hoja1!$B$2:$B$6191,Hoja1!$A$2:$A$6191),VLOOKUP(C830,Hoja1!$B$1:$C$6191,2,0)),"No esta en Infor")</f>
        <v>NAC0571</v>
      </c>
      <c r="C830" s="19" t="s">
        <v>440</v>
      </c>
      <c r="D830" s="9">
        <v>3200.19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3200.19</v>
      </c>
    </row>
    <row r="831" spans="1:10" ht="15.75" x14ac:dyDescent="0.25">
      <c r="A831" s="21">
        <v>45382</v>
      </c>
      <c r="B831" t="str">
        <f>IFERROR(IF(VLOOKUP(C831,Hoja1!$B$1:$C$6191,2,0)="",_xlfn.XLOOKUP(C831,Hoja1!$B$2:$B$6191,Hoja1!$A$2:$A$6191),VLOOKUP(C831,Hoja1!$B$1:$C$6191,2,0)),"No esta en Infor")</f>
        <v>CAN0003</v>
      </c>
      <c r="C831" s="19" t="s">
        <v>441</v>
      </c>
      <c r="D831" s="9">
        <v>2891.7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2891.7</v>
      </c>
    </row>
    <row r="832" spans="1:10" ht="15.75" x14ac:dyDescent="0.25">
      <c r="A832" s="21">
        <v>45382</v>
      </c>
      <c r="B832" t="str">
        <f>IFERROR(IF(VLOOKUP(C832,Hoja1!$B$1:$C$6191,2,0)="",_xlfn.XLOOKUP(C832,Hoja1!$B$2:$B$6191,Hoja1!$A$2:$A$6191),VLOOKUP(C832,Hoja1!$B$1:$C$6191,2,0)),"No esta en Infor")</f>
        <v>NAC0581</v>
      </c>
      <c r="C832" s="19" t="s">
        <v>384</v>
      </c>
      <c r="D832" s="9">
        <v>0</v>
      </c>
      <c r="E832" s="9">
        <v>623.27</v>
      </c>
      <c r="F832" s="9">
        <v>0</v>
      </c>
      <c r="G832" s="9">
        <v>0</v>
      </c>
      <c r="H832" s="9">
        <v>0</v>
      </c>
      <c r="I832" s="9">
        <v>0</v>
      </c>
      <c r="J832" s="9">
        <v>623.27</v>
      </c>
    </row>
    <row r="833" spans="1:10" ht="15.75" x14ac:dyDescent="0.25">
      <c r="A833" s="21">
        <v>45382</v>
      </c>
      <c r="B833" t="str">
        <f>IFERROR(IF(VLOOKUP(C833,Hoja1!$B$1:$C$6191,2,0)="",_xlfn.XLOOKUP(C833,Hoja1!$B$2:$B$6191,Hoja1!$A$2:$A$6191),VLOOKUP(C833,Hoja1!$B$1:$C$6191,2,0)),"No esta en Infor")</f>
        <v>NAC0583</v>
      </c>
      <c r="C833" s="19" t="s">
        <v>385</v>
      </c>
      <c r="D833" s="9">
        <v>0</v>
      </c>
      <c r="E833" s="9">
        <v>40</v>
      </c>
      <c r="F833" s="9">
        <v>0</v>
      </c>
      <c r="G833" s="9">
        <v>0</v>
      </c>
      <c r="H833" s="9">
        <v>0</v>
      </c>
      <c r="I833" s="9">
        <v>0</v>
      </c>
      <c r="J833" s="9">
        <v>40</v>
      </c>
    </row>
    <row r="834" spans="1:10" ht="15.75" x14ac:dyDescent="0.25">
      <c r="A834" s="21">
        <v>45382</v>
      </c>
      <c r="B834" t="str">
        <f>IFERROR(IF(VLOOKUP(C834,Hoja1!$B$1:$C$6191,2,0)="",_xlfn.XLOOKUP(C834,Hoja1!$B$2:$B$6191,Hoja1!$A$2:$A$6191),VLOOKUP(C834,Hoja1!$B$1:$C$6191,2,0)),"No esta en Infor")</f>
        <v>NAC0589</v>
      </c>
      <c r="C834" s="19" t="s">
        <v>92</v>
      </c>
      <c r="D834" s="9">
        <v>5321.5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5321.5</v>
      </c>
    </row>
    <row r="835" spans="1:10" ht="15.75" x14ac:dyDescent="0.25">
      <c r="A835" s="21">
        <v>45382</v>
      </c>
      <c r="B835" t="str">
        <f>IFERROR(IF(VLOOKUP(C835,Hoja1!$B$1:$C$6191,2,0)="",_xlfn.XLOOKUP(C835,Hoja1!$B$2:$B$6191,Hoja1!$A$2:$A$6191),VLOOKUP(C835,Hoja1!$B$1:$C$6191,2,0)),"No esta en Infor")</f>
        <v>NAC0592</v>
      </c>
      <c r="C835" s="19" t="s">
        <v>93</v>
      </c>
      <c r="D835" s="9">
        <v>0</v>
      </c>
      <c r="E835" s="9">
        <v>0</v>
      </c>
      <c r="F835" s="9">
        <v>-2547.65</v>
      </c>
      <c r="G835" s="9">
        <v>0</v>
      </c>
      <c r="H835" s="9">
        <v>0</v>
      </c>
      <c r="I835" s="9">
        <v>0</v>
      </c>
      <c r="J835" s="9">
        <v>-2547.65</v>
      </c>
    </row>
    <row r="836" spans="1:10" ht="15.75" x14ac:dyDescent="0.25">
      <c r="A836" s="21">
        <v>45382</v>
      </c>
      <c r="B836" t="str">
        <f>IFERROR(IF(VLOOKUP(C836,Hoja1!$B$1:$C$6191,2,0)="",_xlfn.XLOOKUP(C836,Hoja1!$B$2:$B$6191,Hoja1!$A$2:$A$6191),VLOOKUP(C836,Hoja1!$B$1:$C$6191,2,0)),"No esta en Infor")</f>
        <v>NAC0594</v>
      </c>
      <c r="C836" s="19" t="s">
        <v>94</v>
      </c>
      <c r="D836" s="9">
        <v>8983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8983</v>
      </c>
    </row>
    <row r="837" spans="1:10" ht="15.75" x14ac:dyDescent="0.25">
      <c r="A837" s="21">
        <v>45382</v>
      </c>
      <c r="B837" t="str">
        <f>IFERROR(IF(VLOOKUP(C837,Hoja1!$B$1:$C$6191,2,0)="",_xlfn.XLOOKUP(C837,Hoja1!$B$2:$B$6191,Hoja1!$A$2:$A$6191),VLOOKUP(C837,Hoja1!$B$1:$C$6191,2,0)),"No esta en Infor")</f>
        <v>NAC0597</v>
      </c>
      <c r="C837" s="11" t="s">
        <v>1368</v>
      </c>
      <c r="D837" s="9">
        <v>0</v>
      </c>
      <c r="E837" s="9">
        <v>0</v>
      </c>
      <c r="F837" s="9">
        <v>0</v>
      </c>
      <c r="G837" s="9">
        <v>488.2</v>
      </c>
      <c r="H837" s="9">
        <v>0</v>
      </c>
      <c r="I837" s="9">
        <v>0</v>
      </c>
      <c r="J837" s="9">
        <v>488.2</v>
      </c>
    </row>
    <row r="838" spans="1:10" ht="15.75" x14ac:dyDescent="0.25">
      <c r="A838" s="21">
        <v>45382</v>
      </c>
      <c r="B838" t="str">
        <f>IFERROR(IF(VLOOKUP(C838,Hoja1!$B$1:$C$6191,2,0)="",_xlfn.XLOOKUP(C838,Hoja1!$B$2:$B$6191,Hoja1!$A$2:$A$6191),VLOOKUP(C838,Hoja1!$B$1:$C$6191,2,0)),"No esta en Infor")</f>
        <v>NAC0600</v>
      </c>
      <c r="C838" s="19" t="s">
        <v>96</v>
      </c>
      <c r="D838" s="9">
        <v>2636.05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2636.05</v>
      </c>
    </row>
    <row r="839" spans="1:10" ht="15.75" x14ac:dyDescent="0.25">
      <c r="A839" s="21">
        <v>45382</v>
      </c>
      <c r="B839" t="str">
        <f>IFERROR(IF(VLOOKUP(C839,Hoja1!$B$1:$C$6191,2,0)="",_xlfn.XLOOKUP(C839,Hoja1!$B$2:$B$6191,Hoja1!$A$2:$A$6191),VLOOKUP(C839,Hoja1!$B$1:$C$6191,2,0)),"No esta en Infor")</f>
        <v>NAC0604</v>
      </c>
      <c r="C839" s="19" t="s">
        <v>97</v>
      </c>
      <c r="D839" s="9">
        <v>3547.29</v>
      </c>
      <c r="E839" s="9">
        <v>6591</v>
      </c>
      <c r="F839" s="9">
        <v>0</v>
      </c>
      <c r="G839" s="9">
        <v>0</v>
      </c>
      <c r="H839" s="9">
        <v>0</v>
      </c>
      <c r="I839" s="9">
        <v>0</v>
      </c>
      <c r="J839" s="9">
        <v>10138.290000000001</v>
      </c>
    </row>
    <row r="840" spans="1:10" ht="15.75" x14ac:dyDescent="0.25">
      <c r="A840" s="21">
        <v>45382</v>
      </c>
      <c r="B840" t="str">
        <f>IFERROR(IF(VLOOKUP(C840,Hoja1!$B$1:$C$6191,2,0)="",_xlfn.XLOOKUP(C840,Hoja1!$B$2:$B$6191,Hoja1!$A$2:$A$6191),VLOOKUP(C840,Hoja1!$B$1:$C$6191,2,0)),"No esta en Infor")</f>
        <v>NAC0612</v>
      </c>
      <c r="C840" s="19" t="s">
        <v>100</v>
      </c>
      <c r="D840" s="9">
        <v>17887.73</v>
      </c>
      <c r="E840" s="9">
        <v>402.25</v>
      </c>
      <c r="F840" s="9">
        <v>0</v>
      </c>
      <c r="G840" s="9">
        <v>0</v>
      </c>
      <c r="H840" s="9">
        <v>0</v>
      </c>
      <c r="I840" s="9">
        <v>0</v>
      </c>
      <c r="J840" s="9">
        <v>18289.98</v>
      </c>
    </row>
    <row r="841" spans="1:10" ht="15.75" x14ac:dyDescent="0.25">
      <c r="A841" s="21">
        <v>45382</v>
      </c>
      <c r="B841" t="str">
        <f>IFERROR(IF(VLOOKUP(C841,Hoja1!$B$1:$C$6191,2,0)="",_xlfn.XLOOKUP(C841,Hoja1!$B$2:$B$6191,Hoja1!$A$2:$A$6191),VLOOKUP(C841,Hoja1!$B$1:$C$6191,2,0)),"No esta en Infor")</f>
        <v>NAC0613</v>
      </c>
      <c r="C841" s="19" t="s">
        <v>101</v>
      </c>
      <c r="D841" s="9">
        <v>5.32</v>
      </c>
      <c r="E841" s="9">
        <v>-51.78</v>
      </c>
      <c r="F841" s="9">
        <v>0</v>
      </c>
      <c r="G841" s="9">
        <v>0</v>
      </c>
      <c r="H841" s="9">
        <v>0</v>
      </c>
      <c r="I841" s="9">
        <v>0</v>
      </c>
      <c r="J841" s="9">
        <v>-46.46</v>
      </c>
    </row>
    <row r="842" spans="1:10" ht="15.75" x14ac:dyDescent="0.25">
      <c r="A842" s="21">
        <v>45382</v>
      </c>
      <c r="B842" t="str">
        <f>IFERROR(IF(VLOOKUP(C842,Hoja1!$B$1:$C$6191,2,0)="",_xlfn.XLOOKUP(C842,Hoja1!$B$2:$B$6191,Hoja1!$A$2:$A$6191),VLOOKUP(C842,Hoja1!$B$1:$C$6191,2,0)),"No esta en Infor")</f>
        <v>NAC0614</v>
      </c>
      <c r="C842" s="19" t="s">
        <v>102</v>
      </c>
      <c r="D842" s="9">
        <v>0</v>
      </c>
      <c r="E842" s="9">
        <v>246.15</v>
      </c>
      <c r="F842" s="9">
        <v>0</v>
      </c>
      <c r="G842" s="9">
        <v>0</v>
      </c>
      <c r="H842" s="9">
        <v>0</v>
      </c>
      <c r="I842" s="9">
        <v>0</v>
      </c>
      <c r="J842" s="9">
        <v>246.15</v>
      </c>
    </row>
    <row r="843" spans="1:10" ht="15.75" x14ac:dyDescent="0.25">
      <c r="A843" s="21">
        <v>45382</v>
      </c>
      <c r="B843" t="str">
        <f>IFERROR(IF(VLOOKUP(C843,Hoja1!$B$1:$C$6191,2,0)="",_xlfn.XLOOKUP(C843,Hoja1!$B$2:$B$6191,Hoja1!$A$2:$A$6191),VLOOKUP(C843,Hoja1!$B$1:$C$6191,2,0)),"No esta en Infor")</f>
        <v>NAC0620</v>
      </c>
      <c r="C843" s="19" t="s">
        <v>388</v>
      </c>
      <c r="D843" s="9">
        <v>8556</v>
      </c>
      <c r="E843" s="9">
        <v>5780</v>
      </c>
      <c r="F843" s="9">
        <v>0</v>
      </c>
      <c r="G843" s="9">
        <v>0</v>
      </c>
      <c r="H843" s="9">
        <v>0</v>
      </c>
      <c r="I843" s="9">
        <v>0</v>
      </c>
      <c r="J843" s="9">
        <v>14336</v>
      </c>
    </row>
    <row r="844" spans="1:10" ht="15.75" x14ac:dyDescent="0.25">
      <c r="A844" s="21">
        <v>45382</v>
      </c>
      <c r="B844" t="str">
        <f>IFERROR(IF(VLOOKUP(C844,Hoja1!$B$1:$C$6191,2,0)="",_xlfn.XLOOKUP(C844,Hoja1!$B$2:$B$6191,Hoja1!$A$2:$A$6191),VLOOKUP(C844,Hoja1!$B$1:$C$6191,2,0)),"No esta en Infor")</f>
        <v>SH00372</v>
      </c>
      <c r="C844" s="19" t="s">
        <v>442</v>
      </c>
      <c r="D844" s="9">
        <v>0</v>
      </c>
      <c r="E844" s="9">
        <v>52.2</v>
      </c>
      <c r="F844" s="9">
        <v>0</v>
      </c>
      <c r="G844" s="9">
        <v>0</v>
      </c>
      <c r="H844" s="9">
        <v>0</v>
      </c>
      <c r="I844" s="9">
        <v>0</v>
      </c>
      <c r="J844" s="9">
        <v>52.2</v>
      </c>
    </row>
    <row r="845" spans="1:10" ht="15.75" x14ac:dyDescent="0.25">
      <c r="A845" s="21">
        <v>45382</v>
      </c>
      <c r="B845" t="str">
        <f>IFERROR(IF(VLOOKUP(C845,Hoja1!$B$1:$C$6191,2,0)="",_xlfn.XLOOKUP(C845,Hoja1!$B$2:$B$6191,Hoja1!$A$2:$A$6191),VLOOKUP(C845,Hoja1!$B$1:$C$6191,2,0)),"No esta en Infor")</f>
        <v>CAN0007</v>
      </c>
      <c r="C845" s="19" t="s">
        <v>107</v>
      </c>
      <c r="D845" s="9">
        <v>0</v>
      </c>
      <c r="E845" s="9">
        <v>-15.48</v>
      </c>
      <c r="F845" s="9">
        <v>0</v>
      </c>
      <c r="G845" s="9">
        <v>0</v>
      </c>
      <c r="H845" s="9">
        <v>0</v>
      </c>
      <c r="I845" s="9">
        <v>0</v>
      </c>
      <c r="J845" s="9">
        <v>-15.48</v>
      </c>
    </row>
    <row r="846" spans="1:10" ht="15.75" x14ac:dyDescent="0.25">
      <c r="A846" s="21">
        <v>45382</v>
      </c>
      <c r="B846" t="str">
        <f>IFERROR(IF(VLOOKUP(C846,Hoja1!$B$1:$C$6191,2,0)="",_xlfn.XLOOKUP(C846,Hoja1!$B$2:$B$6191,Hoja1!$A$2:$A$6191),VLOOKUP(C846,Hoja1!$B$1:$C$6191,2,0)),"No esta en Infor")</f>
        <v>NAC0646</v>
      </c>
      <c r="C846" s="19" t="s">
        <v>112</v>
      </c>
      <c r="D846" s="9">
        <v>0</v>
      </c>
      <c r="E846" s="9">
        <v>-0.8</v>
      </c>
      <c r="F846" s="9">
        <v>0</v>
      </c>
      <c r="G846" s="9">
        <v>0</v>
      </c>
      <c r="H846" s="9">
        <v>0</v>
      </c>
      <c r="I846" s="9">
        <v>0</v>
      </c>
      <c r="J846" s="9">
        <v>-0.8</v>
      </c>
    </row>
    <row r="847" spans="1:10" ht="15.75" x14ac:dyDescent="0.25">
      <c r="A847" s="21">
        <v>45382</v>
      </c>
      <c r="B847" t="str">
        <f>IFERROR(IF(VLOOKUP(C847,Hoja1!$B$1:$C$6191,2,0)="",_xlfn.XLOOKUP(C847,Hoja1!$B$2:$B$6191,Hoja1!$A$2:$A$6191),VLOOKUP(C847,Hoja1!$B$1:$C$6191,2,0)),"No esta en Infor")</f>
        <v>NAC0652</v>
      </c>
      <c r="C847" s="19" t="s">
        <v>113</v>
      </c>
      <c r="D847" s="9">
        <v>120.26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120.26</v>
      </c>
    </row>
    <row r="848" spans="1:10" ht="15.75" x14ac:dyDescent="0.25">
      <c r="A848" s="21">
        <v>45382</v>
      </c>
      <c r="B848" t="str">
        <f>IFERROR(IF(VLOOKUP(C848,Hoja1!$B$1:$C$6191,2,0)="",_xlfn.XLOOKUP(C848,Hoja1!$B$2:$B$6191,Hoja1!$A$2:$A$6191),VLOOKUP(C848,Hoja1!$B$1:$C$6191,2,0)),"No esta en Infor")</f>
        <v>NAC0657</v>
      </c>
      <c r="C848" s="19" t="s">
        <v>114</v>
      </c>
      <c r="D848" s="9">
        <v>648.08000000000004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648.08000000000004</v>
      </c>
    </row>
    <row r="849" spans="1:10" ht="15.75" x14ac:dyDescent="0.25">
      <c r="A849" s="21">
        <v>45382</v>
      </c>
      <c r="B849" t="str">
        <f>IFERROR(IF(VLOOKUP(C849,Hoja1!$B$1:$C$6191,2,0)="",_xlfn.XLOOKUP(C849,Hoja1!$B$2:$B$6191,Hoja1!$A$2:$A$6191),VLOOKUP(C849,Hoja1!$B$1:$C$6191,2,0)),"No esta en Infor")</f>
        <v>CAN0008</v>
      </c>
      <c r="C849" s="19" t="s">
        <v>115</v>
      </c>
      <c r="D849" s="9">
        <v>24218.080000000002</v>
      </c>
      <c r="E849" s="9">
        <v>20</v>
      </c>
      <c r="F849" s="9">
        <v>0</v>
      </c>
      <c r="G849" s="9">
        <v>0</v>
      </c>
      <c r="H849" s="9">
        <v>0</v>
      </c>
      <c r="I849" s="9">
        <v>0</v>
      </c>
      <c r="J849" s="9">
        <v>24238.080000000002</v>
      </c>
    </row>
    <row r="850" spans="1:10" ht="15.75" x14ac:dyDescent="0.25">
      <c r="A850" s="21">
        <v>45382</v>
      </c>
      <c r="B850" t="str">
        <f>IFERROR(IF(VLOOKUP(C850,Hoja1!$B$1:$C$6191,2,0)="",_xlfn.XLOOKUP(C850,Hoja1!$B$2:$B$6191,Hoja1!$A$2:$A$6191),VLOOKUP(C850,Hoja1!$B$1:$C$6191,2,0)),"No esta en Infor")</f>
        <v>CAN0009</v>
      </c>
      <c r="C850" s="19" t="s">
        <v>116</v>
      </c>
      <c r="D850" s="9">
        <v>0</v>
      </c>
      <c r="E850" s="9">
        <v>-33.630000000000003</v>
      </c>
      <c r="F850" s="9">
        <v>0</v>
      </c>
      <c r="G850" s="9">
        <v>0</v>
      </c>
      <c r="H850" s="9">
        <v>0</v>
      </c>
      <c r="I850" s="9">
        <v>0</v>
      </c>
      <c r="J850" s="9">
        <v>-33.630000000000003</v>
      </c>
    </row>
    <row r="851" spans="1:10" ht="15.75" x14ac:dyDescent="0.25">
      <c r="A851" s="21">
        <v>45382</v>
      </c>
      <c r="B851" t="str">
        <f>IFERROR(IF(VLOOKUP(C851,Hoja1!$B$1:$C$6191,2,0)="",_xlfn.XLOOKUP(C851,Hoja1!$B$2:$B$6191,Hoja1!$A$2:$A$6191),VLOOKUP(C851,Hoja1!$B$1:$C$6191,2,0)),"No esta en Infor")</f>
        <v>NAC0666</v>
      </c>
      <c r="C851" s="19" t="s">
        <v>118</v>
      </c>
      <c r="D851" s="9">
        <v>13156</v>
      </c>
      <c r="E851" s="9">
        <v>7210</v>
      </c>
      <c r="F851" s="9">
        <v>0</v>
      </c>
      <c r="G851" s="9">
        <v>0</v>
      </c>
      <c r="H851" s="9">
        <v>0</v>
      </c>
      <c r="I851" s="9">
        <v>0</v>
      </c>
      <c r="J851" s="9">
        <v>20366</v>
      </c>
    </row>
    <row r="852" spans="1:10" ht="15.75" x14ac:dyDescent="0.25">
      <c r="A852" s="21">
        <v>45382</v>
      </c>
      <c r="B852" t="str">
        <f>IFERROR(IF(VLOOKUP(C852,Hoja1!$B$1:$C$6191,2,0)="",_xlfn.XLOOKUP(C852,Hoja1!$B$2:$B$6191,Hoja1!$A$2:$A$6191),VLOOKUP(C852,Hoja1!$B$1:$C$6191,2,0)),"No esta en Infor")</f>
        <v>NAC0669</v>
      </c>
      <c r="C852" s="19" t="s">
        <v>119</v>
      </c>
      <c r="D852" s="9">
        <v>212</v>
      </c>
      <c r="E852" s="9">
        <v>-0.01</v>
      </c>
      <c r="F852" s="9">
        <v>-0.01</v>
      </c>
      <c r="G852" s="9">
        <v>0</v>
      </c>
      <c r="H852" s="9">
        <v>-0.01</v>
      </c>
      <c r="I852" s="9">
        <v>0</v>
      </c>
      <c r="J852" s="9">
        <v>211.97</v>
      </c>
    </row>
    <row r="853" spans="1:10" ht="15.75" x14ac:dyDescent="0.25">
      <c r="A853" s="21">
        <v>45382</v>
      </c>
      <c r="B853" t="str">
        <f>IFERROR(IF(VLOOKUP(C853,Hoja1!$B$1:$C$6191,2,0)="",_xlfn.XLOOKUP(C853,Hoja1!$B$2:$B$6191,Hoja1!$A$2:$A$6191),VLOOKUP(C853,Hoja1!$B$1:$C$6191,2,0)),"No esta en Infor")</f>
        <v>CAN0011</v>
      </c>
      <c r="C853" s="19" t="s">
        <v>121</v>
      </c>
      <c r="D853" s="9">
        <v>7626.37</v>
      </c>
      <c r="E853" s="9">
        <v>30050.99</v>
      </c>
      <c r="F853" s="9">
        <v>0</v>
      </c>
      <c r="G853" s="9">
        <v>0</v>
      </c>
      <c r="H853" s="9">
        <v>0</v>
      </c>
      <c r="I853" s="9">
        <v>0</v>
      </c>
      <c r="J853" s="9">
        <v>37677.360000000001</v>
      </c>
    </row>
    <row r="854" spans="1:10" ht="15.75" x14ac:dyDescent="0.25">
      <c r="A854" s="21">
        <v>45382</v>
      </c>
      <c r="B854" t="str">
        <f>IFERROR(IF(VLOOKUP(C854,Hoja1!$B$1:$C$6191,2,0)="",_xlfn.XLOOKUP(C854,Hoja1!$B$2:$B$6191,Hoja1!$A$2:$A$6191),VLOOKUP(C854,Hoja1!$B$1:$C$6191,2,0)),"No esta en Infor")</f>
        <v>NAC0672</v>
      </c>
      <c r="C854" s="19" t="s">
        <v>122</v>
      </c>
      <c r="D854" s="9">
        <v>0</v>
      </c>
      <c r="E854" s="9">
        <v>0</v>
      </c>
      <c r="F854" s="9">
        <v>27860.53</v>
      </c>
      <c r="G854" s="9">
        <v>0</v>
      </c>
      <c r="H854" s="9">
        <v>0</v>
      </c>
      <c r="I854" s="9">
        <v>0</v>
      </c>
      <c r="J854" s="9">
        <v>27860.53</v>
      </c>
    </row>
    <row r="855" spans="1:10" ht="15.75" x14ac:dyDescent="0.25">
      <c r="A855" s="21">
        <v>45382</v>
      </c>
      <c r="B855" t="str">
        <f>IFERROR(IF(VLOOKUP(C855,Hoja1!$B$1:$C$6191,2,0)="",_xlfn.XLOOKUP(C855,Hoja1!$B$2:$B$6191,Hoja1!$A$2:$A$6191),VLOOKUP(C855,Hoja1!$B$1:$C$6191,2,0)),"No esta en Infor")</f>
        <v>NAC0673</v>
      </c>
      <c r="C855" s="19" t="s">
        <v>390</v>
      </c>
      <c r="D855" s="9">
        <v>0</v>
      </c>
      <c r="E855" s="9">
        <v>672.85</v>
      </c>
      <c r="F855" s="9">
        <v>0</v>
      </c>
      <c r="G855" s="9">
        <v>0</v>
      </c>
      <c r="H855" s="9">
        <v>0</v>
      </c>
      <c r="I855" s="9">
        <v>0</v>
      </c>
      <c r="J855" s="9">
        <v>672.85</v>
      </c>
    </row>
    <row r="856" spans="1:10" ht="15.75" x14ac:dyDescent="0.25">
      <c r="A856" s="21">
        <v>45382</v>
      </c>
      <c r="B856" t="str">
        <f>IFERROR(IF(VLOOKUP(C856,Hoja1!$B$1:$C$6191,2,0)="",_xlfn.XLOOKUP(C856,Hoja1!$B$2:$B$6191,Hoja1!$A$2:$A$6191),VLOOKUP(C856,Hoja1!$B$1:$C$6191,2,0)),"No esta en Infor")</f>
        <v>SH00498</v>
      </c>
      <c r="C856" s="19" t="s">
        <v>123</v>
      </c>
      <c r="D856" s="9">
        <v>0</v>
      </c>
      <c r="E856" s="9">
        <v>0</v>
      </c>
      <c r="F856" s="9">
        <v>78.38</v>
      </c>
      <c r="G856" s="9">
        <v>0</v>
      </c>
      <c r="H856" s="9">
        <v>0</v>
      </c>
      <c r="I856" s="9">
        <v>0</v>
      </c>
      <c r="J856" s="9">
        <v>78.38</v>
      </c>
    </row>
    <row r="857" spans="1:10" ht="15.75" x14ac:dyDescent="0.25">
      <c r="A857" s="21">
        <v>45382</v>
      </c>
      <c r="B857" t="str">
        <f>IFERROR(IF(VLOOKUP(C857,Hoja1!$B$1:$C$6191,2,0)="",_xlfn.XLOOKUP(C857,Hoja1!$B$2:$B$6191,Hoja1!$A$2:$A$6191),VLOOKUP(C857,Hoja1!$B$1:$C$6191,2,0)),"No esta en Infor")</f>
        <v>NAC0675</v>
      </c>
      <c r="C857" s="19" t="s">
        <v>124</v>
      </c>
      <c r="D857" s="9">
        <v>0</v>
      </c>
      <c r="E857" s="9">
        <v>-787.89</v>
      </c>
      <c r="F857" s="9">
        <v>0</v>
      </c>
      <c r="G857" s="9">
        <v>0</v>
      </c>
      <c r="H857" s="9">
        <v>0</v>
      </c>
      <c r="I857" s="9">
        <v>0</v>
      </c>
      <c r="J857" s="9">
        <v>-787.89</v>
      </c>
    </row>
    <row r="858" spans="1:10" ht="15.75" x14ac:dyDescent="0.25">
      <c r="A858" s="21">
        <v>45382</v>
      </c>
      <c r="B858" t="str">
        <f>IFERROR(IF(VLOOKUP(C858,Hoja1!$B$1:$C$6191,2,0)="",_xlfn.XLOOKUP(C858,Hoja1!$B$2:$B$6191,Hoja1!$A$2:$A$6191),VLOOKUP(C858,Hoja1!$B$1:$C$6191,2,0)),"No esta en Infor")</f>
        <v>NAC0682</v>
      </c>
      <c r="C858" s="19" t="s">
        <v>127</v>
      </c>
      <c r="D858" s="9">
        <v>681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681</v>
      </c>
    </row>
    <row r="859" spans="1:10" ht="15.75" x14ac:dyDescent="0.25">
      <c r="A859" s="21">
        <v>45382</v>
      </c>
      <c r="B859" t="str">
        <f>IFERROR(IF(VLOOKUP(C859,Hoja1!$B$1:$C$6191,2,0)="",_xlfn.XLOOKUP(C859,Hoja1!$B$2:$B$6191,Hoja1!$A$2:$A$6191),VLOOKUP(C859,Hoja1!$B$1:$C$6191,2,0)),"No esta en Infor")</f>
        <v>NAC0687</v>
      </c>
      <c r="C859" s="19" t="s">
        <v>128</v>
      </c>
      <c r="D859" s="9">
        <v>0</v>
      </c>
      <c r="E859" s="9">
        <v>0</v>
      </c>
      <c r="F859" s="9">
        <v>-4768.2</v>
      </c>
      <c r="G859" s="9">
        <v>0</v>
      </c>
      <c r="H859" s="9">
        <v>0</v>
      </c>
      <c r="I859" s="9">
        <v>0</v>
      </c>
      <c r="J859" s="9">
        <v>-4768.2</v>
      </c>
    </row>
    <row r="860" spans="1:10" ht="15.75" x14ac:dyDescent="0.25">
      <c r="A860" s="21">
        <v>45382</v>
      </c>
      <c r="B860" t="str">
        <f>IFERROR(IF(VLOOKUP(C860,Hoja1!$B$1:$C$6191,2,0)="",_xlfn.XLOOKUP(C860,Hoja1!$B$2:$B$6191,Hoja1!$A$2:$A$6191),VLOOKUP(C860,Hoja1!$B$1:$C$6191,2,0)),"No esta en Infor")</f>
        <v>SH00610</v>
      </c>
      <c r="C860" s="19" t="s">
        <v>129</v>
      </c>
      <c r="D860" s="9">
        <v>0</v>
      </c>
      <c r="E860" s="9">
        <v>53.53</v>
      </c>
      <c r="F860" s="9">
        <v>0</v>
      </c>
      <c r="G860" s="9">
        <v>0</v>
      </c>
      <c r="H860" s="9">
        <v>0</v>
      </c>
      <c r="I860" s="9">
        <v>0</v>
      </c>
      <c r="J860" s="9">
        <v>53.53</v>
      </c>
    </row>
    <row r="861" spans="1:10" ht="15.75" x14ac:dyDescent="0.25">
      <c r="A861" s="21">
        <v>45382</v>
      </c>
      <c r="B861" t="str">
        <f>IFERROR(IF(VLOOKUP(C861,Hoja1!$B$1:$C$6191,2,0)="",_xlfn.XLOOKUP(C861,Hoja1!$B$2:$B$6191,Hoja1!$A$2:$A$6191),VLOOKUP(C861,Hoja1!$B$1:$C$6191,2,0)),"No esta en Infor")</f>
        <v>INT0052</v>
      </c>
      <c r="C861" s="19" t="s">
        <v>130</v>
      </c>
      <c r="D861" s="9">
        <v>41.05</v>
      </c>
      <c r="E861" s="9">
        <v>10696.68</v>
      </c>
      <c r="F861" s="9">
        <v>14467.55</v>
      </c>
      <c r="G861" s="9">
        <v>370.8</v>
      </c>
      <c r="H861" s="9">
        <v>42.13</v>
      </c>
      <c r="I861" s="9">
        <v>-24.62</v>
      </c>
      <c r="J861" s="9">
        <v>25593.59</v>
      </c>
    </row>
    <row r="862" spans="1:10" ht="15.75" x14ac:dyDescent="0.25">
      <c r="A862" s="21">
        <v>45382</v>
      </c>
      <c r="B862" t="str">
        <f>IFERROR(IF(VLOOKUP(C862,Hoja1!$B$1:$C$6191,2,0)="",_xlfn.XLOOKUP(C862,Hoja1!$B$2:$B$6191,Hoja1!$A$2:$A$6191),VLOOKUP(C862,Hoja1!$B$1:$C$6191,2,0)),"No esta en Infor")</f>
        <v>INT0007</v>
      </c>
      <c r="C862" s="19" t="s">
        <v>131</v>
      </c>
      <c r="D862" s="9">
        <v>641255.26</v>
      </c>
      <c r="E862" s="9">
        <v>1559457.58</v>
      </c>
      <c r="F862" s="9">
        <v>451289.62</v>
      </c>
      <c r="G862" s="9">
        <v>736715.68</v>
      </c>
      <c r="H862" s="9">
        <v>972005.71</v>
      </c>
      <c r="I862" s="9">
        <v>205359.92</v>
      </c>
      <c r="J862" s="9">
        <v>4566083.7699999996</v>
      </c>
    </row>
    <row r="863" spans="1:10" ht="15.75" x14ac:dyDescent="0.25">
      <c r="A863" s="21">
        <v>45382</v>
      </c>
      <c r="B863" t="str">
        <f>IFERROR(IF(VLOOKUP(C863,Hoja1!$B$1:$C$6191,2,0)="",_xlfn.XLOOKUP(C863,Hoja1!$B$2:$B$6191,Hoja1!$A$2:$A$6191),VLOOKUP(C863,Hoja1!$B$1:$C$6191,2,0)),"No esta en Infor")</f>
        <v>INT0006</v>
      </c>
      <c r="C863" s="19" t="s">
        <v>132</v>
      </c>
      <c r="D863" s="9">
        <v>132854.65</v>
      </c>
      <c r="E863" s="9">
        <v>30058.79</v>
      </c>
      <c r="F863" s="9">
        <v>20772.27</v>
      </c>
      <c r="G863" s="9">
        <v>0</v>
      </c>
      <c r="H863" s="9">
        <v>0</v>
      </c>
      <c r="I863" s="9">
        <v>97148</v>
      </c>
      <c r="J863" s="9">
        <v>280833.71000000002</v>
      </c>
    </row>
    <row r="864" spans="1:10" ht="15.75" x14ac:dyDescent="0.25">
      <c r="A864" s="21">
        <v>45382</v>
      </c>
      <c r="B864" t="str">
        <f>IFERROR(IF(VLOOKUP(C864,Hoja1!$B$1:$C$6191,2,0)="",_xlfn.XLOOKUP(C864,Hoja1!$B$2:$B$6191,Hoja1!$A$2:$A$6191),VLOOKUP(C864,Hoja1!$B$1:$C$6191,2,0)),"No esta en Infor")</f>
        <v>INT0002</v>
      </c>
      <c r="C864" s="19" t="s">
        <v>133</v>
      </c>
      <c r="D864" s="9">
        <v>21.04</v>
      </c>
      <c r="E864" s="9">
        <v>-12958.39</v>
      </c>
      <c r="F864" s="9">
        <v>0</v>
      </c>
      <c r="G864" s="9">
        <v>0</v>
      </c>
      <c r="H864" s="9">
        <v>0</v>
      </c>
      <c r="I864" s="9">
        <v>0</v>
      </c>
      <c r="J864" s="9">
        <v>-12937.35</v>
      </c>
    </row>
    <row r="865" spans="1:10" ht="15.75" x14ac:dyDescent="0.25">
      <c r="A865" s="21">
        <v>45382</v>
      </c>
      <c r="B865" t="str">
        <f>IFERROR(IF(VLOOKUP(C865,Hoja1!$B$1:$C$6191,2,0)="",_xlfn.XLOOKUP(C865,Hoja1!$B$2:$B$6191,Hoja1!$A$2:$A$6191),VLOOKUP(C865,Hoja1!$B$1:$C$6191,2,0)),"No esta en Infor")</f>
        <v>INT0001</v>
      </c>
      <c r="C865" s="19" t="s">
        <v>134</v>
      </c>
      <c r="D865" s="9">
        <v>40415.11</v>
      </c>
      <c r="E865" s="9">
        <v>0</v>
      </c>
      <c r="F865" s="9">
        <v>0</v>
      </c>
      <c r="G865" s="9">
        <v>-531.94000000000005</v>
      </c>
      <c r="H865" s="9">
        <v>0</v>
      </c>
      <c r="I865" s="9">
        <v>0</v>
      </c>
      <c r="J865" s="9">
        <v>39883.17</v>
      </c>
    </row>
    <row r="866" spans="1:10" ht="15.75" x14ac:dyDescent="0.25">
      <c r="A866" s="21">
        <v>45382</v>
      </c>
      <c r="B866" t="str">
        <f>IFERROR(IF(VLOOKUP(C866,Hoja1!$B$1:$C$6191,2,0)="",_xlfn.XLOOKUP(C866,Hoja1!$B$2:$B$6191,Hoja1!$A$2:$A$6191),VLOOKUP(C866,Hoja1!$B$1:$C$6191,2,0)),"No esta en Infor")</f>
        <v>INT0065</v>
      </c>
      <c r="C866" s="19" t="s">
        <v>135</v>
      </c>
      <c r="D866" s="9">
        <v>7187.39</v>
      </c>
      <c r="E866" s="9">
        <v>0</v>
      </c>
      <c r="F866" s="9">
        <v>-3019.42</v>
      </c>
      <c r="G866" s="9">
        <v>0</v>
      </c>
      <c r="H866" s="9">
        <v>-14950</v>
      </c>
      <c r="I866" s="9">
        <v>0</v>
      </c>
      <c r="J866" s="9">
        <v>-10782.03</v>
      </c>
    </row>
    <row r="867" spans="1:10" ht="15.75" x14ac:dyDescent="0.25">
      <c r="A867" s="21">
        <v>45382</v>
      </c>
      <c r="B867" t="str">
        <f>IFERROR(IF(VLOOKUP(C867,Hoja1!$B$1:$C$6191,2,0)="",_xlfn.XLOOKUP(C867,Hoja1!$B$2:$B$6191,Hoja1!$A$2:$A$6191),VLOOKUP(C867,Hoja1!$B$1:$C$6191,2,0)),"No esta en Infor")</f>
        <v>INT0009</v>
      </c>
      <c r="C867" t="s">
        <v>658</v>
      </c>
      <c r="D867" s="9">
        <v>22364.82</v>
      </c>
      <c r="E867" s="9">
        <v>9650.41</v>
      </c>
      <c r="F867" s="9">
        <v>0</v>
      </c>
      <c r="G867" s="9">
        <v>0</v>
      </c>
      <c r="H867" s="9">
        <v>-14950</v>
      </c>
      <c r="I867" s="9">
        <v>0</v>
      </c>
      <c r="J867" s="9">
        <v>17065.23</v>
      </c>
    </row>
    <row r="868" spans="1:10" ht="15.75" x14ac:dyDescent="0.25">
      <c r="A868" s="21">
        <v>45382</v>
      </c>
      <c r="B868" t="str">
        <f>IFERROR(IF(VLOOKUP(C868,Hoja1!$B$1:$C$6191,2,0)="",_xlfn.XLOOKUP(C868,Hoja1!$B$2:$B$6191,Hoja1!$A$2:$A$6191),VLOOKUP(C868,Hoja1!$B$1:$C$6191,2,0)),"No esta en Infor")</f>
        <v>INT0060</v>
      </c>
      <c r="C868" s="19" t="s">
        <v>136</v>
      </c>
      <c r="D868" s="9">
        <v>15869.74</v>
      </c>
      <c r="E868" s="9">
        <v>6209.18</v>
      </c>
      <c r="F868" s="9">
        <v>132.58000000000001</v>
      </c>
      <c r="G868" s="9">
        <v>4986.5</v>
      </c>
      <c r="H868" s="9">
        <v>435</v>
      </c>
      <c r="I868" s="9">
        <v>15030.43</v>
      </c>
      <c r="J868" s="9">
        <v>42663.43</v>
      </c>
    </row>
    <row r="869" spans="1:10" ht="15.75" x14ac:dyDescent="0.25">
      <c r="A869" s="21">
        <v>45382</v>
      </c>
      <c r="B869" t="str">
        <f>IFERROR(IF(VLOOKUP(C869,Hoja1!$B$1:$C$6191,2,0)="",_xlfn.XLOOKUP(C869,Hoja1!$B$2:$B$6191,Hoja1!$A$2:$A$6191),VLOOKUP(C869,Hoja1!$B$1:$C$6191,2,0)),"No esta en Infor")</f>
        <v>NAC0700</v>
      </c>
      <c r="C869" s="19" t="s">
        <v>137</v>
      </c>
      <c r="D869" s="9">
        <v>206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206</v>
      </c>
    </row>
    <row r="870" spans="1:10" ht="15.75" x14ac:dyDescent="0.25">
      <c r="A870" s="21">
        <v>45382</v>
      </c>
      <c r="B870" t="str">
        <f>IFERROR(IF(VLOOKUP(C870,Hoja1!$B$1:$C$6191,2,0)="",_xlfn.XLOOKUP(C870,Hoja1!$B$2:$B$6191,Hoja1!$A$2:$A$6191),VLOOKUP(C870,Hoja1!$B$1:$C$6191,2,0)),"No esta en Infor")</f>
        <v>NAC0704</v>
      </c>
      <c r="C870" s="19" t="s">
        <v>138</v>
      </c>
      <c r="D870" s="9">
        <v>23757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23757</v>
      </c>
    </row>
    <row r="871" spans="1:10" ht="15.75" x14ac:dyDescent="0.25">
      <c r="A871" s="21">
        <v>45382</v>
      </c>
      <c r="B871" t="str">
        <f>IFERROR(IF(VLOOKUP(C871,Hoja1!$B$1:$C$6191,2,0)="",_xlfn.XLOOKUP(C871,Hoja1!$B$2:$B$6191,Hoja1!$A$2:$A$6191),VLOOKUP(C871,Hoja1!$B$1:$C$6191,2,0)),"No esta en Infor")</f>
        <v>NAC0710</v>
      </c>
      <c r="C871" s="19" t="s">
        <v>140</v>
      </c>
      <c r="D871" s="9">
        <v>11312</v>
      </c>
      <c r="E871" s="9">
        <v>584</v>
      </c>
      <c r="F871" s="9">
        <v>0</v>
      </c>
      <c r="G871" s="9">
        <v>0</v>
      </c>
      <c r="H871" s="9">
        <v>0</v>
      </c>
      <c r="I871" s="9">
        <v>0</v>
      </c>
      <c r="J871" s="9">
        <v>11896</v>
      </c>
    </row>
    <row r="872" spans="1:10" ht="15.75" x14ac:dyDescent="0.25">
      <c r="A872" s="21">
        <v>45382</v>
      </c>
      <c r="B872" t="str">
        <f>IFERROR(IF(VLOOKUP(C872,Hoja1!$B$1:$C$6191,2,0)="",_xlfn.XLOOKUP(C872,Hoja1!$B$2:$B$6191,Hoja1!$A$2:$A$6191),VLOOKUP(C872,Hoja1!$B$1:$C$6191,2,0)),"No esta en Infor")</f>
        <v>SH00634</v>
      </c>
      <c r="C872" s="19" t="s">
        <v>443</v>
      </c>
      <c r="D872" s="9">
        <v>0</v>
      </c>
      <c r="E872" s="9">
        <v>190.56</v>
      </c>
      <c r="F872" s="9">
        <v>0</v>
      </c>
      <c r="G872" s="9">
        <v>0</v>
      </c>
      <c r="H872" s="9">
        <v>0</v>
      </c>
      <c r="I872" s="9">
        <v>0</v>
      </c>
      <c r="J872" s="9">
        <v>190.56</v>
      </c>
    </row>
    <row r="873" spans="1:10" ht="15.75" x14ac:dyDescent="0.25">
      <c r="A873" s="21">
        <v>45382</v>
      </c>
      <c r="B873" t="str">
        <f>IFERROR(IF(VLOOKUP(C873,Hoja1!$B$1:$C$6191,2,0)="",_xlfn.XLOOKUP(C873,Hoja1!$B$2:$B$6191,Hoja1!$A$2:$A$6191),VLOOKUP(C873,Hoja1!$B$1:$C$6191,2,0)),"No esta en Infor")</f>
        <v>CAN0014</v>
      </c>
      <c r="C873" s="19" t="s">
        <v>141</v>
      </c>
      <c r="D873" s="9">
        <v>0</v>
      </c>
      <c r="E873" s="9">
        <v>0</v>
      </c>
      <c r="F873" s="9">
        <v>-119.88</v>
      </c>
      <c r="G873" s="9">
        <v>0</v>
      </c>
      <c r="H873" s="9">
        <v>0</v>
      </c>
      <c r="I873" s="9">
        <v>0</v>
      </c>
      <c r="J873" s="9">
        <v>-119.88</v>
      </c>
    </row>
    <row r="874" spans="1:10" ht="15.75" x14ac:dyDescent="0.25">
      <c r="A874" s="21">
        <v>45382</v>
      </c>
      <c r="B874" t="str">
        <f>IFERROR(IF(VLOOKUP(C874,Hoja1!$B$1:$C$6191,2,0)="",_xlfn.XLOOKUP(C874,Hoja1!$B$2:$B$6191,Hoja1!$A$2:$A$6191),VLOOKUP(C874,Hoja1!$B$1:$C$6191,2,0)),"No esta en Infor")</f>
        <v>NAC0712</v>
      </c>
      <c r="C874" s="19" t="s">
        <v>142</v>
      </c>
      <c r="D874" s="9">
        <v>0</v>
      </c>
      <c r="E874" s="9">
        <v>17234.5</v>
      </c>
      <c r="F874" s="9">
        <v>0</v>
      </c>
      <c r="G874" s="9">
        <v>0</v>
      </c>
      <c r="H874" s="9">
        <v>0</v>
      </c>
      <c r="I874" s="9">
        <v>0</v>
      </c>
      <c r="J874" s="9">
        <v>17234.5</v>
      </c>
    </row>
    <row r="875" spans="1:10" ht="15.75" x14ac:dyDescent="0.25">
      <c r="A875" s="21">
        <v>45382</v>
      </c>
      <c r="B875" t="str">
        <f>IFERROR(IF(VLOOKUP(C875,Hoja1!$B$1:$C$6191,2,0)="",_xlfn.XLOOKUP(C875,Hoja1!$B$2:$B$6191,Hoja1!$A$2:$A$6191),VLOOKUP(C875,Hoja1!$B$1:$C$6191,2,0)),"No esta en Infor")</f>
        <v>FOC0023</v>
      </c>
      <c r="C875" s="19" t="s">
        <v>143</v>
      </c>
      <c r="D875" s="9">
        <v>0</v>
      </c>
      <c r="E875" s="9">
        <v>18335</v>
      </c>
      <c r="F875" s="9">
        <v>-16672.84</v>
      </c>
      <c r="G875" s="9">
        <v>0</v>
      </c>
      <c r="H875" s="9">
        <v>18335</v>
      </c>
      <c r="I875" s="9">
        <v>2188.25</v>
      </c>
      <c r="J875" s="9">
        <v>22185.41</v>
      </c>
    </row>
    <row r="876" spans="1:10" ht="15.75" x14ac:dyDescent="0.25">
      <c r="A876" s="21">
        <v>45382</v>
      </c>
      <c r="B876" t="str">
        <f>IFERROR(IF(VLOOKUP(C876,Hoja1!$B$1:$C$6191,2,0)="",_xlfn.XLOOKUP(C876,Hoja1!$B$2:$B$6191,Hoja1!$A$2:$A$6191),VLOOKUP(C876,Hoja1!$B$1:$C$6191,2,0)),"No esta en Infor")</f>
        <v>SH00640</v>
      </c>
      <c r="C876" s="19" t="s">
        <v>392</v>
      </c>
      <c r="D876" s="9">
        <v>0</v>
      </c>
      <c r="E876" s="9">
        <v>1.41</v>
      </c>
      <c r="F876" s="9">
        <v>0</v>
      </c>
      <c r="G876" s="9">
        <v>0</v>
      </c>
      <c r="H876" s="9">
        <v>0</v>
      </c>
      <c r="I876" s="9">
        <v>0</v>
      </c>
      <c r="J876" s="9">
        <v>1.41</v>
      </c>
    </row>
    <row r="877" spans="1:10" ht="15.75" x14ac:dyDescent="0.25">
      <c r="A877" s="21">
        <v>45382</v>
      </c>
      <c r="B877" t="str">
        <f>IFERROR(IF(VLOOKUP(C877,Hoja1!$B$1:$C$6191,2,0)="",_xlfn.XLOOKUP(C877,Hoja1!$B$2:$B$6191,Hoja1!$A$2:$A$6191),VLOOKUP(C877,Hoja1!$B$1:$C$6191,2,0)),"No esta en Infor")</f>
        <v>SH00642</v>
      </c>
      <c r="C877" s="19" t="s">
        <v>144</v>
      </c>
      <c r="D877" s="9">
        <v>0</v>
      </c>
      <c r="E877" s="9">
        <v>0</v>
      </c>
      <c r="F877" s="9">
        <v>323.89</v>
      </c>
      <c r="G877" s="9">
        <v>0</v>
      </c>
      <c r="H877" s="9">
        <v>0</v>
      </c>
      <c r="I877" s="9">
        <v>0</v>
      </c>
      <c r="J877" s="9">
        <v>323.89</v>
      </c>
    </row>
    <row r="878" spans="1:10" ht="15.75" x14ac:dyDescent="0.25">
      <c r="A878" s="21">
        <v>45382</v>
      </c>
      <c r="B878" t="str">
        <f>IFERROR(IF(VLOOKUP(C878,Hoja1!$B$1:$C$6191,2,0)="",_xlfn.XLOOKUP(C878,Hoja1!$B$2:$B$6191,Hoja1!$A$2:$A$6191),VLOOKUP(C878,Hoja1!$B$1:$C$6191,2,0)),"No esta en Infor")</f>
        <v>NAC0723</v>
      </c>
      <c r="C878" s="19" t="s">
        <v>146</v>
      </c>
      <c r="D878" s="9">
        <v>0</v>
      </c>
      <c r="E878" s="9">
        <v>323.27999999999997</v>
      </c>
      <c r="F878" s="9">
        <v>0</v>
      </c>
      <c r="G878" s="9">
        <v>0</v>
      </c>
      <c r="H878" s="9">
        <v>0</v>
      </c>
      <c r="I878" s="9">
        <v>0</v>
      </c>
      <c r="J878" s="9">
        <v>323.27999999999997</v>
      </c>
    </row>
    <row r="879" spans="1:10" ht="15.75" x14ac:dyDescent="0.25">
      <c r="A879" s="21">
        <v>45382</v>
      </c>
      <c r="B879" t="str">
        <f>IFERROR(IF(VLOOKUP(C879,Hoja1!$B$1:$C$6191,2,0)="",_xlfn.XLOOKUP(C879,Hoja1!$B$2:$B$6191,Hoja1!$A$2:$A$6191),VLOOKUP(C879,Hoja1!$B$1:$C$6191,2,0)),"No esta en Infor")</f>
        <v>NAC0726</v>
      </c>
      <c r="C879" s="19" t="s">
        <v>147</v>
      </c>
      <c r="D879" s="9">
        <v>1634.4</v>
      </c>
      <c r="E879" s="9">
        <v>21529.63</v>
      </c>
      <c r="F879" s="9">
        <v>0</v>
      </c>
      <c r="G879" s="9">
        <v>0</v>
      </c>
      <c r="H879" s="9">
        <v>0</v>
      </c>
      <c r="I879" s="9">
        <v>0</v>
      </c>
      <c r="J879" s="9">
        <v>23164.03</v>
      </c>
    </row>
    <row r="880" spans="1:10" ht="15.75" x14ac:dyDescent="0.25">
      <c r="A880" s="21">
        <v>45382</v>
      </c>
      <c r="B880" t="str">
        <f>IFERROR(IF(VLOOKUP(C880,Hoja1!$B$1:$C$6191,2,0)="",_xlfn.XLOOKUP(C880,Hoja1!$B$2:$B$6191,Hoja1!$A$2:$A$6191),VLOOKUP(C880,Hoja1!$B$1:$C$6191,2,0)),"No esta en Infor")</f>
        <v>NAC0729</v>
      </c>
      <c r="C880" s="19" t="s">
        <v>148</v>
      </c>
      <c r="D880" s="9">
        <v>0</v>
      </c>
      <c r="E880" s="9">
        <v>316</v>
      </c>
      <c r="F880" s="9">
        <v>0</v>
      </c>
      <c r="G880" s="9">
        <v>0</v>
      </c>
      <c r="H880" s="9">
        <v>0</v>
      </c>
      <c r="I880" s="9">
        <v>0</v>
      </c>
      <c r="J880" s="9">
        <v>316</v>
      </c>
    </row>
    <row r="881" spans="1:10" ht="15.75" x14ac:dyDescent="0.25">
      <c r="A881" s="21">
        <v>45382</v>
      </c>
      <c r="B881" t="str">
        <f>IFERROR(IF(VLOOKUP(C881,Hoja1!$B$1:$C$6191,2,0)="",_xlfn.XLOOKUP(C881,Hoja1!$B$2:$B$6191,Hoja1!$A$2:$A$6191),VLOOKUP(C881,Hoja1!$B$1:$C$6191,2,0)),"No esta en Infor")</f>
        <v>NAC0734</v>
      </c>
      <c r="C881" s="19" t="s">
        <v>149</v>
      </c>
      <c r="D881" s="9">
        <v>116.7</v>
      </c>
      <c r="E881" s="9">
        <v>880.98</v>
      </c>
      <c r="F881" s="9">
        <v>0</v>
      </c>
      <c r="G881" s="9">
        <v>0</v>
      </c>
      <c r="H881" s="9">
        <v>0</v>
      </c>
      <c r="I881" s="9">
        <v>0</v>
      </c>
      <c r="J881" s="9">
        <v>997.68</v>
      </c>
    </row>
    <row r="882" spans="1:10" ht="15.75" x14ac:dyDescent="0.25">
      <c r="A882" s="21">
        <v>45382</v>
      </c>
      <c r="B882" t="str">
        <f>IFERROR(IF(VLOOKUP(C882,Hoja1!$B$1:$C$6191,2,0)="",_xlfn.XLOOKUP(C882,Hoja1!$B$2:$B$6191,Hoja1!$A$2:$A$6191),VLOOKUP(C882,Hoja1!$B$1:$C$6191,2,0)),"No esta en Infor")</f>
        <v>NAC0738</v>
      </c>
      <c r="C882" s="19" t="s">
        <v>150</v>
      </c>
      <c r="D882" s="9">
        <v>208</v>
      </c>
      <c r="E882" s="9">
        <v>-15.64</v>
      </c>
      <c r="F882" s="9">
        <v>0</v>
      </c>
      <c r="G882" s="9">
        <v>0</v>
      </c>
      <c r="H882" s="9">
        <v>0</v>
      </c>
      <c r="I882" s="9">
        <v>0</v>
      </c>
      <c r="J882" s="9">
        <v>192.36</v>
      </c>
    </row>
    <row r="883" spans="1:10" ht="15.75" x14ac:dyDescent="0.25">
      <c r="A883" s="21">
        <v>45382</v>
      </c>
      <c r="B883" t="str">
        <f>IFERROR(IF(VLOOKUP(C883,Hoja1!$B$1:$C$6191,2,0)="",_xlfn.XLOOKUP(C883,Hoja1!$B$2:$B$6191,Hoja1!$A$2:$A$6191),VLOOKUP(C883,Hoja1!$B$1:$C$6191,2,0)),"No esta en Infor")</f>
        <v>NAC0740</v>
      </c>
      <c r="C883" s="19" t="s">
        <v>151</v>
      </c>
      <c r="D883" s="9">
        <v>0</v>
      </c>
      <c r="E883" s="9">
        <v>0</v>
      </c>
      <c r="F883" s="9">
        <v>0</v>
      </c>
      <c r="G883" s="9">
        <v>92.24</v>
      </c>
      <c r="H883" s="9">
        <v>4.1399999999999997</v>
      </c>
      <c r="I883" s="9">
        <v>0</v>
      </c>
      <c r="J883" s="9">
        <v>96.38</v>
      </c>
    </row>
    <row r="884" spans="1:10" ht="15.75" x14ac:dyDescent="0.25">
      <c r="A884" s="21">
        <v>45382</v>
      </c>
      <c r="B884" t="str">
        <f>IFERROR(IF(VLOOKUP(C884,Hoja1!$B$1:$C$6191,2,0)="",_xlfn.XLOOKUP(C884,Hoja1!$B$2:$B$6191,Hoja1!$A$2:$A$6191),VLOOKUP(C884,Hoja1!$B$1:$C$6191,2,0)),"No esta en Infor")</f>
        <v>NAC1608</v>
      </c>
      <c r="C884" s="19" t="s">
        <v>444</v>
      </c>
      <c r="D884" s="9">
        <v>142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142</v>
      </c>
    </row>
    <row r="885" spans="1:10" ht="15.75" x14ac:dyDescent="0.25">
      <c r="A885" s="21">
        <v>45382</v>
      </c>
      <c r="B885" t="str">
        <f>IFERROR(IF(VLOOKUP(C885,Hoja1!$B$1:$C$6191,2,0)="",_xlfn.XLOOKUP(C885,Hoja1!$B$2:$B$6191,Hoja1!$A$2:$A$6191),VLOOKUP(C885,Hoja1!$B$1:$C$6191,2,0)),"No esta en Infor")</f>
        <v>NAC1608</v>
      </c>
      <c r="C885" s="19" t="s">
        <v>445</v>
      </c>
      <c r="D885" s="9">
        <v>149.6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149.6</v>
      </c>
    </row>
    <row r="886" spans="1:10" ht="15.75" x14ac:dyDescent="0.25">
      <c r="A886" s="21">
        <v>45382</v>
      </c>
      <c r="B886" t="str">
        <f>IFERROR(IF(VLOOKUP(C886,Hoja1!$B$1:$C$6191,2,0)="",_xlfn.XLOOKUP(C886,Hoja1!$B$2:$B$6191,Hoja1!$A$2:$A$6191),VLOOKUP(C886,Hoja1!$B$1:$C$6191,2,0)),"No esta en Infor")</f>
        <v>NAC1608</v>
      </c>
      <c r="C886" s="19" t="s">
        <v>446</v>
      </c>
      <c r="D886" s="9">
        <v>142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142</v>
      </c>
    </row>
    <row r="887" spans="1:10" ht="15.75" x14ac:dyDescent="0.25">
      <c r="A887" s="21">
        <v>45382</v>
      </c>
      <c r="B887" t="str">
        <f>IFERROR(IF(VLOOKUP(C887,Hoja1!$B$1:$C$6191,2,0)="",_xlfn.XLOOKUP(C887,Hoja1!$B$2:$B$6191,Hoja1!$A$2:$A$6191),VLOOKUP(C887,Hoja1!$B$1:$C$6191,2,0)),"No esta en Infor")</f>
        <v>NAC1608</v>
      </c>
      <c r="C887" s="19" t="s">
        <v>447</v>
      </c>
      <c r="D887" s="9">
        <v>150.94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150.94</v>
      </c>
    </row>
    <row r="888" spans="1:10" ht="15.75" x14ac:dyDescent="0.25">
      <c r="A888" s="21">
        <v>45382</v>
      </c>
      <c r="B888" t="str">
        <f>IFERROR(IF(VLOOKUP(C888,Hoja1!$B$1:$C$6191,2,0)="",_xlfn.XLOOKUP(C888,Hoja1!$B$2:$B$6191,Hoja1!$A$2:$A$6191),VLOOKUP(C888,Hoja1!$B$1:$C$6191,2,0)),"No esta en Infor")</f>
        <v>NAC1608</v>
      </c>
      <c r="C888" s="19" t="s">
        <v>448</v>
      </c>
      <c r="D888" s="9">
        <v>153.01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153.01</v>
      </c>
    </row>
    <row r="889" spans="1:10" ht="15.75" x14ac:dyDescent="0.25">
      <c r="A889" s="21">
        <v>45382</v>
      </c>
      <c r="B889" t="str">
        <f>IFERROR(IF(VLOOKUP(C889,Hoja1!$B$1:$C$6191,2,0)="",_xlfn.XLOOKUP(C889,Hoja1!$B$2:$B$6191,Hoja1!$A$2:$A$6191),VLOOKUP(C889,Hoja1!$B$1:$C$6191,2,0)),"No esta en Infor")</f>
        <v>NAC1608</v>
      </c>
      <c r="C889" s="19" t="s">
        <v>449</v>
      </c>
      <c r="D889" s="9">
        <v>154.80000000000001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154.80000000000001</v>
      </c>
    </row>
    <row r="890" spans="1:10" ht="15.75" x14ac:dyDescent="0.25">
      <c r="A890" s="21">
        <v>45382</v>
      </c>
      <c r="B890" t="str">
        <f>IFERROR(IF(VLOOKUP(C890,Hoja1!$B$1:$C$6191,2,0)="",_xlfn.XLOOKUP(C890,Hoja1!$B$2:$B$6191,Hoja1!$A$2:$A$6191),VLOOKUP(C890,Hoja1!$B$1:$C$6191,2,0)),"No esta en Infor")</f>
        <v>NAC1608</v>
      </c>
      <c r="C890" s="19" t="s">
        <v>450</v>
      </c>
      <c r="D890" s="9">
        <v>142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142</v>
      </c>
    </row>
    <row r="891" spans="1:10" ht="15.75" x14ac:dyDescent="0.25">
      <c r="A891" s="21">
        <v>45382</v>
      </c>
      <c r="B891" t="str">
        <f>IFERROR(IF(VLOOKUP(C891,Hoja1!$B$1:$C$6191,2,0)="",_xlfn.XLOOKUP(C891,Hoja1!$B$2:$B$6191,Hoja1!$A$2:$A$6191),VLOOKUP(C891,Hoja1!$B$1:$C$6191,2,0)),"No esta en Infor")</f>
        <v>NAC1608</v>
      </c>
      <c r="C891" s="19" t="s">
        <v>451</v>
      </c>
      <c r="D891" s="9">
        <v>151.94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151.94</v>
      </c>
    </row>
    <row r="892" spans="1:10" ht="15.75" x14ac:dyDescent="0.25">
      <c r="A892" s="21">
        <v>45382</v>
      </c>
      <c r="B892" t="str">
        <f>IFERROR(IF(VLOOKUP(C892,Hoja1!$B$1:$C$6191,2,0)="",_xlfn.XLOOKUP(C892,Hoja1!$B$2:$B$6191,Hoja1!$A$2:$A$6191),VLOOKUP(C892,Hoja1!$B$1:$C$6191,2,0)),"No esta en Infor")</f>
        <v>NAC1608</v>
      </c>
      <c r="C892" s="19" t="s">
        <v>152</v>
      </c>
      <c r="D892" s="9">
        <v>142</v>
      </c>
      <c r="E892" s="9">
        <v>0</v>
      </c>
      <c r="F892" s="9">
        <v>-308</v>
      </c>
      <c r="G892" s="9">
        <v>0</v>
      </c>
      <c r="H892" s="9">
        <v>0</v>
      </c>
      <c r="I892" s="9">
        <v>0</v>
      </c>
      <c r="J892" s="9">
        <v>-166</v>
      </c>
    </row>
    <row r="893" spans="1:10" ht="15.75" x14ac:dyDescent="0.25">
      <c r="A893" s="21">
        <v>45382</v>
      </c>
      <c r="B893" t="str">
        <f>IFERROR(IF(VLOOKUP(C893,Hoja1!$B$1:$C$6191,2,0)="",_xlfn.XLOOKUP(C893,Hoja1!$B$2:$B$6191,Hoja1!$A$2:$A$6191),VLOOKUP(C893,Hoja1!$B$1:$C$6191,2,0)),"No esta en Infor")</f>
        <v>NAC1608</v>
      </c>
      <c r="C893" s="19" t="s">
        <v>452</v>
      </c>
      <c r="D893" s="9">
        <v>151.94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151.94</v>
      </c>
    </row>
    <row r="894" spans="1:10" ht="15.75" x14ac:dyDescent="0.25">
      <c r="A894" s="21">
        <v>45382</v>
      </c>
      <c r="B894" t="str">
        <f>IFERROR(IF(VLOOKUP(C894,Hoja1!$B$1:$C$6191,2,0)="",_xlfn.XLOOKUP(C894,Hoja1!$B$2:$B$6191,Hoja1!$A$2:$A$6191),VLOOKUP(C894,Hoja1!$B$1:$C$6191,2,0)),"No esta en Infor")</f>
        <v>NAC1608</v>
      </c>
      <c r="C894" s="19" t="s">
        <v>453</v>
      </c>
      <c r="D894" s="9">
        <v>151.94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151.94</v>
      </c>
    </row>
    <row r="895" spans="1:10" ht="15.75" x14ac:dyDescent="0.25">
      <c r="A895" s="21">
        <v>45382</v>
      </c>
      <c r="B895" t="str">
        <f>IFERROR(IF(VLOOKUP(C895,Hoja1!$B$1:$C$6191,2,0)="",_xlfn.XLOOKUP(C895,Hoja1!$B$2:$B$6191,Hoja1!$A$2:$A$6191),VLOOKUP(C895,Hoja1!$B$1:$C$6191,2,0)),"No esta en Infor")</f>
        <v>SH00682</v>
      </c>
      <c r="C895" s="19" t="s">
        <v>454</v>
      </c>
      <c r="D895" s="9">
        <v>0</v>
      </c>
      <c r="E895" s="9">
        <v>211.46</v>
      </c>
      <c r="F895" s="9">
        <v>0</v>
      </c>
      <c r="G895" s="9">
        <v>0</v>
      </c>
      <c r="H895" s="9">
        <v>0</v>
      </c>
      <c r="I895" s="9">
        <v>0</v>
      </c>
      <c r="J895" s="9">
        <v>211.46</v>
      </c>
    </row>
    <row r="896" spans="1:10" ht="15.75" x14ac:dyDescent="0.25">
      <c r="A896" s="21">
        <v>45382</v>
      </c>
      <c r="B896" t="str">
        <f>IFERROR(IF(VLOOKUP(C896,Hoja1!$B$1:$C$6191,2,0)="",_xlfn.XLOOKUP(C896,Hoja1!$B$2:$B$6191,Hoja1!$A$2:$A$6191),VLOOKUP(C896,Hoja1!$B$1:$C$6191,2,0)),"No esta en Infor")</f>
        <v>NAC0756</v>
      </c>
      <c r="C896" s="19" t="s">
        <v>154</v>
      </c>
      <c r="D896" s="9">
        <v>0</v>
      </c>
      <c r="E896" s="9">
        <v>0</v>
      </c>
      <c r="F896" s="9">
        <v>-3.79</v>
      </c>
      <c r="G896" s="9">
        <v>0</v>
      </c>
      <c r="H896" s="9">
        <v>0</v>
      </c>
      <c r="I896" s="9">
        <v>0</v>
      </c>
      <c r="J896" s="9">
        <v>-3.79</v>
      </c>
    </row>
    <row r="897" spans="1:10" ht="15.75" x14ac:dyDescent="0.25">
      <c r="A897" s="21">
        <v>45382</v>
      </c>
      <c r="B897" t="str">
        <f>IFERROR(IF(VLOOKUP(C897,Hoja1!$B$1:$C$6191,2,0)="",_xlfn.XLOOKUP(C897,Hoja1!$B$2:$B$6191,Hoja1!$A$2:$A$6191),VLOOKUP(C897,Hoja1!$B$1:$C$6191,2,0)),"No esta en Infor")</f>
        <v>NAC0767</v>
      </c>
      <c r="C897" s="19" t="s">
        <v>155</v>
      </c>
      <c r="D897" s="9">
        <v>394403.94</v>
      </c>
      <c r="E897" s="9">
        <v>24033</v>
      </c>
      <c r="F897" s="9">
        <v>0</v>
      </c>
      <c r="G897" s="9">
        <v>-36</v>
      </c>
      <c r="H897" s="9">
        <v>-21221.9</v>
      </c>
      <c r="I897" s="9">
        <v>0</v>
      </c>
      <c r="J897" s="9">
        <v>397179.04</v>
      </c>
    </row>
    <row r="898" spans="1:10" ht="15.75" x14ac:dyDescent="0.25">
      <c r="A898" s="21">
        <v>45382</v>
      </c>
      <c r="B898" t="str">
        <f>IFERROR(IF(VLOOKUP(C898,Hoja1!$B$1:$C$6191,2,0)="",_xlfn.XLOOKUP(C898,Hoja1!$B$2:$B$6191,Hoja1!$A$2:$A$6191),VLOOKUP(C898,Hoja1!$B$1:$C$6191,2,0)),"No esta en Infor")</f>
        <v>NAC0769</v>
      </c>
      <c r="C898" s="19" t="s">
        <v>156</v>
      </c>
      <c r="D898" s="9">
        <v>-297.89</v>
      </c>
      <c r="E898" s="9">
        <v>4752</v>
      </c>
      <c r="F898" s="9">
        <v>0</v>
      </c>
      <c r="G898" s="9">
        <v>0</v>
      </c>
      <c r="H898" s="9">
        <v>0</v>
      </c>
      <c r="I898" s="9">
        <v>0</v>
      </c>
      <c r="J898" s="9">
        <v>4454.1099999999997</v>
      </c>
    </row>
    <row r="899" spans="1:10" ht="15.75" x14ac:dyDescent="0.25">
      <c r="A899" s="21">
        <v>45382</v>
      </c>
      <c r="B899" t="str">
        <f>IFERROR(IF(VLOOKUP(C899,Hoja1!$B$1:$C$6191,2,0)="",_xlfn.XLOOKUP(C899,Hoja1!$B$2:$B$6191,Hoja1!$A$2:$A$6191),VLOOKUP(C899,Hoja1!$B$1:$C$6191,2,0)),"No esta en Infor")</f>
        <v>NAC0775</v>
      </c>
      <c r="C899" s="19" t="s">
        <v>158</v>
      </c>
      <c r="D899" s="9">
        <v>0</v>
      </c>
      <c r="E899" s="9">
        <v>-29.24</v>
      </c>
      <c r="F899" s="9">
        <v>0</v>
      </c>
      <c r="G899" s="9">
        <v>0</v>
      </c>
      <c r="H899" s="9">
        <v>0</v>
      </c>
      <c r="I899" s="9">
        <v>0</v>
      </c>
      <c r="J899" s="9">
        <v>-29.24</v>
      </c>
    </row>
    <row r="900" spans="1:10" ht="15.75" x14ac:dyDescent="0.25">
      <c r="A900" s="21">
        <v>45382</v>
      </c>
      <c r="B900" t="str">
        <f>IFERROR(IF(VLOOKUP(C900,Hoja1!$B$1:$C$6191,2,0)="",_xlfn.XLOOKUP(C900,Hoja1!$B$2:$B$6191,Hoja1!$A$2:$A$6191),VLOOKUP(C900,Hoja1!$B$1:$C$6191,2,0)),"No esta en Infor")</f>
        <v>NAC0778</v>
      </c>
      <c r="C900" s="19" t="s">
        <v>159</v>
      </c>
      <c r="D900" s="9">
        <v>0</v>
      </c>
      <c r="E900" s="9">
        <v>0</v>
      </c>
      <c r="F900" s="9">
        <v>-781.38</v>
      </c>
      <c r="G900" s="9">
        <v>0</v>
      </c>
      <c r="H900" s="9">
        <v>0</v>
      </c>
      <c r="I900" s="9">
        <v>0</v>
      </c>
      <c r="J900" s="9">
        <v>-781.38</v>
      </c>
    </row>
    <row r="901" spans="1:10" ht="15.75" x14ac:dyDescent="0.25">
      <c r="A901" s="21">
        <v>45382</v>
      </c>
      <c r="B901" t="str">
        <f>IFERROR(IF(VLOOKUP(C901,Hoja1!$B$1:$C$6191,2,0)="",_xlfn.XLOOKUP(C901,Hoja1!$B$2:$B$6191,Hoja1!$A$2:$A$6191),VLOOKUP(C901,Hoja1!$B$1:$C$6191,2,0)),"No esta en Infor")</f>
        <v>NAC0779</v>
      </c>
      <c r="C901" s="19" t="s">
        <v>160</v>
      </c>
      <c r="D901" s="9">
        <v>0</v>
      </c>
      <c r="E901" s="9">
        <v>7664</v>
      </c>
      <c r="F901" s="9">
        <v>0</v>
      </c>
      <c r="G901" s="9">
        <v>0</v>
      </c>
      <c r="H901" s="9">
        <v>0</v>
      </c>
      <c r="I901" s="9">
        <v>0</v>
      </c>
      <c r="J901" s="9">
        <v>7664</v>
      </c>
    </row>
    <row r="902" spans="1:10" ht="15.75" x14ac:dyDescent="0.25">
      <c r="A902" s="21">
        <v>45382</v>
      </c>
      <c r="B902" t="str">
        <f>IFERROR(IF(VLOOKUP(C902,Hoja1!$B$1:$C$6191,2,0)="",_xlfn.XLOOKUP(C902,Hoja1!$B$2:$B$6191,Hoja1!$A$2:$A$6191),VLOOKUP(C902,Hoja1!$B$1:$C$6191,2,0)),"No esta en Infor")</f>
        <v>NAC0780</v>
      </c>
      <c r="C902" s="19" t="s">
        <v>161</v>
      </c>
      <c r="D902" s="9">
        <v>3139.2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3139.2</v>
      </c>
    </row>
    <row r="903" spans="1:10" ht="15.75" x14ac:dyDescent="0.25">
      <c r="A903" s="21">
        <v>45382</v>
      </c>
      <c r="B903" t="str">
        <f>IFERROR(IF(VLOOKUP(C903,Hoja1!$B$1:$C$6191,2,0)="",_xlfn.XLOOKUP(C903,Hoja1!$B$2:$B$6191,Hoja1!$A$2:$A$6191),VLOOKUP(C903,Hoja1!$B$1:$C$6191,2,0)),"No esta en Infor")</f>
        <v>NAC0781</v>
      </c>
      <c r="C903" s="19" t="s">
        <v>162</v>
      </c>
      <c r="D903" s="9">
        <v>0</v>
      </c>
      <c r="E903" s="9">
        <v>0</v>
      </c>
      <c r="F903" s="9">
        <v>-340</v>
      </c>
      <c r="G903" s="9">
        <v>0</v>
      </c>
      <c r="H903" s="9">
        <v>-390</v>
      </c>
      <c r="I903" s="9">
        <v>0</v>
      </c>
      <c r="J903" s="9">
        <v>-730</v>
      </c>
    </row>
    <row r="904" spans="1:10" ht="15.75" x14ac:dyDescent="0.25">
      <c r="A904" s="21">
        <v>45382</v>
      </c>
      <c r="B904" t="str">
        <f>IFERROR(IF(VLOOKUP(C904,Hoja1!$B$1:$C$6191,2,0)="",_xlfn.XLOOKUP(C904,Hoja1!$B$2:$B$6191,Hoja1!$A$2:$A$6191),VLOOKUP(C904,Hoja1!$B$1:$C$6191,2,0)),"No esta en Infor")</f>
        <v>NAC0788</v>
      </c>
      <c r="C904" s="19" t="s">
        <v>163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-366</v>
      </c>
      <c r="J904" s="9">
        <v>-366</v>
      </c>
    </row>
    <row r="905" spans="1:10" ht="15.75" x14ac:dyDescent="0.25">
      <c r="A905" s="21">
        <v>45382</v>
      </c>
      <c r="B905" t="str">
        <f>IFERROR(IF(VLOOKUP(C905,Hoja1!$B$1:$C$6191,2,0)="",_xlfn.XLOOKUP(C905,Hoja1!$B$2:$B$6191,Hoja1!$A$2:$A$6191),VLOOKUP(C905,Hoja1!$B$1:$C$6191,2,0)),"No esta en Infor")</f>
        <v>NAC0792</v>
      </c>
      <c r="C905" s="19" t="s">
        <v>164</v>
      </c>
      <c r="D905" s="9">
        <v>11097</v>
      </c>
      <c r="E905" s="9">
        <v>1760</v>
      </c>
      <c r="F905" s="9">
        <v>0</v>
      </c>
      <c r="G905" s="9">
        <v>-0.01</v>
      </c>
      <c r="H905" s="9">
        <v>0</v>
      </c>
      <c r="I905" s="9">
        <v>-0.01</v>
      </c>
      <c r="J905" s="9">
        <v>12856.98</v>
      </c>
    </row>
    <row r="906" spans="1:10" ht="15.75" x14ac:dyDescent="0.25">
      <c r="A906" s="21">
        <v>45382</v>
      </c>
      <c r="B906" t="str">
        <f>IFERROR(IF(VLOOKUP(C906,Hoja1!$B$1:$C$6191,2,0)="",_xlfn.XLOOKUP(C906,Hoja1!$B$2:$B$6191,Hoja1!$A$2:$A$6191),VLOOKUP(C906,Hoja1!$B$1:$C$6191,2,0)),"No esta en Infor")</f>
        <v>NAC1612</v>
      </c>
      <c r="C906" s="19" t="s">
        <v>394</v>
      </c>
      <c r="D906" s="9">
        <v>0</v>
      </c>
      <c r="E906" s="9">
        <v>-0.01</v>
      </c>
      <c r="F906" s="9">
        <v>0</v>
      </c>
      <c r="G906" s="9">
        <v>0</v>
      </c>
      <c r="H906" s="9">
        <v>0</v>
      </c>
      <c r="I906" s="9">
        <v>0</v>
      </c>
      <c r="J906" s="9">
        <v>-0.01</v>
      </c>
    </row>
    <row r="907" spans="1:10" ht="15.75" x14ac:dyDescent="0.25">
      <c r="A907" s="21">
        <v>45382</v>
      </c>
      <c r="B907" t="str">
        <f>IFERROR(IF(VLOOKUP(C907,Hoja1!$B$1:$C$6191,2,0)="",_xlfn.XLOOKUP(C907,Hoja1!$B$2:$B$6191,Hoja1!$A$2:$A$6191),VLOOKUP(C907,Hoja1!$B$1:$C$6191,2,0)),"No esta en Infor")</f>
        <v>NAC1612</v>
      </c>
      <c r="C907" s="19" t="s">
        <v>165</v>
      </c>
      <c r="D907" s="9">
        <v>0</v>
      </c>
      <c r="E907" s="9">
        <v>-0.01</v>
      </c>
      <c r="F907" s="9">
        <v>0</v>
      </c>
      <c r="G907" s="9">
        <v>0</v>
      </c>
      <c r="H907" s="9">
        <v>0</v>
      </c>
      <c r="I907" s="9">
        <v>0</v>
      </c>
      <c r="J907" s="9">
        <v>-0.01</v>
      </c>
    </row>
    <row r="908" spans="1:10" ht="15.75" x14ac:dyDescent="0.25">
      <c r="A908" s="21">
        <v>45382</v>
      </c>
      <c r="B908" t="str">
        <f>IFERROR(IF(VLOOKUP(C908,Hoja1!$B$1:$C$6191,2,0)="",_xlfn.XLOOKUP(C908,Hoja1!$B$2:$B$6191,Hoja1!$A$2:$A$6191),VLOOKUP(C908,Hoja1!$B$1:$C$6191,2,0)),"No esta en Infor")</f>
        <v>NAC0796</v>
      </c>
      <c r="C908" s="19" t="s">
        <v>395</v>
      </c>
      <c r="D908" s="9">
        <v>0</v>
      </c>
      <c r="E908" s="9">
        <v>322.39</v>
      </c>
      <c r="F908" s="9">
        <v>0</v>
      </c>
      <c r="G908" s="9">
        <v>0</v>
      </c>
      <c r="H908" s="9">
        <v>0</v>
      </c>
      <c r="I908" s="9">
        <v>0</v>
      </c>
      <c r="J908" s="9">
        <v>322.39</v>
      </c>
    </row>
    <row r="909" spans="1:10" ht="15.75" x14ac:dyDescent="0.25">
      <c r="A909" s="21">
        <v>45382</v>
      </c>
      <c r="B909" t="str">
        <f>IFERROR(IF(VLOOKUP(C909,Hoja1!$B$1:$C$6191,2,0)="",_xlfn.XLOOKUP(C909,Hoja1!$B$2:$B$6191,Hoja1!$A$2:$A$6191),VLOOKUP(C909,Hoja1!$B$1:$C$6191,2,0)),"No esta en Infor")</f>
        <v>NAC0798</v>
      </c>
      <c r="C909" s="19" t="s">
        <v>167</v>
      </c>
      <c r="D909" s="9">
        <v>0</v>
      </c>
      <c r="E909" s="9">
        <v>753</v>
      </c>
      <c r="F909" s="9">
        <v>0</v>
      </c>
      <c r="G909" s="9">
        <v>0</v>
      </c>
      <c r="H909" s="9">
        <v>0</v>
      </c>
      <c r="I909" s="9">
        <v>0</v>
      </c>
      <c r="J909" s="9">
        <v>753</v>
      </c>
    </row>
    <row r="910" spans="1:10" ht="15.75" x14ac:dyDescent="0.25">
      <c r="A910" s="21">
        <v>45382</v>
      </c>
      <c r="B910" t="str">
        <f>IFERROR(IF(VLOOKUP(C910,Hoja1!$B$1:$C$6191,2,0)="",_xlfn.XLOOKUP(C910,Hoja1!$B$2:$B$6191,Hoja1!$A$2:$A$6191),VLOOKUP(C910,Hoja1!$B$1:$C$6191,2,0)),"No esta en Infor")</f>
        <v>NAC0801</v>
      </c>
      <c r="C910" s="19" t="s">
        <v>168</v>
      </c>
      <c r="D910" s="9">
        <v>570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570</v>
      </c>
    </row>
    <row r="911" spans="1:10" ht="15.75" x14ac:dyDescent="0.25">
      <c r="A911" s="21">
        <v>45382</v>
      </c>
      <c r="B911" t="str">
        <f>IFERROR(IF(VLOOKUP(C911,Hoja1!$B$1:$C$6191,2,0)="",_xlfn.XLOOKUP(C911,Hoja1!$B$2:$B$6191,Hoja1!$A$2:$A$6191),VLOOKUP(C911,Hoja1!$B$1:$C$6191,2,0)),"No esta en Infor")</f>
        <v>NAC0805</v>
      </c>
      <c r="C911" s="19" t="s">
        <v>170</v>
      </c>
      <c r="D911" s="9">
        <v>0</v>
      </c>
      <c r="E911" s="9">
        <v>0</v>
      </c>
      <c r="F911" s="9">
        <v>0</v>
      </c>
      <c r="G911" s="9">
        <v>0</v>
      </c>
      <c r="H911" s="9">
        <v>-0.03</v>
      </c>
      <c r="I911" s="9">
        <v>0</v>
      </c>
      <c r="J911" s="9">
        <v>-0.03</v>
      </c>
    </row>
    <row r="912" spans="1:10" ht="15.75" x14ac:dyDescent="0.25">
      <c r="A912" s="21">
        <v>45382</v>
      </c>
      <c r="B912" t="str">
        <f>IFERROR(IF(VLOOKUP(C912,Hoja1!$B$1:$C$6191,2,0)="",_xlfn.XLOOKUP(C912,Hoja1!$B$2:$B$6191,Hoja1!$A$2:$A$6191),VLOOKUP(C912,Hoja1!$B$1:$C$6191,2,0)),"No esta en Infor")</f>
        <v>CAN0019</v>
      </c>
      <c r="C912" s="19" t="s">
        <v>172</v>
      </c>
      <c r="D912" s="9">
        <v>7621.5</v>
      </c>
      <c r="E912" s="9">
        <v>15950.08</v>
      </c>
      <c r="F912" s="9">
        <v>0</v>
      </c>
      <c r="G912" s="9">
        <v>0</v>
      </c>
      <c r="H912" s="9">
        <v>0</v>
      </c>
      <c r="I912" s="9">
        <v>0</v>
      </c>
      <c r="J912" s="9">
        <v>23571.58</v>
      </c>
    </row>
    <row r="913" spans="1:10" ht="15.75" x14ac:dyDescent="0.25">
      <c r="A913" s="21">
        <v>45382</v>
      </c>
      <c r="B913" t="str">
        <f>IFERROR(IF(VLOOKUP(C913,Hoja1!$B$1:$C$6191,2,0)="",_xlfn.XLOOKUP(C913,Hoja1!$B$2:$B$6191,Hoja1!$A$2:$A$6191),VLOOKUP(C913,Hoja1!$B$1:$C$6191,2,0)),"No esta en Infor")</f>
        <v>NAC0811</v>
      </c>
      <c r="C913" s="19" t="s">
        <v>173</v>
      </c>
      <c r="D913" s="9">
        <v>1500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1500</v>
      </c>
    </row>
    <row r="914" spans="1:10" ht="15.75" x14ac:dyDescent="0.25">
      <c r="A914" s="21">
        <v>45382</v>
      </c>
      <c r="B914" t="str">
        <f>IFERROR(IF(VLOOKUP(C914,Hoja1!$B$1:$C$6191,2,0)="",_xlfn.XLOOKUP(C914,Hoja1!$B$2:$B$6191,Hoja1!$A$2:$A$6191),VLOOKUP(C914,Hoja1!$B$1:$C$6191,2,0)),"No esta en Infor")</f>
        <v>CAN0020</v>
      </c>
      <c r="C914" s="19" t="s">
        <v>174</v>
      </c>
      <c r="D914" s="9">
        <v>0</v>
      </c>
      <c r="E914" s="9">
        <v>-36.4</v>
      </c>
      <c r="F914" s="9">
        <v>0</v>
      </c>
      <c r="G914" s="9">
        <v>0</v>
      </c>
      <c r="H914" s="9">
        <v>0</v>
      </c>
      <c r="I914" s="9">
        <v>0</v>
      </c>
      <c r="J914" s="9">
        <v>-36.4</v>
      </c>
    </row>
    <row r="915" spans="1:10" ht="15.75" x14ac:dyDescent="0.25">
      <c r="A915" s="21">
        <v>45382</v>
      </c>
      <c r="B915" t="str">
        <f>IFERROR(IF(VLOOKUP(C915,Hoja1!$B$1:$C$6191,2,0)="",_xlfn.XLOOKUP(C915,Hoja1!$B$2:$B$6191,Hoja1!$A$2:$A$6191),VLOOKUP(C915,Hoja1!$B$1:$C$6191,2,0)),"No esta en Infor")</f>
        <v>NAC0814</v>
      </c>
      <c r="C915" s="19" t="s">
        <v>175</v>
      </c>
      <c r="D915" s="9">
        <v>511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511</v>
      </c>
    </row>
    <row r="916" spans="1:10" ht="15.75" x14ac:dyDescent="0.25">
      <c r="A916" s="21">
        <v>45382</v>
      </c>
      <c r="B916" t="str">
        <f>IFERROR(IF(VLOOKUP(C916,Hoja1!$B$1:$C$6191,2,0)="",_xlfn.XLOOKUP(C916,Hoja1!$B$2:$B$6191,Hoja1!$A$2:$A$6191),VLOOKUP(C916,Hoja1!$B$1:$C$6191,2,0)),"No esta en Infor")</f>
        <v>NAC0816</v>
      </c>
      <c r="C916" s="19" t="s">
        <v>176</v>
      </c>
      <c r="D916" s="9">
        <v>0</v>
      </c>
      <c r="E916" s="9">
        <v>279</v>
      </c>
      <c r="F916" s="9">
        <v>0</v>
      </c>
      <c r="G916" s="9">
        <v>0</v>
      </c>
      <c r="H916" s="9">
        <v>0</v>
      </c>
      <c r="I916" s="9">
        <v>0</v>
      </c>
      <c r="J916" s="9">
        <v>279</v>
      </c>
    </row>
    <row r="917" spans="1:10" ht="15.75" x14ac:dyDescent="0.25">
      <c r="A917" s="21">
        <v>45382</v>
      </c>
      <c r="B917" t="str">
        <f>IFERROR(IF(VLOOKUP(C917,Hoja1!$B$1:$C$6191,2,0)="",_xlfn.XLOOKUP(C917,Hoja1!$B$2:$B$6191,Hoja1!$A$2:$A$6191),VLOOKUP(C917,Hoja1!$B$1:$C$6191,2,0)),"No esta en Infor")</f>
        <v>NAC0818</v>
      </c>
      <c r="C917" s="19" t="s">
        <v>177</v>
      </c>
      <c r="D917" s="9">
        <v>0</v>
      </c>
      <c r="E917" s="9">
        <v>-24146.95</v>
      </c>
      <c r="F917" s="9">
        <v>0</v>
      </c>
      <c r="G917" s="9">
        <v>0</v>
      </c>
      <c r="H917" s="9">
        <v>0</v>
      </c>
      <c r="I917" s="9">
        <v>-26</v>
      </c>
      <c r="J917" s="9">
        <v>-24172.95</v>
      </c>
    </row>
    <row r="918" spans="1:10" ht="15.75" x14ac:dyDescent="0.25">
      <c r="A918" s="21">
        <v>45382</v>
      </c>
      <c r="B918" t="str">
        <f>IFERROR(IF(VLOOKUP(C918,Hoja1!$B$1:$C$6191,2,0)="",_xlfn.XLOOKUP(C918,Hoja1!$B$2:$B$6191,Hoja1!$A$2:$A$6191),VLOOKUP(C918,Hoja1!$B$1:$C$6191,2,0)),"No esta en Infor")</f>
        <v>NAC0824</v>
      </c>
      <c r="C918" s="19" t="s">
        <v>178</v>
      </c>
      <c r="D918" s="9">
        <v>0</v>
      </c>
      <c r="E918" s="9">
        <v>674.6</v>
      </c>
      <c r="F918" s="9">
        <v>0</v>
      </c>
      <c r="G918" s="9">
        <v>0</v>
      </c>
      <c r="H918" s="9">
        <v>0</v>
      </c>
      <c r="I918" s="9">
        <v>0</v>
      </c>
      <c r="J918" s="9">
        <v>674.6</v>
      </c>
    </row>
    <row r="919" spans="1:10" ht="15.75" x14ac:dyDescent="0.25">
      <c r="A919" s="21">
        <v>45382</v>
      </c>
      <c r="B919" t="str">
        <f>IFERROR(IF(VLOOKUP(C919,Hoja1!$B$1:$C$6191,2,0)="",_xlfn.XLOOKUP(C919,Hoja1!$B$2:$B$6191,Hoja1!$A$2:$A$6191),VLOOKUP(C919,Hoja1!$B$1:$C$6191,2,0)),"No esta en Infor")</f>
        <v>NAC0825</v>
      </c>
      <c r="C919" s="19" t="s">
        <v>179</v>
      </c>
      <c r="D919" s="9">
        <v>2901.6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2901.6</v>
      </c>
    </row>
    <row r="920" spans="1:10" ht="15.75" x14ac:dyDescent="0.25">
      <c r="A920" s="21">
        <v>45382</v>
      </c>
      <c r="B920" t="str">
        <f>IFERROR(IF(VLOOKUP(C920,Hoja1!$B$1:$C$6191,2,0)="",_xlfn.XLOOKUP(C920,Hoja1!$B$2:$B$6191,Hoja1!$A$2:$A$6191),VLOOKUP(C920,Hoja1!$B$1:$C$6191,2,0)),"No esta en Infor")</f>
        <v>NAC0835</v>
      </c>
      <c r="C920" s="19" t="s">
        <v>182</v>
      </c>
      <c r="D920" s="9">
        <v>0</v>
      </c>
      <c r="E920" s="9">
        <v>0</v>
      </c>
      <c r="F920" s="9">
        <v>0</v>
      </c>
      <c r="G920" s="9">
        <v>0</v>
      </c>
      <c r="H920" s="9">
        <v>0</v>
      </c>
      <c r="I920" s="9">
        <v>-188.04</v>
      </c>
      <c r="J920" s="9">
        <v>-188.04</v>
      </c>
    </row>
    <row r="921" spans="1:10" ht="15.75" x14ac:dyDescent="0.25">
      <c r="A921" s="21">
        <v>45382</v>
      </c>
      <c r="B921" t="str">
        <f>IFERROR(IF(VLOOKUP(C921,Hoja1!$B$1:$C$6191,2,0)="",_xlfn.XLOOKUP(C921,Hoja1!$B$2:$B$6191,Hoja1!$A$2:$A$6191),VLOOKUP(C921,Hoja1!$B$1:$C$6191,2,0)),"No esta en Infor")</f>
        <v>NAC0838</v>
      </c>
      <c r="C921" s="19" t="s">
        <v>396</v>
      </c>
      <c r="D921" s="9">
        <v>0</v>
      </c>
      <c r="E921" s="9">
        <v>54</v>
      </c>
      <c r="F921" s="9">
        <v>0</v>
      </c>
      <c r="G921" s="9">
        <v>0</v>
      </c>
      <c r="H921" s="9">
        <v>0</v>
      </c>
      <c r="I921" s="9">
        <v>0</v>
      </c>
      <c r="J921" s="9">
        <v>54</v>
      </c>
    </row>
    <row r="922" spans="1:10" ht="15.75" x14ac:dyDescent="0.25">
      <c r="A922" s="21">
        <v>45382</v>
      </c>
      <c r="B922" t="str">
        <f>IFERROR(IF(VLOOKUP(C922,Hoja1!$B$1:$C$6191,2,0)="",_xlfn.XLOOKUP(C922,Hoja1!$B$2:$B$6191,Hoja1!$A$2:$A$6191),VLOOKUP(C922,Hoja1!$B$1:$C$6191,2,0)),"No esta en Infor")</f>
        <v>NAC0844</v>
      </c>
      <c r="C922" s="19" t="s">
        <v>22</v>
      </c>
      <c r="D922" s="9">
        <v>0</v>
      </c>
      <c r="E922" s="9">
        <v>0</v>
      </c>
      <c r="F922" s="9">
        <v>0</v>
      </c>
      <c r="G922" s="9">
        <v>63</v>
      </c>
      <c r="H922" s="9">
        <v>0</v>
      </c>
      <c r="I922" s="9">
        <v>0</v>
      </c>
      <c r="J922" s="9">
        <v>63</v>
      </c>
    </row>
    <row r="923" spans="1:10" ht="15.75" x14ac:dyDescent="0.25">
      <c r="A923" s="21">
        <v>45382</v>
      </c>
      <c r="B923" t="str">
        <f>IFERROR(IF(VLOOKUP(C923,Hoja1!$B$1:$C$6191,2,0)="",_xlfn.XLOOKUP(C923,Hoja1!$B$2:$B$6191,Hoja1!$A$2:$A$6191),VLOOKUP(C923,Hoja1!$B$1:$C$6191,2,0)),"No esta en Infor")</f>
        <v>NAC0847</v>
      </c>
      <c r="C923" s="19" t="s">
        <v>184</v>
      </c>
      <c r="D923" s="9">
        <v>0</v>
      </c>
      <c r="E923" s="9">
        <v>0</v>
      </c>
      <c r="F923" s="9">
        <v>0</v>
      </c>
      <c r="G923" s="9">
        <v>-1</v>
      </c>
      <c r="H923" s="9">
        <v>0</v>
      </c>
      <c r="I923" s="9">
        <v>0</v>
      </c>
      <c r="J923" s="9">
        <v>-1</v>
      </c>
    </row>
    <row r="924" spans="1:10" ht="15.75" x14ac:dyDescent="0.25">
      <c r="A924" s="21">
        <v>45382</v>
      </c>
      <c r="B924" t="str">
        <f>IFERROR(IF(VLOOKUP(C924,Hoja1!$B$1:$C$6191,2,0)="",_xlfn.XLOOKUP(C924,Hoja1!$B$2:$B$6191,Hoja1!$A$2:$A$6191),VLOOKUP(C924,Hoja1!$B$1:$C$6191,2,0)),"No esta en Infor")</f>
        <v>NAC0851</v>
      </c>
      <c r="C924" s="19" t="s">
        <v>185</v>
      </c>
      <c r="D924" s="9">
        <v>0</v>
      </c>
      <c r="E924" s="9">
        <v>-151.19999999999999</v>
      </c>
      <c r="F924" s="9">
        <v>-680.4</v>
      </c>
      <c r="G924" s="9">
        <v>0</v>
      </c>
      <c r="H924" s="9">
        <v>0</v>
      </c>
      <c r="I924" s="9">
        <v>0</v>
      </c>
      <c r="J924" s="9">
        <v>-831.6</v>
      </c>
    </row>
    <row r="925" spans="1:10" ht="15.75" x14ac:dyDescent="0.25">
      <c r="A925" s="21">
        <v>45382</v>
      </c>
      <c r="B925" t="str">
        <f>IFERROR(IF(VLOOKUP(C925,Hoja1!$B$1:$C$6191,2,0)="",_xlfn.XLOOKUP(C925,Hoja1!$B$2:$B$6191,Hoja1!$A$2:$A$6191),VLOOKUP(C925,Hoja1!$B$1:$C$6191,2,0)),"No esta en Infor")</f>
        <v>SH00787</v>
      </c>
      <c r="C925" s="19" t="s">
        <v>186</v>
      </c>
      <c r="D925" s="9">
        <v>0</v>
      </c>
      <c r="E925" s="9">
        <v>0</v>
      </c>
      <c r="F925" s="9">
        <v>174.63</v>
      </c>
      <c r="G925" s="9">
        <v>0</v>
      </c>
      <c r="H925" s="9">
        <v>0</v>
      </c>
      <c r="I925" s="9">
        <v>0</v>
      </c>
      <c r="J925" s="9">
        <v>174.63</v>
      </c>
    </row>
    <row r="926" spans="1:10" ht="15.75" x14ac:dyDescent="0.25">
      <c r="A926" s="21">
        <v>45382</v>
      </c>
      <c r="B926" t="str">
        <f>IFERROR(IF(VLOOKUP(C926,Hoja1!$B$1:$C$6191,2,0)="",_xlfn.XLOOKUP(C926,Hoja1!$B$2:$B$6191,Hoja1!$A$2:$A$6191),VLOOKUP(C926,Hoja1!$B$1:$C$6191,2,0)),"No esta en Infor")</f>
        <v>No esta en Infor</v>
      </c>
      <c r="C926" s="19" t="s">
        <v>187</v>
      </c>
      <c r="D926" s="9">
        <v>0</v>
      </c>
      <c r="E926" s="9">
        <v>0</v>
      </c>
      <c r="F926" s="9">
        <v>-4.6500000000000004</v>
      </c>
      <c r="G926" s="9">
        <v>0</v>
      </c>
      <c r="H926" s="9">
        <v>0</v>
      </c>
      <c r="I926" s="9">
        <v>0</v>
      </c>
      <c r="J926" s="9">
        <v>-4.6500000000000004</v>
      </c>
    </row>
    <row r="927" spans="1:10" ht="15.75" x14ac:dyDescent="0.25">
      <c r="A927" s="21">
        <v>45382</v>
      </c>
      <c r="B927" t="str">
        <f>IFERROR(IF(VLOOKUP(C927,Hoja1!$B$1:$C$6191,2,0)="",_xlfn.XLOOKUP(C927,Hoja1!$B$2:$B$6191,Hoja1!$A$2:$A$6191),VLOOKUP(C927,Hoja1!$B$1:$C$6191,2,0)),"No esta en Infor")</f>
        <v>NAC0858</v>
      </c>
      <c r="C927" s="19" t="s">
        <v>188</v>
      </c>
      <c r="D927" s="9">
        <v>1890</v>
      </c>
      <c r="E927" s="9">
        <v>100</v>
      </c>
      <c r="F927" s="9">
        <v>0</v>
      </c>
      <c r="G927" s="9">
        <v>0</v>
      </c>
      <c r="H927" s="9">
        <v>0</v>
      </c>
      <c r="I927" s="9">
        <v>0</v>
      </c>
      <c r="J927" s="9">
        <v>1990</v>
      </c>
    </row>
    <row r="928" spans="1:10" ht="15.75" x14ac:dyDescent="0.25">
      <c r="A928" s="21">
        <v>45382</v>
      </c>
      <c r="B928" t="str">
        <f>IFERROR(IF(VLOOKUP(C928,Hoja1!$B$1:$C$6191,2,0)="",_xlfn.XLOOKUP(C928,Hoja1!$B$2:$B$6191,Hoja1!$A$2:$A$6191),VLOOKUP(C928,Hoja1!$B$1:$C$6191,2,0)),"No esta en Infor")</f>
        <v>CAN0022</v>
      </c>
      <c r="C928" s="19" t="s">
        <v>397</v>
      </c>
      <c r="D928" s="9">
        <v>0</v>
      </c>
      <c r="E928" s="9">
        <v>4739.67</v>
      </c>
      <c r="F928" s="9">
        <v>0</v>
      </c>
      <c r="G928" s="9">
        <v>0</v>
      </c>
      <c r="H928" s="9">
        <v>0</v>
      </c>
      <c r="I928" s="9">
        <v>0</v>
      </c>
      <c r="J928" s="9">
        <v>4739.67</v>
      </c>
    </row>
    <row r="929" spans="1:10" ht="15.75" x14ac:dyDescent="0.25">
      <c r="A929" s="21">
        <v>45382</v>
      </c>
      <c r="B929" t="str">
        <f>IFERROR(IF(VLOOKUP(C929,Hoja1!$B$1:$C$6191,2,0)="",_xlfn.XLOOKUP(C929,Hoja1!$B$2:$B$6191,Hoja1!$A$2:$A$6191),VLOOKUP(C929,Hoja1!$B$1:$C$6191,2,0)),"No esta en Infor")</f>
        <v>NAC0862</v>
      </c>
      <c r="C929" s="19" t="s">
        <v>190</v>
      </c>
      <c r="D929" s="9">
        <v>949.14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949.14</v>
      </c>
    </row>
    <row r="930" spans="1:10" ht="15.75" x14ac:dyDescent="0.25">
      <c r="A930" s="21">
        <v>45382</v>
      </c>
      <c r="B930" t="str">
        <f>IFERROR(IF(VLOOKUP(C930,Hoja1!$B$1:$C$6191,2,0)="",_xlfn.XLOOKUP(C930,Hoja1!$B$2:$B$6191,Hoja1!$A$2:$A$6191),VLOOKUP(C930,Hoja1!$B$1:$C$6191,2,0)),"No esta en Infor")</f>
        <v>NAC0863</v>
      </c>
      <c r="C930" s="19" t="s">
        <v>398</v>
      </c>
      <c r="D930" s="9">
        <v>0</v>
      </c>
      <c r="E930" s="9">
        <v>-12745.67</v>
      </c>
      <c r="F930" s="9">
        <v>0</v>
      </c>
      <c r="G930" s="9">
        <v>0</v>
      </c>
      <c r="H930" s="9">
        <v>0</v>
      </c>
      <c r="I930" s="9">
        <v>0</v>
      </c>
      <c r="J930" s="9">
        <v>-12745.67</v>
      </c>
    </row>
    <row r="931" spans="1:10" ht="15.75" x14ac:dyDescent="0.25">
      <c r="A931" s="21">
        <v>45382</v>
      </c>
      <c r="B931" t="str">
        <f>IFERROR(IF(VLOOKUP(C931,Hoja1!$B$1:$C$6191,2,0)="",_xlfn.XLOOKUP(C931,Hoja1!$B$2:$B$6191,Hoja1!$A$2:$A$6191),VLOOKUP(C931,Hoja1!$B$1:$C$6191,2,0)),"No esta en Infor")</f>
        <v>NAC0865</v>
      </c>
      <c r="C931" s="19" t="s">
        <v>23</v>
      </c>
      <c r="D931" s="9">
        <v>0</v>
      </c>
      <c r="E931" s="9">
        <v>7420.4</v>
      </c>
      <c r="F931" s="9">
        <v>0</v>
      </c>
      <c r="G931" s="9">
        <v>0</v>
      </c>
      <c r="H931" s="9">
        <v>0</v>
      </c>
      <c r="I931" s="9">
        <v>0</v>
      </c>
      <c r="J931" s="9">
        <v>7420.4</v>
      </c>
    </row>
    <row r="932" spans="1:10" ht="15.75" x14ac:dyDescent="0.25">
      <c r="A932" s="21">
        <v>45382</v>
      </c>
      <c r="B932" t="str">
        <f>IFERROR(IF(VLOOKUP(C932,Hoja1!$B$1:$C$6191,2,0)="",_xlfn.XLOOKUP(C932,Hoja1!$B$2:$B$6191,Hoja1!$A$2:$A$6191),VLOOKUP(C932,Hoja1!$B$1:$C$6191,2,0)),"No esta en Infor")</f>
        <v>NAC0866</v>
      </c>
      <c r="C932" s="19" t="s">
        <v>191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-622</v>
      </c>
      <c r="J932" s="9">
        <v>-622</v>
      </c>
    </row>
    <row r="933" spans="1:10" ht="15.75" x14ac:dyDescent="0.25">
      <c r="A933" s="21">
        <v>45382</v>
      </c>
      <c r="B933" t="str">
        <f>IFERROR(IF(VLOOKUP(C933,Hoja1!$B$1:$C$6191,2,0)="",_xlfn.XLOOKUP(C933,Hoja1!$B$2:$B$6191,Hoja1!$A$2:$A$6191),VLOOKUP(C933,Hoja1!$B$1:$C$6191,2,0)),"No esta en Infor")</f>
        <v>NAC0869</v>
      </c>
      <c r="C933" s="19" t="s">
        <v>192</v>
      </c>
      <c r="D933" s="9">
        <v>1141.2</v>
      </c>
      <c r="E933" s="9">
        <v>275.05</v>
      </c>
      <c r="F933" s="9">
        <v>-70.3</v>
      </c>
      <c r="G933" s="9">
        <v>-0.95</v>
      </c>
      <c r="H933" s="9">
        <v>-802.53</v>
      </c>
      <c r="I933" s="9">
        <v>-430.27</v>
      </c>
      <c r="J933" s="9">
        <v>112.2</v>
      </c>
    </row>
    <row r="934" spans="1:10" ht="15.75" x14ac:dyDescent="0.25">
      <c r="A934" s="21">
        <v>45382</v>
      </c>
      <c r="B934" t="str">
        <f>IFERROR(IF(VLOOKUP(C934,Hoja1!$B$1:$C$6191,2,0)="",_xlfn.XLOOKUP(C934,Hoja1!$B$2:$B$6191,Hoja1!$A$2:$A$6191),VLOOKUP(C934,Hoja1!$B$1:$C$6191,2,0)),"No esta en Infor")</f>
        <v>NAC0871</v>
      </c>
      <c r="C934" s="19" t="s">
        <v>193</v>
      </c>
      <c r="D934" s="9">
        <v>14300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14300</v>
      </c>
    </row>
    <row r="935" spans="1:10" ht="15.75" x14ac:dyDescent="0.25">
      <c r="A935" s="21">
        <v>45382</v>
      </c>
      <c r="B935" t="str">
        <f>IFERROR(IF(VLOOKUP(C935,Hoja1!$B$1:$C$6191,2,0)="",_xlfn.XLOOKUP(C935,Hoja1!$B$2:$B$6191,Hoja1!$A$2:$A$6191),VLOOKUP(C935,Hoja1!$B$1:$C$6191,2,0)),"No esta en Infor")</f>
        <v>NAC0873</v>
      </c>
      <c r="C935" s="19" t="s">
        <v>455</v>
      </c>
      <c r="D935" s="9">
        <v>181.38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181.38</v>
      </c>
    </row>
    <row r="936" spans="1:10" ht="15.75" x14ac:dyDescent="0.25">
      <c r="A936" s="21">
        <v>45382</v>
      </c>
      <c r="B936" t="str">
        <f>IFERROR(IF(VLOOKUP(C936,Hoja1!$B$1:$C$6191,2,0)="",_xlfn.XLOOKUP(C936,Hoja1!$B$2:$B$6191,Hoja1!$A$2:$A$6191),VLOOKUP(C936,Hoja1!$B$1:$C$6191,2,0)),"No esta en Infor")</f>
        <v>NAC0879</v>
      </c>
      <c r="C936" s="19" t="s">
        <v>194</v>
      </c>
      <c r="D936" s="9">
        <v>0</v>
      </c>
      <c r="E936" s="9">
        <v>-117.9</v>
      </c>
      <c r="F936" s="9">
        <v>0</v>
      </c>
      <c r="G936" s="9">
        <v>0</v>
      </c>
      <c r="H936" s="9">
        <v>0</v>
      </c>
      <c r="I936" s="9">
        <v>0</v>
      </c>
      <c r="J936" s="9">
        <v>-117.9</v>
      </c>
    </row>
    <row r="937" spans="1:10" ht="15.75" x14ac:dyDescent="0.25">
      <c r="A937" s="21">
        <v>45382</v>
      </c>
      <c r="B937" t="str">
        <f>IFERROR(IF(VLOOKUP(C937,Hoja1!$B$1:$C$6191,2,0)="",_xlfn.XLOOKUP(C937,Hoja1!$B$2:$B$6191,Hoja1!$A$2:$A$6191),VLOOKUP(C937,Hoja1!$B$1:$C$6191,2,0)),"No esta en Infor")</f>
        <v>NAC0881</v>
      </c>
      <c r="C937" s="19" t="s">
        <v>195</v>
      </c>
      <c r="D937" s="9">
        <v>50169.52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50169.52</v>
      </c>
    </row>
    <row r="938" spans="1:10" ht="15.75" x14ac:dyDescent="0.25">
      <c r="A938" s="21">
        <v>45382</v>
      </c>
      <c r="B938" t="str">
        <f>IFERROR(IF(VLOOKUP(C938,Hoja1!$B$1:$C$6191,2,0)="",_xlfn.XLOOKUP(C938,Hoja1!$B$2:$B$6191,Hoja1!$A$2:$A$6191),VLOOKUP(C938,Hoja1!$B$1:$C$6191,2,0)),"No esta en Infor")</f>
        <v>NAC0886</v>
      </c>
      <c r="C938" s="19" t="s">
        <v>196</v>
      </c>
      <c r="D938" s="9">
        <v>0</v>
      </c>
      <c r="E938" s="9">
        <v>32342.53</v>
      </c>
      <c r="F938" s="9">
        <v>0</v>
      </c>
      <c r="G938" s="9">
        <v>0</v>
      </c>
      <c r="H938" s="9">
        <v>0</v>
      </c>
      <c r="I938" s="9">
        <v>0</v>
      </c>
      <c r="J938" s="9">
        <v>32342.53</v>
      </c>
    </row>
    <row r="939" spans="1:10" ht="15.75" x14ac:dyDescent="0.25">
      <c r="A939" s="21">
        <v>45382</v>
      </c>
      <c r="B939" t="str">
        <f>IFERROR(IF(VLOOKUP(C939,Hoja1!$B$1:$C$6191,2,0)="",_xlfn.XLOOKUP(C939,Hoja1!$B$2:$B$6191,Hoja1!$A$2:$A$6191),VLOOKUP(C939,Hoja1!$B$1:$C$6191,2,0)),"No esta en Infor")</f>
        <v>NAC0888</v>
      </c>
      <c r="C939" s="19" t="s">
        <v>198</v>
      </c>
      <c r="D939" s="9">
        <v>0</v>
      </c>
      <c r="E939" s="9">
        <v>8775</v>
      </c>
      <c r="F939" s="9">
        <v>0</v>
      </c>
      <c r="G939" s="9">
        <v>0</v>
      </c>
      <c r="H939" s="9">
        <v>0</v>
      </c>
      <c r="I939" s="9">
        <v>0</v>
      </c>
      <c r="J939" s="9">
        <v>8775</v>
      </c>
    </row>
    <row r="940" spans="1:10" ht="15.75" x14ac:dyDescent="0.25">
      <c r="A940" s="21">
        <v>45382</v>
      </c>
      <c r="B940" t="str">
        <f>IFERROR(IF(VLOOKUP(C940,Hoja1!$B$1:$C$6191,2,0)="",_xlfn.XLOOKUP(C940,Hoja1!$B$2:$B$6191,Hoja1!$A$2:$A$6191),VLOOKUP(C940,Hoja1!$B$1:$C$6191,2,0)),"No esta en Infor")</f>
        <v>NAC0894</v>
      </c>
      <c r="C940" s="19" t="s">
        <v>199</v>
      </c>
      <c r="D940" s="9">
        <v>6180</v>
      </c>
      <c r="E940" s="9">
        <v>-8460</v>
      </c>
      <c r="F940" s="9">
        <v>0</v>
      </c>
      <c r="G940" s="9">
        <v>0</v>
      </c>
      <c r="H940" s="9">
        <v>0</v>
      </c>
      <c r="I940" s="9">
        <v>0</v>
      </c>
      <c r="J940" s="9">
        <v>-2280</v>
      </c>
    </row>
    <row r="941" spans="1:10" ht="15.75" x14ac:dyDescent="0.25">
      <c r="A941" s="21">
        <v>45382</v>
      </c>
      <c r="B941" t="str">
        <f>IFERROR(IF(VLOOKUP(C941,Hoja1!$B$1:$C$6191,2,0)="",_xlfn.XLOOKUP(C941,Hoja1!$B$2:$B$6191,Hoja1!$A$2:$A$6191),VLOOKUP(C941,Hoja1!$B$1:$C$6191,2,0)),"No esta en Infor")</f>
        <v>NAC0897</v>
      </c>
      <c r="C941" s="19" t="s">
        <v>25</v>
      </c>
      <c r="D941" s="9">
        <v>13741.62</v>
      </c>
      <c r="E941" s="9">
        <v>-303.5</v>
      </c>
      <c r="F941" s="9">
        <v>0</v>
      </c>
      <c r="G941" s="9">
        <v>0</v>
      </c>
      <c r="H941" s="9">
        <v>0</v>
      </c>
      <c r="I941" s="9">
        <v>0</v>
      </c>
      <c r="J941" s="9">
        <v>13438.12</v>
      </c>
    </row>
    <row r="942" spans="1:10" ht="15.75" x14ac:dyDescent="0.25">
      <c r="A942" s="21">
        <v>45382</v>
      </c>
      <c r="B942" t="str">
        <f>IFERROR(IF(VLOOKUP(C942,Hoja1!$B$1:$C$6191,2,0)="",_xlfn.XLOOKUP(C942,Hoja1!$B$2:$B$6191,Hoja1!$A$2:$A$6191),VLOOKUP(C942,Hoja1!$B$1:$C$6191,2,0)),"No esta en Infor")</f>
        <v>NAC0898</v>
      </c>
      <c r="C942" s="19" t="s">
        <v>200</v>
      </c>
      <c r="D942" s="9">
        <v>178.5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178.5</v>
      </c>
    </row>
    <row r="943" spans="1:10" ht="15.75" x14ac:dyDescent="0.25">
      <c r="A943" s="21">
        <v>45382</v>
      </c>
      <c r="B943" t="str">
        <f>IFERROR(IF(VLOOKUP(C943,Hoja1!$B$1:$C$6191,2,0)="",_xlfn.XLOOKUP(C943,Hoja1!$B$2:$B$6191,Hoja1!$A$2:$A$6191),VLOOKUP(C943,Hoja1!$B$1:$C$6191,2,0)),"No esta en Infor")</f>
        <v>NAC0900</v>
      </c>
      <c r="C943" s="19" t="s">
        <v>201</v>
      </c>
      <c r="D943" s="9">
        <v>0</v>
      </c>
      <c r="E943" s="9">
        <v>1312.48</v>
      </c>
      <c r="F943" s="9">
        <v>413.65</v>
      </c>
      <c r="G943" s="9">
        <v>0</v>
      </c>
      <c r="H943" s="9">
        <v>0</v>
      </c>
      <c r="I943" s="9">
        <v>0</v>
      </c>
      <c r="J943" s="9">
        <v>1726.13</v>
      </c>
    </row>
    <row r="944" spans="1:10" ht="15.75" x14ac:dyDescent="0.25">
      <c r="A944" s="21">
        <v>45382</v>
      </c>
      <c r="B944" t="str">
        <f>IFERROR(IF(VLOOKUP(C944,Hoja1!$B$1:$C$6191,2,0)="",_xlfn.XLOOKUP(C944,Hoja1!$B$2:$B$6191,Hoja1!$A$2:$A$6191),VLOOKUP(C944,Hoja1!$B$1:$C$6191,2,0)),"No esta en Infor")</f>
        <v>NAC0904</v>
      </c>
      <c r="C944" s="19" t="s">
        <v>400</v>
      </c>
      <c r="D944" s="9">
        <v>0</v>
      </c>
      <c r="E944" s="9">
        <v>2066</v>
      </c>
      <c r="F944" s="9">
        <v>0</v>
      </c>
      <c r="G944" s="9">
        <v>0</v>
      </c>
      <c r="H944" s="9">
        <v>0</v>
      </c>
      <c r="I944" s="9">
        <v>0</v>
      </c>
      <c r="J944" s="9">
        <v>2066</v>
      </c>
    </row>
    <row r="945" spans="1:10" ht="15.75" x14ac:dyDescent="0.25">
      <c r="A945" s="21">
        <v>45382</v>
      </c>
      <c r="B945" t="str">
        <f>IFERROR(IF(VLOOKUP(C945,Hoja1!$B$1:$C$6191,2,0)="",_xlfn.XLOOKUP(C945,Hoja1!$B$2:$B$6191,Hoja1!$A$2:$A$6191),VLOOKUP(C945,Hoja1!$B$1:$C$6191,2,0)),"No esta en Infor")</f>
        <v>NAC0906</v>
      </c>
      <c r="C945" s="19" t="s">
        <v>456</v>
      </c>
      <c r="D945" s="9">
        <v>0</v>
      </c>
      <c r="E945" s="9">
        <v>-8.93</v>
      </c>
      <c r="F945" s="9">
        <v>0</v>
      </c>
      <c r="G945" s="9">
        <v>0</v>
      </c>
      <c r="H945" s="9">
        <v>0</v>
      </c>
      <c r="I945" s="9">
        <v>0</v>
      </c>
      <c r="J945" s="9">
        <v>-8.93</v>
      </c>
    </row>
    <row r="946" spans="1:10" ht="15.75" x14ac:dyDescent="0.25">
      <c r="A946" s="21">
        <v>45382</v>
      </c>
      <c r="B946" t="str">
        <f>IFERROR(IF(VLOOKUP(C946,Hoja1!$B$1:$C$6191,2,0)="",_xlfn.XLOOKUP(C946,Hoja1!$B$2:$B$6191,Hoja1!$A$2:$A$6191),VLOOKUP(C946,Hoja1!$B$1:$C$6191,2,0)),"No esta en Infor")</f>
        <v>NAC0914</v>
      </c>
      <c r="C946" s="19" t="s">
        <v>202</v>
      </c>
      <c r="D946" s="9">
        <v>21033.35</v>
      </c>
      <c r="E946" s="9">
        <v>0</v>
      </c>
      <c r="F946" s="9">
        <v>-100.21</v>
      </c>
      <c r="G946" s="9">
        <v>0</v>
      </c>
      <c r="H946" s="9">
        <v>0</v>
      </c>
      <c r="I946" s="9">
        <v>0</v>
      </c>
      <c r="J946" s="9">
        <v>20933.14</v>
      </c>
    </row>
    <row r="947" spans="1:10" ht="15.75" x14ac:dyDescent="0.25">
      <c r="A947" s="21">
        <v>45382</v>
      </c>
      <c r="B947" t="str">
        <f>IFERROR(IF(VLOOKUP(C947,Hoja1!$B$1:$C$6191,2,0)="",_xlfn.XLOOKUP(C947,Hoja1!$B$2:$B$6191,Hoja1!$A$2:$A$6191),VLOOKUP(C947,Hoja1!$B$1:$C$6191,2,0)),"No esta en Infor")</f>
        <v>NAC0924</v>
      </c>
      <c r="C947" s="19" t="s">
        <v>205</v>
      </c>
      <c r="D947" s="9">
        <v>219363.44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219363.44</v>
      </c>
    </row>
    <row r="948" spans="1:10" ht="15.75" x14ac:dyDescent="0.25">
      <c r="A948" s="21">
        <v>45382</v>
      </c>
      <c r="B948" t="str">
        <f>IFERROR(IF(VLOOKUP(C948,Hoja1!$B$1:$C$6191,2,0)="",_xlfn.XLOOKUP(C948,Hoja1!$B$2:$B$6191,Hoja1!$A$2:$A$6191),VLOOKUP(C948,Hoja1!$B$1:$C$6191,2,0)),"No esta en Infor")</f>
        <v>NAC0929</v>
      </c>
      <c r="C948" s="19" t="s">
        <v>207</v>
      </c>
      <c r="D948" s="9">
        <v>-2160</v>
      </c>
      <c r="E948" s="9">
        <v>8770</v>
      </c>
      <c r="F948" s="9">
        <v>0</v>
      </c>
      <c r="G948" s="9">
        <v>0</v>
      </c>
      <c r="H948" s="9">
        <v>0</v>
      </c>
      <c r="I948" s="9">
        <v>0</v>
      </c>
      <c r="J948" s="9">
        <v>6610</v>
      </c>
    </row>
    <row r="949" spans="1:10" ht="15.75" x14ac:dyDescent="0.25">
      <c r="A949" s="21">
        <v>45382</v>
      </c>
      <c r="B949" t="str">
        <f>IFERROR(IF(VLOOKUP(C949,Hoja1!$B$1:$C$6191,2,0)="",_xlfn.XLOOKUP(C949,Hoja1!$B$2:$B$6191,Hoja1!$A$2:$A$6191),VLOOKUP(C949,Hoja1!$B$1:$C$6191,2,0)),"No esta en Infor")</f>
        <v>CAN0028</v>
      </c>
      <c r="C949" s="19" t="s">
        <v>208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</row>
    <row r="950" spans="1:10" ht="15.75" x14ac:dyDescent="0.25">
      <c r="A950" s="21">
        <v>45382</v>
      </c>
      <c r="B950" t="str">
        <f>IFERROR(IF(VLOOKUP(C950,Hoja1!$B$1:$C$6191,2,0)="",_xlfn.XLOOKUP(C950,Hoja1!$B$2:$B$6191,Hoja1!$A$2:$A$6191),VLOOKUP(C950,Hoja1!$B$1:$C$6191,2,0)),"No esta en Infor")</f>
        <v>NAC0934</v>
      </c>
      <c r="C950" s="19" t="s">
        <v>209</v>
      </c>
      <c r="D950" s="9">
        <v>0</v>
      </c>
      <c r="E950" s="9">
        <v>0</v>
      </c>
      <c r="F950" s="9">
        <v>0</v>
      </c>
      <c r="G950" s="9">
        <v>0</v>
      </c>
      <c r="H950" s="9">
        <v>0</v>
      </c>
      <c r="I950" s="9">
        <v>-154</v>
      </c>
      <c r="J950" s="9">
        <v>-154</v>
      </c>
    </row>
    <row r="951" spans="1:10" ht="15.75" x14ac:dyDescent="0.25">
      <c r="A951" s="21">
        <v>45382</v>
      </c>
      <c r="B951" t="str">
        <f>IFERROR(IF(VLOOKUP(C951,Hoja1!$B$1:$C$6191,2,0)="",_xlfn.XLOOKUP(C951,Hoja1!$B$2:$B$6191,Hoja1!$A$2:$A$6191),VLOOKUP(C951,Hoja1!$B$1:$C$6191,2,0)),"No esta en Infor")</f>
        <v>CAN0030</v>
      </c>
      <c r="C951" s="19" t="s">
        <v>210</v>
      </c>
      <c r="D951" s="9">
        <v>55602.27</v>
      </c>
      <c r="E951" s="9">
        <v>15210.93</v>
      </c>
      <c r="F951" s="9">
        <v>0</v>
      </c>
      <c r="G951" s="9">
        <v>0</v>
      </c>
      <c r="H951" s="9">
        <v>0</v>
      </c>
      <c r="I951" s="9">
        <v>0</v>
      </c>
      <c r="J951" s="9">
        <v>70813.2</v>
      </c>
    </row>
    <row r="952" spans="1:10" ht="15.75" x14ac:dyDescent="0.25">
      <c r="A952" s="21">
        <v>45382</v>
      </c>
      <c r="B952" t="str">
        <f>IFERROR(IF(VLOOKUP(C952,Hoja1!$B$1:$C$6191,2,0)="",_xlfn.XLOOKUP(C952,Hoja1!$B$2:$B$6191,Hoja1!$A$2:$A$6191),VLOOKUP(C952,Hoja1!$B$1:$C$6191,2,0)),"No esta en Infor")</f>
        <v>NAC1607</v>
      </c>
      <c r="C952" s="19" t="s">
        <v>668</v>
      </c>
      <c r="D952" s="9">
        <v>0</v>
      </c>
      <c r="E952" s="9">
        <v>1.83</v>
      </c>
      <c r="F952" s="9">
        <v>0</v>
      </c>
      <c r="G952" s="9">
        <v>0</v>
      </c>
      <c r="H952" s="9">
        <v>0</v>
      </c>
      <c r="I952" s="9">
        <v>0</v>
      </c>
      <c r="J952" s="9">
        <v>1.83</v>
      </c>
    </row>
    <row r="953" spans="1:10" ht="15.75" x14ac:dyDescent="0.25">
      <c r="A953" s="21">
        <v>45382</v>
      </c>
      <c r="B953" t="str">
        <f>IFERROR(IF(VLOOKUP(C953,Hoja1!$B$1:$C$6191,2,0)="",_xlfn.XLOOKUP(C953,Hoja1!$B$2:$B$6191,Hoja1!$A$2:$A$6191),VLOOKUP(C953,Hoja1!$B$1:$C$6191,2,0)),"No esta en Infor")</f>
        <v>NAC1607</v>
      </c>
      <c r="C953" s="19" t="s">
        <v>211</v>
      </c>
      <c r="D953" s="9">
        <v>0</v>
      </c>
      <c r="E953" s="9">
        <v>-11.95</v>
      </c>
      <c r="F953" s="9">
        <v>0</v>
      </c>
      <c r="G953" s="9">
        <v>0</v>
      </c>
      <c r="H953" s="9">
        <v>0</v>
      </c>
      <c r="I953" s="9">
        <v>0</v>
      </c>
      <c r="J953" s="9">
        <v>-11.95</v>
      </c>
    </row>
    <row r="954" spans="1:10" ht="15.75" x14ac:dyDescent="0.25">
      <c r="A954" s="21">
        <v>45382</v>
      </c>
      <c r="B954" t="str">
        <f>IFERROR(IF(VLOOKUP(C954,Hoja1!$B$1:$C$6191,2,0)="",_xlfn.XLOOKUP(C954,Hoja1!$B$2:$B$6191,Hoja1!$A$2:$A$6191),VLOOKUP(C954,Hoja1!$B$1:$C$6191,2,0)),"No esta en Infor")</f>
        <v>NAC1607</v>
      </c>
      <c r="C954" s="19" t="s">
        <v>401</v>
      </c>
      <c r="D954" s="9">
        <v>0</v>
      </c>
      <c r="E954" s="9">
        <v>2.17</v>
      </c>
      <c r="F954" s="9">
        <v>0</v>
      </c>
      <c r="G954" s="9">
        <v>0</v>
      </c>
      <c r="H954" s="9">
        <v>0</v>
      </c>
      <c r="I954" s="9">
        <v>0</v>
      </c>
      <c r="J954" s="9">
        <v>2.17</v>
      </c>
    </row>
    <row r="955" spans="1:10" ht="15.75" x14ac:dyDescent="0.25">
      <c r="A955" s="21">
        <v>45382</v>
      </c>
      <c r="B955" t="str">
        <f>IFERROR(IF(VLOOKUP(C955,Hoja1!$B$1:$C$6191,2,0)="",_xlfn.XLOOKUP(C955,Hoja1!$B$2:$B$6191,Hoja1!$A$2:$A$6191),VLOOKUP(C955,Hoja1!$B$1:$C$6191,2,0)),"No esta en Infor")</f>
        <v>NAC1607</v>
      </c>
      <c r="C955" s="19" t="s">
        <v>213</v>
      </c>
      <c r="D955" s="9">
        <v>0</v>
      </c>
      <c r="E955" s="9">
        <v>643.70000000000005</v>
      </c>
      <c r="F955" s="9">
        <v>0</v>
      </c>
      <c r="G955" s="9">
        <v>0</v>
      </c>
      <c r="H955" s="9">
        <v>0</v>
      </c>
      <c r="I955" s="9">
        <v>0</v>
      </c>
      <c r="J955" s="9">
        <v>643.70000000000005</v>
      </c>
    </row>
    <row r="956" spans="1:10" ht="15.75" x14ac:dyDescent="0.25">
      <c r="A956" s="21">
        <v>45382</v>
      </c>
      <c r="B956" t="str">
        <f>IFERROR(IF(VLOOKUP(C956,Hoja1!$B$1:$C$6191,2,0)="",_xlfn.XLOOKUP(C956,Hoja1!$B$2:$B$6191,Hoja1!$A$2:$A$6191),VLOOKUP(C956,Hoja1!$B$1:$C$6191,2,0)),"No esta en Infor")</f>
        <v>NAC0953</v>
      </c>
      <c r="C956" s="19" t="s">
        <v>28</v>
      </c>
      <c r="D956" s="9">
        <v>0</v>
      </c>
      <c r="E956" s="9">
        <v>-532.69000000000005</v>
      </c>
      <c r="F956" s="9">
        <v>-40.04</v>
      </c>
      <c r="G956" s="9">
        <v>0</v>
      </c>
      <c r="H956" s="9">
        <v>0</v>
      </c>
      <c r="I956" s="9">
        <v>0</v>
      </c>
      <c r="J956" s="9">
        <v>-572.73</v>
      </c>
    </row>
    <row r="957" spans="1:10" ht="15.75" x14ac:dyDescent="0.25">
      <c r="A957" s="21">
        <v>45382</v>
      </c>
      <c r="B957" t="str">
        <f>IFERROR(IF(VLOOKUP(C957,Hoja1!$B$1:$C$6191,2,0)="",_xlfn.XLOOKUP(C957,Hoja1!$B$2:$B$6191,Hoja1!$A$2:$A$6191),VLOOKUP(C957,Hoja1!$B$1:$C$6191,2,0)),"No esta en Infor")</f>
        <v>NAC0958</v>
      </c>
      <c r="C957" s="19" t="s">
        <v>214</v>
      </c>
      <c r="D957" s="9">
        <v>0</v>
      </c>
      <c r="E957" s="9">
        <v>0</v>
      </c>
      <c r="F957" s="9">
        <v>0</v>
      </c>
      <c r="G957" s="9">
        <v>0</v>
      </c>
      <c r="H957" s="9">
        <v>-674.94</v>
      </c>
      <c r="I957" s="9">
        <v>0</v>
      </c>
      <c r="J957" s="9">
        <v>-674.94</v>
      </c>
    </row>
    <row r="958" spans="1:10" ht="15.75" x14ac:dyDescent="0.25">
      <c r="A958" s="21">
        <v>45382</v>
      </c>
      <c r="B958" t="str">
        <f>IFERROR(IF(VLOOKUP(C958,Hoja1!$B$1:$C$6191,2,0)="",_xlfn.XLOOKUP(C958,Hoja1!$B$2:$B$6191,Hoja1!$A$2:$A$6191),VLOOKUP(C958,Hoja1!$B$1:$C$6191,2,0)),"No esta en Infor")</f>
        <v>NAC0955</v>
      </c>
      <c r="C958" s="19" t="s">
        <v>215</v>
      </c>
      <c r="D958" s="9">
        <v>0</v>
      </c>
      <c r="E958" s="9">
        <v>725.77</v>
      </c>
      <c r="F958" s="9">
        <v>0</v>
      </c>
      <c r="G958" s="9">
        <v>0</v>
      </c>
      <c r="H958" s="9">
        <v>0</v>
      </c>
      <c r="I958" s="9">
        <v>0</v>
      </c>
      <c r="J958" s="9">
        <v>725.77</v>
      </c>
    </row>
    <row r="959" spans="1:10" ht="15.75" x14ac:dyDescent="0.25">
      <c r="A959" s="21">
        <v>45382</v>
      </c>
      <c r="B959" t="str">
        <f>IFERROR(IF(VLOOKUP(C959,Hoja1!$B$1:$C$6191,2,0)="",_xlfn.XLOOKUP(C959,Hoja1!$B$2:$B$6191,Hoja1!$A$2:$A$6191),VLOOKUP(C959,Hoja1!$B$1:$C$6191,2,0)),"No esta en Infor")</f>
        <v>NAC0963</v>
      </c>
      <c r="C959" s="19" t="s">
        <v>217</v>
      </c>
      <c r="D959" s="9">
        <v>0</v>
      </c>
      <c r="E959" s="9">
        <v>0</v>
      </c>
      <c r="F959" s="9">
        <v>0</v>
      </c>
      <c r="G959" s="9">
        <v>0</v>
      </c>
      <c r="H959" s="9">
        <v>-595.57000000000005</v>
      </c>
      <c r="I959" s="9">
        <v>0</v>
      </c>
      <c r="J959" s="9">
        <v>-595.57000000000005</v>
      </c>
    </row>
    <row r="960" spans="1:10" ht="15.75" x14ac:dyDescent="0.25">
      <c r="A960" s="21">
        <v>45382</v>
      </c>
      <c r="B960" t="str">
        <f>IFERROR(IF(VLOOKUP(C960,Hoja1!$B$1:$C$6191,2,0)="",_xlfn.XLOOKUP(C960,Hoja1!$B$2:$B$6191,Hoja1!$A$2:$A$6191),VLOOKUP(C960,Hoja1!$B$1:$C$6191,2,0)),"No esta en Infor")</f>
        <v>NAC0970</v>
      </c>
      <c r="C960" s="19" t="s">
        <v>457</v>
      </c>
      <c r="D960" s="9">
        <v>1281.82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1281.82</v>
      </c>
    </row>
    <row r="961" spans="1:10" ht="15.75" x14ac:dyDescent="0.25">
      <c r="A961" s="21">
        <v>45382</v>
      </c>
      <c r="B961" t="str">
        <f>IFERROR(IF(VLOOKUP(C961,Hoja1!$B$1:$C$6191,2,0)="",_xlfn.XLOOKUP(C961,Hoja1!$B$2:$B$6191,Hoja1!$A$2:$A$6191),VLOOKUP(C961,Hoja1!$B$1:$C$6191,2,0)),"No esta en Infor")</f>
        <v>NAC0975</v>
      </c>
      <c r="C961" s="19" t="s">
        <v>458</v>
      </c>
      <c r="D961" s="9">
        <v>2428.17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2428.17</v>
      </c>
    </row>
    <row r="962" spans="1:10" ht="15.75" x14ac:dyDescent="0.25">
      <c r="A962" s="21">
        <v>45382</v>
      </c>
      <c r="B962" t="str">
        <f>IFERROR(IF(VLOOKUP(C962,Hoja1!$B$1:$C$6191,2,0)="",_xlfn.XLOOKUP(C962,Hoja1!$B$2:$B$6191,Hoja1!$A$2:$A$6191),VLOOKUP(C962,Hoja1!$B$1:$C$6191,2,0)),"No esta en Infor")</f>
        <v>NAC0979</v>
      </c>
      <c r="C962" s="19" t="s">
        <v>222</v>
      </c>
      <c r="D962" s="9">
        <v>0</v>
      </c>
      <c r="E962" s="9">
        <v>0</v>
      </c>
      <c r="F962" s="9">
        <v>-110</v>
      </c>
      <c r="G962" s="9">
        <v>0</v>
      </c>
      <c r="H962" s="9">
        <v>0</v>
      </c>
      <c r="I962" s="9">
        <v>0</v>
      </c>
      <c r="J962" s="9">
        <v>-110</v>
      </c>
    </row>
    <row r="963" spans="1:10" ht="15.75" x14ac:dyDescent="0.25">
      <c r="A963" s="21">
        <v>45382</v>
      </c>
      <c r="B963" t="str">
        <f>IFERROR(IF(VLOOKUP(C963,Hoja1!$B$1:$C$6191,2,0)="",_xlfn.XLOOKUP(C963,Hoja1!$B$2:$B$6191,Hoja1!$A$2:$A$6191),VLOOKUP(C963,Hoja1!$B$1:$C$6191,2,0)),"No esta en Infor")</f>
        <v>SH00994</v>
      </c>
      <c r="C963" s="19" t="s">
        <v>459</v>
      </c>
      <c r="D963" s="9">
        <v>0</v>
      </c>
      <c r="E963" s="9">
        <v>68.47</v>
      </c>
      <c r="F963" s="9">
        <v>0</v>
      </c>
      <c r="G963" s="9">
        <v>0</v>
      </c>
      <c r="H963" s="9">
        <v>0</v>
      </c>
      <c r="I963" s="9">
        <v>0</v>
      </c>
      <c r="J963" s="9">
        <v>68.47</v>
      </c>
    </row>
    <row r="964" spans="1:10" ht="15.75" x14ac:dyDescent="0.25">
      <c r="A964" s="21">
        <v>45382</v>
      </c>
      <c r="B964" t="str">
        <f>IFERROR(IF(VLOOKUP(C964,Hoja1!$B$1:$C$6191,2,0)="",_xlfn.XLOOKUP(C964,Hoja1!$B$2:$B$6191,Hoja1!$A$2:$A$6191),VLOOKUP(C964,Hoja1!$B$1:$C$6191,2,0)),"No esta en Infor")</f>
        <v>CAN0031</v>
      </c>
      <c r="C964" s="19" t="s">
        <v>460</v>
      </c>
      <c r="D964" s="9">
        <v>0</v>
      </c>
      <c r="E964" s="9">
        <v>372.9</v>
      </c>
      <c r="F964" s="9">
        <v>0</v>
      </c>
      <c r="G964" s="9">
        <v>0</v>
      </c>
      <c r="H964" s="9">
        <v>0</v>
      </c>
      <c r="I964" s="9">
        <v>0</v>
      </c>
      <c r="J964" s="9">
        <v>372.9</v>
      </c>
    </row>
    <row r="965" spans="1:10" ht="15.75" x14ac:dyDescent="0.25">
      <c r="A965" s="21">
        <v>45382</v>
      </c>
      <c r="B965" t="str">
        <f>IFERROR(IF(VLOOKUP(C965,Hoja1!$B$1:$C$6191,2,0)="",_xlfn.XLOOKUP(C965,Hoja1!$B$2:$B$6191,Hoja1!$A$2:$A$6191),VLOOKUP(C965,Hoja1!$B$1:$C$6191,2,0)),"No esta en Infor")</f>
        <v>CAN0032</v>
      </c>
      <c r="C965" s="19" t="s">
        <v>461</v>
      </c>
      <c r="D965" s="9">
        <v>0</v>
      </c>
      <c r="E965" s="9">
        <v>1267.8599999999999</v>
      </c>
      <c r="F965" s="9">
        <v>0</v>
      </c>
      <c r="G965" s="9">
        <v>0</v>
      </c>
      <c r="H965" s="9">
        <v>0</v>
      </c>
      <c r="I965" s="9">
        <v>0</v>
      </c>
      <c r="J965" s="9">
        <v>1267.8599999999999</v>
      </c>
    </row>
    <row r="966" spans="1:10" ht="15.75" x14ac:dyDescent="0.25">
      <c r="A966" s="21">
        <v>45382</v>
      </c>
      <c r="B966" t="str">
        <f>IFERROR(IF(VLOOKUP(C966,Hoja1!$B$1:$C$6191,2,0)="",_xlfn.XLOOKUP(C966,Hoja1!$B$2:$B$6191,Hoja1!$A$2:$A$6191),VLOOKUP(C966,Hoja1!$B$1:$C$6191,2,0)),"No esta en Infor")</f>
        <v>NAC0986</v>
      </c>
      <c r="C966" s="19" t="s">
        <v>224</v>
      </c>
      <c r="D966" s="9">
        <v>0</v>
      </c>
      <c r="E966" s="9">
        <v>23022.46</v>
      </c>
      <c r="F966" s="9">
        <v>8738.48</v>
      </c>
      <c r="G966" s="9">
        <v>3215.47</v>
      </c>
      <c r="H966" s="9">
        <v>0</v>
      </c>
      <c r="I966" s="9">
        <v>0</v>
      </c>
      <c r="J966" s="9">
        <v>34976.410000000003</v>
      </c>
    </row>
    <row r="967" spans="1:10" ht="15.75" x14ac:dyDescent="0.25">
      <c r="A967" s="21">
        <v>45382</v>
      </c>
      <c r="B967" t="str">
        <f>IFERROR(IF(VLOOKUP(C967,Hoja1!$B$1:$C$6191,2,0)="",_xlfn.XLOOKUP(C967,Hoja1!$B$2:$B$6191,Hoja1!$A$2:$A$6191),VLOOKUP(C967,Hoja1!$B$1:$C$6191,2,0)),"No esta en Infor")</f>
        <v>NAC0987</v>
      </c>
      <c r="C967" s="19" t="s">
        <v>225</v>
      </c>
      <c r="D967" s="9">
        <v>0</v>
      </c>
      <c r="E967" s="9">
        <v>0</v>
      </c>
      <c r="F967" s="9">
        <v>0</v>
      </c>
      <c r="G967" s="9">
        <v>0</v>
      </c>
      <c r="H967" s="9">
        <v>0</v>
      </c>
      <c r="I967" s="9">
        <v>2040.5</v>
      </c>
      <c r="J967" s="9">
        <v>2040.5</v>
      </c>
    </row>
    <row r="968" spans="1:10" ht="15.75" x14ac:dyDescent="0.25">
      <c r="A968" s="21">
        <v>45382</v>
      </c>
      <c r="B968" t="str">
        <f>IFERROR(IF(VLOOKUP(C968,Hoja1!$B$1:$C$6191,2,0)="",_xlfn.XLOOKUP(C968,Hoja1!$B$2:$B$6191,Hoja1!$A$2:$A$6191),VLOOKUP(C968,Hoja1!$B$1:$C$6191,2,0)),"No esta en Infor")</f>
        <v>NAC0995</v>
      </c>
      <c r="C968" s="19" t="s">
        <v>227</v>
      </c>
      <c r="D968" s="9">
        <v>511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511</v>
      </c>
    </row>
    <row r="969" spans="1:10" ht="15.75" x14ac:dyDescent="0.25">
      <c r="A969" s="21">
        <v>45382</v>
      </c>
      <c r="B969" t="str">
        <f>IFERROR(IF(VLOOKUP(C969,Hoja1!$B$1:$C$6191,2,0)="",_xlfn.XLOOKUP(C969,Hoja1!$B$2:$B$6191,Hoja1!$A$2:$A$6191),VLOOKUP(C969,Hoja1!$B$1:$C$6191,2,0)),"No esta en Infor")</f>
        <v>NAC0997</v>
      </c>
      <c r="C969" s="19" t="s">
        <v>228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-148</v>
      </c>
      <c r="J969" s="9">
        <v>-148</v>
      </c>
    </row>
    <row r="970" spans="1:10" ht="15.75" x14ac:dyDescent="0.25">
      <c r="A970" s="21">
        <v>45382</v>
      </c>
      <c r="B970" t="str">
        <f>IFERROR(IF(VLOOKUP(C970,Hoja1!$B$1:$C$6191,2,0)="",_xlfn.XLOOKUP(C970,Hoja1!$B$2:$B$6191,Hoja1!$A$2:$A$6191),VLOOKUP(C970,Hoja1!$B$1:$C$6191,2,0)),"No esta en Infor")</f>
        <v>NAC0998</v>
      </c>
      <c r="C970" s="19" t="s">
        <v>229</v>
      </c>
      <c r="D970" s="9">
        <v>0</v>
      </c>
      <c r="E970" s="9">
        <v>184.99</v>
      </c>
      <c r="F970" s="9">
        <v>0</v>
      </c>
      <c r="G970" s="9">
        <v>0</v>
      </c>
      <c r="H970" s="9">
        <v>0</v>
      </c>
      <c r="I970" s="9">
        <v>0</v>
      </c>
      <c r="J970" s="9">
        <v>184.99</v>
      </c>
    </row>
    <row r="971" spans="1:10" ht="15.75" x14ac:dyDescent="0.25">
      <c r="A971" s="21">
        <v>45382</v>
      </c>
      <c r="B971" t="str">
        <f>IFERROR(IF(VLOOKUP(C971,Hoja1!$B$1:$C$6191,2,0)="",_xlfn.XLOOKUP(C971,Hoja1!$B$2:$B$6191,Hoja1!$A$2:$A$6191),VLOOKUP(C971,Hoja1!$B$1:$C$6191,2,0)),"No esta en Infor")</f>
        <v>NAC1000</v>
      </c>
      <c r="C971" s="19" t="s">
        <v>405</v>
      </c>
      <c r="D971" s="9">
        <v>120.77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120.77</v>
      </c>
    </row>
    <row r="972" spans="1:10" ht="15.75" x14ac:dyDescent="0.25">
      <c r="A972" s="21">
        <v>45382</v>
      </c>
      <c r="B972" t="str">
        <f>IFERROR(IF(VLOOKUP(C972,Hoja1!$B$1:$C$6191,2,0)="",_xlfn.XLOOKUP(C972,Hoja1!$B$2:$B$6191,Hoja1!$A$2:$A$6191),VLOOKUP(C972,Hoja1!$B$1:$C$6191,2,0)),"No esta en Infor")</f>
        <v>NAC1005</v>
      </c>
      <c r="C972" s="19" t="s">
        <v>231</v>
      </c>
      <c r="D972" s="9">
        <v>0</v>
      </c>
      <c r="E972" s="9">
        <v>0</v>
      </c>
      <c r="F972" s="9">
        <v>0</v>
      </c>
      <c r="G972" s="9">
        <v>0</v>
      </c>
      <c r="H972" s="9">
        <v>0</v>
      </c>
      <c r="I972" s="9">
        <v>-35.14</v>
      </c>
      <c r="J972" s="9">
        <v>-35.14</v>
      </c>
    </row>
    <row r="973" spans="1:10" ht="15.75" x14ac:dyDescent="0.25">
      <c r="A973" s="21">
        <v>45382</v>
      </c>
      <c r="B973" t="str">
        <f>IFERROR(IF(VLOOKUP(C973,Hoja1!$B$1:$C$6191,2,0)="",_xlfn.XLOOKUP(C973,Hoja1!$B$2:$B$6191,Hoja1!$A$2:$A$6191),VLOOKUP(C973,Hoja1!$B$1:$C$6191,2,0)),"No esta en Infor")</f>
        <v>NAC1007</v>
      </c>
      <c r="C973" s="19" t="s">
        <v>233</v>
      </c>
      <c r="D973" s="9">
        <v>0</v>
      </c>
      <c r="E973" s="9">
        <v>-1440</v>
      </c>
      <c r="F973" s="9">
        <v>0</v>
      </c>
      <c r="G973" s="9">
        <v>0</v>
      </c>
      <c r="H973" s="9">
        <v>0</v>
      </c>
      <c r="I973" s="9">
        <v>0</v>
      </c>
      <c r="J973" s="9">
        <v>-1440</v>
      </c>
    </row>
    <row r="974" spans="1:10" ht="15.75" x14ac:dyDescent="0.25">
      <c r="A974" s="21">
        <v>45382</v>
      </c>
      <c r="B974" t="str">
        <f>IFERROR(IF(VLOOKUP(C974,Hoja1!$B$1:$C$6191,2,0)="",_xlfn.XLOOKUP(C974,Hoja1!$B$2:$B$6191,Hoja1!$A$2:$A$6191),VLOOKUP(C974,Hoja1!$B$1:$C$6191,2,0)),"No esta en Infor")</f>
        <v>SH01245</v>
      </c>
      <c r="C974" s="19" t="s">
        <v>462</v>
      </c>
      <c r="D974" s="9">
        <v>0</v>
      </c>
      <c r="E974" s="9">
        <v>94.7</v>
      </c>
      <c r="F974" s="9">
        <v>0</v>
      </c>
      <c r="G974" s="9">
        <v>0</v>
      </c>
      <c r="H974" s="9">
        <v>0</v>
      </c>
      <c r="I974" s="9">
        <v>0</v>
      </c>
      <c r="J974" s="9">
        <v>94.7</v>
      </c>
    </row>
    <row r="975" spans="1:10" ht="15.75" x14ac:dyDescent="0.25">
      <c r="A975" s="21">
        <v>45382</v>
      </c>
      <c r="B975" t="str">
        <f>IFERROR(IF(VLOOKUP(C975,Hoja1!$B$1:$C$6191,2,0)="",_xlfn.XLOOKUP(C975,Hoja1!$B$2:$B$6191,Hoja1!$A$2:$A$6191),VLOOKUP(C975,Hoja1!$B$1:$C$6191,2,0)),"No esta en Infor")</f>
        <v>SH01268</v>
      </c>
      <c r="C975" s="19" t="s">
        <v>234</v>
      </c>
      <c r="D975" s="9">
        <v>0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</row>
    <row r="976" spans="1:10" ht="15.75" x14ac:dyDescent="0.25">
      <c r="A976" s="21">
        <v>45382</v>
      </c>
      <c r="B976" t="str">
        <f>IFERROR(IF(VLOOKUP(C976,Hoja1!$B$1:$C$6191,2,0)="",_xlfn.XLOOKUP(C976,Hoja1!$B$2:$B$6191,Hoja1!$A$2:$A$6191),VLOOKUP(C976,Hoja1!$B$1:$C$6191,2,0)),"No esta en Infor")</f>
        <v>NAC1616</v>
      </c>
      <c r="C976" s="19" t="s">
        <v>2970</v>
      </c>
      <c r="D976" s="9">
        <v>38202.29</v>
      </c>
      <c r="E976" s="9">
        <v>4600</v>
      </c>
      <c r="F976" s="9">
        <v>0</v>
      </c>
      <c r="G976" s="9">
        <v>0</v>
      </c>
      <c r="H976" s="9">
        <v>0</v>
      </c>
      <c r="I976" s="9">
        <v>0</v>
      </c>
      <c r="J976" s="9">
        <v>42802.29</v>
      </c>
    </row>
    <row r="977" spans="1:10" ht="15.75" x14ac:dyDescent="0.25">
      <c r="A977" s="21">
        <v>45382</v>
      </c>
      <c r="B977" t="str">
        <f>IFERROR(IF(VLOOKUP(C977,Hoja1!$B$1:$C$6191,2,0)="",_xlfn.XLOOKUP(C977,Hoja1!$B$2:$B$6191,Hoja1!$A$2:$A$6191),VLOOKUP(C977,Hoja1!$B$1:$C$6191,2,0)),"No esta en Infor")</f>
        <v>NAC1606</v>
      </c>
      <c r="C977" s="19" t="s">
        <v>236</v>
      </c>
      <c r="D977" s="9">
        <v>34936.239999999998</v>
      </c>
      <c r="E977" s="9">
        <v>6964.44</v>
      </c>
      <c r="F977" s="9">
        <v>0</v>
      </c>
      <c r="G977" s="9">
        <v>0</v>
      </c>
      <c r="H977" s="9">
        <v>0</v>
      </c>
      <c r="I977" s="9">
        <v>0</v>
      </c>
      <c r="J977" s="9">
        <v>41900.68</v>
      </c>
    </row>
    <row r="978" spans="1:10" ht="15.75" x14ac:dyDescent="0.25">
      <c r="A978" s="21">
        <v>45382</v>
      </c>
      <c r="B978" t="str">
        <f>IFERROR(IF(VLOOKUP(C978,Hoja1!$B$1:$C$6191,2,0)="",_xlfn.XLOOKUP(C978,Hoja1!$B$2:$B$6191,Hoja1!$A$2:$A$6191),VLOOKUP(C978,Hoja1!$B$1:$C$6191,2,0)),"No esta en Infor")</f>
        <v>NAC1018</v>
      </c>
      <c r="C978" s="19" t="s">
        <v>463</v>
      </c>
      <c r="D978" s="9">
        <v>624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624</v>
      </c>
    </row>
    <row r="979" spans="1:10" ht="15.75" x14ac:dyDescent="0.25">
      <c r="A979" s="21">
        <v>45382</v>
      </c>
      <c r="B979" t="str">
        <f>IFERROR(IF(VLOOKUP(C979,Hoja1!$B$1:$C$6191,2,0)="",_xlfn.XLOOKUP(C979,Hoja1!$B$2:$B$6191,Hoja1!$A$2:$A$6191),VLOOKUP(C979,Hoja1!$B$1:$C$6191,2,0)),"No esta en Infor")</f>
        <v>NAC1019</v>
      </c>
      <c r="C979" s="19" t="s">
        <v>238</v>
      </c>
      <c r="D979" s="9">
        <v>0</v>
      </c>
      <c r="E979" s="9">
        <v>0</v>
      </c>
      <c r="F979" s="9">
        <v>0</v>
      </c>
      <c r="G979" s="9">
        <v>0</v>
      </c>
      <c r="H979" s="9">
        <v>-1620</v>
      </c>
      <c r="I979" s="9">
        <v>0</v>
      </c>
      <c r="J979" s="9">
        <v>-1620</v>
      </c>
    </row>
    <row r="980" spans="1:10" ht="15.75" x14ac:dyDescent="0.25">
      <c r="A980" s="21">
        <v>45382</v>
      </c>
      <c r="B980" t="str">
        <f>IFERROR(IF(VLOOKUP(C980,Hoja1!$B$1:$C$6191,2,0)="",_xlfn.XLOOKUP(C980,Hoja1!$B$2:$B$6191,Hoja1!$A$2:$A$6191),VLOOKUP(C980,Hoja1!$B$1:$C$6191,2,0)),"No esta en Infor")</f>
        <v>NAC1021</v>
      </c>
      <c r="C980" s="19" t="s">
        <v>239</v>
      </c>
      <c r="D980" s="9">
        <v>0</v>
      </c>
      <c r="E980" s="9">
        <v>0</v>
      </c>
      <c r="F980" s="9">
        <v>-5</v>
      </c>
      <c r="G980" s="9">
        <v>0</v>
      </c>
      <c r="H980" s="9">
        <v>-8.01</v>
      </c>
      <c r="I980" s="9">
        <v>0</v>
      </c>
      <c r="J980" s="9">
        <v>-13.01</v>
      </c>
    </row>
    <row r="981" spans="1:10" ht="15.75" x14ac:dyDescent="0.25">
      <c r="A981" s="21">
        <v>45382</v>
      </c>
      <c r="B981" t="str">
        <f>IFERROR(IF(VLOOKUP(C981,Hoja1!$B$1:$C$6191,2,0)="",_xlfn.XLOOKUP(C981,Hoja1!$B$2:$B$6191,Hoja1!$A$2:$A$6191),VLOOKUP(C981,Hoja1!$B$1:$C$6191,2,0)),"No esta en Infor")</f>
        <v>NAC1024</v>
      </c>
      <c r="C981" s="19" t="s">
        <v>241</v>
      </c>
      <c r="D981" s="9">
        <v>0</v>
      </c>
      <c r="E981" s="9">
        <v>0</v>
      </c>
      <c r="F981" s="9">
        <v>0</v>
      </c>
      <c r="G981" s="9">
        <v>0</v>
      </c>
      <c r="H981" s="9">
        <v>0</v>
      </c>
      <c r="I981" s="9">
        <v>-16.41</v>
      </c>
      <c r="J981" s="9">
        <v>-16.41</v>
      </c>
    </row>
    <row r="982" spans="1:10" ht="15.75" x14ac:dyDescent="0.25">
      <c r="A982" s="21">
        <v>45382</v>
      </c>
      <c r="B982" t="str">
        <f>IFERROR(IF(VLOOKUP(C982,Hoja1!$B$1:$C$6191,2,0)="",_xlfn.XLOOKUP(C982,Hoja1!$B$2:$B$6191,Hoja1!$A$2:$A$6191),VLOOKUP(C982,Hoja1!$B$1:$C$6191,2,0)),"No esta en Infor")</f>
        <v>NAC1025</v>
      </c>
      <c r="C982" s="19" t="s">
        <v>242</v>
      </c>
      <c r="D982" s="9">
        <v>0</v>
      </c>
      <c r="E982" s="9">
        <v>683.75</v>
      </c>
      <c r="F982" s="9">
        <v>-683.75</v>
      </c>
      <c r="G982" s="9">
        <v>0</v>
      </c>
      <c r="H982" s="9">
        <v>0</v>
      </c>
      <c r="I982" s="9">
        <v>0</v>
      </c>
      <c r="J982" s="9">
        <v>0</v>
      </c>
    </row>
    <row r="983" spans="1:10" ht="15.75" x14ac:dyDescent="0.25">
      <c r="A983" s="21">
        <v>45382</v>
      </c>
      <c r="B983" t="str">
        <f>IFERROR(IF(VLOOKUP(C983,Hoja1!$B$1:$C$6191,2,0)="",_xlfn.XLOOKUP(C983,Hoja1!$B$2:$B$6191,Hoja1!$A$2:$A$6191),VLOOKUP(C983,Hoja1!$B$1:$C$6191,2,0)),"No esta en Infor")</f>
        <v>NAC1027</v>
      </c>
      <c r="C983" s="19" t="s">
        <v>243</v>
      </c>
      <c r="D983" s="9">
        <v>3845.39</v>
      </c>
      <c r="E983" s="9">
        <v>0</v>
      </c>
      <c r="F983" s="9">
        <v>0</v>
      </c>
      <c r="G983" s="9">
        <v>0</v>
      </c>
      <c r="H983" s="9">
        <v>0</v>
      </c>
      <c r="I983" s="9">
        <v>-2408</v>
      </c>
      <c r="J983" s="9">
        <v>1437.39</v>
      </c>
    </row>
    <row r="984" spans="1:10" ht="15.75" x14ac:dyDescent="0.25">
      <c r="A984" s="21">
        <v>45382</v>
      </c>
      <c r="B984" t="str">
        <f>IFERROR(IF(VLOOKUP(C984,Hoja1!$B$1:$C$6191,2,0)="",_xlfn.XLOOKUP(C984,Hoja1!$B$2:$B$6191,Hoja1!$A$2:$A$6191),VLOOKUP(C984,Hoja1!$B$1:$C$6191,2,0)),"No esta en Infor")</f>
        <v>NAC1042</v>
      </c>
      <c r="C984" s="19" t="s">
        <v>244</v>
      </c>
      <c r="D984" s="9">
        <v>530.5</v>
      </c>
      <c r="E984" s="9">
        <v>87170</v>
      </c>
      <c r="F984" s="9">
        <v>0</v>
      </c>
      <c r="G984" s="9">
        <v>0</v>
      </c>
      <c r="H984" s="9">
        <v>0</v>
      </c>
      <c r="I984" s="9">
        <v>0</v>
      </c>
      <c r="J984" s="9">
        <v>87700.5</v>
      </c>
    </row>
    <row r="985" spans="1:10" ht="15.75" x14ac:dyDescent="0.25">
      <c r="A985" s="21">
        <v>45382</v>
      </c>
      <c r="B985" t="str">
        <f>IFERROR(IF(VLOOKUP(C985,Hoja1!$B$1:$C$6191,2,0)="",_xlfn.XLOOKUP(C985,Hoja1!$B$2:$B$6191,Hoja1!$A$2:$A$6191),VLOOKUP(C985,Hoja1!$B$1:$C$6191,2,0)),"No esta en Infor")</f>
        <v>NAC1043</v>
      </c>
      <c r="C985" s="19" t="s">
        <v>464</v>
      </c>
      <c r="D985" s="9">
        <v>1876.5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1876.5</v>
      </c>
    </row>
    <row r="986" spans="1:10" ht="15.75" x14ac:dyDescent="0.25">
      <c r="A986" s="21">
        <v>45382</v>
      </c>
      <c r="B986" t="str">
        <f>IFERROR(IF(VLOOKUP(C986,Hoja1!$B$1:$C$6191,2,0)="",_xlfn.XLOOKUP(C986,Hoja1!$B$2:$B$6191,Hoja1!$A$2:$A$6191),VLOOKUP(C986,Hoja1!$B$1:$C$6191,2,0)),"No esta en Infor")</f>
        <v>NAC1051</v>
      </c>
      <c r="C986" s="19" t="s">
        <v>246</v>
      </c>
      <c r="D986" s="9">
        <v>500.76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500.76</v>
      </c>
    </row>
    <row r="987" spans="1:10" ht="15.75" x14ac:dyDescent="0.25">
      <c r="A987" s="21">
        <v>45382</v>
      </c>
      <c r="B987" t="str">
        <f>IFERROR(IF(VLOOKUP(C987,Hoja1!$B$1:$C$6191,2,0)="",_xlfn.XLOOKUP(C987,Hoja1!$B$2:$B$6191,Hoja1!$A$2:$A$6191),VLOOKUP(C987,Hoja1!$B$1:$C$6191,2,0)),"No esta en Infor")</f>
        <v>FOC0001</v>
      </c>
      <c r="C987" s="19" t="s">
        <v>247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-88.81</v>
      </c>
      <c r="J987" s="9">
        <v>-88.81</v>
      </c>
    </row>
    <row r="988" spans="1:10" ht="15.75" x14ac:dyDescent="0.25">
      <c r="A988" s="21">
        <v>45382</v>
      </c>
      <c r="B988" t="str">
        <f>IFERROR(IF(VLOOKUP(C988,Hoja1!$B$1:$C$6191,2,0)="",_xlfn.XLOOKUP(C988,Hoja1!$B$2:$B$6191,Hoja1!$A$2:$A$6191),VLOOKUP(C988,Hoja1!$B$1:$C$6191,2,0)),"No esta en Infor")</f>
        <v>NAC1054</v>
      </c>
      <c r="C988" s="19" t="s">
        <v>248</v>
      </c>
      <c r="D988" s="9">
        <v>3161.71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3161.71</v>
      </c>
    </row>
    <row r="989" spans="1:10" ht="15.75" x14ac:dyDescent="0.25">
      <c r="A989" s="21">
        <v>45382</v>
      </c>
      <c r="B989" t="str">
        <f>IFERROR(IF(VLOOKUP(C989,Hoja1!$B$1:$C$6191,2,0)="",_xlfn.XLOOKUP(C989,Hoja1!$B$2:$B$6191,Hoja1!$A$2:$A$6191),VLOOKUP(C989,Hoja1!$B$1:$C$6191,2,0)),"No esta en Infor")</f>
        <v>NAC1056</v>
      </c>
      <c r="C989" s="19" t="s">
        <v>465</v>
      </c>
      <c r="D989" s="9">
        <v>74.88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74.88</v>
      </c>
    </row>
    <row r="990" spans="1:10" ht="15.75" x14ac:dyDescent="0.25">
      <c r="A990" s="21">
        <v>45382</v>
      </c>
      <c r="B990" t="str">
        <f>IFERROR(IF(VLOOKUP(C990,Hoja1!$B$1:$C$6191,2,0)="",_xlfn.XLOOKUP(C990,Hoja1!$B$2:$B$6191,Hoja1!$A$2:$A$6191),VLOOKUP(C990,Hoja1!$B$1:$C$6191,2,0)),"No esta en Infor")</f>
        <v>NAC1074</v>
      </c>
      <c r="C990" s="19" t="s">
        <v>252</v>
      </c>
      <c r="D990" s="9">
        <v>966.42</v>
      </c>
      <c r="E990" s="9">
        <v>1176.8399999999999</v>
      </c>
      <c r="F990" s="9">
        <v>-66.400000000000006</v>
      </c>
      <c r="G990" s="9">
        <v>0</v>
      </c>
      <c r="H990" s="9">
        <v>0</v>
      </c>
      <c r="I990" s="9">
        <v>0</v>
      </c>
      <c r="J990" s="9">
        <v>2076.86</v>
      </c>
    </row>
    <row r="991" spans="1:10" ht="15.75" x14ac:dyDescent="0.25">
      <c r="A991" s="21">
        <v>45382</v>
      </c>
      <c r="B991" t="str">
        <f>IFERROR(IF(VLOOKUP(C991,Hoja1!$B$1:$C$6191,2,0)="",_xlfn.XLOOKUP(C991,Hoja1!$B$2:$B$6191,Hoja1!$A$2:$A$6191),VLOOKUP(C991,Hoja1!$B$1:$C$6191,2,0)),"No esta en Infor")</f>
        <v>NAC1076</v>
      </c>
      <c r="C991" s="19" t="s">
        <v>253</v>
      </c>
      <c r="D991" s="9">
        <v>0</v>
      </c>
      <c r="E991" s="9">
        <v>0</v>
      </c>
      <c r="F991" s="9">
        <v>-47.19</v>
      </c>
      <c r="G991" s="9">
        <v>0</v>
      </c>
      <c r="H991" s="9">
        <v>0</v>
      </c>
      <c r="I991" s="9">
        <v>0</v>
      </c>
      <c r="J991" s="9">
        <v>-47.19</v>
      </c>
    </row>
    <row r="992" spans="1:10" ht="15.75" x14ac:dyDescent="0.25">
      <c r="A992" s="21">
        <v>45382</v>
      </c>
      <c r="B992" t="str">
        <f>IFERROR(IF(VLOOKUP(C992,Hoja1!$B$1:$C$6191,2,0)="",_xlfn.XLOOKUP(C992,Hoja1!$B$2:$B$6191,Hoja1!$A$2:$A$6191),VLOOKUP(C992,Hoja1!$B$1:$C$6191,2,0)),"No esta en Infor")</f>
        <v>NAC1077</v>
      </c>
      <c r="C992" s="19" t="s">
        <v>254</v>
      </c>
      <c r="D992" s="9">
        <v>2739.9</v>
      </c>
      <c r="E992" s="9">
        <v>2060.42</v>
      </c>
      <c r="F992" s="9">
        <v>0</v>
      </c>
      <c r="G992" s="9">
        <v>0</v>
      </c>
      <c r="H992" s="9">
        <v>0</v>
      </c>
      <c r="I992" s="9">
        <v>0</v>
      </c>
      <c r="J992" s="9">
        <v>4800.32</v>
      </c>
    </row>
    <row r="993" spans="1:10" ht="15.75" x14ac:dyDescent="0.25">
      <c r="A993" s="21">
        <v>45382</v>
      </c>
      <c r="B993" t="str">
        <f>IFERROR(IF(VLOOKUP(C993,Hoja1!$B$1:$C$6191,2,0)="",_xlfn.XLOOKUP(C993,Hoja1!$B$2:$B$6191,Hoja1!$A$2:$A$6191),VLOOKUP(C993,Hoja1!$B$1:$C$6191,2,0)),"No esta en Infor")</f>
        <v>SH01627</v>
      </c>
      <c r="C993" s="19" t="s">
        <v>466</v>
      </c>
      <c r="D993" s="9">
        <v>205.03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205.03</v>
      </c>
    </row>
    <row r="994" spans="1:10" ht="15.75" x14ac:dyDescent="0.25">
      <c r="A994" s="21">
        <v>45382</v>
      </c>
      <c r="B994" t="str">
        <f>IFERROR(IF(VLOOKUP(C994,Hoja1!$B$1:$C$6191,2,0)="",_xlfn.XLOOKUP(C994,Hoja1!$B$2:$B$6191,Hoja1!$A$2:$A$6191),VLOOKUP(C994,Hoja1!$B$1:$C$6191,2,0)),"No esta en Infor")</f>
        <v>CAN0036</v>
      </c>
      <c r="C994" s="19" t="s">
        <v>256</v>
      </c>
      <c r="D994" s="9">
        <v>4627.6000000000004</v>
      </c>
      <c r="E994" s="9">
        <v>4030.28</v>
      </c>
      <c r="F994" s="9">
        <v>0</v>
      </c>
      <c r="G994" s="9">
        <v>0</v>
      </c>
      <c r="H994" s="9">
        <v>0</v>
      </c>
      <c r="I994" s="9">
        <v>0</v>
      </c>
      <c r="J994" s="9">
        <v>8657.8799999999992</v>
      </c>
    </row>
    <row r="995" spans="1:10" ht="15.75" x14ac:dyDescent="0.25">
      <c r="A995" s="21">
        <v>45382</v>
      </c>
      <c r="B995" t="str">
        <f>IFERROR(IF(VLOOKUP(C995,Hoja1!$B$1:$C$6191,2,0)="",_xlfn.XLOOKUP(C995,Hoja1!$B$2:$B$6191,Hoja1!$A$2:$A$6191),VLOOKUP(C995,Hoja1!$B$1:$C$6191,2,0)),"No esta en Infor")</f>
        <v>SH01735</v>
      </c>
      <c r="C995" s="19" t="s">
        <v>467</v>
      </c>
      <c r="D995" s="9">
        <v>0</v>
      </c>
      <c r="E995" s="9">
        <v>92.35</v>
      </c>
      <c r="F995" s="9">
        <v>0</v>
      </c>
      <c r="G995" s="9">
        <v>0</v>
      </c>
      <c r="H995" s="9">
        <v>0</v>
      </c>
      <c r="I995" s="9">
        <v>0</v>
      </c>
      <c r="J995" s="9">
        <v>92.35</v>
      </c>
    </row>
    <row r="996" spans="1:10" ht="15.75" x14ac:dyDescent="0.25">
      <c r="A996" s="21">
        <v>45382</v>
      </c>
      <c r="B996" t="str">
        <f>IFERROR(IF(VLOOKUP(C996,Hoja1!$B$1:$C$6191,2,0)="",_xlfn.XLOOKUP(C996,Hoja1!$B$2:$B$6191,Hoja1!$A$2:$A$6191),VLOOKUP(C996,Hoja1!$B$1:$C$6191,2,0)),"No esta en Infor")</f>
        <v>NAC1106</v>
      </c>
      <c r="C996" s="19" t="s">
        <v>259</v>
      </c>
      <c r="D996" s="9">
        <v>0</v>
      </c>
      <c r="E996" s="9">
        <v>569.80999999999995</v>
      </c>
      <c r="F996" s="9">
        <v>0</v>
      </c>
      <c r="G996" s="9">
        <v>0</v>
      </c>
      <c r="H996" s="9">
        <v>0</v>
      </c>
      <c r="I996" s="9">
        <v>0</v>
      </c>
      <c r="J996" s="9">
        <v>569.80999999999995</v>
      </c>
    </row>
    <row r="997" spans="1:10" ht="15.75" x14ac:dyDescent="0.25">
      <c r="A997" s="21">
        <v>45382</v>
      </c>
      <c r="B997" t="str">
        <f>IFERROR(IF(VLOOKUP(C997,Hoja1!$B$1:$C$6191,2,0)="",_xlfn.XLOOKUP(C997,Hoja1!$B$2:$B$6191,Hoja1!$A$2:$A$6191),VLOOKUP(C997,Hoja1!$B$1:$C$6191,2,0)),"No esta en Infor")</f>
        <v>NAC1108</v>
      </c>
      <c r="C997" s="19" t="s">
        <v>468</v>
      </c>
      <c r="D997" s="9">
        <v>1001.42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1001.42</v>
      </c>
    </row>
    <row r="998" spans="1:10" ht="15.75" x14ac:dyDescent="0.25">
      <c r="A998" s="21">
        <v>45382</v>
      </c>
      <c r="B998" t="str">
        <f>IFERROR(IF(VLOOKUP(C998,Hoja1!$B$1:$C$6191,2,0)="",_xlfn.XLOOKUP(C998,Hoja1!$B$2:$B$6191,Hoja1!$A$2:$A$6191),VLOOKUP(C998,Hoja1!$B$1:$C$6191,2,0)),"No esta en Infor")</f>
        <v>NAC1114</v>
      </c>
      <c r="C998" s="19" t="s">
        <v>408</v>
      </c>
      <c r="D998" s="9">
        <v>-148.5</v>
      </c>
      <c r="E998" s="9">
        <v>-47.84</v>
      </c>
      <c r="F998" s="9">
        <v>0</v>
      </c>
      <c r="G998" s="9">
        <v>0</v>
      </c>
      <c r="H998" s="9">
        <v>0</v>
      </c>
      <c r="I998" s="9">
        <v>0</v>
      </c>
      <c r="J998" s="9">
        <v>-196.34</v>
      </c>
    </row>
    <row r="999" spans="1:10" ht="15.75" x14ac:dyDescent="0.25">
      <c r="A999" s="21">
        <v>45382</v>
      </c>
      <c r="B999" t="str">
        <f>IFERROR(IF(VLOOKUP(C999,Hoja1!$B$1:$C$6191,2,0)="",_xlfn.XLOOKUP(C999,Hoja1!$B$2:$B$6191,Hoja1!$A$2:$A$6191),VLOOKUP(C999,Hoja1!$B$1:$C$6191,2,0)),"No esta en Infor")</f>
        <v>NAC1116</v>
      </c>
      <c r="C999" s="19" t="s">
        <v>260</v>
      </c>
      <c r="D999" s="9">
        <v>0</v>
      </c>
      <c r="E999" s="9">
        <v>0</v>
      </c>
      <c r="F999" s="9">
        <v>0</v>
      </c>
      <c r="G999" s="9">
        <v>109.44</v>
      </c>
      <c r="H999" s="9">
        <v>0</v>
      </c>
      <c r="I999" s="9">
        <v>0</v>
      </c>
      <c r="J999" s="9">
        <v>109.44</v>
      </c>
    </row>
    <row r="1000" spans="1:10" ht="15.75" x14ac:dyDescent="0.25">
      <c r="A1000" s="21">
        <v>45382</v>
      </c>
      <c r="B1000" t="str">
        <f>IFERROR(IF(VLOOKUP(C1000,Hoja1!$B$1:$C$6191,2,0)="",_xlfn.XLOOKUP(C1000,Hoja1!$B$2:$B$6191,Hoja1!$A$2:$A$6191),VLOOKUP(C1000,Hoja1!$B$1:$C$6191,2,0)),"No esta en Infor")</f>
        <v>NAC1125</v>
      </c>
      <c r="C1000" s="19" t="s">
        <v>262</v>
      </c>
      <c r="D1000" s="9">
        <v>0</v>
      </c>
      <c r="E1000" s="9">
        <v>0</v>
      </c>
      <c r="F1000" s="9">
        <v>0</v>
      </c>
      <c r="G1000" s="9">
        <v>0</v>
      </c>
      <c r="H1000" s="9">
        <v>-3413.5</v>
      </c>
      <c r="I1000" s="9">
        <v>-379.3</v>
      </c>
      <c r="J1000" s="9">
        <v>-3792.8</v>
      </c>
    </row>
    <row r="1001" spans="1:10" ht="15.75" x14ac:dyDescent="0.25">
      <c r="A1001" s="21">
        <v>45382</v>
      </c>
      <c r="B1001" t="str">
        <f>IFERROR(IF(VLOOKUP(C1001,Hoja1!$B$1:$C$6191,2,0)="",_xlfn.XLOOKUP(C1001,Hoja1!$B$2:$B$6191,Hoja1!$A$2:$A$6191),VLOOKUP(C1001,Hoja1!$B$1:$C$6191,2,0)),"No esta en Infor")</f>
        <v>NAC1128</v>
      </c>
      <c r="C1001" s="19" t="s">
        <v>263</v>
      </c>
      <c r="D1001" s="9">
        <v>3850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3850</v>
      </c>
    </row>
    <row r="1002" spans="1:10" ht="15.75" x14ac:dyDescent="0.25">
      <c r="A1002" s="21">
        <v>45382</v>
      </c>
      <c r="B1002" t="str">
        <f>IFERROR(IF(VLOOKUP(C1002,Hoja1!$B$1:$C$6191,2,0)="",_xlfn.XLOOKUP(C1002,Hoja1!$B$2:$B$6191,Hoja1!$A$2:$A$6191),VLOOKUP(C1002,Hoja1!$B$1:$C$6191,2,0)),"No esta en Infor")</f>
        <v>CAN0038</v>
      </c>
      <c r="C1002" s="19" t="s">
        <v>264</v>
      </c>
      <c r="D1002" s="9">
        <v>0</v>
      </c>
      <c r="E1002" s="9">
        <v>250.53</v>
      </c>
      <c r="F1002" s="9">
        <v>0</v>
      </c>
      <c r="G1002" s="9">
        <v>0</v>
      </c>
      <c r="H1002" s="9">
        <v>0</v>
      </c>
      <c r="I1002" s="9">
        <v>0</v>
      </c>
      <c r="J1002" s="9">
        <v>250.53</v>
      </c>
    </row>
    <row r="1003" spans="1:10" ht="15.75" x14ac:dyDescent="0.25">
      <c r="A1003" s="21">
        <v>45382</v>
      </c>
      <c r="B1003" t="str">
        <f>IFERROR(IF(VLOOKUP(C1003,Hoja1!$B$1:$C$6191,2,0)="",_xlfn.XLOOKUP(C1003,Hoja1!$B$2:$B$6191,Hoja1!$A$2:$A$6191),VLOOKUP(C1003,Hoja1!$B$1:$C$6191,2,0)),"No esta en Infor")</f>
        <v>CAN0039</v>
      </c>
      <c r="C1003" s="19" t="s">
        <v>265</v>
      </c>
      <c r="D1003" s="9">
        <v>7811.39</v>
      </c>
      <c r="E1003" s="9">
        <v>21966.31</v>
      </c>
      <c r="F1003" s="9">
        <v>0</v>
      </c>
      <c r="G1003" s="9">
        <v>0</v>
      </c>
      <c r="H1003" s="9">
        <v>0</v>
      </c>
      <c r="I1003" s="9">
        <v>0</v>
      </c>
      <c r="J1003" s="9">
        <v>29777.7</v>
      </c>
    </row>
    <row r="1004" spans="1:10" ht="15.75" x14ac:dyDescent="0.25">
      <c r="A1004" s="21">
        <v>45382</v>
      </c>
      <c r="B1004" t="str">
        <f>IFERROR(IF(VLOOKUP(C1004,Hoja1!$B$1:$C$6191,2,0)="",_xlfn.XLOOKUP(C1004,Hoja1!$B$2:$B$6191,Hoja1!$A$2:$A$6191),VLOOKUP(C1004,Hoja1!$B$1:$C$6191,2,0)),"No esta en Infor")</f>
        <v>NAC1134</v>
      </c>
      <c r="C1004" s="19" t="s">
        <v>266</v>
      </c>
      <c r="D1004" s="9">
        <v>0</v>
      </c>
      <c r="E1004" s="9">
        <v>0</v>
      </c>
      <c r="F1004" s="9">
        <v>0</v>
      </c>
      <c r="G1004" s="9">
        <v>14.6</v>
      </c>
      <c r="H1004" s="9">
        <v>0</v>
      </c>
      <c r="I1004" s="9">
        <v>0</v>
      </c>
      <c r="J1004" s="9">
        <v>14.6</v>
      </c>
    </row>
    <row r="1005" spans="1:10" ht="15.75" x14ac:dyDescent="0.25">
      <c r="A1005" s="21">
        <v>45382</v>
      </c>
      <c r="B1005" t="str">
        <f>IFERROR(IF(VLOOKUP(C1005,Hoja1!$B$1:$C$6191,2,0)="",_xlfn.XLOOKUP(C1005,Hoja1!$B$2:$B$6191,Hoja1!$A$2:$A$6191),VLOOKUP(C1005,Hoja1!$B$1:$C$6191,2,0)),"No esta en Infor")</f>
        <v>SH01835</v>
      </c>
      <c r="C1005" s="19" t="s">
        <v>469</v>
      </c>
      <c r="D1005" s="9">
        <v>0</v>
      </c>
      <c r="E1005" s="9">
        <v>107.55</v>
      </c>
      <c r="F1005" s="9">
        <v>0</v>
      </c>
      <c r="G1005" s="9">
        <v>0</v>
      </c>
      <c r="H1005" s="9">
        <v>0</v>
      </c>
      <c r="I1005" s="9">
        <v>0</v>
      </c>
      <c r="J1005" s="9">
        <v>107.55</v>
      </c>
    </row>
    <row r="1006" spans="1:10" ht="15.75" x14ac:dyDescent="0.25">
      <c r="A1006" s="21">
        <v>45382</v>
      </c>
      <c r="B1006" t="str">
        <f>IFERROR(IF(VLOOKUP(C1006,Hoja1!$B$1:$C$6191,2,0)="",_xlfn.XLOOKUP(C1006,Hoja1!$B$2:$B$6191,Hoja1!$A$2:$A$6191),VLOOKUP(C1006,Hoja1!$B$1:$C$6191,2,0)),"No esta en Infor")</f>
        <v>NAC1611</v>
      </c>
      <c r="C1006" s="19" t="s">
        <v>2210</v>
      </c>
      <c r="D1006" s="9">
        <v>27295.52</v>
      </c>
      <c r="E1006" s="9">
        <v>53537.78</v>
      </c>
      <c r="F1006" s="9">
        <v>0</v>
      </c>
      <c r="G1006" s="9">
        <v>0</v>
      </c>
      <c r="H1006" s="9">
        <v>0</v>
      </c>
      <c r="I1006" s="9">
        <v>0</v>
      </c>
      <c r="J1006" s="9">
        <v>80833.3</v>
      </c>
    </row>
    <row r="1007" spans="1:10" ht="15.75" x14ac:dyDescent="0.25">
      <c r="A1007" s="21">
        <v>45382</v>
      </c>
      <c r="B1007" t="str">
        <f>IFERROR(IF(VLOOKUP(C1007,Hoja1!$B$1:$C$6191,2,0)="",_xlfn.XLOOKUP(C1007,Hoja1!$B$2:$B$6191,Hoja1!$A$2:$A$6191),VLOOKUP(C1007,Hoja1!$B$1:$C$6191,2,0)),"No esta en Infor")</f>
        <v>NAC1142</v>
      </c>
      <c r="C1007" s="19" t="s">
        <v>410</v>
      </c>
      <c r="D1007" s="9">
        <v>1610.69</v>
      </c>
      <c r="E1007" s="9">
        <v>1400.52</v>
      </c>
      <c r="F1007" s="9">
        <v>0</v>
      </c>
      <c r="G1007" s="9">
        <v>0</v>
      </c>
      <c r="H1007" s="9">
        <v>0</v>
      </c>
      <c r="I1007" s="9">
        <v>0</v>
      </c>
      <c r="J1007" s="9">
        <v>3011.21</v>
      </c>
    </row>
    <row r="1008" spans="1:10" ht="15.75" x14ac:dyDescent="0.25">
      <c r="A1008" s="21">
        <v>45382</v>
      </c>
      <c r="B1008" t="str">
        <f>IFERROR(IF(VLOOKUP(C1008,Hoja1!$B$1:$C$6191,2,0)="",_xlfn.XLOOKUP(C1008,Hoja1!$B$2:$B$6191,Hoja1!$A$2:$A$6191),VLOOKUP(C1008,Hoja1!$B$1:$C$6191,2,0)),"No esta en Infor")</f>
        <v>NAC1143</v>
      </c>
      <c r="C1008" s="19" t="s">
        <v>268</v>
      </c>
      <c r="D1008" s="9">
        <v>290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290</v>
      </c>
    </row>
    <row r="1009" spans="1:10" ht="15.75" x14ac:dyDescent="0.25">
      <c r="A1009" s="21">
        <v>45382</v>
      </c>
      <c r="B1009" t="str">
        <f>IFERROR(IF(VLOOKUP(C1009,Hoja1!$B$1:$C$6191,2,0)="",_xlfn.XLOOKUP(C1009,Hoja1!$B$2:$B$6191,Hoja1!$A$2:$A$6191),VLOOKUP(C1009,Hoja1!$B$1:$C$6191,2,0)),"No esta en Infor")</f>
        <v>NAC1144</v>
      </c>
      <c r="C1009" s="19" t="s">
        <v>411</v>
      </c>
      <c r="D1009" s="9">
        <v>0</v>
      </c>
      <c r="E1009" s="9">
        <v>29.71</v>
      </c>
      <c r="F1009" s="9">
        <v>0</v>
      </c>
      <c r="G1009" s="9">
        <v>0</v>
      </c>
      <c r="H1009" s="9">
        <v>0</v>
      </c>
      <c r="I1009" s="9">
        <v>0</v>
      </c>
      <c r="J1009" s="9">
        <v>29.71</v>
      </c>
    </row>
    <row r="1010" spans="1:10" ht="15.75" x14ac:dyDescent="0.25">
      <c r="A1010" s="21">
        <v>45382</v>
      </c>
      <c r="B1010" t="str">
        <f>IFERROR(IF(VLOOKUP(C1010,Hoja1!$B$1:$C$6191,2,0)="",_xlfn.XLOOKUP(C1010,Hoja1!$B$2:$B$6191,Hoja1!$A$2:$A$6191),VLOOKUP(C1010,Hoja1!$B$1:$C$6191,2,0)),"No esta en Infor")</f>
        <v>NAC1145</v>
      </c>
      <c r="C1010" s="19" t="s">
        <v>269</v>
      </c>
      <c r="D1010" s="9">
        <v>0</v>
      </c>
      <c r="E1010" s="9">
        <v>-16.16</v>
      </c>
      <c r="F1010" s="9">
        <v>0</v>
      </c>
      <c r="G1010" s="9">
        <v>0</v>
      </c>
      <c r="H1010" s="9">
        <v>0</v>
      </c>
      <c r="I1010" s="9">
        <v>0</v>
      </c>
      <c r="J1010" s="9">
        <v>-16.16</v>
      </c>
    </row>
    <row r="1011" spans="1:10" ht="15.75" x14ac:dyDescent="0.25">
      <c r="A1011" s="21">
        <v>45382</v>
      </c>
      <c r="B1011" t="str">
        <f>IFERROR(IF(VLOOKUP(C1011,Hoja1!$B$1:$C$6191,2,0)="",_xlfn.XLOOKUP(C1011,Hoja1!$B$2:$B$6191,Hoja1!$A$2:$A$6191),VLOOKUP(C1011,Hoja1!$B$1:$C$6191,2,0)),"No esta en Infor")</f>
        <v>NAC1148</v>
      </c>
      <c r="C1011" s="19" t="s">
        <v>270</v>
      </c>
      <c r="D1011" s="9">
        <v>4603.12</v>
      </c>
      <c r="E1011" s="9">
        <v>19369.05</v>
      </c>
      <c r="F1011" s="9">
        <v>0</v>
      </c>
      <c r="G1011" s="9">
        <v>0</v>
      </c>
      <c r="H1011" s="9">
        <v>0</v>
      </c>
      <c r="I1011" s="9">
        <v>0</v>
      </c>
      <c r="J1011" s="9">
        <v>23972.17</v>
      </c>
    </row>
    <row r="1012" spans="1:10" ht="15.75" x14ac:dyDescent="0.25">
      <c r="A1012" s="21">
        <v>45382</v>
      </c>
      <c r="B1012" t="str">
        <f>IFERROR(IF(VLOOKUP(C1012,Hoja1!$B$1:$C$6191,2,0)="",_xlfn.XLOOKUP(C1012,Hoja1!$B$2:$B$6191,Hoja1!$A$2:$A$6191),VLOOKUP(C1012,Hoja1!$B$1:$C$6191,2,0)),"No esta en Infor")</f>
        <v>NAC1151</v>
      </c>
      <c r="C1012" s="19" t="s">
        <v>271</v>
      </c>
      <c r="D1012" s="9">
        <v>72733.8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72733.8</v>
      </c>
    </row>
    <row r="1013" spans="1:10" ht="15.75" x14ac:dyDescent="0.25">
      <c r="A1013" s="21">
        <v>45382</v>
      </c>
      <c r="B1013" t="str">
        <f>IFERROR(IF(VLOOKUP(C1013,Hoja1!$B$1:$C$6191,2,0)="",_xlfn.XLOOKUP(C1013,Hoja1!$B$2:$B$6191,Hoja1!$A$2:$A$6191),VLOOKUP(C1013,Hoja1!$B$1:$C$6191,2,0)),"No esta en Infor")</f>
        <v>NAC1152</v>
      </c>
      <c r="C1013" s="19" t="s">
        <v>470</v>
      </c>
      <c r="D1013" s="9">
        <v>12446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12446</v>
      </c>
    </row>
    <row r="1014" spans="1:10" ht="15.75" x14ac:dyDescent="0.25">
      <c r="A1014" s="21">
        <v>45382</v>
      </c>
      <c r="B1014" t="str">
        <f>IFERROR(IF(VLOOKUP(C1014,Hoja1!$B$1:$C$6191,2,0)="",_xlfn.XLOOKUP(C1014,Hoja1!$B$2:$B$6191,Hoja1!$A$2:$A$6191),VLOOKUP(C1014,Hoja1!$B$1:$C$6191,2,0)),"No esta en Infor")</f>
        <v>NAC1158</v>
      </c>
      <c r="C1014" s="19" t="s">
        <v>272</v>
      </c>
      <c r="D1014" s="9">
        <v>14949.8</v>
      </c>
      <c r="E1014" s="9">
        <v>8629.65</v>
      </c>
      <c r="F1014" s="9">
        <v>0</v>
      </c>
      <c r="G1014" s="9">
        <v>0</v>
      </c>
      <c r="H1014" s="9">
        <v>0</v>
      </c>
      <c r="I1014" s="9">
        <v>0</v>
      </c>
      <c r="J1014" s="9">
        <v>23579.45</v>
      </c>
    </row>
    <row r="1015" spans="1:10" ht="15.75" x14ac:dyDescent="0.25">
      <c r="A1015" s="21">
        <v>45382</v>
      </c>
      <c r="B1015" t="str">
        <f>IFERROR(IF(VLOOKUP(C1015,Hoja1!$B$1:$C$6191,2,0)="",_xlfn.XLOOKUP(C1015,Hoja1!$B$2:$B$6191,Hoja1!$A$2:$A$6191),VLOOKUP(C1015,Hoja1!$B$1:$C$6191,2,0)),"No esta en Infor")</f>
        <v>NAC1604</v>
      </c>
      <c r="C1015" s="19" t="s">
        <v>273</v>
      </c>
      <c r="D1015" s="9">
        <v>14329.2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14329.2</v>
      </c>
    </row>
    <row r="1016" spans="1:10" ht="15.75" x14ac:dyDescent="0.25">
      <c r="A1016" s="21">
        <v>45382</v>
      </c>
      <c r="B1016" t="str">
        <f>IFERROR(IF(VLOOKUP(C1016,Hoja1!$B$1:$C$6191,2,0)="",_xlfn.XLOOKUP(C1016,Hoja1!$B$2:$B$6191,Hoja1!$A$2:$A$6191),VLOOKUP(C1016,Hoja1!$B$1:$C$6191,2,0)),"No esta en Infor")</f>
        <v>NAC1604</v>
      </c>
      <c r="C1016" s="19" t="s">
        <v>274</v>
      </c>
      <c r="D1016" s="9">
        <v>9555.7999999999993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9555.7999999999993</v>
      </c>
    </row>
    <row r="1017" spans="1:10" ht="15.75" x14ac:dyDescent="0.25">
      <c r="A1017" s="21">
        <v>45382</v>
      </c>
      <c r="B1017" t="str">
        <f>IFERROR(IF(VLOOKUP(C1017,Hoja1!$B$1:$C$6191,2,0)="",_xlfn.XLOOKUP(C1017,Hoja1!$B$2:$B$6191,Hoja1!$A$2:$A$6191),VLOOKUP(C1017,Hoja1!$B$1:$C$6191,2,0)),"No esta en Infor")</f>
        <v>NAC1604</v>
      </c>
      <c r="C1017" s="19" t="s">
        <v>275</v>
      </c>
      <c r="D1017" s="9">
        <v>12369.8</v>
      </c>
      <c r="E1017" s="9">
        <v>0</v>
      </c>
      <c r="F1017" s="9">
        <v>-280</v>
      </c>
      <c r="G1017" s="9">
        <v>-44.8</v>
      </c>
      <c r="H1017" s="9">
        <v>0</v>
      </c>
      <c r="I1017" s="9">
        <v>-318</v>
      </c>
      <c r="J1017" s="9">
        <v>11727</v>
      </c>
    </row>
    <row r="1018" spans="1:10" ht="15.75" x14ac:dyDescent="0.25">
      <c r="A1018" s="21">
        <v>45382</v>
      </c>
      <c r="B1018" t="str">
        <f>IFERROR(IF(VLOOKUP(C1018,Hoja1!$B$1:$C$6191,2,0)="",_xlfn.XLOOKUP(C1018,Hoja1!$B$2:$B$6191,Hoja1!$A$2:$A$6191),VLOOKUP(C1018,Hoja1!$B$1:$C$6191,2,0)),"No esta en Infor")</f>
        <v>NAC1604</v>
      </c>
      <c r="C1018" s="19" t="s">
        <v>12389</v>
      </c>
      <c r="D1018" s="9">
        <v>35411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35411</v>
      </c>
    </row>
    <row r="1019" spans="1:10" ht="15.75" x14ac:dyDescent="0.25">
      <c r="A1019" s="21">
        <v>45382</v>
      </c>
      <c r="B1019" t="str">
        <f>IFERROR(IF(VLOOKUP(C1019,Hoja1!$B$1:$C$6191,2,0)="",_xlfn.XLOOKUP(C1019,Hoja1!$B$2:$B$6191,Hoja1!$A$2:$A$6191),VLOOKUP(C1019,Hoja1!$B$1:$C$6191,2,0)),"No esta en Infor")</f>
        <v>NAC1604</v>
      </c>
      <c r="C1019" s="19" t="s">
        <v>276</v>
      </c>
      <c r="D1019" s="9">
        <v>7045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7045</v>
      </c>
    </row>
    <row r="1020" spans="1:10" ht="15.75" x14ac:dyDescent="0.25">
      <c r="A1020" s="21">
        <v>45382</v>
      </c>
      <c r="B1020" t="str">
        <f>IFERROR(IF(VLOOKUP(C1020,Hoja1!$B$1:$C$6191,2,0)="",_xlfn.XLOOKUP(C1020,Hoja1!$B$2:$B$6191,Hoja1!$A$2:$A$6191),VLOOKUP(C1020,Hoja1!$B$1:$C$6191,2,0)),"No esta en Infor")</f>
        <v>NAC1174</v>
      </c>
      <c r="C1020" s="19" t="s">
        <v>279</v>
      </c>
      <c r="D1020" s="9">
        <v>0</v>
      </c>
      <c r="E1020" s="9">
        <v>0</v>
      </c>
      <c r="F1020" s="9">
        <v>-27.89</v>
      </c>
      <c r="G1020" s="9">
        <v>0</v>
      </c>
      <c r="H1020" s="9">
        <v>0</v>
      </c>
      <c r="I1020" s="9">
        <v>0</v>
      </c>
      <c r="J1020" s="9">
        <v>-27.89</v>
      </c>
    </row>
    <row r="1021" spans="1:10" ht="15.75" x14ac:dyDescent="0.25">
      <c r="A1021" s="21">
        <v>45382</v>
      </c>
      <c r="B1021" t="str">
        <f>IFERROR(IF(VLOOKUP(C1021,Hoja1!$B$1:$C$6191,2,0)="",_xlfn.XLOOKUP(C1021,Hoja1!$B$2:$B$6191,Hoja1!$A$2:$A$6191),VLOOKUP(C1021,Hoja1!$B$1:$C$6191,2,0)),"No esta en Infor")</f>
        <v>CAN0043</v>
      </c>
      <c r="C1021" s="19" t="s">
        <v>280</v>
      </c>
      <c r="D1021" s="9">
        <v>37445.519999999997</v>
      </c>
      <c r="E1021" s="9">
        <v>3118.8</v>
      </c>
      <c r="F1021" s="9">
        <v>0</v>
      </c>
      <c r="G1021" s="9">
        <v>0</v>
      </c>
      <c r="H1021" s="9">
        <v>0</v>
      </c>
      <c r="I1021" s="9">
        <v>0</v>
      </c>
      <c r="J1021" s="9">
        <v>40564.32</v>
      </c>
    </row>
    <row r="1022" spans="1:10" ht="15.75" x14ac:dyDescent="0.25">
      <c r="A1022" s="21">
        <v>45382</v>
      </c>
      <c r="B1022" t="str">
        <f>IFERROR(IF(VLOOKUP(C1022,Hoja1!$B$1:$C$6191,2,0)="",_xlfn.XLOOKUP(C1022,Hoja1!$B$2:$B$6191,Hoja1!$A$2:$A$6191),VLOOKUP(C1022,Hoja1!$B$1:$C$6191,2,0)),"No esta en Infor")</f>
        <v>NAC1187</v>
      </c>
      <c r="C1022" s="19" t="s">
        <v>471</v>
      </c>
      <c r="D1022" s="9">
        <v>1127.5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1127.5</v>
      </c>
    </row>
    <row r="1023" spans="1:10" ht="15.75" x14ac:dyDescent="0.25">
      <c r="A1023" s="21">
        <v>45382</v>
      </c>
      <c r="B1023" t="str">
        <f>IFERROR(IF(VLOOKUP(C1023,Hoja1!$B$1:$C$6191,2,0)="",_xlfn.XLOOKUP(C1023,Hoja1!$B$2:$B$6191,Hoja1!$A$2:$A$6191),VLOOKUP(C1023,Hoja1!$B$1:$C$6191,2,0)),"No esta en Infor")</f>
        <v>CAN0045</v>
      </c>
      <c r="C1023" s="19" t="s">
        <v>472</v>
      </c>
      <c r="D1023" s="9">
        <v>894.96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894.96</v>
      </c>
    </row>
    <row r="1024" spans="1:10" ht="15.75" x14ac:dyDescent="0.25">
      <c r="A1024" s="21">
        <v>45382</v>
      </c>
      <c r="B1024" t="str">
        <f>IFERROR(IF(VLOOKUP(C1024,Hoja1!$B$1:$C$6191,2,0)="",_xlfn.XLOOKUP(C1024,Hoja1!$B$2:$B$6191,Hoja1!$A$2:$A$6191),VLOOKUP(C1024,Hoja1!$B$1:$C$6191,2,0)),"No esta en Infor")</f>
        <v>CAN0046</v>
      </c>
      <c r="C1024" s="19" t="s">
        <v>283</v>
      </c>
      <c r="D1024" s="9">
        <v>2377.89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2377.89</v>
      </c>
    </row>
    <row r="1025" spans="1:10" ht="15.75" x14ac:dyDescent="0.25">
      <c r="A1025" s="21">
        <v>45382</v>
      </c>
      <c r="B1025" t="str">
        <f>IFERROR(IF(VLOOKUP(C1025,Hoja1!$B$1:$C$6191,2,0)="",_xlfn.XLOOKUP(C1025,Hoja1!$B$2:$B$6191,Hoja1!$A$2:$A$6191),VLOOKUP(C1025,Hoja1!$B$1:$C$6191,2,0)),"No esta en Infor")</f>
        <v>NAC1200</v>
      </c>
      <c r="C1025" s="19" t="s">
        <v>473</v>
      </c>
      <c r="D1025" s="9">
        <v>406.37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406.37</v>
      </c>
    </row>
    <row r="1026" spans="1:10" ht="15.75" x14ac:dyDescent="0.25">
      <c r="A1026" s="21">
        <v>45382</v>
      </c>
      <c r="B1026" t="str">
        <f>IFERROR(IF(VLOOKUP(C1026,Hoja1!$B$1:$C$6191,2,0)="",_xlfn.XLOOKUP(C1026,Hoja1!$B$2:$B$6191,Hoja1!$A$2:$A$6191),VLOOKUP(C1026,Hoja1!$B$1:$C$6191,2,0)),"No esta en Infor")</f>
        <v>NAC1202</v>
      </c>
      <c r="C1026" s="19" t="s">
        <v>416</v>
      </c>
      <c r="D1026" s="9">
        <v>2009.25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2009.25</v>
      </c>
    </row>
    <row r="1027" spans="1:10" ht="15.75" x14ac:dyDescent="0.25">
      <c r="A1027" s="21">
        <v>45382</v>
      </c>
      <c r="B1027" t="str">
        <f>IFERROR(IF(VLOOKUP(C1027,Hoja1!$B$1:$C$6191,2,0)="",_xlfn.XLOOKUP(C1027,Hoja1!$B$2:$B$6191,Hoja1!$A$2:$A$6191),VLOOKUP(C1027,Hoja1!$B$1:$C$6191,2,0)),"No esta en Infor")</f>
        <v>NAC1211</v>
      </c>
      <c r="C1027" s="19" t="s">
        <v>284</v>
      </c>
      <c r="D1027" s="9">
        <v>63086.66</v>
      </c>
      <c r="E1027" s="9">
        <v>109011.52</v>
      </c>
      <c r="F1027" s="9">
        <v>0</v>
      </c>
      <c r="G1027" s="9">
        <v>0</v>
      </c>
      <c r="H1027" s="9">
        <v>0</v>
      </c>
      <c r="I1027" s="9">
        <v>0</v>
      </c>
      <c r="J1027" s="9">
        <v>172098.18</v>
      </c>
    </row>
    <row r="1028" spans="1:10" ht="15.75" x14ac:dyDescent="0.25">
      <c r="A1028" s="21">
        <v>45382</v>
      </c>
      <c r="B1028" t="str">
        <f>IFERROR(IF(VLOOKUP(C1028,Hoja1!$B$1:$C$6191,2,0)="",_xlfn.XLOOKUP(C1028,Hoja1!$B$2:$B$6191,Hoja1!$A$2:$A$6191),VLOOKUP(C1028,Hoja1!$B$1:$C$6191,2,0)),"No esta en Infor")</f>
        <v>NAC1212</v>
      </c>
      <c r="C1028" s="19" t="s">
        <v>285</v>
      </c>
      <c r="D1028" s="9">
        <v>5768</v>
      </c>
      <c r="E1028" s="9">
        <v>24060</v>
      </c>
      <c r="F1028" s="9">
        <v>0</v>
      </c>
      <c r="G1028" s="9">
        <v>0</v>
      </c>
      <c r="H1028" s="9">
        <v>0</v>
      </c>
      <c r="I1028" s="9">
        <v>0</v>
      </c>
      <c r="J1028" s="9">
        <v>29828</v>
      </c>
    </row>
    <row r="1029" spans="1:10" ht="15.75" x14ac:dyDescent="0.25">
      <c r="A1029" s="21">
        <v>45382</v>
      </c>
      <c r="B1029" t="str">
        <f>IFERROR(IF(VLOOKUP(C1029,Hoja1!$B$1:$C$6191,2,0)="",_xlfn.XLOOKUP(C1029,Hoja1!$B$2:$B$6191,Hoja1!$A$2:$A$6191),VLOOKUP(C1029,Hoja1!$B$1:$C$6191,2,0)),"No esta en Infor")</f>
        <v>NAC1216</v>
      </c>
      <c r="C1029" s="19" t="s">
        <v>287</v>
      </c>
      <c r="D1029" s="9">
        <v>0</v>
      </c>
      <c r="E1029" s="9">
        <v>0</v>
      </c>
      <c r="F1029" s="9">
        <v>-0.01</v>
      </c>
      <c r="G1029" s="9">
        <v>0</v>
      </c>
      <c r="H1029" s="9">
        <v>0</v>
      </c>
      <c r="I1029" s="9">
        <v>0</v>
      </c>
      <c r="J1029" s="9">
        <v>-0.01</v>
      </c>
    </row>
    <row r="1030" spans="1:10" ht="15.75" x14ac:dyDescent="0.25">
      <c r="A1030" s="21">
        <v>45382</v>
      </c>
      <c r="B1030" t="str">
        <f>IFERROR(IF(VLOOKUP(C1030,Hoja1!$B$1:$C$6191,2,0)="",_xlfn.XLOOKUP(C1030,Hoja1!$B$2:$B$6191,Hoja1!$A$2:$A$6191),VLOOKUP(C1030,Hoja1!$B$1:$C$6191,2,0)),"No esta en Infor")</f>
        <v>NAC1218</v>
      </c>
      <c r="C1030" s="19" t="s">
        <v>474</v>
      </c>
      <c r="D1030" s="9">
        <v>229.98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229.98</v>
      </c>
    </row>
    <row r="1031" spans="1:10" ht="15.75" x14ac:dyDescent="0.25">
      <c r="A1031" s="21">
        <v>45382</v>
      </c>
      <c r="B1031" t="str">
        <f>IFERROR(IF(VLOOKUP(C1031,Hoja1!$B$1:$C$6191,2,0)="",_xlfn.XLOOKUP(C1031,Hoja1!$B$2:$B$6191,Hoja1!$A$2:$A$6191),VLOOKUP(C1031,Hoja1!$B$1:$C$6191,2,0)),"No esta en Infor")</f>
        <v>NAC1219</v>
      </c>
      <c r="C1031" s="19" t="s">
        <v>475</v>
      </c>
      <c r="D1031" s="9">
        <v>0</v>
      </c>
      <c r="E1031" s="9">
        <v>-299.55</v>
      </c>
      <c r="F1031" s="9">
        <v>0</v>
      </c>
      <c r="G1031" s="9">
        <v>0</v>
      </c>
      <c r="H1031" s="9">
        <v>0</v>
      </c>
      <c r="I1031" s="9">
        <v>0</v>
      </c>
      <c r="J1031" s="9">
        <v>-299.55</v>
      </c>
    </row>
    <row r="1032" spans="1:10" ht="15.75" x14ac:dyDescent="0.25">
      <c r="A1032" s="21">
        <v>45382</v>
      </c>
      <c r="B1032" t="str">
        <f>IFERROR(IF(VLOOKUP(C1032,Hoja1!$B$1:$C$6191,2,0)="",_xlfn.XLOOKUP(C1032,Hoja1!$B$2:$B$6191,Hoja1!$A$2:$A$6191),VLOOKUP(C1032,Hoja1!$B$1:$C$6191,2,0)),"No esta en Infor")</f>
        <v>NAC1229</v>
      </c>
      <c r="C1032" s="19" t="s">
        <v>418</v>
      </c>
      <c r="D1032" s="9">
        <v>0</v>
      </c>
      <c r="E1032" s="9">
        <v>505.49</v>
      </c>
      <c r="F1032" s="9">
        <v>0</v>
      </c>
      <c r="G1032" s="9">
        <v>0</v>
      </c>
      <c r="H1032" s="9">
        <v>0</v>
      </c>
      <c r="I1032" s="9">
        <v>0</v>
      </c>
      <c r="J1032" s="9">
        <v>505.49</v>
      </c>
    </row>
    <row r="1033" spans="1:10" ht="15.75" x14ac:dyDescent="0.25">
      <c r="A1033" s="21">
        <v>45382</v>
      </c>
      <c r="B1033" t="str">
        <f>IFERROR(IF(VLOOKUP(C1033,Hoja1!$B$1:$C$6191,2,0)="",_xlfn.XLOOKUP(C1033,Hoja1!$B$2:$B$6191,Hoja1!$A$2:$A$6191),VLOOKUP(C1033,Hoja1!$B$1:$C$6191,2,0)),"No esta en Infor")</f>
        <v>NAC1231</v>
      </c>
      <c r="C1033" s="19" t="s">
        <v>290</v>
      </c>
      <c r="D1033" s="9">
        <v>0</v>
      </c>
      <c r="E1033" s="9">
        <v>36561.449999999997</v>
      </c>
      <c r="F1033" s="9">
        <v>0</v>
      </c>
      <c r="G1033" s="9">
        <v>0</v>
      </c>
      <c r="H1033" s="9">
        <v>0</v>
      </c>
      <c r="I1033" s="9">
        <v>0</v>
      </c>
      <c r="J1033" s="9">
        <v>36561.449999999997</v>
      </c>
    </row>
    <row r="1034" spans="1:10" ht="15.75" x14ac:dyDescent="0.25">
      <c r="A1034" s="21">
        <v>45382</v>
      </c>
      <c r="B1034" t="str">
        <f>IFERROR(IF(VLOOKUP(C1034,Hoja1!$B$1:$C$6191,2,0)="",_xlfn.XLOOKUP(C1034,Hoja1!$B$2:$B$6191,Hoja1!$A$2:$A$6191),VLOOKUP(C1034,Hoja1!$B$1:$C$6191,2,0)),"No esta en Infor")</f>
        <v>CAN0050</v>
      </c>
      <c r="C1034" s="19" t="s">
        <v>291</v>
      </c>
      <c r="D1034" s="9">
        <v>27756.11</v>
      </c>
      <c r="E1034" s="9">
        <v>4404.74</v>
      </c>
      <c r="F1034" s="9">
        <v>0</v>
      </c>
      <c r="G1034" s="9">
        <v>0</v>
      </c>
      <c r="H1034" s="9">
        <v>0</v>
      </c>
      <c r="I1034" s="9">
        <v>0</v>
      </c>
      <c r="J1034" s="9">
        <v>32160.85</v>
      </c>
    </row>
    <row r="1035" spans="1:10" ht="15.75" x14ac:dyDescent="0.25">
      <c r="A1035" s="21">
        <v>45382</v>
      </c>
      <c r="B1035" t="str">
        <f>IFERROR(IF(VLOOKUP(C1035,Hoja1!$B$1:$C$6191,2,0)="",_xlfn.XLOOKUP(C1035,Hoja1!$B$2:$B$6191,Hoja1!$A$2:$A$6191),VLOOKUP(C1035,Hoja1!$B$1:$C$6191,2,0)),"No esta en Infor")</f>
        <v>NAC1234</v>
      </c>
      <c r="C1035" s="19" t="s">
        <v>293</v>
      </c>
      <c r="D1035" s="9">
        <v>17797</v>
      </c>
      <c r="E1035" s="9">
        <v>50</v>
      </c>
      <c r="F1035" s="9">
        <v>0</v>
      </c>
      <c r="G1035" s="9">
        <v>0</v>
      </c>
      <c r="H1035" s="9">
        <v>0</v>
      </c>
      <c r="I1035" s="9">
        <v>0</v>
      </c>
      <c r="J1035" s="9">
        <v>17847</v>
      </c>
    </row>
    <row r="1036" spans="1:10" ht="15.75" x14ac:dyDescent="0.25">
      <c r="A1036" s="21">
        <v>45382</v>
      </c>
      <c r="B1036" t="str">
        <f>IFERROR(IF(VLOOKUP(C1036,Hoja1!$B$1:$C$6191,2,0)="",_xlfn.XLOOKUP(C1036,Hoja1!$B$2:$B$6191,Hoja1!$A$2:$A$6191),VLOOKUP(C1036,Hoja1!$B$1:$C$6191,2,0)),"No esta en Infor")</f>
        <v>NAC1238</v>
      </c>
      <c r="C1036" s="19" t="s">
        <v>476</v>
      </c>
      <c r="D1036" s="9">
        <v>515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515</v>
      </c>
    </row>
    <row r="1037" spans="1:10" ht="15.75" x14ac:dyDescent="0.25">
      <c r="A1037" s="21">
        <v>45382</v>
      </c>
      <c r="B1037" t="str">
        <f>IFERROR(IF(VLOOKUP(C1037,Hoja1!$B$1:$C$6191,2,0)="",_xlfn.XLOOKUP(C1037,Hoja1!$B$2:$B$6191,Hoja1!$A$2:$A$6191),VLOOKUP(C1037,Hoja1!$B$1:$C$6191,2,0)),"No esta en Infor")</f>
        <v>SH02051</v>
      </c>
      <c r="C1037" s="19" t="s">
        <v>294</v>
      </c>
      <c r="D1037" s="9">
        <v>0</v>
      </c>
      <c r="E1037" s="9">
        <v>0</v>
      </c>
      <c r="F1037" s="9">
        <v>904.47</v>
      </c>
      <c r="G1037" s="9">
        <v>-880.65</v>
      </c>
      <c r="H1037" s="9">
        <v>0</v>
      </c>
      <c r="I1037" s="9">
        <v>0</v>
      </c>
      <c r="J1037" s="9">
        <v>23.82</v>
      </c>
    </row>
    <row r="1038" spans="1:10" ht="15.75" x14ac:dyDescent="0.25">
      <c r="A1038" s="21">
        <v>45382</v>
      </c>
      <c r="B1038" t="str">
        <f>IFERROR(IF(VLOOKUP(C1038,Hoja1!$B$1:$C$6191,2,0)="",_xlfn.XLOOKUP(C1038,Hoja1!$B$2:$B$6191,Hoja1!$A$2:$A$6191),VLOOKUP(C1038,Hoja1!$B$1:$C$6191,2,0)),"No esta en Infor")</f>
        <v>NAC1241</v>
      </c>
      <c r="C1038" s="19" t="s">
        <v>295</v>
      </c>
      <c r="D1038" s="9">
        <v>8443.76</v>
      </c>
      <c r="E1038" s="9">
        <v>0</v>
      </c>
      <c r="F1038" s="9">
        <v>0</v>
      </c>
      <c r="G1038" s="9">
        <v>0</v>
      </c>
      <c r="H1038" s="9">
        <v>-75</v>
      </c>
      <c r="I1038" s="9">
        <v>0</v>
      </c>
      <c r="J1038" s="9">
        <v>8368.76</v>
      </c>
    </row>
    <row r="1039" spans="1:10" ht="15.75" x14ac:dyDescent="0.25">
      <c r="A1039" s="21">
        <v>45382</v>
      </c>
      <c r="B1039" t="str">
        <f>IFERROR(IF(VLOOKUP(C1039,Hoja1!$B$1:$C$6191,2,0)="",_xlfn.XLOOKUP(C1039,Hoja1!$B$2:$B$6191,Hoja1!$A$2:$A$6191),VLOOKUP(C1039,Hoja1!$B$1:$C$6191,2,0)),"No esta en Infor")</f>
        <v>NAC1247</v>
      </c>
      <c r="C1039" s="19" t="s">
        <v>298</v>
      </c>
      <c r="D1039" s="9">
        <v>3456.25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3456.25</v>
      </c>
    </row>
    <row r="1040" spans="1:10" ht="15.75" x14ac:dyDescent="0.25">
      <c r="A1040" s="21">
        <v>45382</v>
      </c>
      <c r="B1040" t="str">
        <f>IFERROR(IF(VLOOKUP(C1040,Hoja1!$B$1:$C$6191,2,0)="",_xlfn.XLOOKUP(C1040,Hoja1!$B$2:$B$6191,Hoja1!$A$2:$A$6191),VLOOKUP(C1040,Hoja1!$B$1:$C$6191,2,0)),"No esta en Infor")</f>
        <v>CAN0051</v>
      </c>
      <c r="C1040" s="19" t="s">
        <v>299</v>
      </c>
      <c r="D1040" s="9">
        <v>0</v>
      </c>
      <c r="E1040" s="9">
        <v>-0.34</v>
      </c>
      <c r="F1040" s="9">
        <v>0</v>
      </c>
      <c r="G1040" s="9">
        <v>0</v>
      </c>
      <c r="H1040" s="9">
        <v>0</v>
      </c>
      <c r="I1040" s="9">
        <v>0</v>
      </c>
      <c r="J1040" s="9">
        <v>-0.34</v>
      </c>
    </row>
    <row r="1041" spans="1:10" ht="15.75" x14ac:dyDescent="0.25">
      <c r="A1041" s="21">
        <v>45382</v>
      </c>
      <c r="B1041" t="str">
        <f>IFERROR(IF(VLOOKUP(C1041,Hoja1!$B$1:$C$6191,2,0)="",_xlfn.XLOOKUP(C1041,Hoja1!$B$2:$B$6191,Hoja1!$A$2:$A$6191),VLOOKUP(C1041,Hoja1!$B$1:$C$6191,2,0)),"No esta en Infor")</f>
        <v>NAC1249</v>
      </c>
      <c r="C1041" s="19" t="s">
        <v>300</v>
      </c>
      <c r="D1041" s="9">
        <v>0</v>
      </c>
      <c r="E1041" s="9">
        <v>80779.5</v>
      </c>
      <c r="F1041" s="9">
        <v>0</v>
      </c>
      <c r="G1041" s="9">
        <v>0</v>
      </c>
      <c r="H1041" s="9">
        <v>0</v>
      </c>
      <c r="I1041" s="9">
        <v>0</v>
      </c>
      <c r="J1041" s="9">
        <v>80779.5</v>
      </c>
    </row>
    <row r="1042" spans="1:10" ht="15.75" x14ac:dyDescent="0.25">
      <c r="A1042" s="21">
        <v>45382</v>
      </c>
      <c r="B1042" t="str">
        <f>IFERROR(IF(VLOOKUP(C1042,Hoja1!$B$1:$C$6191,2,0)="",_xlfn.XLOOKUP(C1042,Hoja1!$B$2:$B$6191,Hoja1!$A$2:$A$6191),VLOOKUP(C1042,Hoja1!$B$1:$C$6191,2,0)),"No esta en Infor")</f>
        <v>NAC1252</v>
      </c>
      <c r="C1042" s="19" t="s">
        <v>301</v>
      </c>
      <c r="D1042" s="9">
        <v>38990.639999999999</v>
      </c>
      <c r="E1042" s="9">
        <v>15304.4</v>
      </c>
      <c r="F1042" s="9">
        <v>0</v>
      </c>
      <c r="G1042" s="9">
        <v>0</v>
      </c>
      <c r="H1042" s="9">
        <v>0</v>
      </c>
      <c r="I1042" s="9">
        <v>0</v>
      </c>
      <c r="J1042" s="9">
        <v>54295.040000000001</v>
      </c>
    </row>
    <row r="1043" spans="1:10" ht="15.75" x14ac:dyDescent="0.25">
      <c r="A1043" s="21">
        <v>45382</v>
      </c>
      <c r="B1043" t="str">
        <f>IFERROR(IF(VLOOKUP(C1043,Hoja1!$B$1:$C$6191,2,0)="",_xlfn.XLOOKUP(C1043,Hoja1!$B$2:$B$6191,Hoja1!$A$2:$A$6191),VLOOKUP(C1043,Hoja1!$B$1:$C$6191,2,0)),"No esta en Infor")</f>
        <v>NAC1281</v>
      </c>
      <c r="C1043" s="19" t="s">
        <v>305</v>
      </c>
      <c r="D1043" s="9">
        <v>0</v>
      </c>
      <c r="E1043" s="9">
        <v>649.98</v>
      </c>
      <c r="F1043" s="9">
        <v>0</v>
      </c>
      <c r="G1043" s="9">
        <v>0</v>
      </c>
      <c r="H1043" s="9">
        <v>0</v>
      </c>
      <c r="I1043" s="9">
        <v>0</v>
      </c>
      <c r="J1043" s="9">
        <v>649.98</v>
      </c>
    </row>
    <row r="1044" spans="1:10" ht="15.75" x14ac:dyDescent="0.25">
      <c r="A1044" s="21">
        <v>45382</v>
      </c>
      <c r="B1044" t="str">
        <f>IFERROR(IF(VLOOKUP(C1044,Hoja1!$B$1:$C$6191,2,0)="",_xlfn.XLOOKUP(C1044,Hoja1!$B$2:$B$6191,Hoja1!$A$2:$A$6191),VLOOKUP(C1044,Hoja1!$B$1:$C$6191,2,0)),"No esta en Infor")</f>
        <v>NAC1283</v>
      </c>
      <c r="C1044" s="19" t="s">
        <v>308</v>
      </c>
      <c r="D1044" s="9">
        <v>0</v>
      </c>
      <c r="E1044" s="9">
        <v>-118</v>
      </c>
      <c r="F1044" s="9">
        <v>0</v>
      </c>
      <c r="G1044" s="9">
        <v>0</v>
      </c>
      <c r="H1044" s="9">
        <v>0</v>
      </c>
      <c r="I1044" s="9">
        <v>0</v>
      </c>
      <c r="J1044" s="9">
        <v>-118</v>
      </c>
    </row>
    <row r="1045" spans="1:10" ht="15.75" x14ac:dyDescent="0.25">
      <c r="A1045" s="21">
        <v>45382</v>
      </c>
      <c r="B1045" t="str">
        <f>IFERROR(IF(VLOOKUP(C1045,Hoja1!$B$1:$C$6191,2,0)="",_xlfn.XLOOKUP(C1045,Hoja1!$B$2:$B$6191,Hoja1!$A$2:$A$6191),VLOOKUP(C1045,Hoja1!$B$1:$C$6191,2,0)),"No esta en Infor")</f>
        <v>No esta en Infor</v>
      </c>
      <c r="C1045" s="19" t="s">
        <v>47</v>
      </c>
      <c r="D1045" s="9">
        <v>0</v>
      </c>
      <c r="E1045" s="9">
        <v>50</v>
      </c>
      <c r="F1045" s="9">
        <v>0</v>
      </c>
      <c r="G1045" s="9">
        <v>39</v>
      </c>
      <c r="H1045" s="9">
        <v>0</v>
      </c>
      <c r="I1045" s="9">
        <v>0</v>
      </c>
      <c r="J1045" s="9">
        <v>89</v>
      </c>
    </row>
    <row r="1046" spans="1:10" ht="15.75" x14ac:dyDescent="0.25">
      <c r="A1046" s="21">
        <v>45382</v>
      </c>
      <c r="B1046" t="str">
        <f>IFERROR(IF(VLOOKUP(C1046,Hoja1!$B$1:$C$6191,2,0)="",_xlfn.XLOOKUP(C1046,Hoja1!$B$2:$B$6191,Hoja1!$A$2:$A$6191),VLOOKUP(C1046,Hoja1!$B$1:$C$6191,2,0)),"No esta en Infor")</f>
        <v>NAC1311</v>
      </c>
      <c r="C1046" s="19" t="s">
        <v>311</v>
      </c>
      <c r="D1046" s="9">
        <v>0</v>
      </c>
      <c r="E1046" s="9">
        <v>0</v>
      </c>
      <c r="F1046" s="9">
        <v>0</v>
      </c>
      <c r="G1046" s="9">
        <v>0</v>
      </c>
      <c r="H1046" s="9">
        <v>-116.74</v>
      </c>
      <c r="I1046" s="9">
        <v>0</v>
      </c>
      <c r="J1046" s="9">
        <v>-116.74</v>
      </c>
    </row>
    <row r="1047" spans="1:10" ht="15.75" x14ac:dyDescent="0.25">
      <c r="A1047" s="21">
        <v>45382</v>
      </c>
      <c r="B1047" t="str">
        <f>IFERROR(IF(VLOOKUP(C1047,Hoja1!$B$1:$C$6191,2,0)="",_xlfn.XLOOKUP(C1047,Hoja1!$B$2:$B$6191,Hoja1!$A$2:$A$6191),VLOOKUP(C1047,Hoja1!$B$1:$C$6191,2,0)),"No esta en Infor")</f>
        <v>NAC1609</v>
      </c>
      <c r="C1047" s="19" t="s">
        <v>312</v>
      </c>
      <c r="D1047" s="9">
        <v>128.99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128.99</v>
      </c>
    </row>
    <row r="1048" spans="1:10" ht="15.75" x14ac:dyDescent="0.25">
      <c r="A1048" s="21">
        <v>45382</v>
      </c>
      <c r="B1048" t="str">
        <f>IFERROR(IF(VLOOKUP(C1048,Hoja1!$B$1:$C$6191,2,0)="",_xlfn.XLOOKUP(C1048,Hoja1!$B$2:$B$6191,Hoja1!$A$2:$A$6191),VLOOKUP(C1048,Hoja1!$B$1:$C$6191,2,0)),"No esta en Infor")</f>
        <v>NAC1312</v>
      </c>
      <c r="C1048" s="19" t="s">
        <v>314</v>
      </c>
      <c r="D1048" s="9">
        <v>53729.22</v>
      </c>
      <c r="E1048" s="9">
        <v>25233.55</v>
      </c>
      <c r="F1048" s="9">
        <v>1743.04</v>
      </c>
      <c r="G1048" s="9">
        <v>4649.8900000000003</v>
      </c>
      <c r="H1048" s="9">
        <v>0</v>
      </c>
      <c r="I1048" s="9">
        <v>0</v>
      </c>
      <c r="J1048" s="9">
        <v>85355.7</v>
      </c>
    </row>
    <row r="1049" spans="1:10" ht="15.75" x14ac:dyDescent="0.25">
      <c r="A1049" s="21">
        <v>45382</v>
      </c>
      <c r="B1049" t="str">
        <f>IFERROR(IF(VLOOKUP(C1049,Hoja1!$B$1:$C$6191,2,0)="",_xlfn.XLOOKUP(C1049,Hoja1!$B$2:$B$6191,Hoja1!$A$2:$A$6191),VLOOKUP(C1049,Hoja1!$B$1:$C$6191,2,0)),"No esta en Infor")</f>
        <v>CAN0060</v>
      </c>
      <c r="C1049" s="19" t="s">
        <v>422</v>
      </c>
      <c r="D1049" s="9">
        <v>0</v>
      </c>
      <c r="E1049" s="9">
        <v>219.21</v>
      </c>
      <c r="F1049" s="9">
        <v>0</v>
      </c>
      <c r="G1049" s="9">
        <v>0</v>
      </c>
      <c r="H1049" s="9">
        <v>0</v>
      </c>
      <c r="I1049" s="9">
        <v>0</v>
      </c>
      <c r="J1049" s="9">
        <v>219.21</v>
      </c>
    </row>
    <row r="1050" spans="1:10" ht="15.75" x14ac:dyDescent="0.25">
      <c r="A1050" s="21">
        <v>45382</v>
      </c>
      <c r="B1050" t="str">
        <f>IFERROR(IF(VLOOKUP(C1050,Hoja1!$B$1:$C$6191,2,0)="",_xlfn.XLOOKUP(C1050,Hoja1!$B$2:$B$6191,Hoja1!$A$2:$A$6191),VLOOKUP(C1050,Hoja1!$B$1:$C$6191,2,0)),"No esta en Infor")</f>
        <v>NAC1333</v>
      </c>
      <c r="C1050" s="19" t="s">
        <v>318</v>
      </c>
      <c r="D1050" s="9">
        <v>9180.2800000000007</v>
      </c>
      <c r="E1050" s="9">
        <v>83.97</v>
      </c>
      <c r="F1050" s="9">
        <v>0</v>
      </c>
      <c r="G1050" s="9">
        <v>0</v>
      </c>
      <c r="H1050" s="9">
        <v>0</v>
      </c>
      <c r="I1050" s="9">
        <v>0</v>
      </c>
      <c r="J1050" s="9">
        <v>9264.25</v>
      </c>
    </row>
    <row r="1051" spans="1:10" ht="15.75" x14ac:dyDescent="0.25">
      <c r="A1051" s="21">
        <v>45382</v>
      </c>
      <c r="B1051" t="str">
        <f>IFERROR(IF(VLOOKUP(C1051,Hoja1!$B$1:$C$6191,2,0)="",_xlfn.XLOOKUP(C1051,Hoja1!$B$2:$B$6191,Hoja1!$A$2:$A$6191),VLOOKUP(C1051,Hoja1!$B$1:$C$6191,2,0)),"No esta en Infor")</f>
        <v>SH02273</v>
      </c>
      <c r="C1051" s="19" t="s">
        <v>477</v>
      </c>
      <c r="D1051" s="9">
        <v>0</v>
      </c>
      <c r="E1051" s="9">
        <v>205.2</v>
      </c>
      <c r="F1051" s="9">
        <v>0</v>
      </c>
      <c r="G1051" s="9">
        <v>0</v>
      </c>
      <c r="H1051" s="9">
        <v>0</v>
      </c>
      <c r="I1051" s="9">
        <v>0</v>
      </c>
      <c r="J1051" s="9">
        <v>205.2</v>
      </c>
    </row>
    <row r="1052" spans="1:10" ht="15.75" x14ac:dyDescent="0.25">
      <c r="A1052" s="21">
        <v>45382</v>
      </c>
      <c r="B1052" t="str">
        <f>IFERROR(IF(VLOOKUP(C1052,Hoja1!$B$1:$C$6191,2,0)="",_xlfn.XLOOKUP(C1052,Hoja1!$B$2:$B$6191,Hoja1!$A$2:$A$6191),VLOOKUP(C1052,Hoja1!$B$1:$C$6191,2,0)),"No esta en Infor")</f>
        <v>No esta en Infor</v>
      </c>
      <c r="C1052" s="19" t="s">
        <v>320</v>
      </c>
      <c r="D1052" s="9">
        <v>0</v>
      </c>
      <c r="E1052" s="9">
        <v>0</v>
      </c>
      <c r="F1052" s="9">
        <v>48.29</v>
      </c>
      <c r="G1052" s="9">
        <v>0</v>
      </c>
      <c r="H1052" s="9">
        <v>0</v>
      </c>
      <c r="I1052" s="9">
        <v>0</v>
      </c>
      <c r="J1052" s="9">
        <v>48.29</v>
      </c>
    </row>
    <row r="1053" spans="1:10" ht="15.75" x14ac:dyDescent="0.25">
      <c r="A1053" s="21">
        <v>45382</v>
      </c>
      <c r="B1053" t="str">
        <f>IFERROR(IF(VLOOKUP(C1053,Hoja1!$B$1:$C$6191,2,0)="",_xlfn.XLOOKUP(C1053,Hoja1!$B$2:$B$6191,Hoja1!$A$2:$A$6191),VLOOKUP(C1053,Hoja1!$B$1:$C$6191,2,0)),"No esta en Infor")</f>
        <v>NAC1346</v>
      </c>
      <c r="C1053" s="19" t="s">
        <v>321</v>
      </c>
      <c r="D1053" s="9">
        <v>235.87</v>
      </c>
      <c r="E1053" s="9">
        <v>0</v>
      </c>
      <c r="F1053" s="9">
        <v>0</v>
      </c>
      <c r="G1053" s="9">
        <v>0</v>
      </c>
      <c r="H1053" s="9">
        <v>0</v>
      </c>
      <c r="I1053" s="9">
        <v>-1123.33</v>
      </c>
      <c r="J1053" s="9">
        <v>-887.46</v>
      </c>
    </row>
    <row r="1054" spans="1:10" ht="15.75" x14ac:dyDescent="0.25">
      <c r="A1054" s="21">
        <v>45382</v>
      </c>
      <c r="B1054" t="str">
        <f>IFERROR(IF(VLOOKUP(C1054,Hoja1!$B$1:$C$6191,2,0)="",_xlfn.XLOOKUP(C1054,Hoja1!$B$2:$B$6191,Hoja1!$A$2:$A$6191),VLOOKUP(C1054,Hoja1!$B$1:$C$6191,2,0)),"No esta en Infor")</f>
        <v>NAC1349</v>
      </c>
      <c r="C1054" s="19" t="s">
        <v>322</v>
      </c>
      <c r="D1054" s="9">
        <v>0</v>
      </c>
      <c r="E1054" s="9">
        <v>-3458.85</v>
      </c>
      <c r="F1054" s="9">
        <v>-169.96</v>
      </c>
      <c r="G1054" s="9">
        <v>0</v>
      </c>
      <c r="H1054" s="9">
        <v>0</v>
      </c>
      <c r="I1054" s="9">
        <v>0</v>
      </c>
      <c r="J1054" s="9">
        <v>-3628.81</v>
      </c>
    </row>
    <row r="1055" spans="1:10" ht="15.75" x14ac:dyDescent="0.25">
      <c r="A1055" s="21">
        <v>45382</v>
      </c>
      <c r="B1055" t="str">
        <f>IFERROR(IF(VLOOKUP(C1055,Hoja1!$B$1:$C$6191,2,0)="",_xlfn.XLOOKUP(C1055,Hoja1!$B$2:$B$6191,Hoja1!$A$2:$A$6191),VLOOKUP(C1055,Hoja1!$B$1:$C$6191,2,0)),"No esta en Infor")</f>
        <v>NAC1348</v>
      </c>
      <c r="C1055" s="19" t="s">
        <v>323</v>
      </c>
      <c r="D1055" s="9">
        <v>0</v>
      </c>
      <c r="E1055" s="9">
        <v>0</v>
      </c>
      <c r="F1055" s="9">
        <v>0</v>
      </c>
      <c r="G1055" s="9">
        <v>-343.9</v>
      </c>
      <c r="H1055" s="9">
        <v>0</v>
      </c>
      <c r="I1055" s="9">
        <v>0</v>
      </c>
      <c r="J1055" s="9">
        <v>-343.9</v>
      </c>
    </row>
    <row r="1056" spans="1:10" ht="15.75" x14ac:dyDescent="0.25">
      <c r="A1056" s="21">
        <v>45382</v>
      </c>
      <c r="B1056" t="str">
        <f>IFERROR(IF(VLOOKUP(C1056,Hoja1!$B$1:$C$6191,2,0)="",_xlfn.XLOOKUP(C1056,Hoja1!$B$2:$B$6191,Hoja1!$A$2:$A$6191),VLOOKUP(C1056,Hoja1!$B$1:$C$6191,2,0)),"No esta en Infor")</f>
        <v>NAC1356</v>
      </c>
      <c r="C1056" s="19" t="s">
        <v>325</v>
      </c>
      <c r="D1056" s="9">
        <v>0</v>
      </c>
      <c r="E1056" s="9">
        <v>0</v>
      </c>
      <c r="F1056" s="9">
        <v>-421.28</v>
      </c>
      <c r="G1056" s="9">
        <v>0</v>
      </c>
      <c r="H1056" s="9">
        <v>0</v>
      </c>
      <c r="I1056" s="9">
        <v>0</v>
      </c>
      <c r="J1056" s="9">
        <v>-421.28</v>
      </c>
    </row>
    <row r="1057" spans="1:10" ht="15.75" x14ac:dyDescent="0.25">
      <c r="A1057" s="21">
        <v>45382</v>
      </c>
      <c r="B1057" t="str">
        <f>IFERROR(IF(VLOOKUP(C1057,Hoja1!$B$1:$C$6191,2,0)="",_xlfn.XLOOKUP(C1057,Hoja1!$B$2:$B$6191,Hoja1!$A$2:$A$6191),VLOOKUP(C1057,Hoja1!$B$1:$C$6191,2,0)),"No esta en Infor")</f>
        <v>NAC1357</v>
      </c>
      <c r="C1057" s="19" t="s">
        <v>423</v>
      </c>
      <c r="D1057" s="9">
        <v>107.24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107.24</v>
      </c>
    </row>
    <row r="1058" spans="1:10" ht="15.75" x14ac:dyDescent="0.25">
      <c r="A1058" s="21">
        <v>45382</v>
      </c>
      <c r="B1058" t="str">
        <f>IFERROR(IF(VLOOKUP(C1058,Hoja1!$B$1:$C$6191,2,0)="",_xlfn.XLOOKUP(C1058,Hoja1!$B$2:$B$6191,Hoja1!$A$2:$A$6191),VLOOKUP(C1058,Hoja1!$B$1:$C$6191,2,0)),"No esta en Infor")</f>
        <v>NAC1361</v>
      </c>
      <c r="C1058" s="19" t="s">
        <v>326</v>
      </c>
      <c r="D1058" s="9">
        <v>0</v>
      </c>
      <c r="E1058" s="9">
        <v>0</v>
      </c>
      <c r="F1058" s="9">
        <v>0</v>
      </c>
      <c r="G1058" s="9">
        <v>8611.74</v>
      </c>
      <c r="H1058" s="9">
        <v>0</v>
      </c>
      <c r="I1058" s="9">
        <v>0</v>
      </c>
      <c r="J1058" s="9">
        <v>8611.74</v>
      </c>
    </row>
    <row r="1059" spans="1:10" ht="15.75" x14ac:dyDescent="0.25">
      <c r="A1059" s="21">
        <v>45382</v>
      </c>
      <c r="B1059" t="str">
        <f>IFERROR(IF(VLOOKUP(C1059,Hoja1!$B$1:$C$6191,2,0)="",_xlfn.XLOOKUP(C1059,Hoja1!$B$2:$B$6191,Hoja1!$A$2:$A$6191),VLOOKUP(C1059,Hoja1!$B$1:$C$6191,2,0)),"No esta en Infor")</f>
        <v>CAN0065</v>
      </c>
      <c r="C1059" s="19" t="s">
        <v>327</v>
      </c>
      <c r="D1059" s="9">
        <v>5223.99</v>
      </c>
      <c r="E1059" s="9">
        <v>15071.69</v>
      </c>
      <c r="F1059" s="9">
        <v>0</v>
      </c>
      <c r="G1059" s="9">
        <v>0</v>
      </c>
      <c r="H1059" s="9">
        <v>0</v>
      </c>
      <c r="I1059" s="9">
        <v>0</v>
      </c>
      <c r="J1059" s="9">
        <v>20295.68</v>
      </c>
    </row>
    <row r="1060" spans="1:10" ht="15.75" x14ac:dyDescent="0.25">
      <c r="A1060" s="21">
        <v>45382</v>
      </c>
      <c r="B1060" t="str">
        <f>IFERROR(IF(VLOOKUP(C1060,Hoja1!$B$1:$C$6191,2,0)="",_xlfn.XLOOKUP(C1060,Hoja1!$B$2:$B$6191,Hoja1!$A$2:$A$6191),VLOOKUP(C1060,Hoja1!$B$1:$C$6191,2,0)),"No esta en Infor")</f>
        <v>NAC1367</v>
      </c>
      <c r="C1060" s="19" t="s">
        <v>424</v>
      </c>
      <c r="D1060" s="9">
        <v>2442</v>
      </c>
      <c r="E1060" s="9">
        <v>0</v>
      </c>
      <c r="F1060" s="9">
        <v>0</v>
      </c>
      <c r="G1060" s="9">
        <v>0</v>
      </c>
      <c r="H1060" s="9">
        <v>0</v>
      </c>
      <c r="I1060" s="9">
        <v>-199.08</v>
      </c>
      <c r="J1060" s="9">
        <v>2242.92</v>
      </c>
    </row>
    <row r="1061" spans="1:10" ht="15.75" x14ac:dyDescent="0.25">
      <c r="A1061" s="21">
        <v>45382</v>
      </c>
      <c r="B1061" t="str">
        <f>IFERROR(IF(VLOOKUP(C1061,Hoja1!$B$1:$C$6191,2,0)="",_xlfn.XLOOKUP(C1061,Hoja1!$B$2:$B$6191,Hoja1!$A$2:$A$6191),VLOOKUP(C1061,Hoja1!$B$1:$C$6191,2,0)),"No esta en Infor")</f>
        <v>No esta en Infor</v>
      </c>
      <c r="C1061" s="19" t="s">
        <v>328</v>
      </c>
      <c r="D1061" s="9">
        <v>35509.18</v>
      </c>
      <c r="E1061" s="9">
        <v>0</v>
      </c>
      <c r="F1061" s="9">
        <v>470</v>
      </c>
      <c r="G1061" s="9">
        <v>0</v>
      </c>
      <c r="H1061" s="9">
        <v>0</v>
      </c>
      <c r="I1061" s="9">
        <v>0</v>
      </c>
      <c r="J1061" s="9">
        <v>35979.18</v>
      </c>
    </row>
    <row r="1062" spans="1:10" ht="15.75" x14ac:dyDescent="0.25">
      <c r="A1062" s="21">
        <v>45382</v>
      </c>
      <c r="B1062" t="str">
        <f>IFERROR(IF(VLOOKUP(C1062,Hoja1!$B$1:$C$6191,2,0)="",_xlfn.XLOOKUP(C1062,Hoja1!$B$2:$B$6191,Hoja1!$A$2:$A$6191),VLOOKUP(C1062,Hoja1!$B$1:$C$6191,2,0)),"No esta en Infor")</f>
        <v>CAN0066</v>
      </c>
      <c r="C1062" s="19" t="s">
        <v>330</v>
      </c>
      <c r="D1062" s="9">
        <v>0</v>
      </c>
      <c r="E1062" s="9">
        <v>0</v>
      </c>
      <c r="F1062" s="9">
        <v>-18.57</v>
      </c>
      <c r="G1062" s="9">
        <v>0</v>
      </c>
      <c r="H1062" s="9">
        <v>0</v>
      </c>
      <c r="I1062" s="9">
        <v>0</v>
      </c>
      <c r="J1062" s="9">
        <v>-18.57</v>
      </c>
    </row>
    <row r="1063" spans="1:10" ht="15.75" x14ac:dyDescent="0.25">
      <c r="A1063" s="21">
        <v>45382</v>
      </c>
      <c r="B1063" t="str">
        <f>IFERROR(IF(VLOOKUP(C1063,Hoja1!$B$1:$C$6191,2,0)="",_xlfn.XLOOKUP(C1063,Hoja1!$B$2:$B$6191,Hoja1!$A$2:$A$6191),VLOOKUP(C1063,Hoja1!$B$1:$C$6191,2,0)),"No esta en Infor")</f>
        <v>NAC1375</v>
      </c>
      <c r="C1063" s="19" t="s">
        <v>426</v>
      </c>
      <c r="D1063" s="9">
        <v>0</v>
      </c>
      <c r="E1063" s="9">
        <v>1691</v>
      </c>
      <c r="F1063" s="9">
        <v>0</v>
      </c>
      <c r="G1063" s="9">
        <v>0</v>
      </c>
      <c r="H1063" s="9">
        <v>0</v>
      </c>
      <c r="I1063" s="9">
        <v>0</v>
      </c>
      <c r="J1063" s="9">
        <v>1691</v>
      </c>
    </row>
    <row r="1064" spans="1:10" ht="15.75" x14ac:dyDescent="0.25">
      <c r="A1064" s="21">
        <v>45382</v>
      </c>
      <c r="B1064" t="str">
        <f>IFERROR(IF(VLOOKUP(C1064,Hoja1!$B$1:$C$6191,2,0)="",_xlfn.XLOOKUP(C1064,Hoja1!$B$2:$B$6191,Hoja1!$A$2:$A$6191),VLOOKUP(C1064,Hoja1!$B$1:$C$6191,2,0)),"No esta en Infor")</f>
        <v>NAC1376</v>
      </c>
      <c r="C1064" s="19" t="s">
        <v>331</v>
      </c>
      <c r="D1064" s="9">
        <v>30592</v>
      </c>
      <c r="E1064" s="9">
        <v>56607.3</v>
      </c>
      <c r="F1064" s="9">
        <v>0</v>
      </c>
      <c r="G1064" s="9">
        <v>0</v>
      </c>
      <c r="H1064" s="9">
        <v>0</v>
      </c>
      <c r="I1064" s="9">
        <v>0</v>
      </c>
      <c r="J1064" s="9">
        <v>87199.3</v>
      </c>
    </row>
    <row r="1065" spans="1:10" ht="15.75" x14ac:dyDescent="0.25">
      <c r="A1065" s="21">
        <v>45382</v>
      </c>
      <c r="B1065" t="str">
        <f>IFERROR(IF(VLOOKUP(C1065,Hoja1!$B$1:$C$6191,2,0)="",_xlfn.XLOOKUP(C1065,Hoja1!$B$2:$B$6191,Hoja1!$A$2:$A$6191),VLOOKUP(C1065,Hoja1!$B$1:$C$6191,2,0)),"No esta en Infor")</f>
        <v>NAC1381</v>
      </c>
      <c r="C1065" s="19" t="s">
        <v>478</v>
      </c>
      <c r="D1065" s="9">
        <v>190.54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190.54</v>
      </c>
    </row>
    <row r="1066" spans="1:10" ht="15.75" x14ac:dyDescent="0.25">
      <c r="A1066" s="21">
        <v>45382</v>
      </c>
      <c r="B1066" t="str">
        <f>IFERROR(IF(VLOOKUP(C1066,Hoja1!$B$1:$C$6191,2,0)="",_xlfn.XLOOKUP(C1066,Hoja1!$B$2:$B$6191,Hoja1!$A$2:$A$6191),VLOOKUP(C1066,Hoja1!$B$1:$C$6191,2,0)),"No esta en Infor")</f>
        <v>NAC1382</v>
      </c>
      <c r="C1066" s="19" t="s">
        <v>332</v>
      </c>
      <c r="D1066" s="9">
        <v>162085.35999999999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162085.35999999999</v>
      </c>
    </row>
    <row r="1067" spans="1:10" ht="15.75" x14ac:dyDescent="0.25">
      <c r="A1067" s="21">
        <v>45382</v>
      </c>
      <c r="B1067" t="str">
        <f>IFERROR(IF(VLOOKUP(C1067,Hoja1!$B$1:$C$6191,2,0)="",_xlfn.XLOOKUP(C1067,Hoja1!$B$2:$B$6191,Hoja1!$A$2:$A$6191),VLOOKUP(C1067,Hoja1!$B$1:$C$6191,2,0)),"No esta en Infor")</f>
        <v>NAC1448</v>
      </c>
      <c r="C1067" s="19" t="s">
        <v>53</v>
      </c>
      <c r="D1067" s="9">
        <v>-99.99</v>
      </c>
      <c r="E1067" s="9">
        <v>0</v>
      </c>
      <c r="F1067" s="9">
        <v>0</v>
      </c>
      <c r="G1067" s="9">
        <v>0</v>
      </c>
      <c r="H1067" s="9">
        <v>0</v>
      </c>
      <c r="I1067" s="9">
        <v>-162.37</v>
      </c>
      <c r="J1067" s="9">
        <v>-262.36</v>
      </c>
    </row>
    <row r="1068" spans="1:10" ht="15.75" x14ac:dyDescent="0.25">
      <c r="A1068" s="21">
        <v>45382</v>
      </c>
      <c r="B1068" t="str">
        <f>IFERROR(IF(VLOOKUP(C1068,Hoja1!$B$1:$C$6191,2,0)="",_xlfn.XLOOKUP(C1068,Hoja1!$B$2:$B$6191,Hoja1!$A$2:$A$6191),VLOOKUP(C1068,Hoja1!$B$1:$C$6191,2,0)),"No esta en Infor")</f>
        <v>NAC1393</v>
      </c>
      <c r="C1068" s="19" t="s">
        <v>335</v>
      </c>
      <c r="D1068" s="9">
        <v>0</v>
      </c>
      <c r="E1068" s="9">
        <v>-3.21</v>
      </c>
      <c r="F1068" s="9">
        <v>0</v>
      </c>
      <c r="G1068" s="9">
        <v>0</v>
      </c>
      <c r="H1068" s="9">
        <v>0</v>
      </c>
      <c r="I1068" s="9">
        <v>0</v>
      </c>
      <c r="J1068" s="9">
        <v>-3.21</v>
      </c>
    </row>
    <row r="1069" spans="1:10" ht="15.75" x14ac:dyDescent="0.25">
      <c r="A1069" s="21">
        <v>45382</v>
      </c>
      <c r="B1069" t="str">
        <f>IFERROR(IF(VLOOKUP(C1069,Hoja1!$B$1:$C$6191,2,0)="",_xlfn.XLOOKUP(C1069,Hoja1!$B$2:$B$6191,Hoja1!$A$2:$A$6191),VLOOKUP(C1069,Hoja1!$B$1:$C$6191,2,0)),"No esta en Infor")</f>
        <v>NAC1395</v>
      </c>
      <c r="C1069" s="19" t="s">
        <v>337</v>
      </c>
      <c r="D1069" s="9">
        <v>8703</v>
      </c>
      <c r="E1069" s="9">
        <v>25936.87</v>
      </c>
      <c r="F1069" s="9">
        <v>0</v>
      </c>
      <c r="G1069" s="9">
        <v>0</v>
      </c>
      <c r="H1069" s="9">
        <v>0</v>
      </c>
      <c r="I1069" s="9">
        <v>0</v>
      </c>
      <c r="J1069" s="9">
        <v>34639.870000000003</v>
      </c>
    </row>
    <row r="1070" spans="1:10" ht="15.75" x14ac:dyDescent="0.25">
      <c r="A1070" s="21">
        <v>45382</v>
      </c>
      <c r="B1070" t="str">
        <f>IFERROR(IF(VLOOKUP(C1070,Hoja1!$B$1:$C$6191,2,0)="",_xlfn.XLOOKUP(C1070,Hoja1!$B$2:$B$6191,Hoja1!$A$2:$A$6191),VLOOKUP(C1070,Hoja1!$B$1:$C$6191,2,0)),"No esta en Infor")</f>
        <v>No esta en Infor</v>
      </c>
      <c r="C1070" s="19" t="s">
        <v>338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-340.25</v>
      </c>
      <c r="J1070" s="9">
        <v>-340.25</v>
      </c>
    </row>
    <row r="1071" spans="1:10" ht="15.75" x14ac:dyDescent="0.25">
      <c r="A1071" s="21">
        <v>45382</v>
      </c>
      <c r="B1071" t="str">
        <f>IFERROR(IF(VLOOKUP(C1071,Hoja1!$B$1:$C$6191,2,0)="",_xlfn.XLOOKUP(C1071,Hoja1!$B$2:$B$6191,Hoja1!$A$2:$A$6191),VLOOKUP(C1071,Hoja1!$B$1:$C$6191,2,0)),"No esta en Infor")</f>
        <v>CAN0071</v>
      </c>
      <c r="C1071" s="19" t="s">
        <v>341</v>
      </c>
      <c r="D1071" s="9">
        <v>7940.7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7940.7</v>
      </c>
    </row>
    <row r="1072" spans="1:10" ht="15.75" x14ac:dyDescent="0.25">
      <c r="A1072" s="21">
        <v>45382</v>
      </c>
      <c r="B1072" t="str">
        <f>IFERROR(IF(VLOOKUP(C1072,Hoja1!$B$1:$C$6191,2,0)="",_xlfn.XLOOKUP(C1072,Hoja1!$B$2:$B$6191,Hoja1!$A$2:$A$6191),VLOOKUP(C1072,Hoja1!$B$1:$C$6191,2,0)),"No esta en Infor")</f>
        <v>NAC1412</v>
      </c>
      <c r="C1072" s="19" t="s">
        <v>479</v>
      </c>
      <c r="D1072" s="9">
        <v>506.4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506.4</v>
      </c>
    </row>
    <row r="1073" spans="1:10" ht="15.75" x14ac:dyDescent="0.25">
      <c r="A1073" s="21">
        <v>45382</v>
      </c>
      <c r="B1073" t="str">
        <f>IFERROR(IF(VLOOKUP(C1073,Hoja1!$B$1:$C$6191,2,0)="",_xlfn.XLOOKUP(C1073,Hoja1!$B$2:$B$6191,Hoja1!$A$2:$A$6191),VLOOKUP(C1073,Hoja1!$B$1:$C$6191,2,0)),"No esta en Infor")</f>
        <v>NAC1419</v>
      </c>
      <c r="C1073" s="19" t="s">
        <v>343</v>
      </c>
      <c r="D1073" s="9">
        <v>0</v>
      </c>
      <c r="E1073" s="9">
        <v>0</v>
      </c>
      <c r="F1073" s="9">
        <v>0</v>
      </c>
      <c r="G1073" s="9">
        <v>0</v>
      </c>
      <c r="H1073" s="9">
        <v>0</v>
      </c>
      <c r="I1073" s="9">
        <v>-4.18</v>
      </c>
      <c r="J1073" s="9">
        <v>-4.18</v>
      </c>
    </row>
    <row r="1074" spans="1:10" ht="15.75" x14ac:dyDescent="0.25">
      <c r="A1074" s="21">
        <v>45382</v>
      </c>
      <c r="B1074" t="str">
        <f>IFERROR(IF(VLOOKUP(C1074,Hoja1!$B$1:$C$6191,2,0)="",_xlfn.XLOOKUP(C1074,Hoja1!$B$2:$B$6191,Hoja1!$A$2:$A$6191),VLOOKUP(C1074,Hoja1!$B$1:$C$6191,2,0)),"No esta en Infor")</f>
        <v>NAC1420</v>
      </c>
      <c r="C1074" s="19" t="s">
        <v>480</v>
      </c>
      <c r="D1074" s="9">
        <v>297.56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297.56</v>
      </c>
    </row>
    <row r="1075" spans="1:10" ht="15.75" x14ac:dyDescent="0.25">
      <c r="A1075" s="21">
        <v>45382</v>
      </c>
      <c r="B1075" t="str">
        <f>IFERROR(IF(VLOOKUP(C1075,Hoja1!$B$1:$C$6191,2,0)="",_xlfn.XLOOKUP(C1075,Hoja1!$B$2:$B$6191,Hoja1!$A$2:$A$6191),VLOOKUP(C1075,Hoja1!$B$1:$C$6191,2,0)),"No esta en Infor")</f>
        <v>NAC1422</v>
      </c>
      <c r="C1075" s="19" t="s">
        <v>344</v>
      </c>
      <c r="D1075" s="9">
        <v>0</v>
      </c>
      <c r="E1075" s="9">
        <v>0</v>
      </c>
      <c r="F1075" s="9">
        <v>0</v>
      </c>
      <c r="G1075" s="9">
        <v>0</v>
      </c>
      <c r="H1075" s="9">
        <v>-0.01</v>
      </c>
      <c r="I1075" s="9">
        <v>0</v>
      </c>
      <c r="J1075" s="9">
        <v>-0.01</v>
      </c>
    </row>
    <row r="1076" spans="1:10" ht="15.75" x14ac:dyDescent="0.25">
      <c r="A1076" s="21">
        <v>45382</v>
      </c>
      <c r="B1076" t="str">
        <f>IFERROR(IF(VLOOKUP(C1076,Hoja1!$B$1:$C$6191,2,0)="",_xlfn.XLOOKUP(C1076,Hoja1!$B$2:$B$6191,Hoja1!$A$2:$A$6191),VLOOKUP(C1076,Hoja1!$B$1:$C$6191,2,0)),"No esta en Infor")</f>
        <v>NAC1424</v>
      </c>
      <c r="C1076" s="19" t="s">
        <v>345</v>
      </c>
      <c r="D1076" s="9">
        <v>438179.17</v>
      </c>
      <c r="E1076" s="9">
        <v>4357</v>
      </c>
      <c r="F1076" s="9">
        <v>0</v>
      </c>
      <c r="G1076" s="9">
        <v>0</v>
      </c>
      <c r="H1076" s="9">
        <v>0</v>
      </c>
      <c r="I1076" s="9">
        <v>0</v>
      </c>
      <c r="J1076" s="9">
        <v>442536.17</v>
      </c>
    </row>
    <row r="1077" spans="1:10" ht="15.75" x14ac:dyDescent="0.25">
      <c r="A1077" s="21">
        <v>45382</v>
      </c>
      <c r="B1077" t="str">
        <f>IFERROR(IF(VLOOKUP(C1077,Hoja1!$B$1:$C$6191,2,0)="",_xlfn.XLOOKUP(C1077,Hoja1!$B$2:$B$6191,Hoja1!$A$2:$A$6191),VLOOKUP(C1077,Hoja1!$B$1:$C$6191,2,0)),"No esta en Infor")</f>
        <v>NAC1429</v>
      </c>
      <c r="C1077" s="19" t="s">
        <v>347</v>
      </c>
      <c r="D1077" s="9">
        <v>43.6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43.6</v>
      </c>
    </row>
    <row r="1078" spans="1:10" ht="15.75" x14ac:dyDescent="0.25">
      <c r="A1078" s="21">
        <v>45382</v>
      </c>
      <c r="B1078" t="str">
        <f>IFERROR(IF(VLOOKUP(C1078,Hoja1!$B$1:$C$6191,2,0)="",_xlfn.XLOOKUP(C1078,Hoja1!$B$2:$B$6191,Hoja1!$A$2:$A$6191),VLOOKUP(C1078,Hoja1!$B$1:$C$6191,2,0)),"No esta en Infor")</f>
        <v>NAC1434</v>
      </c>
      <c r="C1078" s="19" t="s">
        <v>348</v>
      </c>
      <c r="D1078" s="9">
        <v>6382</v>
      </c>
      <c r="E1078" s="9">
        <v>0</v>
      </c>
      <c r="F1078" s="9">
        <v>-0.01</v>
      </c>
      <c r="G1078" s="9">
        <v>0</v>
      </c>
      <c r="H1078" s="9">
        <v>0</v>
      </c>
      <c r="I1078" s="9">
        <v>0</v>
      </c>
      <c r="J1078" s="9">
        <v>6381.99</v>
      </c>
    </row>
    <row r="1079" spans="1:10" ht="15.75" x14ac:dyDescent="0.25">
      <c r="A1079" s="21">
        <v>45382</v>
      </c>
      <c r="B1079" t="str">
        <f>IFERROR(IF(VLOOKUP(C1079,Hoja1!$B$1:$C$6191,2,0)="",_xlfn.XLOOKUP(C1079,Hoja1!$B$2:$B$6191,Hoja1!$A$2:$A$6191),VLOOKUP(C1079,Hoja1!$B$1:$C$6191,2,0)),"No esta en Infor")</f>
        <v>NAC1445</v>
      </c>
      <c r="C1079" s="19" t="s">
        <v>481</v>
      </c>
      <c r="D1079" s="9">
        <v>691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691</v>
      </c>
    </row>
    <row r="1080" spans="1:10" ht="15.75" x14ac:dyDescent="0.25">
      <c r="A1080" s="21">
        <v>45382</v>
      </c>
      <c r="B1080" t="str">
        <f>IFERROR(IF(VLOOKUP(C1080,Hoja1!$B$1:$C$6191,2,0)="",_xlfn.XLOOKUP(C1080,Hoja1!$B$2:$B$6191,Hoja1!$A$2:$A$6191),VLOOKUP(C1080,Hoja1!$B$1:$C$6191,2,0)),"No esta en Infor")</f>
        <v>CAN0074</v>
      </c>
      <c r="C1080" s="19" t="s">
        <v>350</v>
      </c>
      <c r="D1080" s="9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-100</v>
      </c>
      <c r="J1080" s="9">
        <v>-100</v>
      </c>
    </row>
    <row r="1081" spans="1:10" ht="15.75" x14ac:dyDescent="0.25">
      <c r="A1081" s="21">
        <v>45382</v>
      </c>
      <c r="B1081" t="str">
        <f>IFERROR(IF(VLOOKUP(C1081,Hoja1!$B$1:$C$6191,2,0)="",_xlfn.XLOOKUP(C1081,Hoja1!$B$2:$B$6191,Hoja1!$A$2:$A$6191),VLOOKUP(C1081,Hoja1!$B$1:$C$6191,2,0)),"No esta en Infor")</f>
        <v>CAN0077</v>
      </c>
      <c r="C1081" s="19" t="s">
        <v>353</v>
      </c>
      <c r="D1081" s="9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-364.86</v>
      </c>
      <c r="J1081" s="9">
        <v>-364.86</v>
      </c>
    </row>
    <row r="1082" spans="1:10" ht="15.75" x14ac:dyDescent="0.25">
      <c r="A1082" s="21">
        <v>45382</v>
      </c>
      <c r="B1082" t="str">
        <f>IFERROR(IF(VLOOKUP(C1082,Hoja1!$B$1:$C$6191,2,0)="",_xlfn.XLOOKUP(C1082,Hoja1!$B$2:$B$6191,Hoja1!$A$2:$A$6191),VLOOKUP(C1082,Hoja1!$B$1:$C$6191,2,0)),"No esta en Infor")</f>
        <v>NAC1479</v>
      </c>
      <c r="C1082" s="19" t="s">
        <v>354</v>
      </c>
      <c r="D1082" s="9">
        <v>0</v>
      </c>
      <c r="E1082" s="9">
        <v>0</v>
      </c>
      <c r="F1082" s="9">
        <v>-6.68</v>
      </c>
      <c r="G1082" s="9">
        <v>0</v>
      </c>
      <c r="H1082" s="9">
        <v>0</v>
      </c>
      <c r="I1082" s="9">
        <v>0</v>
      </c>
      <c r="J1082" s="9">
        <v>-6.68</v>
      </c>
    </row>
    <row r="1083" spans="1:10" ht="15.75" x14ac:dyDescent="0.25">
      <c r="A1083" s="21">
        <v>45382</v>
      </c>
      <c r="B1083" t="str">
        <f>IFERROR(IF(VLOOKUP(C1083,Hoja1!$B$1:$C$6191,2,0)="",_xlfn.XLOOKUP(C1083,Hoja1!$B$2:$B$6191,Hoja1!$A$2:$A$6191),VLOOKUP(C1083,Hoja1!$B$1:$C$6191,2,0)),"No esta en Infor")</f>
        <v>NAC1611</v>
      </c>
      <c r="C1083" s="19" t="s">
        <v>355</v>
      </c>
      <c r="D1083" s="9">
        <v>4465.1000000000004</v>
      </c>
      <c r="E1083" s="9">
        <v>15126.81</v>
      </c>
      <c r="F1083" s="9">
        <v>0</v>
      </c>
      <c r="G1083" s="9">
        <v>0</v>
      </c>
      <c r="H1083" s="9">
        <v>0</v>
      </c>
      <c r="I1083" s="9">
        <v>-184</v>
      </c>
      <c r="J1083" s="9">
        <v>19407.91</v>
      </c>
    </row>
    <row r="1084" spans="1:10" ht="15.75" x14ac:dyDescent="0.25">
      <c r="A1084" s="21">
        <v>45382</v>
      </c>
      <c r="B1084" t="str">
        <f>IFERROR(IF(VLOOKUP(C1084,Hoja1!$B$1:$C$6191,2,0)="",_xlfn.XLOOKUP(C1084,Hoja1!$B$2:$B$6191,Hoja1!$A$2:$A$6191),VLOOKUP(C1084,Hoja1!$B$1:$C$6191,2,0)),"No esta en Infor")</f>
        <v>NAC1482</v>
      </c>
      <c r="C1084" s="19" t="s">
        <v>356</v>
      </c>
      <c r="D1084" s="9">
        <v>0</v>
      </c>
      <c r="E1084" s="9">
        <v>0</v>
      </c>
      <c r="F1084" s="9">
        <v>-53.68</v>
      </c>
      <c r="G1084" s="9">
        <v>0</v>
      </c>
      <c r="H1084" s="9">
        <v>0</v>
      </c>
      <c r="I1084" s="9">
        <v>0</v>
      </c>
      <c r="J1084" s="9">
        <v>-53.68</v>
      </c>
    </row>
    <row r="1085" spans="1:10" ht="15.75" x14ac:dyDescent="0.25">
      <c r="A1085" s="21">
        <v>45382</v>
      </c>
      <c r="B1085" t="str">
        <f>IFERROR(IF(VLOOKUP(C1085,Hoja1!$B$1:$C$6191,2,0)="",_xlfn.XLOOKUP(C1085,Hoja1!$B$2:$B$6191,Hoja1!$A$2:$A$6191),VLOOKUP(C1085,Hoja1!$B$1:$C$6191,2,0)),"No esta en Infor")</f>
        <v>NAC1485</v>
      </c>
      <c r="C1085" s="19" t="s">
        <v>358</v>
      </c>
      <c r="D1085" s="9">
        <v>0</v>
      </c>
      <c r="E1085" s="9">
        <v>0</v>
      </c>
      <c r="F1085" s="9">
        <v>-10</v>
      </c>
      <c r="G1085" s="9">
        <v>0</v>
      </c>
      <c r="H1085" s="9">
        <v>0</v>
      </c>
      <c r="I1085" s="9">
        <v>0</v>
      </c>
      <c r="J1085" s="9">
        <v>-10</v>
      </c>
    </row>
    <row r="1086" spans="1:10" ht="15.75" x14ac:dyDescent="0.25">
      <c r="A1086" s="21">
        <v>45382</v>
      </c>
      <c r="B1086" t="str">
        <f>IFERROR(IF(VLOOKUP(C1086,Hoja1!$B$1:$C$6191,2,0)="",_xlfn.XLOOKUP(C1086,Hoja1!$B$2:$B$6191,Hoja1!$A$2:$A$6191),VLOOKUP(C1086,Hoja1!$B$1:$C$6191,2,0)),"No esta en Infor")</f>
        <v>CAN0081</v>
      </c>
      <c r="C1086" s="19" t="s">
        <v>431</v>
      </c>
      <c r="D1086" s="9">
        <v>1053.98</v>
      </c>
      <c r="E1086" s="9">
        <v>1150</v>
      </c>
      <c r="F1086" s="9">
        <v>0</v>
      </c>
      <c r="G1086" s="9">
        <v>0</v>
      </c>
      <c r="H1086" s="9">
        <v>0</v>
      </c>
      <c r="I1086" s="9">
        <v>0</v>
      </c>
      <c r="J1086" s="9">
        <v>2203.98</v>
      </c>
    </row>
    <row r="1087" spans="1:10" ht="15.75" x14ac:dyDescent="0.25">
      <c r="A1087" s="21">
        <v>45382</v>
      </c>
      <c r="B1087" t="str">
        <f>IFERROR(IF(VLOOKUP(C1087,Hoja1!$B$1:$C$6191,2,0)="",_xlfn.XLOOKUP(C1087,Hoja1!$B$2:$B$6191,Hoja1!$A$2:$A$6191),VLOOKUP(C1087,Hoja1!$B$1:$C$6191,2,0)),"No esta en Infor")</f>
        <v>NAC1494</v>
      </c>
      <c r="C1087" s="19" t="s">
        <v>360</v>
      </c>
      <c r="D1087" s="9">
        <v>0</v>
      </c>
      <c r="E1087" s="9">
        <v>0</v>
      </c>
      <c r="F1087" s="9">
        <v>0</v>
      </c>
      <c r="G1087" s="9">
        <v>0</v>
      </c>
      <c r="H1087" s="9">
        <v>-286.77999999999997</v>
      </c>
      <c r="I1087" s="9">
        <v>0</v>
      </c>
      <c r="J1087" s="9">
        <v>-286.77999999999997</v>
      </c>
    </row>
    <row r="1088" spans="1:10" ht="15.75" x14ac:dyDescent="0.25">
      <c r="A1088" s="21">
        <v>45382</v>
      </c>
      <c r="B1088" t="str">
        <f>IFERROR(IF(VLOOKUP(C1088,Hoja1!$B$1:$C$6191,2,0)="",_xlfn.XLOOKUP(C1088,Hoja1!$B$2:$B$6191,Hoja1!$A$2:$A$6191),VLOOKUP(C1088,Hoja1!$B$1:$C$6191,2,0)),"No esta en Infor")</f>
        <v>NAC1495</v>
      </c>
      <c r="C1088" s="19" t="s">
        <v>482</v>
      </c>
      <c r="D1088" s="9">
        <v>244.13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244.13</v>
      </c>
    </row>
    <row r="1089" spans="1:10" ht="15.75" x14ac:dyDescent="0.25">
      <c r="A1089" s="21">
        <v>45382</v>
      </c>
      <c r="B1089" t="str">
        <f>IFERROR(IF(VLOOKUP(C1089,Hoja1!$B$1:$C$6191,2,0)="",_xlfn.XLOOKUP(C1089,Hoja1!$B$2:$B$6191,Hoja1!$A$2:$A$6191),VLOOKUP(C1089,Hoja1!$B$1:$C$6191,2,0)),"No esta en Infor")</f>
        <v>NAC1500</v>
      </c>
      <c r="C1089" s="19" t="s">
        <v>432</v>
      </c>
      <c r="D1089" s="9">
        <v>0</v>
      </c>
      <c r="E1089" s="9">
        <v>107.8</v>
      </c>
      <c r="F1089" s="9">
        <v>0</v>
      </c>
      <c r="G1089" s="9">
        <v>0</v>
      </c>
      <c r="H1089" s="9">
        <v>0</v>
      </c>
      <c r="I1089" s="9">
        <v>0</v>
      </c>
      <c r="J1089" s="9">
        <v>107.8</v>
      </c>
    </row>
    <row r="1090" spans="1:10" ht="15.75" x14ac:dyDescent="0.25">
      <c r="A1090" s="21">
        <v>45382</v>
      </c>
      <c r="B1090" t="str">
        <f>IFERROR(IF(VLOOKUP(C1090,Hoja1!$B$1:$C$6191,2,0)="",_xlfn.XLOOKUP(C1090,Hoja1!$B$2:$B$6191,Hoja1!$A$2:$A$6191),VLOOKUP(C1090,Hoja1!$B$1:$C$6191,2,0)),"No esta en Infor")</f>
        <v>NAC1501</v>
      </c>
      <c r="C1090" s="19" t="s">
        <v>361</v>
      </c>
      <c r="D1090" s="9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-179.49</v>
      </c>
      <c r="J1090" s="9">
        <v>-179.49</v>
      </c>
    </row>
    <row r="1091" spans="1:10" ht="15.75" x14ac:dyDescent="0.25">
      <c r="A1091" s="21">
        <v>45382</v>
      </c>
      <c r="B1091" t="str">
        <f>IFERROR(IF(VLOOKUP(C1091,Hoja1!$B$1:$C$6191,2,0)="",_xlfn.XLOOKUP(C1091,Hoja1!$B$2:$B$6191,Hoja1!$A$2:$A$6191),VLOOKUP(C1091,Hoja1!$B$1:$C$6191,2,0)),"No esta en Infor")</f>
        <v>CAN0082</v>
      </c>
      <c r="C1091" s="19" t="s">
        <v>362</v>
      </c>
      <c r="D1091" s="9">
        <v>5570.9</v>
      </c>
      <c r="E1091" s="9">
        <v>5032.46</v>
      </c>
      <c r="F1091" s="9">
        <v>0</v>
      </c>
      <c r="G1091" s="9">
        <v>0</v>
      </c>
      <c r="H1091" s="9">
        <v>0</v>
      </c>
      <c r="I1091" s="9">
        <v>0</v>
      </c>
      <c r="J1091" s="9">
        <v>10603.36</v>
      </c>
    </row>
    <row r="1092" spans="1:10" ht="15.75" x14ac:dyDescent="0.25">
      <c r="A1092" s="21">
        <v>45382</v>
      </c>
      <c r="B1092" t="str">
        <f>IFERROR(IF(VLOOKUP(C1092,Hoja1!$B$1:$C$6191,2,0)="",_xlfn.XLOOKUP(C1092,Hoja1!$B$2:$B$6191,Hoja1!$A$2:$A$6191),VLOOKUP(C1092,Hoja1!$B$1:$C$6191,2,0)),"No esta en Infor")</f>
        <v>NAC1506</v>
      </c>
      <c r="C1092" s="19" t="s">
        <v>364</v>
      </c>
      <c r="D1092" s="9">
        <v>1177.5</v>
      </c>
      <c r="E1092" s="9">
        <v>1318.5</v>
      </c>
      <c r="F1092" s="9">
        <v>0</v>
      </c>
      <c r="G1092" s="9">
        <v>0</v>
      </c>
      <c r="H1092" s="9">
        <v>0</v>
      </c>
      <c r="I1092" s="9">
        <v>0</v>
      </c>
      <c r="J1092" s="9">
        <v>2496</v>
      </c>
    </row>
    <row r="1093" spans="1:10" ht="15.75" x14ac:dyDescent="0.25">
      <c r="A1093" s="21">
        <v>45382</v>
      </c>
      <c r="B1093" t="str">
        <f>IFERROR(IF(VLOOKUP(C1093,Hoja1!$B$1:$C$6191,2,0)="",_xlfn.XLOOKUP(C1093,Hoja1!$B$2:$B$6191,Hoja1!$A$2:$A$6191),VLOOKUP(C1093,Hoja1!$B$1:$C$6191,2,0)),"No esta en Infor")</f>
        <v>NAC1517</v>
      </c>
      <c r="C1093" s="19" t="s">
        <v>365</v>
      </c>
      <c r="D1093" s="9">
        <v>29156.65</v>
      </c>
      <c r="E1093" s="9">
        <v>129.69999999999999</v>
      </c>
      <c r="F1093" s="9">
        <v>-501.9</v>
      </c>
      <c r="G1093" s="9">
        <v>-706.44</v>
      </c>
      <c r="H1093" s="9">
        <v>-582.45000000000005</v>
      </c>
      <c r="I1093" s="9">
        <v>-468.5</v>
      </c>
      <c r="J1093" s="9">
        <v>27027.06</v>
      </c>
    </row>
    <row r="1094" spans="1:10" ht="15.75" x14ac:dyDescent="0.25">
      <c r="A1094" s="21">
        <v>45382</v>
      </c>
      <c r="B1094" t="str">
        <f>IFERROR(IF(VLOOKUP(C1094,Hoja1!$B$1:$C$6191,2,0)="",_xlfn.XLOOKUP(C1094,Hoja1!$B$2:$B$6191,Hoja1!$A$2:$A$6191),VLOOKUP(C1094,Hoja1!$B$1:$C$6191,2,0)),"No esta en Infor")</f>
        <v>NAC1529</v>
      </c>
      <c r="C1094" s="19" t="s">
        <v>368</v>
      </c>
      <c r="D1094" s="9">
        <v>4164</v>
      </c>
      <c r="E1094" s="9">
        <v>111.75</v>
      </c>
      <c r="F1094" s="9">
        <v>0</v>
      </c>
      <c r="G1094" s="9">
        <v>0</v>
      </c>
      <c r="H1094" s="9">
        <v>0</v>
      </c>
      <c r="I1094" s="9">
        <v>0</v>
      </c>
      <c r="J1094" s="9">
        <v>4275.75</v>
      </c>
    </row>
    <row r="1095" spans="1:10" ht="15.75" x14ac:dyDescent="0.25">
      <c r="A1095" s="21">
        <v>45382</v>
      </c>
      <c r="B1095" t="str">
        <f>IFERROR(IF(VLOOKUP(C1095,Hoja1!$B$1:$C$6191,2,0)="",_xlfn.XLOOKUP(C1095,Hoja1!$B$2:$B$6191,Hoja1!$A$2:$A$6191),VLOOKUP(C1095,Hoja1!$B$1:$C$6191,2,0)),"No esta en Infor")</f>
        <v>CAN0088</v>
      </c>
      <c r="C1095" s="19" t="s">
        <v>369</v>
      </c>
      <c r="D1095" s="9">
        <v>0</v>
      </c>
      <c r="E1095" s="9">
        <v>-891</v>
      </c>
      <c r="F1095" s="9">
        <v>0</v>
      </c>
      <c r="G1095" s="9">
        <v>0</v>
      </c>
      <c r="H1095" s="9">
        <v>0</v>
      </c>
      <c r="I1095" s="9">
        <v>0</v>
      </c>
      <c r="J1095" s="9">
        <v>-891</v>
      </c>
    </row>
    <row r="1096" spans="1:10" ht="15.75" x14ac:dyDescent="0.25">
      <c r="A1096" s="21">
        <v>45382</v>
      </c>
      <c r="B1096" t="str">
        <f>IFERROR(IF(VLOOKUP(C1096,Hoja1!$B$1:$C$6191,2,0)="",_xlfn.XLOOKUP(C1096,Hoja1!$B$2:$B$6191,Hoja1!$A$2:$A$6191),VLOOKUP(C1096,Hoja1!$B$1:$C$6191,2,0)),"No esta en Infor")</f>
        <v>NAC1533</v>
      </c>
      <c r="C1096" s="19" t="s">
        <v>483</v>
      </c>
      <c r="D1096" s="9">
        <v>144.59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144.59</v>
      </c>
    </row>
    <row r="1097" spans="1:10" ht="15.75" x14ac:dyDescent="0.25">
      <c r="A1097" s="21">
        <v>45382</v>
      </c>
      <c r="B1097" t="str">
        <f>IFERROR(IF(VLOOKUP(C1097,Hoja1!$B$1:$C$6191,2,0)="",_xlfn.XLOOKUP(C1097,Hoja1!$B$2:$B$6191,Hoja1!$A$2:$A$6191),VLOOKUP(C1097,Hoja1!$B$1:$C$6191,2,0)),"No esta en Infor")</f>
        <v>NAC1539</v>
      </c>
      <c r="C1097" s="19" t="s">
        <v>58</v>
      </c>
      <c r="D1097" s="9">
        <v>2312.92</v>
      </c>
      <c r="E1097" s="9">
        <v>-3921</v>
      </c>
      <c r="F1097" s="9">
        <v>-1603.8</v>
      </c>
      <c r="G1097" s="9">
        <v>0</v>
      </c>
      <c r="H1097" s="9">
        <v>0</v>
      </c>
      <c r="I1097" s="9">
        <v>0</v>
      </c>
      <c r="J1097" s="9">
        <v>-3211.88</v>
      </c>
    </row>
    <row r="1098" spans="1:10" ht="15.75" x14ac:dyDescent="0.25">
      <c r="A1098" s="21">
        <v>45382</v>
      </c>
      <c r="B1098" t="str">
        <f>IFERROR(IF(VLOOKUP(C1098,Hoja1!$B$1:$C$6191,2,0)="",_xlfn.XLOOKUP(C1098,Hoja1!$B$2:$B$6191,Hoja1!$A$2:$A$6191),VLOOKUP(C1098,Hoja1!$B$1:$C$6191,2,0)),"No esta en Infor")</f>
        <v>NAC1542</v>
      </c>
      <c r="C1098" s="19" t="s">
        <v>374</v>
      </c>
      <c r="D1098" s="9">
        <v>183.78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183.78</v>
      </c>
    </row>
    <row r="1099" spans="1:10" ht="15.75" x14ac:dyDescent="0.25">
      <c r="A1099" s="21">
        <v>45412</v>
      </c>
      <c r="B1099" t="str">
        <f>IFERROR(IF(VLOOKUP(C1099,Hoja1!$B$1:$C$6191,2,0)="",_xlfn.XLOOKUP(C1099,Hoja1!$B$2:$B$6191,Hoja1!$A$2:$A$6191),VLOOKUP(C1099,Hoja1!$B$1:$C$6191,2,0)),"No esta en Infor")</f>
        <v>NAC0456</v>
      </c>
      <c r="C1099" s="11" t="s">
        <v>10</v>
      </c>
      <c r="D1099" s="8">
        <v>549.12</v>
      </c>
      <c r="E1099" s="8">
        <v>-42.12</v>
      </c>
      <c r="F1099" s="8">
        <v>0</v>
      </c>
      <c r="G1099" s="8">
        <v>0</v>
      </c>
      <c r="H1099" s="8">
        <v>1450.95</v>
      </c>
      <c r="I1099" s="8">
        <v>0</v>
      </c>
      <c r="J1099" s="8">
        <v>1957.95</v>
      </c>
    </row>
    <row r="1100" spans="1:10" ht="15.75" x14ac:dyDescent="0.25">
      <c r="A1100" s="21">
        <v>45412</v>
      </c>
      <c r="B1100" t="str">
        <f>IFERROR(IF(VLOOKUP(C1100,Hoja1!$B$1:$C$6191,2,0)="",_xlfn.XLOOKUP(C1100,Hoja1!$B$2:$B$6191,Hoja1!$A$2:$A$6191),VLOOKUP(C1100,Hoja1!$B$1:$C$6191,2,0)),"No esta en Infor")</f>
        <v>NAC0483</v>
      </c>
      <c r="C1100" s="11" t="s">
        <v>12</v>
      </c>
      <c r="D1100" s="8">
        <v>0</v>
      </c>
      <c r="E1100" s="8">
        <v>4496.68</v>
      </c>
      <c r="F1100" s="8">
        <v>4016.78</v>
      </c>
      <c r="G1100" s="8">
        <v>1402.04</v>
      </c>
      <c r="H1100" s="8">
        <v>5405.25</v>
      </c>
      <c r="I1100" s="8">
        <v>12409.43</v>
      </c>
      <c r="J1100" s="8">
        <v>27730.18</v>
      </c>
    </row>
    <row r="1101" spans="1:10" ht="15.75" x14ac:dyDescent="0.25">
      <c r="A1101" s="21">
        <v>45412</v>
      </c>
      <c r="B1101" t="str">
        <f>IFERROR(IF(VLOOKUP(C1101,Hoja1!$B$1:$C$6191,2,0)="",_xlfn.XLOOKUP(C1101,Hoja1!$B$2:$B$6191,Hoja1!$A$2:$A$6191),VLOOKUP(C1101,Hoja1!$B$1:$C$6191,2,0)),"No esta en Infor")</f>
        <v>NAC0556</v>
      </c>
      <c r="C1101" s="11" t="s">
        <v>14</v>
      </c>
      <c r="D1101" s="8">
        <v>-4020</v>
      </c>
      <c r="E1101" s="8">
        <v>33106.25</v>
      </c>
      <c r="F1101" s="8">
        <v>133</v>
      </c>
      <c r="G1101" s="8">
        <v>2606.13</v>
      </c>
      <c r="H1101" s="8">
        <v>0</v>
      </c>
      <c r="I1101" s="8">
        <v>0</v>
      </c>
      <c r="J1101" s="8">
        <v>31825.38</v>
      </c>
    </row>
    <row r="1102" spans="1:10" ht="15.75" x14ac:dyDescent="0.25">
      <c r="A1102" s="21">
        <v>45412</v>
      </c>
      <c r="B1102" t="str">
        <f>IFERROR(IF(VLOOKUP(C1102,Hoja1!$B$1:$C$6191,2,0)="",_xlfn.XLOOKUP(C1102,Hoja1!$B$2:$B$6191,Hoja1!$A$2:$A$6191),VLOOKUP(C1102,Hoja1!$B$1:$C$6191,2,0)),"No esta en Infor")</f>
        <v>CAN0002</v>
      </c>
      <c r="C1102" s="11" t="s">
        <v>87</v>
      </c>
      <c r="D1102" s="8">
        <v>14605.75</v>
      </c>
      <c r="E1102" s="8">
        <v>1302.52</v>
      </c>
      <c r="F1102" s="8">
        <v>583.80999999999995</v>
      </c>
      <c r="G1102" s="8">
        <v>0</v>
      </c>
      <c r="H1102" s="8">
        <v>0</v>
      </c>
      <c r="I1102" s="8">
        <v>0</v>
      </c>
      <c r="J1102" s="8">
        <v>16492.080000000002</v>
      </c>
    </row>
    <row r="1103" spans="1:10" ht="15.75" x14ac:dyDescent="0.25">
      <c r="A1103" s="21">
        <v>45412</v>
      </c>
      <c r="B1103" t="str">
        <f>IFERROR(IF(VLOOKUP(C1103,Hoja1!$B$1:$C$6191,2,0)="",_xlfn.XLOOKUP(C1103,Hoja1!$B$2:$B$6191,Hoja1!$A$2:$A$6191),VLOOKUP(C1103,Hoja1!$B$1:$C$6191,2,0)),"No esta en Infor")</f>
        <v>NAC0573</v>
      </c>
      <c r="C1103" s="11" t="s">
        <v>15</v>
      </c>
      <c r="D1103" s="8">
        <v>1174.3599999999999</v>
      </c>
      <c r="E1103" s="8">
        <v>3784.95</v>
      </c>
      <c r="F1103" s="8">
        <v>214.18</v>
      </c>
      <c r="G1103" s="8">
        <v>2666.33</v>
      </c>
      <c r="H1103" s="8">
        <v>0</v>
      </c>
      <c r="I1103" s="8">
        <v>0</v>
      </c>
      <c r="J1103" s="8">
        <v>7839.82</v>
      </c>
    </row>
    <row r="1104" spans="1:10" ht="15.75" x14ac:dyDescent="0.25">
      <c r="A1104" s="21">
        <v>45412</v>
      </c>
      <c r="B1104" t="str">
        <f>IFERROR(IF(VLOOKUP(C1104,Hoja1!$B$1:$C$6191,2,0)="",_xlfn.XLOOKUP(C1104,Hoja1!$B$2:$B$6191,Hoja1!$A$2:$A$6191),VLOOKUP(C1104,Hoja1!$B$1:$C$6191,2,0)),"No esta en Infor")</f>
        <v>CAN0005</v>
      </c>
      <c r="C1104" s="11" t="s">
        <v>90</v>
      </c>
      <c r="D1104" s="8">
        <v>67685.960000000006</v>
      </c>
      <c r="E1104" s="8">
        <v>0</v>
      </c>
      <c r="F1104" s="8">
        <v>10260</v>
      </c>
      <c r="G1104" s="8">
        <v>0</v>
      </c>
      <c r="H1104" s="8">
        <v>-67.2</v>
      </c>
      <c r="I1104" s="8">
        <v>0</v>
      </c>
      <c r="J1104" s="8">
        <v>77878.759999999995</v>
      </c>
    </row>
    <row r="1105" spans="1:10" ht="15.75" x14ac:dyDescent="0.25">
      <c r="A1105" s="21">
        <v>45412</v>
      </c>
      <c r="B1105" t="str">
        <f>IFERROR(IF(VLOOKUP(C1105,Hoja1!$B$1:$C$6191,2,0)="",_xlfn.XLOOKUP(C1105,Hoja1!$B$2:$B$6191,Hoja1!$A$2:$A$6191),VLOOKUP(C1105,Hoja1!$B$1:$C$6191,2,0)),"No esta en Infor")</f>
        <v>NAC0610</v>
      </c>
      <c r="C1105" s="11" t="s">
        <v>16</v>
      </c>
      <c r="D1105" s="8">
        <v>65783.649999999994</v>
      </c>
      <c r="E1105" s="8">
        <v>0</v>
      </c>
      <c r="F1105" s="8">
        <v>24445.89</v>
      </c>
      <c r="G1105" s="8">
        <v>0</v>
      </c>
      <c r="H1105" s="8">
        <v>0</v>
      </c>
      <c r="I1105" s="8">
        <v>0</v>
      </c>
      <c r="J1105" s="8">
        <v>90229.54</v>
      </c>
    </row>
    <row r="1106" spans="1:10" ht="15.75" x14ac:dyDescent="0.25">
      <c r="A1106" s="21">
        <v>45412</v>
      </c>
      <c r="B1106" t="str">
        <f>IFERROR(IF(VLOOKUP(C1106,Hoja1!$B$1:$C$6191,2,0)="",_xlfn.XLOOKUP(C1106,Hoja1!$B$2:$B$6191,Hoja1!$A$2:$A$6191),VLOOKUP(C1106,Hoja1!$B$1:$C$6191,2,0)),"No esta en Infor")</f>
        <v>CAN0006</v>
      </c>
      <c r="C1106" s="11" t="s">
        <v>17</v>
      </c>
      <c r="D1106" s="8">
        <v>41968.5</v>
      </c>
      <c r="E1106" s="8">
        <v>-5155.07</v>
      </c>
      <c r="F1106" s="8">
        <v>2202.9</v>
      </c>
      <c r="G1106" s="8">
        <v>1768.5</v>
      </c>
      <c r="H1106" s="8">
        <v>0</v>
      </c>
      <c r="I1106" s="8">
        <v>0</v>
      </c>
      <c r="J1106" s="8">
        <v>40784.83</v>
      </c>
    </row>
    <row r="1107" spans="1:10" ht="15.75" x14ac:dyDescent="0.25">
      <c r="A1107" s="21">
        <v>45412</v>
      </c>
      <c r="B1107" t="str">
        <f>IFERROR(IF(VLOOKUP(C1107,Hoja1!$B$1:$C$6191,2,0)="",_xlfn.XLOOKUP(C1107,Hoja1!$B$2:$B$6191,Hoja1!$A$2:$A$6191),VLOOKUP(C1107,Hoja1!$B$1:$C$6191,2,0)),"No esta en Infor")</f>
        <v>NAC0624</v>
      </c>
      <c r="C1107" s="11" t="s">
        <v>105</v>
      </c>
      <c r="D1107" s="8">
        <v>0</v>
      </c>
      <c r="E1107" s="8">
        <v>-231</v>
      </c>
      <c r="F1107" s="8">
        <v>52.88</v>
      </c>
      <c r="G1107" s="8">
        <v>0</v>
      </c>
      <c r="H1107" s="8">
        <v>0</v>
      </c>
      <c r="I1107" s="8">
        <v>0</v>
      </c>
      <c r="J1107" s="8">
        <v>-178.12</v>
      </c>
    </row>
    <row r="1108" spans="1:10" ht="15.75" x14ac:dyDescent="0.25">
      <c r="A1108" s="21">
        <v>45412</v>
      </c>
      <c r="B1108" t="str">
        <f>IFERROR(IF(VLOOKUP(C1108,Hoja1!$B$1:$C$6191,2,0)="",_xlfn.XLOOKUP(C1108,Hoja1!$B$2:$B$6191,Hoja1!$A$2:$A$6191),VLOOKUP(C1108,Hoja1!$B$1:$C$6191,2,0)),"No esta en Infor")</f>
        <v>NAC0632</v>
      </c>
      <c r="C1108" s="11" t="s">
        <v>108</v>
      </c>
      <c r="D1108" s="8">
        <v>0</v>
      </c>
      <c r="E1108" s="8">
        <v>0</v>
      </c>
      <c r="F1108" s="8">
        <v>1525.22</v>
      </c>
      <c r="G1108" s="8">
        <v>0</v>
      </c>
      <c r="H1108" s="8">
        <v>0</v>
      </c>
      <c r="I1108" s="8">
        <v>0</v>
      </c>
      <c r="J1108" s="8">
        <v>1525.22</v>
      </c>
    </row>
    <row r="1109" spans="1:10" ht="15.75" x14ac:dyDescent="0.25">
      <c r="A1109" s="21">
        <v>45412</v>
      </c>
      <c r="B1109" t="str">
        <f>IFERROR(IF(VLOOKUP(C1109,Hoja1!$B$1:$C$6191,2,0)="",_xlfn.XLOOKUP(C1109,Hoja1!$B$2:$B$6191,Hoja1!$A$2:$A$6191),VLOOKUP(C1109,Hoja1!$B$1:$C$6191,2,0)),"No esta en Infor")</f>
        <v>NAC0641</v>
      </c>
      <c r="C1109" s="11" t="s">
        <v>18</v>
      </c>
      <c r="D1109" s="8">
        <v>0</v>
      </c>
      <c r="E1109" s="8">
        <v>0</v>
      </c>
      <c r="F1109" s="8">
        <v>0</v>
      </c>
      <c r="G1109" s="8">
        <v>363.64</v>
      </c>
      <c r="H1109" s="8">
        <v>0</v>
      </c>
      <c r="I1109" s="8">
        <v>0</v>
      </c>
      <c r="J1109" s="8">
        <v>363.64</v>
      </c>
    </row>
    <row r="1110" spans="1:10" ht="15.75" x14ac:dyDescent="0.25">
      <c r="A1110" s="21">
        <v>45412</v>
      </c>
      <c r="B1110" t="str">
        <f>IFERROR(IF(VLOOKUP(C1110,Hoja1!$B$1:$C$6191,2,0)="",_xlfn.XLOOKUP(C1110,Hoja1!$B$2:$B$6191,Hoja1!$A$2:$A$6191),VLOOKUP(C1110,Hoja1!$B$1:$C$6191,2,0)),"No esta en Infor")</f>
        <v>NAC0645</v>
      </c>
      <c r="C1110" s="11" t="s">
        <v>110</v>
      </c>
      <c r="D1110" s="8">
        <v>0</v>
      </c>
      <c r="E1110" s="8">
        <v>0</v>
      </c>
      <c r="F1110" s="8">
        <v>293.57</v>
      </c>
      <c r="G1110" s="8">
        <v>0</v>
      </c>
      <c r="H1110" s="8">
        <v>0</v>
      </c>
      <c r="I1110" s="8">
        <v>0</v>
      </c>
      <c r="J1110" s="8">
        <v>293.57</v>
      </c>
    </row>
    <row r="1111" spans="1:10" ht="15.75" x14ac:dyDescent="0.25">
      <c r="A1111" s="21">
        <v>45412</v>
      </c>
      <c r="B1111" t="str">
        <f>IFERROR(IF(VLOOKUP(C1111,Hoja1!$B$1:$C$6191,2,0)="",_xlfn.XLOOKUP(C1111,Hoja1!$B$2:$B$6191,Hoja1!$A$2:$A$6191),VLOOKUP(C1111,Hoja1!$B$1:$C$6191,2,0)),"No esta en Infor")</f>
        <v>CAN0008</v>
      </c>
      <c r="C1111" s="11" t="s">
        <v>115</v>
      </c>
      <c r="D1111" s="8">
        <v>480</v>
      </c>
      <c r="E1111" s="8">
        <v>24218.080000000002</v>
      </c>
      <c r="F1111" s="8">
        <v>20</v>
      </c>
      <c r="G1111" s="8">
        <v>0</v>
      </c>
      <c r="H1111" s="8">
        <v>0</v>
      </c>
      <c r="I1111" s="8">
        <v>0</v>
      </c>
      <c r="J1111" s="8">
        <v>24718.080000000002</v>
      </c>
    </row>
    <row r="1112" spans="1:10" ht="15.75" x14ac:dyDescent="0.25">
      <c r="A1112" s="21">
        <v>45412</v>
      </c>
      <c r="B1112" t="str">
        <f>IFERROR(IF(VLOOKUP(C1112,Hoja1!$B$1:$C$6191,2,0)="",_xlfn.XLOOKUP(C1112,Hoja1!$B$2:$B$6191,Hoja1!$A$2:$A$6191),VLOOKUP(C1112,Hoja1!$B$1:$C$6191,2,0)),"No esta en Infor")</f>
        <v>CAN0011</v>
      </c>
      <c r="C1112" s="11" t="s">
        <v>121</v>
      </c>
      <c r="D1112" s="8">
        <v>31157.49</v>
      </c>
      <c r="E1112" s="8">
        <v>8774.2199999999993</v>
      </c>
      <c r="F1112" s="8">
        <v>381.94</v>
      </c>
      <c r="G1112" s="8">
        <v>0</v>
      </c>
      <c r="H1112" s="8">
        <v>0</v>
      </c>
      <c r="I1112" s="8">
        <v>0</v>
      </c>
      <c r="J1112" s="8">
        <v>40313.65</v>
      </c>
    </row>
    <row r="1113" spans="1:10" ht="15.75" x14ac:dyDescent="0.25">
      <c r="A1113" s="21">
        <v>45412</v>
      </c>
      <c r="B1113" t="str">
        <f>IFERROR(IF(VLOOKUP(C1113,Hoja1!$B$1:$C$6191,2,0)="",_xlfn.XLOOKUP(C1113,Hoja1!$B$2:$B$6191,Hoja1!$A$2:$A$6191),VLOOKUP(C1113,Hoja1!$B$1:$C$6191,2,0)),"No esta en Infor")</f>
        <v>NAC0706</v>
      </c>
      <c r="C1113" s="11" t="s">
        <v>139</v>
      </c>
      <c r="D1113" s="8">
        <v>0</v>
      </c>
      <c r="E1113" s="8">
        <v>0</v>
      </c>
      <c r="F1113" s="8">
        <v>667.38</v>
      </c>
      <c r="G1113" s="8">
        <v>0</v>
      </c>
      <c r="H1113" s="8">
        <v>0</v>
      </c>
      <c r="I1113" s="8">
        <v>0</v>
      </c>
      <c r="J1113" s="8">
        <v>667.38</v>
      </c>
    </row>
    <row r="1114" spans="1:10" ht="15.75" x14ac:dyDescent="0.25">
      <c r="A1114" s="21">
        <v>45412</v>
      </c>
      <c r="B1114" t="str">
        <f>IFERROR(IF(VLOOKUP(C1114,Hoja1!$B$1:$C$6191,2,0)="",_xlfn.XLOOKUP(C1114,Hoja1!$B$2:$B$6191,Hoja1!$A$2:$A$6191),VLOOKUP(C1114,Hoja1!$B$1:$C$6191,2,0)),"No esta en Infor")</f>
        <v>No esta en Infor</v>
      </c>
      <c r="C1114" s="11" t="s">
        <v>20</v>
      </c>
      <c r="D1114" s="8">
        <v>2100</v>
      </c>
      <c r="E1114" s="8">
        <v>218.73</v>
      </c>
      <c r="F1114" s="8">
        <v>0</v>
      </c>
      <c r="G1114" s="8">
        <v>171.99</v>
      </c>
      <c r="H1114" s="8">
        <v>0</v>
      </c>
      <c r="I1114" s="8">
        <v>0</v>
      </c>
      <c r="J1114" s="8">
        <v>2490.7199999999998</v>
      </c>
    </row>
    <row r="1115" spans="1:10" ht="15.75" x14ac:dyDescent="0.25">
      <c r="A1115" s="21">
        <v>45412</v>
      </c>
      <c r="B1115" t="str">
        <f>IFERROR(IF(VLOOKUP(C1115,Hoja1!$B$1:$C$6191,2,0)="",_xlfn.XLOOKUP(C1115,Hoja1!$B$2:$B$6191,Hoja1!$A$2:$A$6191),VLOOKUP(C1115,Hoja1!$B$1:$C$6191,2,0)),"No esta en Infor")</f>
        <v>CAN0018</v>
      </c>
      <c r="C1115" s="11" t="s">
        <v>21</v>
      </c>
      <c r="D1115" s="8">
        <v>0</v>
      </c>
      <c r="E1115" s="8">
        <v>18519.64</v>
      </c>
      <c r="F1115" s="8">
        <v>3907.99</v>
      </c>
      <c r="G1115" s="8">
        <v>656.39</v>
      </c>
      <c r="H1115" s="8">
        <v>0</v>
      </c>
      <c r="I1115" s="8">
        <v>0</v>
      </c>
      <c r="J1115" s="8">
        <v>23084.02</v>
      </c>
    </row>
    <row r="1116" spans="1:10" ht="15.75" x14ac:dyDescent="0.25">
      <c r="A1116" s="21">
        <v>45412</v>
      </c>
      <c r="B1116" t="str">
        <f>IFERROR(IF(VLOOKUP(C1116,Hoja1!$B$1:$C$6191,2,0)="",_xlfn.XLOOKUP(C1116,Hoja1!$B$2:$B$6191,Hoja1!$A$2:$A$6191),VLOOKUP(C1116,Hoja1!$B$1:$C$6191,2,0)),"No esta en Infor")</f>
        <v>CAN0021</v>
      </c>
      <c r="C1116" s="11" t="s">
        <v>180</v>
      </c>
      <c r="D1116" s="8">
        <v>565.98</v>
      </c>
      <c r="E1116" s="8">
        <v>314.64</v>
      </c>
      <c r="F1116" s="8">
        <v>18.38</v>
      </c>
      <c r="G1116" s="8">
        <v>0</v>
      </c>
      <c r="H1116" s="8">
        <v>0</v>
      </c>
      <c r="I1116" s="8">
        <v>0</v>
      </c>
      <c r="J1116" s="8">
        <v>899</v>
      </c>
    </row>
    <row r="1117" spans="1:10" ht="15.75" x14ac:dyDescent="0.25">
      <c r="A1117" s="21">
        <v>45412</v>
      </c>
      <c r="B1117" t="str">
        <f>IFERROR(IF(VLOOKUP(C1117,Hoja1!$B$1:$C$6191,2,0)="",_xlfn.XLOOKUP(C1117,Hoja1!$B$2:$B$6191,Hoja1!$A$2:$A$6191),VLOOKUP(C1117,Hoja1!$B$1:$C$6191,2,0)),"No esta en Infor")</f>
        <v>NAC0858</v>
      </c>
      <c r="C1117" s="11" t="s">
        <v>188</v>
      </c>
      <c r="D1117" s="8">
        <v>5248</v>
      </c>
      <c r="E1117" s="8">
        <v>0</v>
      </c>
      <c r="F1117" s="8">
        <v>100</v>
      </c>
      <c r="G1117" s="8">
        <v>0</v>
      </c>
      <c r="H1117" s="8">
        <v>0</v>
      </c>
      <c r="I1117" s="8">
        <v>0</v>
      </c>
      <c r="J1117" s="8">
        <v>5348</v>
      </c>
    </row>
    <row r="1118" spans="1:10" ht="15.75" x14ac:dyDescent="0.25">
      <c r="A1118" s="21">
        <v>45412</v>
      </c>
      <c r="B1118" t="str">
        <f>IFERROR(IF(VLOOKUP(C1118,Hoja1!$B$1:$C$6191,2,0)="",_xlfn.XLOOKUP(C1118,Hoja1!$B$2:$B$6191,Hoja1!$A$2:$A$6191),VLOOKUP(C1118,Hoja1!$B$1:$C$6191,2,0)),"No esta en Infor")</f>
        <v>NAC0880</v>
      </c>
      <c r="C1118" s="11" t="s">
        <v>24</v>
      </c>
      <c r="D1118" s="8">
        <v>0</v>
      </c>
      <c r="E1118" s="8">
        <v>953.47</v>
      </c>
      <c r="F1118" s="8">
        <v>0</v>
      </c>
      <c r="G1118" s="8">
        <v>0</v>
      </c>
      <c r="H1118" s="8">
        <v>1402.48</v>
      </c>
      <c r="I1118" s="8">
        <v>0</v>
      </c>
      <c r="J1118" s="8">
        <v>2355.9499999999998</v>
      </c>
    </row>
    <row r="1119" spans="1:10" ht="15.75" x14ac:dyDescent="0.25">
      <c r="A1119" s="21">
        <v>45412</v>
      </c>
      <c r="B1119" t="str">
        <f>IFERROR(IF(VLOOKUP(C1119,Hoja1!$B$1:$C$6191,2,0)="",_xlfn.XLOOKUP(C1119,Hoja1!$B$2:$B$6191,Hoja1!$A$2:$A$6191),VLOOKUP(C1119,Hoja1!$B$1:$C$6191,2,0)),"No esta en Infor")</f>
        <v>CAN0025</v>
      </c>
      <c r="C1119" s="11" t="s">
        <v>26</v>
      </c>
      <c r="D1119" s="8">
        <v>334.26</v>
      </c>
      <c r="E1119" s="8">
        <v>31958.97</v>
      </c>
      <c r="F1119" s="8">
        <v>161.44999999999999</v>
      </c>
      <c r="G1119" s="8">
        <v>0</v>
      </c>
      <c r="H1119" s="8">
        <v>0</v>
      </c>
      <c r="I1119" s="8">
        <v>0</v>
      </c>
      <c r="J1119" s="8">
        <v>32454.68</v>
      </c>
    </row>
    <row r="1120" spans="1:10" ht="15.75" x14ac:dyDescent="0.25">
      <c r="A1120" s="21">
        <v>45412</v>
      </c>
      <c r="B1120" t="str">
        <f>IFERROR(IF(VLOOKUP(C1120,Hoja1!$B$1:$C$6191,2,0)="",_xlfn.XLOOKUP(C1120,Hoja1!$B$2:$B$6191,Hoja1!$A$2:$A$6191),VLOOKUP(C1120,Hoja1!$B$1:$C$6191,2,0)),"No esta en Infor")</f>
        <v>NAC0920</v>
      </c>
      <c r="C1120" s="11" t="s">
        <v>204</v>
      </c>
      <c r="D1120" s="8">
        <v>0</v>
      </c>
      <c r="E1120" s="8">
        <v>0</v>
      </c>
      <c r="F1120" s="8">
        <v>591.91</v>
      </c>
      <c r="G1120" s="8">
        <v>0</v>
      </c>
      <c r="H1120" s="8">
        <v>0</v>
      </c>
      <c r="I1120" s="8">
        <v>0</v>
      </c>
      <c r="J1120" s="8">
        <v>591.91</v>
      </c>
    </row>
    <row r="1121" spans="1:10" ht="15.75" x14ac:dyDescent="0.25">
      <c r="A1121" s="21">
        <v>45412</v>
      </c>
      <c r="B1121" t="str">
        <f>IFERROR(IF(VLOOKUP(C1121,Hoja1!$B$1:$C$6191,2,0)="",_xlfn.XLOOKUP(C1121,Hoja1!$B$2:$B$6191,Hoja1!$A$2:$A$6191),VLOOKUP(C1121,Hoja1!$B$1:$C$6191,2,0)),"No esta en Infor")</f>
        <v>NAC0922</v>
      </c>
      <c r="C1121" s="11" t="s">
        <v>27</v>
      </c>
      <c r="D1121" s="8">
        <v>0</v>
      </c>
      <c r="E1121" s="8">
        <v>0</v>
      </c>
      <c r="F1121" s="8">
        <v>0</v>
      </c>
      <c r="G1121" s="8">
        <v>631.96</v>
      </c>
      <c r="H1121" s="8">
        <v>0</v>
      </c>
      <c r="I1121" s="8">
        <v>0</v>
      </c>
      <c r="J1121" s="8">
        <v>631.96</v>
      </c>
    </row>
    <row r="1122" spans="1:10" ht="15.75" x14ac:dyDescent="0.25">
      <c r="A1122" s="21">
        <v>45412</v>
      </c>
      <c r="B1122" t="str">
        <f>IFERROR(IF(VLOOKUP(C1122,Hoja1!$B$1:$C$6191,2,0)="",_xlfn.XLOOKUP(C1122,Hoja1!$B$2:$B$6191,Hoja1!$A$2:$A$6191),VLOOKUP(C1122,Hoja1!$B$1:$C$6191,2,0)),"No esta en Infor")</f>
        <v>NAC0926</v>
      </c>
      <c r="C1122" s="11" t="s">
        <v>206</v>
      </c>
      <c r="D1122" s="8">
        <v>0</v>
      </c>
      <c r="E1122" s="8">
        <v>0</v>
      </c>
      <c r="F1122" s="8">
        <v>1958.78</v>
      </c>
      <c r="G1122" s="8">
        <v>0</v>
      </c>
      <c r="H1122" s="8">
        <v>0</v>
      </c>
      <c r="I1122" s="8">
        <v>0</v>
      </c>
      <c r="J1122" s="8">
        <v>1958.78</v>
      </c>
    </row>
    <row r="1123" spans="1:10" ht="15.75" x14ac:dyDescent="0.25">
      <c r="A1123" s="21">
        <v>45412</v>
      </c>
      <c r="B1123" t="str">
        <f>IFERROR(IF(VLOOKUP(C1123,Hoja1!$B$1:$C$6191,2,0)="",_xlfn.XLOOKUP(C1123,Hoja1!$B$2:$B$6191,Hoja1!$A$2:$A$6191),VLOOKUP(C1123,Hoja1!$B$1:$C$6191,2,0)),"No esta en Infor")</f>
        <v>NAC1607</v>
      </c>
      <c r="C1123" s="11" t="s">
        <v>213</v>
      </c>
      <c r="D1123" s="8">
        <v>0</v>
      </c>
      <c r="E1123" s="8">
        <v>424.61</v>
      </c>
      <c r="F1123" s="8">
        <v>219.09</v>
      </c>
      <c r="G1123" s="8">
        <v>0</v>
      </c>
      <c r="H1123" s="8">
        <v>0</v>
      </c>
      <c r="I1123" s="8">
        <v>0</v>
      </c>
      <c r="J1123" s="8">
        <v>643.70000000000005</v>
      </c>
    </row>
    <row r="1124" spans="1:10" ht="15.75" x14ac:dyDescent="0.25">
      <c r="A1124" s="21">
        <v>45412</v>
      </c>
      <c r="B1124" t="str">
        <f>IFERROR(IF(VLOOKUP(C1124,Hoja1!$B$1:$C$6191,2,0)="",_xlfn.XLOOKUP(C1124,Hoja1!$B$2:$B$6191,Hoja1!$A$2:$A$6191),VLOOKUP(C1124,Hoja1!$B$1:$C$6191,2,0)),"No esta en Infor")</f>
        <v>NAC0960</v>
      </c>
      <c r="C1124" s="11" t="s">
        <v>216</v>
      </c>
      <c r="D1124" s="8">
        <v>0</v>
      </c>
      <c r="E1124" s="8">
        <v>0</v>
      </c>
      <c r="F1124" s="8">
        <v>2078.98</v>
      </c>
      <c r="G1124" s="8">
        <v>0</v>
      </c>
      <c r="H1124" s="8">
        <v>0</v>
      </c>
      <c r="I1124" s="8">
        <v>0</v>
      </c>
      <c r="J1124" s="8">
        <v>2078.98</v>
      </c>
    </row>
    <row r="1125" spans="1:10" ht="15.75" x14ac:dyDescent="0.25">
      <c r="A1125" s="21">
        <v>45412</v>
      </c>
      <c r="B1125" t="str">
        <f>IFERROR(IF(VLOOKUP(C1125,Hoja1!$B$1:$C$6191,2,0)="",_xlfn.XLOOKUP(C1125,Hoja1!$B$2:$B$6191,Hoja1!$A$2:$A$6191),VLOOKUP(C1125,Hoja1!$B$1:$C$6191,2,0)),"No esta en Infor")</f>
        <v>NAC0971</v>
      </c>
      <c r="C1125" s="11" t="s">
        <v>219</v>
      </c>
      <c r="D1125" s="8">
        <v>0</v>
      </c>
      <c r="E1125" s="8">
        <v>0</v>
      </c>
      <c r="F1125" s="8">
        <v>467.32</v>
      </c>
      <c r="G1125" s="8">
        <v>0</v>
      </c>
      <c r="H1125" s="8">
        <v>0</v>
      </c>
      <c r="I1125" s="8">
        <v>0</v>
      </c>
      <c r="J1125" s="8">
        <v>467.32</v>
      </c>
    </row>
    <row r="1126" spans="1:10" ht="15.75" x14ac:dyDescent="0.25">
      <c r="A1126" s="21">
        <v>45412</v>
      </c>
      <c r="B1126" t="str">
        <f>IFERROR(IF(VLOOKUP(C1126,Hoja1!$B$1:$C$6191,2,0)="",_xlfn.XLOOKUP(C1126,Hoja1!$B$2:$B$6191,Hoja1!$A$2:$A$6191),VLOOKUP(C1126,Hoja1!$B$1:$C$6191,2,0)),"No esta en Infor")</f>
        <v>NAC0972</v>
      </c>
      <c r="C1126" s="11" t="s">
        <v>221</v>
      </c>
      <c r="D1126" s="8">
        <v>0</v>
      </c>
      <c r="E1126" s="8">
        <v>0</v>
      </c>
      <c r="F1126" s="8">
        <v>217.86</v>
      </c>
      <c r="G1126" s="8">
        <v>0</v>
      </c>
      <c r="H1126" s="8">
        <v>0</v>
      </c>
      <c r="I1126" s="8">
        <v>0</v>
      </c>
      <c r="J1126" s="8">
        <v>217.86</v>
      </c>
    </row>
    <row r="1127" spans="1:10" ht="15.75" x14ac:dyDescent="0.25">
      <c r="A1127" s="21">
        <v>45412</v>
      </c>
      <c r="B1127" t="str">
        <f>IFERROR(IF(VLOOKUP(C1127,Hoja1!$B$1:$C$6191,2,0)="",_xlfn.XLOOKUP(C1127,Hoja1!$B$2:$B$6191,Hoja1!$A$2:$A$6191),VLOOKUP(C1127,Hoja1!$B$1:$C$6191,2,0)),"No esta en Infor")</f>
        <v>NAC0988</v>
      </c>
      <c r="C1127" s="11" t="s">
        <v>29</v>
      </c>
      <c r="D1127" s="8">
        <v>166000</v>
      </c>
      <c r="E1127" s="8">
        <v>21190</v>
      </c>
      <c r="F1127" s="8">
        <v>19983</v>
      </c>
      <c r="G1127" s="8">
        <v>9360</v>
      </c>
      <c r="H1127" s="8">
        <v>0</v>
      </c>
      <c r="I1127" s="8">
        <v>0</v>
      </c>
      <c r="J1127" s="8">
        <v>216533</v>
      </c>
    </row>
    <row r="1128" spans="1:10" ht="15.75" x14ac:dyDescent="0.25">
      <c r="A1128" s="21">
        <v>45412</v>
      </c>
      <c r="B1128" t="str">
        <f>IFERROR(IF(VLOOKUP(C1128,Hoja1!$B$1:$C$6191,2,0)="",_xlfn.XLOOKUP(C1128,Hoja1!$B$2:$B$6191,Hoja1!$A$2:$A$6191),VLOOKUP(C1128,Hoja1!$B$1:$C$6191,2,0)),"No esta en Infor")</f>
        <v>NAC1040</v>
      </c>
      <c r="C1128" s="11" t="s">
        <v>30</v>
      </c>
      <c r="D1128" s="8">
        <v>285483.59999999998</v>
      </c>
      <c r="E1128" s="8">
        <v>110493</v>
      </c>
      <c r="F1128" s="8">
        <v>913.92</v>
      </c>
      <c r="G1128" s="8">
        <v>937.2</v>
      </c>
      <c r="H1128" s="8">
        <v>-0.2</v>
      </c>
      <c r="I1128" s="8">
        <v>-14741</v>
      </c>
      <c r="J1128" s="8">
        <v>383086.52</v>
      </c>
    </row>
    <row r="1129" spans="1:10" ht="15.75" x14ac:dyDescent="0.25">
      <c r="A1129" s="21">
        <v>45412</v>
      </c>
      <c r="B1129" t="str">
        <f>IFERROR(IF(VLOOKUP(C1129,Hoja1!$B$1:$C$6191,2,0)="",_xlfn.XLOOKUP(C1129,Hoja1!$B$2:$B$6191,Hoja1!$A$2:$A$6191),VLOOKUP(C1129,Hoja1!$B$1:$C$6191,2,0)),"No esta en Infor")</f>
        <v>CAN0035</v>
      </c>
      <c r="C1129" s="11" t="s">
        <v>31</v>
      </c>
      <c r="D1129" s="8">
        <v>5927.85</v>
      </c>
      <c r="E1129" s="8">
        <v>0</v>
      </c>
      <c r="F1129" s="8">
        <v>256.62</v>
      </c>
      <c r="G1129" s="8">
        <v>1075.24</v>
      </c>
      <c r="H1129" s="8">
        <v>0</v>
      </c>
      <c r="I1129" s="8">
        <v>0</v>
      </c>
      <c r="J1129" s="8">
        <v>7259.71</v>
      </c>
    </row>
    <row r="1130" spans="1:10" ht="15.75" x14ac:dyDescent="0.25">
      <c r="A1130" s="21">
        <v>45412</v>
      </c>
      <c r="B1130" t="str">
        <f>IFERROR(IF(VLOOKUP(C1130,Hoja1!$B$1:$C$6191,2,0)="",_xlfn.XLOOKUP(C1130,Hoja1!$B$2:$B$6191,Hoja1!$A$2:$A$6191),VLOOKUP(C1130,Hoja1!$B$1:$C$6191,2,0)),"No esta en Infor")</f>
        <v>NAC1105</v>
      </c>
      <c r="C1130" s="11" t="s">
        <v>32</v>
      </c>
      <c r="D1130" s="8">
        <v>2282.42</v>
      </c>
      <c r="E1130" s="8">
        <v>2152.5500000000002</v>
      </c>
      <c r="F1130" s="8">
        <v>4047.86</v>
      </c>
      <c r="G1130" s="8">
        <v>5777.63</v>
      </c>
      <c r="H1130" s="8">
        <v>561.35</v>
      </c>
      <c r="I1130" s="8">
        <v>111.42</v>
      </c>
      <c r="J1130" s="8">
        <v>14933.23</v>
      </c>
    </row>
    <row r="1131" spans="1:10" ht="15.75" x14ac:dyDescent="0.25">
      <c r="A1131" s="21">
        <v>45412</v>
      </c>
      <c r="B1131" t="str">
        <f>IFERROR(IF(VLOOKUP(C1131,Hoja1!$B$1:$C$6191,2,0)="",_xlfn.XLOOKUP(C1131,Hoja1!$B$2:$B$6191,Hoja1!$A$2:$A$6191),VLOOKUP(C1131,Hoja1!$B$1:$C$6191,2,0)),"No esta en Infor")</f>
        <v>CAN0037</v>
      </c>
      <c r="C1131" s="11" t="s">
        <v>687</v>
      </c>
      <c r="D1131" s="8">
        <v>36047.160000000003</v>
      </c>
      <c r="E1131" s="8">
        <v>-3865.26</v>
      </c>
      <c r="F1131" s="8">
        <v>0</v>
      </c>
      <c r="G1131" s="8">
        <v>346.76</v>
      </c>
      <c r="H1131" s="8">
        <v>0</v>
      </c>
      <c r="I1131" s="8">
        <v>0</v>
      </c>
      <c r="J1131" s="8">
        <v>32528.66</v>
      </c>
    </row>
    <row r="1132" spans="1:10" ht="15.75" x14ac:dyDescent="0.25">
      <c r="A1132" s="21">
        <v>45412</v>
      </c>
      <c r="B1132" t="str">
        <f>IFERROR(IF(VLOOKUP(C1132,Hoja1!$B$1:$C$6191,2,0)="",_xlfn.XLOOKUP(C1132,Hoja1!$B$2:$B$6191,Hoja1!$A$2:$A$6191),VLOOKUP(C1132,Hoja1!$B$1:$C$6191,2,0)),"No esta en Infor")</f>
        <v>NAC1146</v>
      </c>
      <c r="C1132" s="11" t="s">
        <v>33</v>
      </c>
      <c r="D1132" s="8">
        <v>382.08</v>
      </c>
      <c r="E1132" s="8">
        <v>0</v>
      </c>
      <c r="F1132" s="8">
        <v>1602.35</v>
      </c>
      <c r="G1132" s="8">
        <v>413.91</v>
      </c>
      <c r="H1132" s="8">
        <v>0</v>
      </c>
      <c r="I1132" s="8">
        <v>0</v>
      </c>
      <c r="J1132" s="8">
        <v>2398.34</v>
      </c>
    </row>
    <row r="1133" spans="1:10" ht="15.75" x14ac:dyDescent="0.25">
      <c r="A1133" s="21">
        <v>45412</v>
      </c>
      <c r="B1133" t="str">
        <f>IFERROR(IF(VLOOKUP(C1133,Hoja1!$B$1:$C$6191,2,0)="",_xlfn.XLOOKUP(C1133,Hoja1!$B$2:$B$6191,Hoja1!$A$2:$A$6191),VLOOKUP(C1133,Hoja1!$B$1:$C$6191,2,0)),"No esta en Infor")</f>
        <v>CAN0044</v>
      </c>
      <c r="C1133" s="11" t="s">
        <v>35</v>
      </c>
      <c r="D1133" s="8">
        <v>752</v>
      </c>
      <c r="E1133" s="8">
        <v>135761.19</v>
      </c>
      <c r="F1133" s="8">
        <v>755.04</v>
      </c>
      <c r="G1133" s="8">
        <v>16.899999999999999</v>
      </c>
      <c r="H1133" s="8">
        <v>-11.19</v>
      </c>
      <c r="I1133" s="8">
        <v>0</v>
      </c>
      <c r="J1133" s="8">
        <v>137273.94</v>
      </c>
    </row>
    <row r="1134" spans="1:10" ht="15.75" x14ac:dyDescent="0.25">
      <c r="A1134" s="21">
        <v>45412</v>
      </c>
      <c r="B1134" t="str">
        <f>IFERROR(IF(VLOOKUP(C1134,Hoja1!$B$1:$C$6191,2,0)="",_xlfn.XLOOKUP(C1134,Hoja1!$B$2:$B$6191,Hoja1!$A$2:$A$6191),VLOOKUP(C1134,Hoja1!$B$1:$C$6191,2,0)),"No esta en Infor")</f>
        <v>NAC1231</v>
      </c>
      <c r="C1134" s="11" t="s">
        <v>290</v>
      </c>
      <c r="D1134" s="8">
        <v>0</v>
      </c>
      <c r="E1134" s="8">
        <v>0</v>
      </c>
      <c r="F1134" s="8">
        <v>36561.449999999997</v>
      </c>
      <c r="G1134" s="8">
        <v>0</v>
      </c>
      <c r="H1134" s="8">
        <v>0</v>
      </c>
      <c r="I1134" s="8">
        <v>0</v>
      </c>
      <c r="J1134" s="8">
        <v>36561.449999999997</v>
      </c>
    </row>
    <row r="1135" spans="1:10" ht="15.75" x14ac:dyDescent="0.25">
      <c r="A1135" s="21">
        <v>45412</v>
      </c>
      <c r="B1135" t="str">
        <f>IFERROR(IF(VLOOKUP(C1135,Hoja1!$B$1:$C$6191,2,0)="",_xlfn.XLOOKUP(C1135,Hoja1!$B$2:$B$6191,Hoja1!$A$2:$A$6191),VLOOKUP(C1135,Hoja1!$B$1:$C$6191,2,0)),"No esta en Infor")</f>
        <v>NAC1233</v>
      </c>
      <c r="C1135" s="11" t="s">
        <v>292</v>
      </c>
      <c r="D1135" s="8">
        <v>0</v>
      </c>
      <c r="E1135" s="8">
        <v>2095.11</v>
      </c>
      <c r="F1135" s="8">
        <v>10226.39</v>
      </c>
      <c r="G1135" s="8">
        <v>0</v>
      </c>
      <c r="H1135" s="8">
        <v>0</v>
      </c>
      <c r="I1135" s="8">
        <v>-2424.15</v>
      </c>
      <c r="J1135" s="8">
        <v>9897.35</v>
      </c>
    </row>
    <row r="1136" spans="1:10" ht="15.75" x14ac:dyDescent="0.25">
      <c r="A1136" s="21">
        <v>45412</v>
      </c>
      <c r="B1136" t="str">
        <f>IFERROR(IF(VLOOKUP(C1136,Hoja1!$B$1:$C$6191,2,0)="",_xlfn.XLOOKUP(C1136,Hoja1!$B$2:$B$6191,Hoja1!$A$2:$A$6191),VLOOKUP(C1136,Hoja1!$B$1:$C$6191,2,0)),"No esta en Infor")</f>
        <v>NAC1242</v>
      </c>
      <c r="C1136" s="11" t="s">
        <v>296</v>
      </c>
      <c r="D1136" s="8">
        <v>0</v>
      </c>
      <c r="E1136" s="8">
        <v>0</v>
      </c>
      <c r="F1136" s="8">
        <v>10.44</v>
      </c>
      <c r="G1136" s="8">
        <v>0</v>
      </c>
      <c r="H1136" s="8">
        <v>0</v>
      </c>
      <c r="I1136" s="8">
        <v>0</v>
      </c>
      <c r="J1136" s="8">
        <v>10.44</v>
      </c>
    </row>
    <row r="1137" spans="1:10" ht="15.75" x14ac:dyDescent="0.25">
      <c r="A1137" s="21">
        <v>45412</v>
      </c>
      <c r="B1137" t="str">
        <f>IFERROR(IF(VLOOKUP(C1137,Hoja1!$B$1:$C$6191,2,0)="",_xlfn.XLOOKUP(C1137,Hoja1!$B$2:$B$6191,Hoja1!$A$2:$A$6191),VLOOKUP(C1137,Hoja1!$B$1:$C$6191,2,0)),"No esta en Infor")</f>
        <v>NAC1252</v>
      </c>
      <c r="C1137" s="11" t="s">
        <v>301</v>
      </c>
      <c r="D1137" s="8">
        <v>15570</v>
      </c>
      <c r="E1137" s="8">
        <v>38990.639999999999</v>
      </c>
      <c r="F1137" s="8">
        <v>1535</v>
      </c>
      <c r="G1137" s="8">
        <v>0</v>
      </c>
      <c r="H1137" s="8">
        <v>0</v>
      </c>
      <c r="I1137" s="8">
        <v>0</v>
      </c>
      <c r="J1137" s="8">
        <v>56095.64</v>
      </c>
    </row>
    <row r="1138" spans="1:10" ht="15.75" x14ac:dyDescent="0.25">
      <c r="A1138" s="21">
        <v>45412</v>
      </c>
      <c r="B1138" t="str">
        <f>IFERROR(IF(VLOOKUP(C1138,Hoja1!$B$1:$C$6191,2,0)="",_xlfn.XLOOKUP(C1138,Hoja1!$B$2:$B$6191,Hoja1!$A$2:$A$6191),VLOOKUP(C1138,Hoja1!$B$1:$C$6191,2,0)),"No esta en Infor")</f>
        <v>CAN0054</v>
      </c>
      <c r="C1138" s="11" t="s">
        <v>36</v>
      </c>
      <c r="D1138" s="8">
        <v>0</v>
      </c>
      <c r="E1138" s="8">
        <v>645.78</v>
      </c>
      <c r="F1138" s="8">
        <v>-69</v>
      </c>
      <c r="G1138" s="8">
        <v>492.75</v>
      </c>
      <c r="H1138" s="8">
        <v>0</v>
      </c>
      <c r="I1138" s="8">
        <v>0</v>
      </c>
      <c r="J1138" s="8">
        <v>1069.53</v>
      </c>
    </row>
    <row r="1139" spans="1:10" ht="15.75" x14ac:dyDescent="0.25">
      <c r="A1139" s="21">
        <v>45412</v>
      </c>
      <c r="B1139" t="str">
        <f>IFERROR(IF(VLOOKUP(C1139,Hoja1!$B$1:$C$6191,2,0)="",_xlfn.XLOOKUP(C1139,Hoja1!$B$2:$B$6191,Hoja1!$A$2:$A$6191),VLOOKUP(C1139,Hoja1!$B$1:$C$6191,2,0)),"No esta en Infor")</f>
        <v>NAC1281</v>
      </c>
      <c r="C1139" s="11" t="s">
        <v>37</v>
      </c>
      <c r="D1139" s="8">
        <v>1643.15</v>
      </c>
      <c r="E1139" s="8">
        <v>2665.53</v>
      </c>
      <c r="F1139" s="8">
        <v>2055.84</v>
      </c>
      <c r="G1139" s="8">
        <v>690.64</v>
      </c>
      <c r="H1139" s="8">
        <v>246.11</v>
      </c>
      <c r="I1139" s="8">
        <v>0</v>
      </c>
      <c r="J1139" s="8">
        <v>7301.27</v>
      </c>
    </row>
    <row r="1140" spans="1:10" ht="15.75" x14ac:dyDescent="0.25">
      <c r="A1140" s="21">
        <v>45412</v>
      </c>
      <c r="B1140" t="str">
        <f>IFERROR(IF(VLOOKUP(C1140,Hoja1!$B$1:$C$6191,2,0)="",_xlfn.XLOOKUP(C1140,Hoja1!$B$2:$B$6191,Hoja1!$A$2:$A$6191),VLOOKUP(C1140,Hoja1!$B$1:$C$6191,2,0)),"No esta en Infor")</f>
        <v>NAC1281</v>
      </c>
      <c r="C1140" s="11" t="s">
        <v>304</v>
      </c>
      <c r="D1140" s="8">
        <v>0</v>
      </c>
      <c r="E1140" s="8">
        <v>0</v>
      </c>
      <c r="F1140" s="8">
        <v>649.13</v>
      </c>
      <c r="G1140" s="8">
        <v>0</v>
      </c>
      <c r="H1140" s="8">
        <v>0</v>
      </c>
      <c r="I1140" s="8">
        <v>0</v>
      </c>
      <c r="J1140" s="8">
        <v>649.13</v>
      </c>
    </row>
    <row r="1141" spans="1:10" ht="15.75" x14ac:dyDescent="0.25">
      <c r="A1141" s="21">
        <v>45412</v>
      </c>
      <c r="B1141" t="str">
        <f>IFERROR(IF(VLOOKUP(C1141,Hoja1!$B$1:$C$6191,2,0)="",_xlfn.XLOOKUP(C1141,Hoja1!$B$2:$B$6191,Hoja1!$A$2:$A$6191),VLOOKUP(C1141,Hoja1!$B$1:$C$6191,2,0)),"No esta en Infor")</f>
        <v>NAC1281</v>
      </c>
      <c r="C1141" s="11" t="s">
        <v>38</v>
      </c>
      <c r="D1141" s="8">
        <v>0</v>
      </c>
      <c r="E1141" s="8">
        <v>268.45</v>
      </c>
      <c r="F1141" s="12">
        <v>607.67999999999995</v>
      </c>
      <c r="G1141" s="8">
        <v>0</v>
      </c>
      <c r="H1141" s="8">
        <v>682.22</v>
      </c>
      <c r="I1141" s="8">
        <v>0</v>
      </c>
      <c r="J1141" s="8">
        <v>1558.35</v>
      </c>
    </row>
    <row r="1142" spans="1:10" ht="15.75" x14ac:dyDescent="0.25">
      <c r="A1142" s="21">
        <v>45412</v>
      </c>
      <c r="B1142" t="str">
        <f>IFERROR(IF(VLOOKUP(C1142,Hoja1!$B$1:$C$6191,2,0)="",_xlfn.XLOOKUP(C1142,Hoja1!$B$2:$B$6191,Hoja1!$A$2:$A$6191),VLOOKUP(C1142,Hoja1!$B$1:$C$6191,2,0)),"No esta en Infor")</f>
        <v>NAC1281</v>
      </c>
      <c r="C1142" s="11" t="s">
        <v>39</v>
      </c>
      <c r="D1142" s="8">
        <v>0</v>
      </c>
      <c r="E1142" s="8">
        <v>767.27</v>
      </c>
      <c r="F1142" s="8">
        <v>417.45</v>
      </c>
      <c r="G1142" s="8">
        <v>460</v>
      </c>
      <c r="H1142" s="8">
        <v>0</v>
      </c>
      <c r="I1142" s="8">
        <v>0</v>
      </c>
      <c r="J1142" s="8">
        <v>1644.72</v>
      </c>
    </row>
    <row r="1143" spans="1:10" ht="15.75" x14ac:dyDescent="0.25">
      <c r="A1143" s="21">
        <v>45412</v>
      </c>
      <c r="B1143" t="str">
        <f>IFERROR(IF(VLOOKUP(C1143,Hoja1!$B$1:$C$6191,2,0)="",_xlfn.XLOOKUP(C1143,Hoja1!$B$2:$B$6191,Hoja1!$A$2:$A$6191),VLOOKUP(C1143,Hoja1!$B$1:$C$6191,2,0)),"No esta en Infor")</f>
        <v>NAC1281</v>
      </c>
      <c r="C1143" s="11" t="s">
        <v>40</v>
      </c>
      <c r="D1143" s="8">
        <v>0</v>
      </c>
      <c r="E1143" s="8">
        <v>1663.07</v>
      </c>
      <c r="F1143" s="8">
        <v>883.1</v>
      </c>
      <c r="G1143" s="8">
        <v>216.33</v>
      </c>
      <c r="H1143" s="8">
        <v>0</v>
      </c>
      <c r="I1143" s="8">
        <v>0</v>
      </c>
      <c r="J1143" s="8">
        <v>2762.5</v>
      </c>
    </row>
    <row r="1144" spans="1:10" ht="15.75" x14ac:dyDescent="0.25">
      <c r="A1144" s="21">
        <v>45412</v>
      </c>
      <c r="B1144" t="str">
        <f>IFERROR(IF(VLOOKUP(C1144,Hoja1!$B$1:$C$6191,2,0)="",_xlfn.XLOOKUP(C1144,Hoja1!$B$2:$B$6191,Hoja1!$A$2:$A$6191),VLOOKUP(C1144,Hoja1!$B$1:$C$6191,2,0)),"No esta en Infor")</f>
        <v>NAC1281</v>
      </c>
      <c r="C1144" s="11" t="s">
        <v>41</v>
      </c>
      <c r="D1144" s="8">
        <v>214.79</v>
      </c>
      <c r="E1144" s="8">
        <v>115.92</v>
      </c>
      <c r="F1144" s="12">
        <v>202.86</v>
      </c>
      <c r="G1144" s="8">
        <v>137.12</v>
      </c>
      <c r="H1144" s="8">
        <v>300.48</v>
      </c>
      <c r="I1144" s="8">
        <v>0</v>
      </c>
      <c r="J1144" s="8">
        <v>971.17</v>
      </c>
    </row>
    <row r="1145" spans="1:10" ht="15.75" x14ac:dyDescent="0.25">
      <c r="A1145" s="21">
        <v>45412</v>
      </c>
      <c r="B1145" t="str">
        <f>IFERROR(IF(VLOOKUP(C1145,Hoja1!$B$1:$C$6191,2,0)="",_xlfn.XLOOKUP(C1145,Hoja1!$B$2:$B$6191,Hoja1!$A$2:$A$6191),VLOOKUP(C1145,Hoja1!$B$1:$C$6191,2,0)),"No esta en Infor")</f>
        <v>NAC1281</v>
      </c>
      <c r="C1145" s="11" t="s">
        <v>42</v>
      </c>
      <c r="D1145" s="8">
        <v>-28.74</v>
      </c>
      <c r="E1145" s="8">
        <v>449.84</v>
      </c>
      <c r="F1145" s="8">
        <v>568.86</v>
      </c>
      <c r="G1145" s="8">
        <v>0</v>
      </c>
      <c r="H1145" s="8">
        <v>262.91000000000003</v>
      </c>
      <c r="I1145" s="8">
        <v>0</v>
      </c>
      <c r="J1145" s="8">
        <v>1252.8699999999999</v>
      </c>
    </row>
    <row r="1146" spans="1:10" ht="15.75" x14ac:dyDescent="0.25">
      <c r="A1146" s="21">
        <v>45412</v>
      </c>
      <c r="B1146" t="str">
        <f>IFERROR(IF(VLOOKUP(C1146,Hoja1!$B$1:$C$6191,2,0)="",_xlfn.XLOOKUP(C1146,Hoja1!$B$2:$B$6191,Hoja1!$A$2:$A$6191),VLOOKUP(C1146,Hoja1!$B$1:$C$6191,2,0)),"No esta en Infor")</f>
        <v>NAC1281</v>
      </c>
      <c r="C1146" s="11" t="s">
        <v>306</v>
      </c>
      <c r="D1146" s="8">
        <v>0</v>
      </c>
      <c r="E1146" s="8">
        <v>0</v>
      </c>
      <c r="F1146" s="8">
        <v>497.14</v>
      </c>
      <c r="G1146" s="12">
        <v>146.31</v>
      </c>
      <c r="H1146" s="8">
        <v>0</v>
      </c>
      <c r="I1146" s="8">
        <v>0</v>
      </c>
      <c r="J1146" s="8">
        <v>643.45000000000005</v>
      </c>
    </row>
    <row r="1147" spans="1:10" ht="15.75" x14ac:dyDescent="0.25">
      <c r="A1147" s="21">
        <v>45412</v>
      </c>
      <c r="B1147" t="str">
        <f>IFERROR(IF(VLOOKUP(C1147,Hoja1!$B$1:$C$6191,2,0)="",_xlfn.XLOOKUP(C1147,Hoja1!$B$2:$B$6191,Hoja1!$A$2:$A$6191),VLOOKUP(C1147,Hoja1!$B$1:$C$6191,2,0)),"No esta en Infor")</f>
        <v>NAC1281</v>
      </c>
      <c r="C1147" s="11" t="s">
        <v>43</v>
      </c>
      <c r="D1147" s="8">
        <v>0</v>
      </c>
      <c r="E1147" s="8">
        <v>177.29</v>
      </c>
      <c r="F1147" s="8">
        <v>479.94</v>
      </c>
      <c r="G1147" s="8">
        <v>176.95</v>
      </c>
      <c r="H1147" s="8">
        <v>456.59</v>
      </c>
      <c r="I1147" s="8">
        <v>0</v>
      </c>
      <c r="J1147" s="8">
        <v>1290.77</v>
      </c>
    </row>
    <row r="1148" spans="1:10" ht="15.75" x14ac:dyDescent="0.25">
      <c r="A1148" s="21">
        <v>45412</v>
      </c>
      <c r="B1148" t="str">
        <f>IFERROR(IF(VLOOKUP(C1148,Hoja1!$B$1:$C$6191,2,0)="",_xlfn.XLOOKUP(C1148,Hoja1!$B$2:$B$6191,Hoja1!$A$2:$A$6191),VLOOKUP(C1148,Hoja1!$B$1:$C$6191,2,0)),"No esta en Infor")</f>
        <v>NAC1281</v>
      </c>
      <c r="C1148" s="11" t="s">
        <v>44</v>
      </c>
      <c r="D1148" s="8">
        <v>0</v>
      </c>
      <c r="E1148" s="8">
        <v>710.52</v>
      </c>
      <c r="F1148" s="8">
        <v>684.41</v>
      </c>
      <c r="G1148" s="8">
        <v>0</v>
      </c>
      <c r="H1148" s="8">
        <v>0</v>
      </c>
      <c r="I1148" s="8">
        <v>208.55</v>
      </c>
      <c r="J1148" s="8">
        <v>1603.48</v>
      </c>
    </row>
    <row r="1149" spans="1:10" ht="15.75" x14ac:dyDescent="0.25">
      <c r="A1149" s="21">
        <v>45412</v>
      </c>
      <c r="B1149" t="str">
        <f>IFERROR(IF(VLOOKUP(C1149,Hoja1!$B$1:$C$6191,2,0)="",_xlfn.XLOOKUP(C1149,Hoja1!$B$2:$B$6191,Hoja1!$A$2:$A$6191),VLOOKUP(C1149,Hoja1!$B$1:$C$6191,2,0)),"No esta en Infor")</f>
        <v>NAC1281</v>
      </c>
      <c r="C1149" s="11" t="s">
        <v>45</v>
      </c>
      <c r="D1149" s="8">
        <v>0</v>
      </c>
      <c r="E1149" s="8">
        <v>1460.25</v>
      </c>
      <c r="F1149" s="8">
        <v>0</v>
      </c>
      <c r="G1149" s="8">
        <v>447.93</v>
      </c>
      <c r="H1149" s="8">
        <v>1280.58</v>
      </c>
      <c r="I1149" s="8">
        <v>0</v>
      </c>
      <c r="J1149" s="8">
        <v>3188.76</v>
      </c>
    </row>
    <row r="1150" spans="1:10" ht="15.75" x14ac:dyDescent="0.25">
      <c r="A1150" s="21">
        <v>45412</v>
      </c>
      <c r="B1150" t="str">
        <f>IFERROR(IF(VLOOKUP(C1150,Hoja1!$B$1:$C$6191,2,0)="",_xlfn.XLOOKUP(C1150,Hoja1!$B$2:$B$6191,Hoja1!$A$2:$A$6191),VLOOKUP(C1150,Hoja1!$B$1:$C$6191,2,0)),"No esta en Infor")</f>
        <v>NAC1281</v>
      </c>
      <c r="C1150" s="11" t="s">
        <v>307</v>
      </c>
      <c r="D1150" s="8">
        <v>-6.11</v>
      </c>
      <c r="E1150" s="8">
        <v>981.49</v>
      </c>
      <c r="F1150" s="8">
        <v>610.41999999999996</v>
      </c>
      <c r="G1150" s="8">
        <v>0</v>
      </c>
      <c r="H1150" s="8">
        <v>0</v>
      </c>
      <c r="I1150" s="8">
        <v>0</v>
      </c>
      <c r="J1150" s="8">
        <v>1585.8</v>
      </c>
    </row>
    <row r="1151" spans="1:10" ht="15.75" x14ac:dyDescent="0.25">
      <c r="A1151" s="21">
        <v>45412</v>
      </c>
      <c r="B1151" t="str">
        <f>IFERROR(IF(VLOOKUP(C1151,Hoja1!$B$1:$C$6191,2,0)="",_xlfn.XLOOKUP(C1151,Hoja1!$B$2:$B$6191,Hoja1!$A$2:$A$6191),VLOOKUP(C1151,Hoja1!$B$1:$C$6191,2,0)),"No esta en Infor")</f>
        <v>NAC1292</v>
      </c>
      <c r="C1151" s="11" t="s">
        <v>46</v>
      </c>
      <c r="D1151" s="8">
        <v>46356.9</v>
      </c>
      <c r="E1151" s="8">
        <v>3760</v>
      </c>
      <c r="F1151" s="8">
        <v>-1465</v>
      </c>
      <c r="G1151" s="8">
        <v>2625</v>
      </c>
      <c r="H1151" s="8">
        <v>0</v>
      </c>
      <c r="I1151" s="8">
        <v>0</v>
      </c>
      <c r="J1151" s="8">
        <v>51276.9</v>
      </c>
    </row>
    <row r="1152" spans="1:10" ht="15.75" x14ac:dyDescent="0.25">
      <c r="A1152" s="21">
        <v>45412</v>
      </c>
      <c r="B1152" t="str">
        <f>IFERROR(IF(VLOOKUP(C1152,Hoja1!$B$1:$C$6191,2,0)="",_xlfn.XLOOKUP(C1152,Hoja1!$B$2:$B$6191,Hoja1!$A$2:$A$6191),VLOOKUP(C1152,Hoja1!$B$1:$C$6191,2,0)),"No esta en Infor")</f>
        <v>NAC1609</v>
      </c>
      <c r="C1152" s="11" t="s">
        <v>48</v>
      </c>
      <c r="D1152" s="8">
        <v>0</v>
      </c>
      <c r="E1152" s="8">
        <v>0</v>
      </c>
      <c r="F1152" s="8">
        <v>0</v>
      </c>
      <c r="G1152" s="8">
        <v>246.37</v>
      </c>
      <c r="H1152" s="8">
        <v>0</v>
      </c>
      <c r="I1152" s="8">
        <v>0</v>
      </c>
      <c r="J1152" s="8">
        <v>246.37</v>
      </c>
    </row>
    <row r="1153" spans="1:10" ht="15.75" x14ac:dyDescent="0.25">
      <c r="A1153" s="21">
        <v>45412</v>
      </c>
      <c r="B1153" t="str">
        <f>IFERROR(IF(VLOOKUP(C1153,Hoja1!$B$1:$C$6191,2,0)="",_xlfn.XLOOKUP(C1153,Hoja1!$B$2:$B$6191,Hoja1!$A$2:$A$6191),VLOOKUP(C1153,Hoja1!$B$1:$C$6191,2,0)),"No esta en Infor")</f>
        <v>NAC1323</v>
      </c>
      <c r="C1153" s="11" t="s">
        <v>49</v>
      </c>
      <c r="D1153" s="8">
        <v>533555.69999999995</v>
      </c>
      <c r="E1153" s="8">
        <v>232510.38</v>
      </c>
      <c r="F1153" s="8">
        <v>23866.04</v>
      </c>
      <c r="G1153" s="8">
        <v>4529.3500000000004</v>
      </c>
      <c r="H1153" s="8">
        <v>0</v>
      </c>
      <c r="I1153" s="8">
        <v>714.34</v>
      </c>
      <c r="J1153" s="8">
        <v>795175.81</v>
      </c>
    </row>
    <row r="1154" spans="1:10" ht="15.75" x14ac:dyDescent="0.25">
      <c r="A1154" s="21">
        <v>45412</v>
      </c>
      <c r="B1154" t="str">
        <f>IFERROR(IF(VLOOKUP(C1154,Hoja1!$B$1:$C$6191,2,0)="",_xlfn.XLOOKUP(C1154,Hoja1!$B$2:$B$6191,Hoja1!$A$2:$A$6191),VLOOKUP(C1154,Hoja1!$B$1:$C$6191,2,0)),"No esta en Infor")</f>
        <v>NAC1327</v>
      </c>
      <c r="C1154" s="11" t="s">
        <v>50</v>
      </c>
      <c r="D1154" s="8">
        <v>261636.46</v>
      </c>
      <c r="E1154" s="8">
        <v>91155.02</v>
      </c>
      <c r="F1154" s="8">
        <v>35653.94</v>
      </c>
      <c r="G1154" s="8">
        <v>0</v>
      </c>
      <c r="H1154" s="8">
        <v>0</v>
      </c>
      <c r="I1154" s="8">
        <v>-29.08</v>
      </c>
      <c r="J1154" s="8">
        <v>388416.34</v>
      </c>
    </row>
    <row r="1155" spans="1:10" ht="15.75" x14ac:dyDescent="0.25">
      <c r="A1155" s="21">
        <v>45412</v>
      </c>
      <c r="B1155" t="str">
        <f>IFERROR(IF(VLOOKUP(C1155,Hoja1!$B$1:$C$6191,2,0)="",_xlfn.XLOOKUP(C1155,Hoja1!$B$2:$B$6191,Hoja1!$A$2:$A$6191),VLOOKUP(C1155,Hoja1!$B$1:$C$6191,2,0)),"No esta en Infor")</f>
        <v>CAN0059</v>
      </c>
      <c r="C1155" s="11" t="s">
        <v>51</v>
      </c>
      <c r="D1155" s="8">
        <v>4965.49</v>
      </c>
      <c r="E1155" s="8">
        <v>631.08000000000004</v>
      </c>
      <c r="F1155" s="8">
        <v>421.15</v>
      </c>
      <c r="G1155" s="8">
        <v>787.12</v>
      </c>
      <c r="H1155" s="8">
        <v>-10</v>
      </c>
      <c r="I1155" s="8">
        <v>0</v>
      </c>
      <c r="J1155" s="8">
        <v>6794.84</v>
      </c>
    </row>
    <row r="1156" spans="1:10" ht="15.75" x14ac:dyDescent="0.25">
      <c r="A1156" s="21">
        <v>45412</v>
      </c>
      <c r="B1156" t="str">
        <f>IFERROR(IF(VLOOKUP(C1156,Hoja1!$B$1:$C$6191,2,0)="",_xlfn.XLOOKUP(C1156,Hoja1!$B$2:$B$6191,Hoja1!$A$2:$A$6191),VLOOKUP(C1156,Hoja1!$B$1:$C$6191,2,0)),"No esta en Infor")</f>
        <v>NAC1354</v>
      </c>
      <c r="C1156" s="11" t="s">
        <v>324</v>
      </c>
      <c r="D1156" s="8">
        <v>0</v>
      </c>
      <c r="E1156" s="8">
        <v>0</v>
      </c>
      <c r="F1156" s="8">
        <v>424.57</v>
      </c>
      <c r="G1156" s="8">
        <v>0</v>
      </c>
      <c r="H1156" s="8">
        <v>0</v>
      </c>
      <c r="I1156" s="8">
        <v>0</v>
      </c>
      <c r="J1156" s="8">
        <v>424.57</v>
      </c>
    </row>
    <row r="1157" spans="1:10" ht="15.75" x14ac:dyDescent="0.25">
      <c r="A1157" s="21">
        <v>45412</v>
      </c>
      <c r="B1157" t="str">
        <f>IFERROR(IF(VLOOKUP(C1157,Hoja1!$B$1:$C$6191,2,0)="",_xlfn.XLOOKUP(C1157,Hoja1!$B$2:$B$6191,Hoja1!$A$2:$A$6191),VLOOKUP(C1157,Hoja1!$B$1:$C$6191,2,0)),"No esta en Infor")</f>
        <v>NAC1610</v>
      </c>
      <c r="C1157" s="11" t="s">
        <v>333</v>
      </c>
      <c r="D1157" s="8">
        <v>0</v>
      </c>
      <c r="E1157" s="8">
        <v>0</v>
      </c>
      <c r="F1157" s="8">
        <v>744.05</v>
      </c>
      <c r="G1157" s="8">
        <v>0</v>
      </c>
      <c r="H1157" s="8">
        <v>0</v>
      </c>
      <c r="I1157" s="8">
        <v>0</v>
      </c>
      <c r="J1157" s="8">
        <v>744.05</v>
      </c>
    </row>
    <row r="1158" spans="1:10" ht="15.75" x14ac:dyDescent="0.25">
      <c r="A1158" s="21">
        <v>45412</v>
      </c>
      <c r="B1158" t="str">
        <f>IFERROR(IF(VLOOKUP(C1158,Hoja1!$B$1:$C$6191,2,0)="",_xlfn.XLOOKUP(C1158,Hoja1!$B$2:$B$6191,Hoja1!$A$2:$A$6191),VLOOKUP(C1158,Hoja1!$B$1:$C$6191,2,0)),"No esta en Infor")</f>
        <v>NAC1610</v>
      </c>
      <c r="C1158" s="11" t="s">
        <v>52</v>
      </c>
      <c r="D1158" s="8">
        <v>0</v>
      </c>
      <c r="E1158" s="8">
        <v>498</v>
      </c>
      <c r="F1158" s="8">
        <v>0</v>
      </c>
      <c r="G1158" s="8">
        <v>0</v>
      </c>
      <c r="H1158" s="8">
        <v>16.66</v>
      </c>
      <c r="I1158" s="8">
        <v>0</v>
      </c>
      <c r="J1158" s="8">
        <v>514.66</v>
      </c>
    </row>
    <row r="1159" spans="1:10" ht="15.75" x14ac:dyDescent="0.25">
      <c r="A1159" s="21">
        <v>45412</v>
      </c>
      <c r="B1159" t="str">
        <f>IFERROR(IF(VLOOKUP(C1159,Hoja1!$B$1:$C$6191,2,0)="",_xlfn.XLOOKUP(C1159,Hoja1!$B$2:$B$6191,Hoja1!$A$2:$A$6191),VLOOKUP(C1159,Hoja1!$B$1:$C$6191,2,0)),"No esta en Infor")</f>
        <v>NAC1610</v>
      </c>
      <c r="C1159" s="11" t="s">
        <v>334</v>
      </c>
      <c r="D1159" s="8">
        <v>0</v>
      </c>
      <c r="E1159" s="8">
        <v>0</v>
      </c>
      <c r="F1159" s="8">
        <v>167.44</v>
      </c>
      <c r="G1159" s="8">
        <v>0</v>
      </c>
      <c r="H1159" s="8">
        <v>0</v>
      </c>
      <c r="I1159" s="8">
        <v>0</v>
      </c>
      <c r="J1159" s="8">
        <v>167.44</v>
      </c>
    </row>
    <row r="1160" spans="1:10" ht="15.75" x14ac:dyDescent="0.25">
      <c r="A1160" s="21">
        <v>45412</v>
      </c>
      <c r="B1160" t="str">
        <f>IFERROR(IF(VLOOKUP(C1160,Hoja1!$B$1:$C$6191,2,0)="",_xlfn.XLOOKUP(C1160,Hoja1!$B$2:$B$6191,Hoja1!$A$2:$A$6191),VLOOKUP(C1160,Hoja1!$B$1:$C$6191,2,0)),"No esta en Infor")</f>
        <v>CAN0069</v>
      </c>
      <c r="C1160" s="11" t="s">
        <v>340</v>
      </c>
      <c r="D1160" s="8">
        <v>1752.63</v>
      </c>
      <c r="E1160" s="8">
        <v>1270.69</v>
      </c>
      <c r="F1160" s="8">
        <v>540.15</v>
      </c>
      <c r="G1160" s="8">
        <v>0</v>
      </c>
      <c r="H1160" s="8">
        <v>0</v>
      </c>
      <c r="I1160" s="8">
        <v>0</v>
      </c>
      <c r="J1160" s="8">
        <v>3563.47</v>
      </c>
    </row>
    <row r="1161" spans="1:10" ht="15.75" x14ac:dyDescent="0.25">
      <c r="A1161" s="21">
        <v>45412</v>
      </c>
      <c r="B1161" t="str">
        <f>IFERROR(IF(VLOOKUP(C1161,Hoja1!$B$1:$C$6191,2,0)="",_xlfn.XLOOKUP(C1161,Hoja1!$B$2:$B$6191,Hoja1!$A$2:$A$6191),VLOOKUP(C1161,Hoja1!$B$1:$C$6191,2,0)),"No esta en Infor")</f>
        <v>NAC1413</v>
      </c>
      <c r="C1161" s="11" t="s">
        <v>342</v>
      </c>
      <c r="D1161" s="8">
        <v>63995.44</v>
      </c>
      <c r="E1161" s="8">
        <v>0</v>
      </c>
      <c r="F1161" s="8">
        <v>17836.3</v>
      </c>
      <c r="G1161" s="8">
        <v>0</v>
      </c>
      <c r="H1161" s="8">
        <v>0</v>
      </c>
      <c r="I1161" s="8">
        <v>0</v>
      </c>
      <c r="J1161" s="8">
        <v>81831.740000000005</v>
      </c>
    </row>
    <row r="1162" spans="1:10" ht="15.75" x14ac:dyDescent="0.25">
      <c r="A1162" s="21">
        <v>45412</v>
      </c>
      <c r="B1162" t="str">
        <f>IFERROR(IF(VLOOKUP(C1162,Hoja1!$B$1:$C$6191,2,0)="",_xlfn.XLOOKUP(C1162,Hoja1!$B$2:$B$6191,Hoja1!$A$2:$A$6191),VLOOKUP(C1162,Hoja1!$B$1:$C$6191,2,0)),"No esta en Infor")</f>
        <v>NAC1448</v>
      </c>
      <c r="C1162" s="11" t="s">
        <v>9</v>
      </c>
      <c r="D1162" s="8">
        <v>28107.360000000001</v>
      </c>
      <c r="E1162" s="8">
        <v>13791.76</v>
      </c>
      <c r="F1162" s="8">
        <v>1049</v>
      </c>
      <c r="G1162" s="8">
        <v>15178.65</v>
      </c>
      <c r="H1162" s="8">
        <v>5210.3900000000003</v>
      </c>
      <c r="I1162" s="8">
        <v>80</v>
      </c>
      <c r="J1162" s="8">
        <v>63417.16</v>
      </c>
    </row>
    <row r="1163" spans="1:10" ht="15.75" x14ac:dyDescent="0.25">
      <c r="A1163" s="21">
        <v>45412</v>
      </c>
      <c r="B1163" t="str">
        <f>IFERROR(IF(VLOOKUP(C1163,Hoja1!$B$1:$C$6191,2,0)="",_xlfn.XLOOKUP(C1163,Hoja1!$B$2:$B$6191,Hoja1!$A$2:$A$6191),VLOOKUP(C1163,Hoja1!$B$1:$C$6191,2,0)),"No esta en Infor")</f>
        <v>CAN0073</v>
      </c>
      <c r="C1163" s="11" t="s">
        <v>349</v>
      </c>
      <c r="D1163" s="8">
        <v>6216.25</v>
      </c>
      <c r="E1163" s="8">
        <v>-402.92</v>
      </c>
      <c r="F1163" s="8">
        <v>959.93</v>
      </c>
      <c r="G1163" s="8">
        <v>0</v>
      </c>
      <c r="H1163" s="8">
        <v>0</v>
      </c>
      <c r="I1163" s="8">
        <v>0</v>
      </c>
      <c r="J1163" s="8">
        <v>6773.26</v>
      </c>
    </row>
    <row r="1164" spans="1:10" ht="15.75" x14ac:dyDescent="0.25">
      <c r="A1164" s="21">
        <v>45412</v>
      </c>
      <c r="B1164" t="str">
        <f>IFERROR(IF(VLOOKUP(C1164,Hoja1!$B$1:$C$6191,2,0)="",_xlfn.XLOOKUP(C1164,Hoja1!$B$2:$B$6191,Hoja1!$A$2:$A$6191),VLOOKUP(C1164,Hoja1!$B$1:$C$6191,2,0)),"No esta en Infor")</f>
        <v>NAC1450</v>
      </c>
      <c r="C1164" s="11" t="s">
        <v>54</v>
      </c>
      <c r="D1164" s="8">
        <v>5219</v>
      </c>
      <c r="E1164" s="8">
        <v>1712.77</v>
      </c>
      <c r="F1164" s="8">
        <v>1058</v>
      </c>
      <c r="G1164" s="8">
        <v>784.46</v>
      </c>
      <c r="H1164" s="8">
        <v>1099.1300000000001</v>
      </c>
      <c r="I1164" s="8">
        <v>0</v>
      </c>
      <c r="J1164" s="8">
        <v>9873.36</v>
      </c>
    </row>
    <row r="1165" spans="1:10" ht="15.75" x14ac:dyDescent="0.25">
      <c r="A1165" s="21">
        <v>45412</v>
      </c>
      <c r="B1165" t="str">
        <f>IFERROR(IF(VLOOKUP(C1165,Hoja1!$B$1:$C$6191,2,0)="",_xlfn.XLOOKUP(C1165,Hoja1!$B$2:$B$6191,Hoja1!$A$2:$A$6191),VLOOKUP(C1165,Hoja1!$B$1:$C$6191,2,0)),"No esta en Infor")</f>
        <v>NAC1488</v>
      </c>
      <c r="C1165" s="11" t="s">
        <v>359</v>
      </c>
      <c r="D1165" s="8">
        <v>0</v>
      </c>
      <c r="E1165" s="8">
        <v>0</v>
      </c>
      <c r="F1165" s="8">
        <v>260</v>
      </c>
      <c r="G1165" s="8">
        <v>0</v>
      </c>
      <c r="H1165" s="8">
        <v>0</v>
      </c>
      <c r="I1165" s="8">
        <v>0</v>
      </c>
      <c r="J1165" s="8">
        <v>260</v>
      </c>
    </row>
    <row r="1166" spans="1:10" ht="15.75" x14ac:dyDescent="0.25">
      <c r="A1166" s="21">
        <v>45412</v>
      </c>
      <c r="B1166" t="str">
        <f>IFERROR(IF(VLOOKUP(C1166,Hoja1!$B$1:$C$6191,2,0)="",_xlfn.XLOOKUP(C1166,Hoja1!$B$2:$B$6191,Hoja1!$A$2:$A$6191),VLOOKUP(C1166,Hoja1!$B$1:$C$6191,2,0)),"No esta en Infor")</f>
        <v>NAC1506</v>
      </c>
      <c r="C1166" s="11" t="s">
        <v>364</v>
      </c>
      <c r="D1166" s="8">
        <v>1153.5</v>
      </c>
      <c r="E1166" s="8">
        <v>0</v>
      </c>
      <c r="F1166" s="8">
        <v>838.5</v>
      </c>
      <c r="G1166" s="8">
        <v>0</v>
      </c>
      <c r="H1166" s="8">
        <v>0</v>
      </c>
      <c r="I1166" s="8">
        <v>0</v>
      </c>
      <c r="J1166" s="8">
        <v>1992</v>
      </c>
    </row>
    <row r="1167" spans="1:10" ht="15.75" x14ac:dyDescent="0.25">
      <c r="A1167" s="21">
        <v>45412</v>
      </c>
      <c r="B1167" t="str">
        <f>IFERROR(IF(VLOOKUP(C1167,Hoja1!$B$1:$C$6191,2,0)="",_xlfn.XLOOKUP(C1167,Hoja1!$B$2:$B$6191,Hoja1!$A$2:$A$6191),VLOOKUP(C1167,Hoja1!$B$1:$C$6191,2,0)),"No esta en Infor")</f>
        <v>NAC1512</v>
      </c>
      <c r="C1167" s="11" t="s">
        <v>56</v>
      </c>
      <c r="D1167" s="8">
        <v>0</v>
      </c>
      <c r="E1167" s="8">
        <v>0</v>
      </c>
      <c r="F1167" s="8">
        <v>4470</v>
      </c>
      <c r="G1167" s="8">
        <v>0</v>
      </c>
      <c r="H1167" s="8">
        <v>14020</v>
      </c>
      <c r="I1167" s="8">
        <v>0</v>
      </c>
      <c r="J1167" s="8">
        <v>18490</v>
      </c>
    </row>
    <row r="1168" spans="1:10" ht="15.75" x14ac:dyDescent="0.25">
      <c r="A1168" s="21">
        <v>45412</v>
      </c>
      <c r="B1168" t="str">
        <f>IFERROR(IF(VLOOKUP(C1168,Hoja1!$B$1:$C$6191,2,0)="",_xlfn.XLOOKUP(C1168,Hoja1!$B$2:$B$6191,Hoja1!$A$2:$A$6191),VLOOKUP(C1168,Hoja1!$B$1:$C$6191,2,0)),"No esta en Infor")</f>
        <v>NAC1522</v>
      </c>
      <c r="C1168" s="11" t="s">
        <v>366</v>
      </c>
      <c r="D1168" s="8">
        <v>0</v>
      </c>
      <c r="E1168" s="8">
        <v>0</v>
      </c>
      <c r="F1168" s="8">
        <v>421.58</v>
      </c>
      <c r="G1168" s="8">
        <v>0</v>
      </c>
      <c r="H1168" s="8">
        <v>0</v>
      </c>
      <c r="I1168" s="8">
        <v>0</v>
      </c>
      <c r="J1168" s="8">
        <v>421.58</v>
      </c>
    </row>
    <row r="1169" spans="1:10" ht="15.75" x14ac:dyDescent="0.25">
      <c r="A1169" s="21">
        <v>45412</v>
      </c>
      <c r="B1169" t="str">
        <f>IFERROR(IF(VLOOKUP(C1169,Hoja1!$B$1:$C$6191,2,0)="",_xlfn.XLOOKUP(C1169,Hoja1!$B$2:$B$6191,Hoja1!$A$2:$A$6191),VLOOKUP(C1169,Hoja1!$B$1:$C$6191,2,0)),"No esta en Infor")</f>
        <v>CAN0087</v>
      </c>
      <c r="C1169" s="19" t="s">
        <v>1091</v>
      </c>
      <c r="D1169" s="8">
        <v>48697.16</v>
      </c>
      <c r="E1169" s="8">
        <v>12659.62</v>
      </c>
      <c r="F1169" s="8">
        <v>1180.67</v>
      </c>
      <c r="G1169" s="8">
        <v>0</v>
      </c>
      <c r="H1169" s="8">
        <v>0</v>
      </c>
      <c r="I1169" s="8">
        <v>0</v>
      </c>
      <c r="J1169" s="8">
        <v>62537.45</v>
      </c>
    </row>
    <row r="1170" spans="1:10" ht="15.75" x14ac:dyDescent="0.25">
      <c r="A1170" s="21">
        <v>45412</v>
      </c>
      <c r="B1170" t="str">
        <f>IFERROR(IF(VLOOKUP(C1170,Hoja1!$B$1:$C$6191,2,0)="",_xlfn.XLOOKUP(C1170,Hoja1!$B$2:$B$6191,Hoja1!$A$2:$A$6191),VLOOKUP(C1170,Hoja1!$B$1:$C$6191,2,0)),"No esta en Infor")</f>
        <v>NAC1529</v>
      </c>
      <c r="C1170" s="11" t="s">
        <v>368</v>
      </c>
      <c r="D1170" s="8">
        <v>668.44</v>
      </c>
      <c r="E1170" s="8">
        <v>0</v>
      </c>
      <c r="F1170" s="8">
        <v>111.75</v>
      </c>
      <c r="G1170" s="8">
        <v>0</v>
      </c>
      <c r="H1170" s="8">
        <v>0</v>
      </c>
      <c r="I1170" s="8">
        <v>0</v>
      </c>
      <c r="J1170" s="8">
        <v>780.19</v>
      </c>
    </row>
    <row r="1171" spans="1:10" ht="15.75" x14ac:dyDescent="0.25">
      <c r="A1171" s="21">
        <v>45412</v>
      </c>
      <c r="B1171" t="str">
        <f>IFERROR(IF(VLOOKUP(C1171,Hoja1!$B$1:$C$6191,2,0)="",_xlfn.XLOOKUP(C1171,Hoja1!$B$2:$B$6191,Hoja1!$A$2:$A$6191),VLOOKUP(C1171,Hoja1!$B$1:$C$6191,2,0)),"No esta en Infor")</f>
        <v>NAC0468</v>
      </c>
      <c r="C1171" s="19" t="s">
        <v>61</v>
      </c>
      <c r="D1171" s="9">
        <v>0</v>
      </c>
      <c r="E1171" s="9">
        <v>0</v>
      </c>
      <c r="F1171" s="9">
        <v>-123.75</v>
      </c>
      <c r="G1171" s="9">
        <v>0</v>
      </c>
      <c r="H1171" s="9">
        <v>0</v>
      </c>
      <c r="I1171" s="9">
        <v>0</v>
      </c>
      <c r="J1171" s="9">
        <v>-123.75</v>
      </c>
    </row>
    <row r="1172" spans="1:10" ht="15.75" x14ac:dyDescent="0.25">
      <c r="A1172" s="21">
        <v>45412</v>
      </c>
      <c r="B1172" t="str">
        <f>IFERROR(IF(VLOOKUP(C1172,Hoja1!$B$1:$C$6191,2,0)="",_xlfn.XLOOKUP(C1172,Hoja1!$B$2:$B$6191,Hoja1!$A$2:$A$6191),VLOOKUP(C1172,Hoja1!$B$1:$C$6191,2,0)),"No esta en Infor")</f>
        <v>NAC0470</v>
      </c>
      <c r="C1172" s="19" t="s">
        <v>62</v>
      </c>
      <c r="D1172" s="9">
        <v>0</v>
      </c>
      <c r="E1172" s="9">
        <v>0</v>
      </c>
      <c r="F1172" s="9">
        <v>-31</v>
      </c>
      <c r="G1172" s="9">
        <v>0</v>
      </c>
      <c r="H1172" s="9">
        <v>0</v>
      </c>
      <c r="I1172" s="9">
        <v>0</v>
      </c>
      <c r="J1172" s="9">
        <v>-31</v>
      </c>
    </row>
    <row r="1173" spans="1:10" ht="15.75" x14ac:dyDescent="0.25">
      <c r="A1173" s="21">
        <v>45412</v>
      </c>
      <c r="B1173" t="str">
        <f>IFERROR(IF(VLOOKUP(C1173,Hoja1!$B$1:$C$6191,2,0)="",_xlfn.XLOOKUP(C1173,Hoja1!$B$2:$B$6191,Hoja1!$A$2:$A$6191),VLOOKUP(C1173,Hoja1!$B$1:$C$6191,2,0)),"No esta en Infor")</f>
        <v>NAC0474</v>
      </c>
      <c r="C1173" s="19" t="s">
        <v>375</v>
      </c>
      <c r="D1173" s="9">
        <v>0</v>
      </c>
      <c r="E1173" s="9">
        <v>195.46</v>
      </c>
      <c r="F1173" s="9">
        <v>0</v>
      </c>
      <c r="G1173" s="9">
        <v>0</v>
      </c>
      <c r="H1173" s="9">
        <v>0</v>
      </c>
      <c r="I1173" s="9">
        <v>0</v>
      </c>
      <c r="J1173" s="9">
        <v>195.46</v>
      </c>
    </row>
    <row r="1174" spans="1:10" ht="15.75" x14ac:dyDescent="0.25">
      <c r="A1174" s="21">
        <v>45412</v>
      </c>
      <c r="B1174" t="str">
        <f>IFERROR(IF(VLOOKUP(C1174,Hoja1!$B$1:$C$6191,2,0)="",_xlfn.XLOOKUP(C1174,Hoja1!$B$2:$B$6191,Hoja1!$A$2:$A$6191),VLOOKUP(C1174,Hoja1!$B$1:$C$6191,2,0)),"No esta en Infor")</f>
        <v>NAC0475</v>
      </c>
      <c r="C1174" s="19" t="s">
        <v>63</v>
      </c>
      <c r="D1174" s="9">
        <v>218.29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218.29</v>
      </c>
    </row>
    <row r="1175" spans="1:10" ht="15.75" x14ac:dyDescent="0.25">
      <c r="A1175" s="21">
        <v>45412</v>
      </c>
      <c r="B1175" t="str">
        <f>IFERROR(IF(VLOOKUP(C1175,Hoja1!$B$1:$C$6191,2,0)="",_xlfn.XLOOKUP(C1175,Hoja1!$B$2:$B$6191,Hoja1!$A$2:$A$6191),VLOOKUP(C1175,Hoja1!$B$1:$C$6191,2,0)),"No esta en Infor")</f>
        <v>NAC0476</v>
      </c>
      <c r="C1175" s="19" t="s">
        <v>11</v>
      </c>
      <c r="D1175" s="9">
        <v>99973.61</v>
      </c>
      <c r="E1175" s="9">
        <v>45732.82</v>
      </c>
      <c r="F1175" s="9">
        <v>-324.42</v>
      </c>
      <c r="G1175" s="9">
        <v>0</v>
      </c>
      <c r="H1175" s="9">
        <v>-212</v>
      </c>
      <c r="I1175" s="9">
        <v>0</v>
      </c>
      <c r="J1175" s="9">
        <v>145170.01</v>
      </c>
    </row>
    <row r="1176" spans="1:10" ht="15.75" x14ac:dyDescent="0.25">
      <c r="A1176" s="21">
        <v>45412</v>
      </c>
      <c r="B1176" t="str">
        <f>IFERROR(IF(VLOOKUP(C1176,Hoja1!$B$1:$C$6191,2,0)="",_xlfn.XLOOKUP(C1176,Hoja1!$B$2:$B$6191,Hoja1!$A$2:$A$6191),VLOOKUP(C1176,Hoja1!$B$1:$C$6191,2,0)),"No esta en Infor")</f>
        <v>CAN0001</v>
      </c>
      <c r="C1176" s="19" t="s">
        <v>64</v>
      </c>
      <c r="D1176" s="9">
        <v>39004.78</v>
      </c>
      <c r="E1176" s="9">
        <v>0</v>
      </c>
      <c r="F1176" s="9">
        <v>0</v>
      </c>
      <c r="G1176" s="9">
        <v>0</v>
      </c>
      <c r="H1176" s="9">
        <v>0</v>
      </c>
      <c r="I1176" s="9">
        <v>0</v>
      </c>
      <c r="J1176" s="9">
        <v>39004.78</v>
      </c>
    </row>
    <row r="1177" spans="1:10" ht="15.75" x14ac:dyDescent="0.25">
      <c r="A1177" s="21">
        <v>45412</v>
      </c>
      <c r="B1177" t="str">
        <f>IFERROR(IF(VLOOKUP(C1177,Hoja1!$B$1:$C$6191,2,0)="",_xlfn.XLOOKUP(C1177,Hoja1!$B$2:$B$6191,Hoja1!$A$2:$A$6191),VLOOKUP(C1177,Hoja1!$B$1:$C$6191,2,0)),"No esta en Infor")</f>
        <v>SH00030</v>
      </c>
      <c r="C1177" s="19" t="s">
        <v>484</v>
      </c>
      <c r="D1177" s="9">
        <v>0</v>
      </c>
      <c r="E1177" s="9">
        <v>42.78</v>
      </c>
      <c r="F1177" s="9">
        <v>0</v>
      </c>
      <c r="G1177" s="9">
        <v>0</v>
      </c>
      <c r="H1177" s="9">
        <v>0</v>
      </c>
      <c r="I1177" s="9">
        <v>0</v>
      </c>
      <c r="J1177" s="9">
        <v>42.78</v>
      </c>
    </row>
    <row r="1178" spans="1:10" ht="15.75" x14ac:dyDescent="0.25">
      <c r="A1178" s="21">
        <v>45412</v>
      </c>
      <c r="B1178" t="str">
        <f>IFERROR(IF(VLOOKUP(C1178,Hoja1!$B$1:$C$6191,2,0)="",_xlfn.XLOOKUP(C1178,Hoja1!$B$2:$B$6191,Hoja1!$A$2:$A$6191),VLOOKUP(C1178,Hoja1!$B$1:$C$6191,2,0)),"No esta en Infor")</f>
        <v>SH00041</v>
      </c>
      <c r="C1178" s="19" t="s">
        <v>485</v>
      </c>
      <c r="D1178" s="9">
        <v>-6.15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-6.15</v>
      </c>
    </row>
    <row r="1179" spans="1:10" ht="15.75" x14ac:dyDescent="0.25">
      <c r="A1179" s="21">
        <v>45412</v>
      </c>
      <c r="B1179" t="str">
        <f>IFERROR(IF(VLOOKUP(C1179,Hoja1!$B$1:$C$6191,2,0)="",_xlfn.XLOOKUP(C1179,Hoja1!$B$2:$B$6191,Hoja1!$A$2:$A$6191),VLOOKUP(C1179,Hoja1!$B$1:$C$6191,2,0)),"No esta en Infor")</f>
        <v>NAC0512</v>
      </c>
      <c r="C1179" s="19" t="s">
        <v>376</v>
      </c>
      <c r="D1179" s="9">
        <v>0</v>
      </c>
      <c r="E1179" s="9">
        <v>14</v>
      </c>
      <c r="F1179" s="9">
        <v>0</v>
      </c>
      <c r="G1179" s="9">
        <v>0</v>
      </c>
      <c r="H1179" s="9">
        <v>0</v>
      </c>
      <c r="I1179" s="9">
        <v>0</v>
      </c>
      <c r="J1179" s="9">
        <v>14</v>
      </c>
    </row>
    <row r="1180" spans="1:10" ht="15.75" x14ac:dyDescent="0.25">
      <c r="A1180" s="21">
        <v>45412</v>
      </c>
      <c r="B1180" t="str">
        <f>IFERROR(IF(VLOOKUP(C1180,Hoja1!$B$1:$C$6191,2,0)="",_xlfn.XLOOKUP(C1180,Hoja1!$B$2:$B$6191,Hoja1!$A$2:$A$6191),VLOOKUP(C1180,Hoja1!$B$1:$C$6191,2,0)),"No esta en Infor")</f>
        <v>NAC0513</v>
      </c>
      <c r="C1180" s="19" t="s">
        <v>377</v>
      </c>
      <c r="D1180" s="9">
        <v>0</v>
      </c>
      <c r="E1180" s="9">
        <v>-220.24</v>
      </c>
      <c r="F1180" s="9">
        <v>0</v>
      </c>
      <c r="G1180" s="9">
        <v>0</v>
      </c>
      <c r="H1180" s="9">
        <v>0</v>
      </c>
      <c r="I1180" s="9">
        <v>0</v>
      </c>
      <c r="J1180" s="9">
        <v>-220.24</v>
      </c>
    </row>
    <row r="1181" spans="1:10" ht="15.75" x14ac:dyDescent="0.25">
      <c r="A1181" s="21">
        <v>45412</v>
      </c>
      <c r="B1181" t="str">
        <f>IFERROR(IF(VLOOKUP(C1181,Hoja1!$B$1:$C$6191,2,0)="",_xlfn.XLOOKUP(C1181,Hoja1!$B$2:$B$6191,Hoja1!$A$2:$A$6191),VLOOKUP(C1181,Hoja1!$B$1:$C$6191,2,0)),"No esta en Infor")</f>
        <v>NAC0515</v>
      </c>
      <c r="C1181" s="19" t="s">
        <v>66</v>
      </c>
      <c r="D1181" s="9">
        <v>0</v>
      </c>
      <c r="E1181" s="9">
        <v>0</v>
      </c>
      <c r="F1181" s="9">
        <v>0</v>
      </c>
      <c r="G1181" s="9">
        <v>-5.93</v>
      </c>
      <c r="H1181" s="9">
        <v>0</v>
      </c>
      <c r="I1181" s="9">
        <v>0</v>
      </c>
      <c r="J1181" s="9">
        <v>-5.93</v>
      </c>
    </row>
    <row r="1182" spans="1:10" ht="15.75" x14ac:dyDescent="0.25">
      <c r="A1182" s="21">
        <v>45412</v>
      </c>
      <c r="B1182" t="str">
        <f>IFERROR(IF(VLOOKUP(C1182,Hoja1!$B$1:$C$6191,2,0)="",_xlfn.XLOOKUP(C1182,Hoja1!$B$2:$B$6191,Hoja1!$A$2:$A$6191),VLOOKUP(C1182,Hoja1!$B$1:$C$6191,2,0)),"No esta en Infor")</f>
        <v>NAC0516</v>
      </c>
      <c r="C1182" s="19" t="s">
        <v>67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-26.1</v>
      </c>
      <c r="J1182" s="9">
        <v>-26.1</v>
      </c>
    </row>
    <row r="1183" spans="1:10" ht="15.75" x14ac:dyDescent="0.25">
      <c r="A1183" s="21">
        <v>45412</v>
      </c>
      <c r="B1183" t="str">
        <f>IFERROR(IF(VLOOKUP(C1183,Hoja1!$B$1:$C$6191,2,0)="",_xlfn.XLOOKUP(C1183,Hoja1!$B$2:$B$6191,Hoja1!$A$2:$A$6191),VLOOKUP(C1183,Hoja1!$B$1:$C$6191,2,0)),"No esta en Infor")</f>
        <v>NAC0520</v>
      </c>
      <c r="C1183" s="19" t="s">
        <v>68</v>
      </c>
      <c r="D1183" s="9">
        <v>14582.55</v>
      </c>
      <c r="E1183" s="9">
        <v>132.58000000000001</v>
      </c>
      <c r="F1183" s="9">
        <v>-604.5</v>
      </c>
      <c r="G1183" s="9">
        <v>0</v>
      </c>
      <c r="H1183" s="9">
        <v>0</v>
      </c>
      <c r="I1183" s="9">
        <v>-0.01</v>
      </c>
      <c r="J1183" s="9">
        <v>14110.62</v>
      </c>
    </row>
    <row r="1184" spans="1:10" ht="15.75" x14ac:dyDescent="0.25">
      <c r="A1184" s="21">
        <v>45412</v>
      </c>
      <c r="B1184" t="str">
        <f>IFERROR(IF(VLOOKUP(C1184,Hoja1!$B$1:$C$6191,2,0)="",_xlfn.XLOOKUP(C1184,Hoja1!$B$2:$B$6191,Hoja1!$A$2:$A$6191),VLOOKUP(C1184,Hoja1!$B$1:$C$6191,2,0)),"No esta en Infor")</f>
        <v>NAC0521</v>
      </c>
      <c r="C1184" s="19" t="s">
        <v>69</v>
      </c>
      <c r="D1184" s="9">
        <v>0</v>
      </c>
      <c r="E1184" s="9">
        <v>0</v>
      </c>
      <c r="F1184" s="9">
        <v>-0.03</v>
      </c>
      <c r="G1184" s="9">
        <v>0</v>
      </c>
      <c r="H1184" s="9">
        <v>0</v>
      </c>
      <c r="I1184" s="9">
        <v>0</v>
      </c>
      <c r="J1184" s="9">
        <v>-0.03</v>
      </c>
    </row>
    <row r="1185" spans="1:10" ht="15.75" x14ac:dyDescent="0.25">
      <c r="A1185" s="21">
        <v>45412</v>
      </c>
      <c r="B1185" t="str">
        <f>IFERROR(IF(VLOOKUP(C1185,Hoja1!$B$1:$C$6191,2,0)="",_xlfn.XLOOKUP(C1185,Hoja1!$B$2:$B$6191,Hoja1!$A$2:$A$6191),VLOOKUP(C1185,Hoja1!$B$1:$C$6191,2,0)),"No esta en Infor")</f>
        <v>NAC1617</v>
      </c>
      <c r="C1185" s="19" t="s">
        <v>70</v>
      </c>
      <c r="D1185" s="9">
        <v>0</v>
      </c>
      <c r="E1185" s="9">
        <v>0</v>
      </c>
      <c r="F1185" s="9">
        <v>0</v>
      </c>
      <c r="G1185" s="9">
        <v>0</v>
      </c>
      <c r="H1185" s="9">
        <v>0</v>
      </c>
      <c r="I1185" s="9">
        <v>8803.11</v>
      </c>
      <c r="J1185" s="9">
        <v>8803.11</v>
      </c>
    </row>
    <row r="1186" spans="1:10" ht="15.75" x14ac:dyDescent="0.25">
      <c r="A1186" s="21">
        <v>45412</v>
      </c>
      <c r="B1186" t="str">
        <f>IFERROR(IF(VLOOKUP(C1186,Hoja1!$B$1:$C$6191,2,0)="",_xlfn.XLOOKUP(C1186,Hoja1!$B$2:$B$6191,Hoja1!$A$2:$A$6191),VLOOKUP(C1186,Hoja1!$B$1:$C$6191,2,0)),"No esta en Infor")</f>
        <v>NAC0525</v>
      </c>
      <c r="C1186" s="19" t="s">
        <v>71</v>
      </c>
      <c r="D1186" s="9">
        <v>22808.6</v>
      </c>
      <c r="E1186" s="9">
        <v>636</v>
      </c>
      <c r="F1186" s="9">
        <v>0</v>
      </c>
      <c r="G1186" s="9">
        <v>0</v>
      </c>
      <c r="H1186" s="9">
        <v>0</v>
      </c>
      <c r="I1186" s="9">
        <v>0</v>
      </c>
      <c r="J1186" s="9">
        <v>23444.6</v>
      </c>
    </row>
    <row r="1187" spans="1:10" ht="15.75" x14ac:dyDescent="0.25">
      <c r="A1187" s="21">
        <v>45412</v>
      </c>
      <c r="B1187" t="str">
        <f>IFERROR(IF(VLOOKUP(C1187,Hoja1!$B$1:$C$6191,2,0)="",_xlfn.XLOOKUP(C1187,Hoja1!$B$2:$B$6191,Hoja1!$A$2:$A$6191),VLOOKUP(C1187,Hoja1!$B$1:$C$6191,2,0)),"No esta en Infor")</f>
        <v>SH00092</v>
      </c>
      <c r="C1187" s="19" t="s">
        <v>72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-945.86</v>
      </c>
      <c r="J1187" s="9">
        <v>-945.86</v>
      </c>
    </row>
    <row r="1188" spans="1:10" ht="15.75" x14ac:dyDescent="0.25">
      <c r="A1188" s="21">
        <v>45412</v>
      </c>
      <c r="B1188" t="str">
        <f>IFERROR(IF(VLOOKUP(C1188,Hoja1!$B$1:$C$6191,2,0)="",_xlfn.XLOOKUP(C1188,Hoja1!$B$2:$B$6191,Hoja1!$A$2:$A$6191),VLOOKUP(C1188,Hoja1!$B$1:$C$6191,2,0)),"No esta en Infor")</f>
        <v>NAC0528</v>
      </c>
      <c r="C1188" s="19" t="s">
        <v>76</v>
      </c>
      <c r="D1188" s="9">
        <v>56677.36</v>
      </c>
      <c r="E1188" s="9">
        <v>2970</v>
      </c>
      <c r="F1188" s="9">
        <v>0</v>
      </c>
      <c r="G1188" s="9">
        <v>0</v>
      </c>
      <c r="H1188" s="9">
        <v>0</v>
      </c>
      <c r="I1188" s="9">
        <v>0</v>
      </c>
      <c r="J1188" s="9">
        <v>59647.360000000001</v>
      </c>
    </row>
    <row r="1189" spans="1:10" ht="15.75" x14ac:dyDescent="0.25">
      <c r="A1189" s="21">
        <v>45412</v>
      </c>
      <c r="B1189" t="str">
        <f>IFERROR(IF(VLOOKUP(C1189,Hoja1!$B$1:$C$6191,2,0)="",_xlfn.XLOOKUP(C1189,Hoja1!$B$2:$B$6191,Hoja1!$A$2:$A$6191),VLOOKUP(C1189,Hoja1!$B$1:$C$6191,2,0)),"No esta en Infor")</f>
        <v>SH00151</v>
      </c>
      <c r="C1189" s="19" t="s">
        <v>486</v>
      </c>
      <c r="D1189" s="9">
        <v>0</v>
      </c>
      <c r="E1189" s="9">
        <v>115.42</v>
      </c>
      <c r="F1189" s="9">
        <v>0</v>
      </c>
      <c r="G1189" s="9">
        <v>0</v>
      </c>
      <c r="H1189" s="9">
        <v>0</v>
      </c>
      <c r="I1189" s="9">
        <v>0</v>
      </c>
      <c r="J1189" s="9">
        <v>115.42</v>
      </c>
    </row>
    <row r="1190" spans="1:10" ht="15.75" x14ac:dyDescent="0.25">
      <c r="A1190" s="21">
        <v>45412</v>
      </c>
      <c r="B1190" t="str">
        <f>IFERROR(IF(VLOOKUP(C1190,Hoja1!$B$1:$C$6191,2,0)="",_xlfn.XLOOKUP(C1190,Hoja1!$B$2:$B$6191,Hoja1!$A$2:$A$6191),VLOOKUP(C1190,Hoja1!$B$1:$C$6191,2,0)),"No esta en Infor")</f>
        <v>NAC0533</v>
      </c>
      <c r="C1190" s="19" t="s">
        <v>381</v>
      </c>
      <c r="D1190" s="9">
        <v>0</v>
      </c>
      <c r="E1190" s="9">
        <v>1434</v>
      </c>
      <c r="F1190" s="9">
        <v>0</v>
      </c>
      <c r="G1190" s="9">
        <v>0</v>
      </c>
      <c r="H1190" s="9">
        <v>0</v>
      </c>
      <c r="I1190" s="9">
        <v>0</v>
      </c>
      <c r="J1190" s="9">
        <v>1434</v>
      </c>
    </row>
    <row r="1191" spans="1:10" ht="15.75" x14ac:dyDescent="0.25">
      <c r="A1191" s="21">
        <v>45412</v>
      </c>
      <c r="B1191" t="str">
        <f>IFERROR(IF(VLOOKUP(C1191,Hoja1!$B$1:$C$6191,2,0)="",_xlfn.XLOOKUP(C1191,Hoja1!$B$2:$B$6191,Hoja1!$A$2:$A$6191),VLOOKUP(C1191,Hoja1!$B$1:$C$6191,2,0)),"No esta en Infor")</f>
        <v>NAC0537</v>
      </c>
      <c r="C1191" s="19" t="s">
        <v>13</v>
      </c>
      <c r="D1191" s="9">
        <v>0</v>
      </c>
      <c r="E1191" s="9">
        <v>488.5</v>
      </c>
      <c r="F1191" s="9">
        <v>0</v>
      </c>
      <c r="G1191" s="9">
        <v>0</v>
      </c>
      <c r="H1191" s="9">
        <v>0</v>
      </c>
      <c r="I1191" s="9">
        <v>0</v>
      </c>
      <c r="J1191" s="9">
        <v>488.5</v>
      </c>
    </row>
    <row r="1192" spans="1:10" ht="15.75" x14ac:dyDescent="0.25">
      <c r="A1192" s="21">
        <v>45412</v>
      </c>
      <c r="B1192" t="str">
        <f>IFERROR(IF(VLOOKUP(C1192,Hoja1!$B$1:$C$6191,2,0)="",_xlfn.XLOOKUP(C1192,Hoja1!$B$2:$B$6191,Hoja1!$A$2:$A$6191),VLOOKUP(C1192,Hoja1!$B$1:$C$6191,2,0)),"No esta en Infor")</f>
        <v>NAC0539</v>
      </c>
      <c r="C1192" s="19" t="s">
        <v>80</v>
      </c>
      <c r="D1192" s="9">
        <v>0</v>
      </c>
      <c r="E1192" s="9">
        <v>9031.83</v>
      </c>
      <c r="F1192" s="9">
        <v>0</v>
      </c>
      <c r="G1192" s="9">
        <v>0</v>
      </c>
      <c r="H1192" s="9">
        <v>0</v>
      </c>
      <c r="I1192" s="9">
        <v>0</v>
      </c>
      <c r="J1192" s="9">
        <v>9031.83</v>
      </c>
    </row>
    <row r="1193" spans="1:10" ht="15.75" x14ac:dyDescent="0.25">
      <c r="A1193" s="21">
        <v>45412</v>
      </c>
      <c r="B1193" t="str">
        <f>IFERROR(IF(VLOOKUP(C1193,Hoja1!$B$1:$C$6191,2,0)="",_xlfn.XLOOKUP(C1193,Hoja1!$B$2:$B$6191,Hoja1!$A$2:$A$6191),VLOOKUP(C1193,Hoja1!$B$1:$C$6191,2,0)),"No esta en Infor")</f>
        <v>NAC0546</v>
      </c>
      <c r="C1193" s="19" t="s">
        <v>83</v>
      </c>
      <c r="D1193" s="9">
        <v>4409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4409</v>
      </c>
    </row>
    <row r="1194" spans="1:10" ht="15.75" x14ac:dyDescent="0.25">
      <c r="A1194" s="21">
        <v>45412</v>
      </c>
      <c r="B1194" t="str">
        <f>IFERROR(IF(VLOOKUP(C1194,Hoja1!$B$1:$C$6191,2,0)="",_xlfn.XLOOKUP(C1194,Hoja1!$B$2:$B$6191,Hoja1!$A$2:$A$6191),VLOOKUP(C1194,Hoja1!$B$1:$C$6191,2,0)),"No esta en Infor")</f>
        <v>NAC0550</v>
      </c>
      <c r="C1194" s="19" t="s">
        <v>84</v>
      </c>
      <c r="D1194" s="9">
        <v>56925</v>
      </c>
      <c r="E1194" s="9">
        <v>74227.039999999994</v>
      </c>
      <c r="F1194" s="9">
        <v>0</v>
      </c>
      <c r="G1194" s="9">
        <v>0</v>
      </c>
      <c r="H1194" s="9">
        <v>0</v>
      </c>
      <c r="I1194" s="9">
        <v>0</v>
      </c>
      <c r="J1194" s="9">
        <v>131152.04</v>
      </c>
    </row>
    <row r="1195" spans="1:10" ht="15.75" x14ac:dyDescent="0.25">
      <c r="A1195" s="21">
        <v>45412</v>
      </c>
      <c r="B1195" t="str">
        <f>IFERROR(IF(VLOOKUP(C1195,Hoja1!$B$1:$C$6191,2,0)="",_xlfn.XLOOKUP(C1195,Hoja1!$B$2:$B$6191,Hoja1!$A$2:$A$6191),VLOOKUP(C1195,Hoja1!$B$1:$C$6191,2,0)),"No esta en Infor")</f>
        <v>NAC0558</v>
      </c>
      <c r="C1195" s="19" t="s">
        <v>86</v>
      </c>
      <c r="D1195" s="9">
        <v>13813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13813</v>
      </c>
    </row>
    <row r="1196" spans="1:10" ht="15.75" x14ac:dyDescent="0.25">
      <c r="A1196" s="21">
        <v>45412</v>
      </c>
      <c r="B1196" t="str">
        <f>IFERROR(IF(VLOOKUP(C1196,Hoja1!$B$1:$C$6191,2,0)="",_xlfn.XLOOKUP(C1196,Hoja1!$B$2:$B$6191,Hoja1!$A$2:$A$6191),VLOOKUP(C1196,Hoja1!$B$1:$C$6191,2,0)),"No esta en Infor")</f>
        <v>SH00218</v>
      </c>
      <c r="C1196" s="19" t="s">
        <v>88</v>
      </c>
      <c r="D1196" s="9">
        <v>0</v>
      </c>
      <c r="E1196" s="9">
        <v>0</v>
      </c>
      <c r="F1196" s="9">
        <v>0</v>
      </c>
      <c r="G1196" s="9">
        <v>84.55</v>
      </c>
      <c r="H1196" s="9">
        <v>0</v>
      </c>
      <c r="I1196" s="9">
        <v>0</v>
      </c>
      <c r="J1196" s="9">
        <v>84.55</v>
      </c>
    </row>
    <row r="1197" spans="1:10" ht="15.75" x14ac:dyDescent="0.25">
      <c r="A1197" s="21">
        <v>45412</v>
      </c>
      <c r="B1197" t="str">
        <f>IFERROR(IF(VLOOKUP(C1197,Hoja1!$B$1:$C$6191,2,0)="",_xlfn.XLOOKUP(C1197,Hoja1!$B$2:$B$6191,Hoja1!$A$2:$A$6191),VLOOKUP(C1197,Hoja1!$B$1:$C$6191,2,0)),"No esta en Infor")</f>
        <v>NAC0569</v>
      </c>
      <c r="C1197" s="19" t="s">
        <v>382</v>
      </c>
      <c r="D1197" s="9">
        <v>0</v>
      </c>
      <c r="E1197" s="9">
        <v>3500</v>
      </c>
      <c r="F1197" s="9">
        <v>0</v>
      </c>
      <c r="G1197" s="9">
        <v>0</v>
      </c>
      <c r="H1197" s="9">
        <v>0</v>
      </c>
      <c r="I1197" s="9">
        <v>0</v>
      </c>
      <c r="J1197" s="9">
        <v>3500</v>
      </c>
    </row>
    <row r="1198" spans="1:10" ht="15.75" x14ac:dyDescent="0.25">
      <c r="A1198" s="21">
        <v>45412</v>
      </c>
      <c r="B1198" t="str">
        <f>IFERROR(IF(VLOOKUP(C1198,Hoja1!$B$1:$C$6191,2,0)="",_xlfn.XLOOKUP(C1198,Hoja1!$B$2:$B$6191,Hoja1!$A$2:$A$6191),VLOOKUP(C1198,Hoja1!$B$1:$C$6191,2,0)),"No esta en Infor")</f>
        <v>NAC0571</v>
      </c>
      <c r="C1198" s="19" t="s">
        <v>440</v>
      </c>
      <c r="D1198" s="9">
        <v>147</v>
      </c>
      <c r="E1198" s="9">
        <v>3200.19</v>
      </c>
      <c r="F1198" s="9">
        <v>0</v>
      </c>
      <c r="G1198" s="9">
        <v>0</v>
      </c>
      <c r="H1198" s="9">
        <v>0</v>
      </c>
      <c r="I1198" s="9">
        <v>0</v>
      </c>
      <c r="J1198" s="9">
        <v>3347.19</v>
      </c>
    </row>
    <row r="1199" spans="1:10" ht="15.75" x14ac:dyDescent="0.25">
      <c r="A1199" s="21">
        <v>45412</v>
      </c>
      <c r="B1199" t="str">
        <f>IFERROR(IF(VLOOKUP(C1199,Hoja1!$B$1:$C$6191,2,0)="",_xlfn.XLOOKUP(C1199,Hoja1!$B$2:$B$6191,Hoja1!$A$2:$A$6191),VLOOKUP(C1199,Hoja1!$B$1:$C$6191,2,0)),"No esta en Infor")</f>
        <v>CAN0003</v>
      </c>
      <c r="C1199" s="19" t="s">
        <v>441</v>
      </c>
      <c r="D1199" s="9">
        <v>2651.78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2651.78</v>
      </c>
    </row>
    <row r="1200" spans="1:10" ht="15.75" x14ac:dyDescent="0.25">
      <c r="A1200" s="21">
        <v>45412</v>
      </c>
      <c r="B1200" t="str">
        <f>IFERROR(IF(VLOOKUP(C1200,Hoja1!$B$1:$C$6191,2,0)="",_xlfn.XLOOKUP(C1200,Hoja1!$B$2:$B$6191,Hoja1!$A$2:$A$6191),VLOOKUP(C1200,Hoja1!$B$1:$C$6191,2,0)),"No esta en Infor")</f>
        <v>NAC0581</v>
      </c>
      <c r="C1200" s="19" t="s">
        <v>384</v>
      </c>
      <c r="D1200" s="9">
        <v>0</v>
      </c>
      <c r="E1200" s="9">
        <v>623.27</v>
      </c>
      <c r="F1200" s="9">
        <v>0</v>
      </c>
      <c r="G1200" s="9">
        <v>0</v>
      </c>
      <c r="H1200" s="9">
        <v>0</v>
      </c>
      <c r="I1200" s="9">
        <v>0</v>
      </c>
      <c r="J1200" s="9">
        <v>623.27</v>
      </c>
    </row>
    <row r="1201" spans="1:10" ht="15.75" x14ac:dyDescent="0.25">
      <c r="A1201" s="21">
        <v>45412</v>
      </c>
      <c r="B1201" t="str">
        <f>IFERROR(IF(VLOOKUP(C1201,Hoja1!$B$1:$C$6191,2,0)="",_xlfn.XLOOKUP(C1201,Hoja1!$B$2:$B$6191,Hoja1!$A$2:$A$6191),VLOOKUP(C1201,Hoja1!$B$1:$C$6191,2,0)),"No esta en Infor")</f>
        <v>NAC0583</v>
      </c>
      <c r="C1201" s="19" t="s">
        <v>385</v>
      </c>
      <c r="D1201" s="9">
        <v>0</v>
      </c>
      <c r="E1201" s="9">
        <v>40</v>
      </c>
      <c r="F1201" s="9">
        <v>0</v>
      </c>
      <c r="G1201" s="9">
        <v>0</v>
      </c>
      <c r="H1201" s="9">
        <v>0</v>
      </c>
      <c r="I1201" s="9">
        <v>0</v>
      </c>
      <c r="J1201" s="9">
        <v>40</v>
      </c>
    </row>
    <row r="1202" spans="1:10" ht="15.75" x14ac:dyDescent="0.25">
      <c r="A1202" s="21">
        <v>45412</v>
      </c>
      <c r="B1202" t="str">
        <f>IFERROR(IF(VLOOKUP(C1202,Hoja1!$B$1:$C$6191,2,0)="",_xlfn.XLOOKUP(C1202,Hoja1!$B$2:$B$6191,Hoja1!$A$2:$A$6191),VLOOKUP(C1202,Hoja1!$B$1:$C$6191,2,0)),"No esta en Infor")</f>
        <v>NAC0589</v>
      </c>
      <c r="C1202" s="19" t="s">
        <v>92</v>
      </c>
      <c r="D1202" s="9">
        <v>8440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8440</v>
      </c>
    </row>
    <row r="1203" spans="1:10" ht="15.75" x14ac:dyDescent="0.25">
      <c r="A1203" s="21">
        <v>45412</v>
      </c>
      <c r="B1203" t="str">
        <f>IFERROR(IF(VLOOKUP(C1203,Hoja1!$B$1:$C$6191,2,0)="",_xlfn.XLOOKUP(C1203,Hoja1!$B$2:$B$6191,Hoja1!$A$2:$A$6191),VLOOKUP(C1203,Hoja1!$B$1:$C$6191,2,0)),"No esta en Infor")</f>
        <v>NAC0592</v>
      </c>
      <c r="C1203" s="19" t="s">
        <v>93</v>
      </c>
      <c r="D1203" s="9">
        <v>0</v>
      </c>
      <c r="E1203" s="9">
        <v>0</v>
      </c>
      <c r="F1203" s="9">
        <v>-2547.65</v>
      </c>
      <c r="G1203" s="9">
        <v>0</v>
      </c>
      <c r="H1203" s="9">
        <v>0</v>
      </c>
      <c r="I1203" s="9">
        <v>0</v>
      </c>
      <c r="J1203" s="9">
        <v>-2547.65</v>
      </c>
    </row>
    <row r="1204" spans="1:10" ht="15.75" x14ac:dyDescent="0.25">
      <c r="A1204" s="21">
        <v>45412</v>
      </c>
      <c r="B1204" t="str">
        <f>IFERROR(IF(VLOOKUP(C1204,Hoja1!$B$1:$C$6191,2,0)="",_xlfn.XLOOKUP(C1204,Hoja1!$B$2:$B$6191,Hoja1!$A$2:$A$6191),VLOOKUP(C1204,Hoja1!$B$1:$C$6191,2,0)),"No esta en Infor")</f>
        <v>NAC0594</v>
      </c>
      <c r="C1204" s="19" t="s">
        <v>94</v>
      </c>
      <c r="D1204" s="9">
        <v>186915.25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186915.25</v>
      </c>
    </row>
    <row r="1205" spans="1:10" ht="15.75" x14ac:dyDescent="0.25">
      <c r="A1205" s="21">
        <v>45412</v>
      </c>
      <c r="B1205" t="str">
        <f>IFERROR(IF(VLOOKUP(C1205,Hoja1!$B$1:$C$6191,2,0)="",_xlfn.XLOOKUP(C1205,Hoja1!$B$2:$B$6191,Hoja1!$A$2:$A$6191),VLOOKUP(C1205,Hoja1!$B$1:$C$6191,2,0)),"No esta en Infor")</f>
        <v>NAC0597</v>
      </c>
      <c r="C1205" s="11" t="s">
        <v>1368</v>
      </c>
      <c r="D1205" s="9">
        <v>0</v>
      </c>
      <c r="E1205" s="9">
        <v>0</v>
      </c>
      <c r="F1205" s="9">
        <v>0</v>
      </c>
      <c r="G1205" s="9">
        <v>488.2</v>
      </c>
      <c r="H1205" s="9">
        <v>0</v>
      </c>
      <c r="I1205" s="9">
        <v>0</v>
      </c>
      <c r="J1205" s="9">
        <v>488.2</v>
      </c>
    </row>
    <row r="1206" spans="1:10" ht="15.75" x14ac:dyDescent="0.25">
      <c r="A1206" s="21">
        <v>45412</v>
      </c>
      <c r="B1206" t="str">
        <f>IFERROR(IF(VLOOKUP(C1206,Hoja1!$B$1:$C$6191,2,0)="",_xlfn.XLOOKUP(C1206,Hoja1!$B$2:$B$6191,Hoja1!$A$2:$A$6191),VLOOKUP(C1206,Hoja1!$B$1:$C$6191,2,0)),"No esta en Infor")</f>
        <v>NAC0600</v>
      </c>
      <c r="C1206" s="19" t="s">
        <v>96</v>
      </c>
      <c r="D1206" s="9">
        <v>9014.7000000000007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9014.7000000000007</v>
      </c>
    </row>
    <row r="1207" spans="1:10" ht="15.75" x14ac:dyDescent="0.25">
      <c r="A1207" s="21">
        <v>45412</v>
      </c>
      <c r="B1207" t="str">
        <f>IFERROR(IF(VLOOKUP(C1207,Hoja1!$B$1:$C$6191,2,0)="",_xlfn.XLOOKUP(C1207,Hoja1!$B$2:$B$6191,Hoja1!$A$2:$A$6191),VLOOKUP(C1207,Hoja1!$B$1:$C$6191,2,0)),"No esta en Infor")</f>
        <v>NAC0604</v>
      </c>
      <c r="C1207" s="19" t="s">
        <v>97</v>
      </c>
      <c r="D1207" s="9">
        <v>0</v>
      </c>
      <c r="E1207" s="9">
        <v>844.09</v>
      </c>
      <c r="F1207" s="9">
        <v>0</v>
      </c>
      <c r="G1207" s="9">
        <v>0</v>
      </c>
      <c r="H1207" s="9">
        <v>0</v>
      </c>
      <c r="I1207" s="9">
        <v>0</v>
      </c>
      <c r="J1207" s="9">
        <v>844.09</v>
      </c>
    </row>
    <row r="1208" spans="1:10" ht="15.75" x14ac:dyDescent="0.25">
      <c r="A1208" s="21">
        <v>45412</v>
      </c>
      <c r="B1208" t="str">
        <f>IFERROR(IF(VLOOKUP(C1208,Hoja1!$B$1:$C$6191,2,0)="",_xlfn.XLOOKUP(C1208,Hoja1!$B$2:$B$6191,Hoja1!$A$2:$A$6191),VLOOKUP(C1208,Hoja1!$B$1:$C$6191,2,0)),"No esta en Infor")</f>
        <v>NAC0612</v>
      </c>
      <c r="C1208" s="19" t="s">
        <v>100</v>
      </c>
      <c r="D1208" s="9">
        <v>12767.36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12767.36</v>
      </c>
    </row>
    <row r="1209" spans="1:10" ht="15.75" x14ac:dyDescent="0.25">
      <c r="A1209" s="21">
        <v>45412</v>
      </c>
      <c r="B1209" t="str">
        <f>IFERROR(IF(VLOOKUP(C1209,Hoja1!$B$1:$C$6191,2,0)="",_xlfn.XLOOKUP(C1209,Hoja1!$B$2:$B$6191,Hoja1!$A$2:$A$6191),VLOOKUP(C1209,Hoja1!$B$1:$C$6191,2,0)),"No esta en Infor")</f>
        <v>NAC0613</v>
      </c>
      <c r="C1209" s="19" t="s">
        <v>101</v>
      </c>
      <c r="D1209" s="9">
        <v>41.46</v>
      </c>
      <c r="E1209" s="9">
        <v>35.14</v>
      </c>
      <c r="F1209" s="9">
        <v>-81.599999999999994</v>
      </c>
      <c r="G1209" s="9">
        <v>0</v>
      </c>
      <c r="H1209" s="9">
        <v>0</v>
      </c>
      <c r="I1209" s="9">
        <v>0</v>
      </c>
      <c r="J1209" s="9">
        <v>-5</v>
      </c>
    </row>
    <row r="1210" spans="1:10" ht="15.75" x14ac:dyDescent="0.25">
      <c r="A1210" s="21">
        <v>45412</v>
      </c>
      <c r="B1210" t="str">
        <f>IFERROR(IF(VLOOKUP(C1210,Hoja1!$B$1:$C$6191,2,0)="",_xlfn.XLOOKUP(C1210,Hoja1!$B$2:$B$6191,Hoja1!$A$2:$A$6191),VLOOKUP(C1210,Hoja1!$B$1:$C$6191,2,0)),"No esta en Infor")</f>
        <v>SH00318</v>
      </c>
      <c r="C1210" s="19" t="s">
        <v>487</v>
      </c>
      <c r="D1210" s="9">
        <v>0</v>
      </c>
      <c r="E1210" s="9">
        <v>56.44</v>
      </c>
      <c r="F1210" s="9">
        <v>0</v>
      </c>
      <c r="G1210" s="9">
        <v>0</v>
      </c>
      <c r="H1210" s="9">
        <v>0</v>
      </c>
      <c r="I1210" s="9">
        <v>0</v>
      </c>
      <c r="J1210" s="9">
        <v>56.44</v>
      </c>
    </row>
    <row r="1211" spans="1:10" ht="15.75" x14ac:dyDescent="0.25">
      <c r="A1211" s="21">
        <v>45412</v>
      </c>
      <c r="B1211" t="str">
        <f>IFERROR(IF(VLOOKUP(C1211,Hoja1!$B$1:$C$6191,2,0)="",_xlfn.XLOOKUP(C1211,Hoja1!$B$2:$B$6191,Hoja1!$A$2:$A$6191),VLOOKUP(C1211,Hoja1!$B$1:$C$6191,2,0)),"No esta en Infor")</f>
        <v>NAC0614</v>
      </c>
      <c r="C1211" s="19" t="s">
        <v>102</v>
      </c>
      <c r="D1211" s="9">
        <v>0</v>
      </c>
      <c r="E1211" s="9">
        <v>246.15</v>
      </c>
      <c r="F1211" s="9">
        <v>0</v>
      </c>
      <c r="G1211" s="9">
        <v>0</v>
      </c>
      <c r="H1211" s="9">
        <v>0</v>
      </c>
      <c r="I1211" s="9">
        <v>0</v>
      </c>
      <c r="J1211" s="9">
        <v>246.15</v>
      </c>
    </row>
    <row r="1212" spans="1:10" ht="15.75" x14ac:dyDescent="0.25">
      <c r="A1212" s="21">
        <v>45412</v>
      </c>
      <c r="B1212" t="str">
        <f>IFERROR(IF(VLOOKUP(C1212,Hoja1!$B$1:$C$6191,2,0)="",_xlfn.XLOOKUP(C1212,Hoja1!$B$2:$B$6191,Hoja1!$A$2:$A$6191),VLOOKUP(C1212,Hoja1!$B$1:$C$6191,2,0)),"No esta en Infor")</f>
        <v>NAC0616</v>
      </c>
      <c r="C1212" s="19" t="s">
        <v>103</v>
      </c>
      <c r="D1212" s="9">
        <v>2364.88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2364.88</v>
      </c>
    </row>
    <row r="1213" spans="1:10" ht="15.75" x14ac:dyDescent="0.25">
      <c r="A1213" s="21">
        <v>45412</v>
      </c>
      <c r="B1213" t="str">
        <f>IFERROR(IF(VLOOKUP(C1213,Hoja1!$B$1:$C$6191,2,0)="",_xlfn.XLOOKUP(C1213,Hoja1!$B$2:$B$6191,Hoja1!$A$2:$A$6191),VLOOKUP(C1213,Hoja1!$B$1:$C$6191,2,0)),"No esta en Infor")</f>
        <v>NAC0618</v>
      </c>
      <c r="C1213" s="19" t="s">
        <v>488</v>
      </c>
      <c r="D1213" s="9">
        <v>-120.03</v>
      </c>
      <c r="E1213" s="9">
        <v>240.05</v>
      </c>
      <c r="F1213" s="9">
        <v>0</v>
      </c>
      <c r="G1213" s="9">
        <v>0</v>
      </c>
      <c r="H1213" s="9">
        <v>0</v>
      </c>
      <c r="I1213" s="9">
        <v>0</v>
      </c>
      <c r="J1213" s="9">
        <v>120.02</v>
      </c>
    </row>
    <row r="1214" spans="1:10" ht="15.75" x14ac:dyDescent="0.25">
      <c r="A1214" s="21">
        <v>45412</v>
      </c>
      <c r="B1214" t="str">
        <f>IFERROR(IF(VLOOKUP(C1214,Hoja1!$B$1:$C$6191,2,0)="",_xlfn.XLOOKUP(C1214,Hoja1!$B$2:$B$6191,Hoja1!$A$2:$A$6191),VLOOKUP(C1214,Hoja1!$B$1:$C$6191,2,0)),"No esta en Infor")</f>
        <v>NAC0620</v>
      </c>
      <c r="C1214" s="19" t="s">
        <v>388</v>
      </c>
      <c r="D1214" s="9">
        <v>9627.2999999999993</v>
      </c>
      <c r="E1214" s="9">
        <v>8556</v>
      </c>
      <c r="F1214" s="9">
        <v>0</v>
      </c>
      <c r="G1214" s="9">
        <v>0</v>
      </c>
      <c r="H1214" s="9">
        <v>0</v>
      </c>
      <c r="I1214" s="9">
        <v>0</v>
      </c>
      <c r="J1214" s="9">
        <v>18183.3</v>
      </c>
    </row>
    <row r="1215" spans="1:10" ht="15.75" x14ac:dyDescent="0.25">
      <c r="A1215" s="21">
        <v>45412</v>
      </c>
      <c r="B1215" t="str">
        <f>IFERROR(IF(VLOOKUP(C1215,Hoja1!$B$1:$C$6191,2,0)="",_xlfn.XLOOKUP(C1215,Hoja1!$B$2:$B$6191,Hoja1!$A$2:$A$6191),VLOOKUP(C1215,Hoja1!$B$1:$C$6191,2,0)),"No esta en Infor")</f>
        <v>SH00355</v>
      </c>
      <c r="C1215" s="19" t="s">
        <v>489</v>
      </c>
      <c r="D1215" s="9">
        <v>0</v>
      </c>
      <c r="E1215" s="9">
        <v>49.25</v>
      </c>
      <c r="F1215" s="9">
        <v>0</v>
      </c>
      <c r="G1215" s="9">
        <v>0</v>
      </c>
      <c r="H1215" s="9">
        <v>0</v>
      </c>
      <c r="I1215" s="9">
        <v>0</v>
      </c>
      <c r="J1215" s="9">
        <v>49.25</v>
      </c>
    </row>
    <row r="1216" spans="1:10" ht="15.75" x14ac:dyDescent="0.25">
      <c r="A1216" s="21">
        <v>45412</v>
      </c>
      <c r="B1216" t="str">
        <f>IFERROR(IF(VLOOKUP(C1216,Hoja1!$B$1:$C$6191,2,0)="",_xlfn.XLOOKUP(C1216,Hoja1!$B$2:$B$6191,Hoja1!$A$2:$A$6191),VLOOKUP(C1216,Hoja1!$B$1:$C$6191,2,0)),"No esta en Infor")</f>
        <v>SH00381</v>
      </c>
      <c r="C1216" s="19" t="s">
        <v>490</v>
      </c>
      <c r="D1216" s="9">
        <v>0</v>
      </c>
      <c r="E1216" s="9">
        <v>357.84</v>
      </c>
      <c r="F1216" s="9">
        <v>0</v>
      </c>
      <c r="G1216" s="9">
        <v>0</v>
      </c>
      <c r="H1216" s="9">
        <v>0</v>
      </c>
      <c r="I1216" s="9">
        <v>0</v>
      </c>
      <c r="J1216" s="9">
        <v>357.84</v>
      </c>
    </row>
    <row r="1217" spans="1:10" ht="15.75" x14ac:dyDescent="0.25">
      <c r="A1217" s="21">
        <v>45412</v>
      </c>
      <c r="B1217" t="str">
        <f>IFERROR(IF(VLOOKUP(C1217,Hoja1!$B$1:$C$6191,2,0)="",_xlfn.XLOOKUP(C1217,Hoja1!$B$2:$B$6191,Hoja1!$A$2:$A$6191),VLOOKUP(C1217,Hoja1!$B$1:$C$6191,2,0)),"No esta en Infor")</f>
        <v>CAN0007</v>
      </c>
      <c r="C1217" s="19" t="s">
        <v>107</v>
      </c>
      <c r="D1217" s="9">
        <v>0</v>
      </c>
      <c r="E1217" s="9">
        <v>-15.48</v>
      </c>
      <c r="F1217" s="9">
        <v>0</v>
      </c>
      <c r="G1217" s="9">
        <v>0</v>
      </c>
      <c r="H1217" s="9">
        <v>0</v>
      </c>
      <c r="I1217" s="9">
        <v>0</v>
      </c>
      <c r="J1217" s="9">
        <v>-15.48</v>
      </c>
    </row>
    <row r="1218" spans="1:10" ht="15.75" x14ac:dyDescent="0.25">
      <c r="A1218" s="21">
        <v>45412</v>
      </c>
      <c r="B1218" t="str">
        <f>IFERROR(IF(VLOOKUP(C1218,Hoja1!$B$1:$C$6191,2,0)="",_xlfn.XLOOKUP(C1218,Hoja1!$B$2:$B$6191,Hoja1!$A$2:$A$6191),VLOOKUP(C1218,Hoja1!$B$1:$C$6191,2,0)),"No esta en Infor")</f>
        <v>SH00402</v>
      </c>
      <c r="C1218" s="19" t="s">
        <v>491</v>
      </c>
      <c r="D1218" s="9">
        <v>0</v>
      </c>
      <c r="E1218" s="9">
        <v>63.72</v>
      </c>
      <c r="F1218" s="9">
        <v>0</v>
      </c>
      <c r="G1218" s="9">
        <v>0</v>
      </c>
      <c r="H1218" s="9">
        <v>0</v>
      </c>
      <c r="I1218" s="9">
        <v>0</v>
      </c>
      <c r="J1218" s="9">
        <v>63.72</v>
      </c>
    </row>
    <row r="1219" spans="1:10" ht="15.75" x14ac:dyDescent="0.25">
      <c r="A1219" s="21">
        <v>45412</v>
      </c>
      <c r="B1219" t="str">
        <f>IFERROR(IF(VLOOKUP(C1219,Hoja1!$B$1:$C$6191,2,0)="",_xlfn.XLOOKUP(C1219,Hoja1!$B$2:$B$6191,Hoja1!$A$2:$A$6191),VLOOKUP(C1219,Hoja1!$B$1:$C$6191,2,0)),"No esta en Infor")</f>
        <v>SH00423</v>
      </c>
      <c r="C1219" s="19" t="s">
        <v>492</v>
      </c>
      <c r="D1219" s="9">
        <v>0</v>
      </c>
      <c r="E1219" s="9">
        <v>129.01</v>
      </c>
      <c r="F1219" s="9">
        <v>0</v>
      </c>
      <c r="G1219" s="9">
        <v>0</v>
      </c>
      <c r="H1219" s="9">
        <v>0</v>
      </c>
      <c r="I1219" s="9">
        <v>0</v>
      </c>
      <c r="J1219" s="9">
        <v>129.01</v>
      </c>
    </row>
    <row r="1220" spans="1:10" ht="15.75" x14ac:dyDescent="0.25">
      <c r="A1220" s="21">
        <v>45412</v>
      </c>
      <c r="B1220" t="str">
        <f>IFERROR(IF(VLOOKUP(C1220,Hoja1!$B$1:$C$6191,2,0)="",_xlfn.XLOOKUP(C1220,Hoja1!$B$2:$B$6191,Hoja1!$A$2:$A$6191),VLOOKUP(C1220,Hoja1!$B$1:$C$6191,2,0)),"No esta en Infor")</f>
        <v>NAC0646</v>
      </c>
      <c r="C1220" s="19" t="s">
        <v>112</v>
      </c>
      <c r="D1220" s="9">
        <v>545</v>
      </c>
      <c r="E1220" s="9">
        <v>-0.8</v>
      </c>
      <c r="F1220" s="9">
        <v>0</v>
      </c>
      <c r="G1220" s="9">
        <v>0</v>
      </c>
      <c r="H1220" s="9">
        <v>0</v>
      </c>
      <c r="I1220" s="9">
        <v>0</v>
      </c>
      <c r="J1220" s="9">
        <v>544.20000000000005</v>
      </c>
    </row>
    <row r="1221" spans="1:10" ht="15.75" x14ac:dyDescent="0.25">
      <c r="A1221" s="21">
        <v>45412</v>
      </c>
      <c r="B1221" t="str">
        <f>IFERROR(IF(VLOOKUP(C1221,Hoja1!$B$1:$C$6191,2,0)="",_xlfn.XLOOKUP(C1221,Hoja1!$B$2:$B$6191,Hoja1!$A$2:$A$6191),VLOOKUP(C1221,Hoja1!$B$1:$C$6191,2,0)),"No esta en Infor")</f>
        <v>NAC0652</v>
      </c>
      <c r="C1221" s="19" t="s">
        <v>113</v>
      </c>
      <c r="D1221" s="9">
        <v>240.52</v>
      </c>
      <c r="E1221" s="9">
        <v>120.26</v>
      </c>
      <c r="F1221" s="9">
        <v>0</v>
      </c>
      <c r="G1221" s="9">
        <v>0</v>
      </c>
      <c r="H1221" s="9">
        <v>0</v>
      </c>
      <c r="I1221" s="9">
        <v>0</v>
      </c>
      <c r="J1221" s="9">
        <v>360.78</v>
      </c>
    </row>
    <row r="1222" spans="1:10" ht="15.75" x14ac:dyDescent="0.25">
      <c r="A1222" s="21">
        <v>45412</v>
      </c>
      <c r="B1222" t="str">
        <f>IFERROR(IF(VLOOKUP(C1222,Hoja1!$B$1:$C$6191,2,0)="",_xlfn.XLOOKUP(C1222,Hoja1!$B$2:$B$6191,Hoja1!$A$2:$A$6191),VLOOKUP(C1222,Hoja1!$B$1:$C$6191,2,0)),"No esta en Infor")</f>
        <v>NAC0657</v>
      </c>
      <c r="C1222" s="19" t="s">
        <v>114</v>
      </c>
      <c r="D1222" s="9">
        <v>2037</v>
      </c>
      <c r="E1222" s="9">
        <v>0</v>
      </c>
      <c r="F1222" s="9">
        <v>0</v>
      </c>
      <c r="G1222" s="9">
        <v>0</v>
      </c>
      <c r="H1222" s="9">
        <v>0</v>
      </c>
      <c r="I1222" s="9">
        <v>0</v>
      </c>
      <c r="J1222" s="9">
        <v>2037</v>
      </c>
    </row>
    <row r="1223" spans="1:10" ht="15.75" x14ac:dyDescent="0.25">
      <c r="A1223" s="21">
        <v>45412</v>
      </c>
      <c r="B1223" t="str">
        <f>IFERROR(IF(VLOOKUP(C1223,Hoja1!$B$1:$C$6191,2,0)="",_xlfn.XLOOKUP(C1223,Hoja1!$B$2:$B$6191,Hoja1!$A$2:$A$6191),VLOOKUP(C1223,Hoja1!$B$1:$C$6191,2,0)),"No esta en Infor")</f>
        <v>CAN0009</v>
      </c>
      <c r="C1223" s="19" t="s">
        <v>116</v>
      </c>
      <c r="D1223" s="9">
        <v>0</v>
      </c>
      <c r="E1223" s="9">
        <v>-33.630000000000003</v>
      </c>
      <c r="F1223" s="9">
        <v>0</v>
      </c>
      <c r="G1223" s="9">
        <v>0</v>
      </c>
      <c r="H1223" s="9">
        <v>0</v>
      </c>
      <c r="I1223" s="9">
        <v>0</v>
      </c>
      <c r="J1223" s="9">
        <v>-33.630000000000003</v>
      </c>
    </row>
    <row r="1224" spans="1:10" ht="15.75" x14ac:dyDescent="0.25">
      <c r="A1224" s="21">
        <v>45412</v>
      </c>
      <c r="B1224" t="str">
        <f>IFERROR(IF(VLOOKUP(C1224,Hoja1!$B$1:$C$6191,2,0)="",_xlfn.XLOOKUP(C1224,Hoja1!$B$2:$B$6191,Hoja1!$A$2:$A$6191),VLOOKUP(C1224,Hoja1!$B$1:$C$6191,2,0)),"No esta en Infor")</f>
        <v>NAC0666</v>
      </c>
      <c r="C1224" s="19" t="s">
        <v>118</v>
      </c>
      <c r="D1224" s="9">
        <v>76287.5</v>
      </c>
      <c r="E1224" s="9">
        <v>5056</v>
      </c>
      <c r="F1224" s="9">
        <v>0</v>
      </c>
      <c r="G1224" s="9">
        <v>0</v>
      </c>
      <c r="H1224" s="9">
        <v>0</v>
      </c>
      <c r="I1224" s="9">
        <v>0</v>
      </c>
      <c r="J1224" s="9">
        <v>81343.5</v>
      </c>
    </row>
    <row r="1225" spans="1:10" ht="15.75" x14ac:dyDescent="0.25">
      <c r="A1225" s="21">
        <v>45412</v>
      </c>
      <c r="B1225" t="str">
        <f>IFERROR(IF(VLOOKUP(C1225,Hoja1!$B$1:$C$6191,2,0)="",_xlfn.XLOOKUP(C1225,Hoja1!$B$2:$B$6191,Hoja1!$A$2:$A$6191),VLOOKUP(C1225,Hoja1!$B$1:$C$6191,2,0)),"No esta en Infor")</f>
        <v>NAC0669</v>
      </c>
      <c r="C1225" s="19" t="s">
        <v>119</v>
      </c>
      <c r="D1225" s="9">
        <v>2799.04</v>
      </c>
      <c r="E1225" s="9">
        <v>0</v>
      </c>
      <c r="F1225" s="9">
        <v>-0.02</v>
      </c>
      <c r="G1225" s="9">
        <v>0</v>
      </c>
      <c r="H1225" s="9">
        <v>0</v>
      </c>
      <c r="I1225" s="9">
        <v>-0.01</v>
      </c>
      <c r="J1225" s="9">
        <v>2799.01</v>
      </c>
    </row>
    <row r="1226" spans="1:10" ht="15.75" x14ac:dyDescent="0.25">
      <c r="A1226" s="21">
        <v>45412</v>
      </c>
      <c r="B1226" t="str">
        <f>IFERROR(IF(VLOOKUP(C1226,Hoja1!$B$1:$C$6191,2,0)="",_xlfn.XLOOKUP(C1226,Hoja1!$B$2:$B$6191,Hoja1!$A$2:$A$6191),VLOOKUP(C1226,Hoja1!$B$1:$C$6191,2,0)),"No esta en Infor")</f>
        <v>NAC0672</v>
      </c>
      <c r="C1226" s="19" t="s">
        <v>122</v>
      </c>
      <c r="D1226" s="9">
        <v>105.8</v>
      </c>
      <c r="E1226" s="9">
        <v>-5616.5</v>
      </c>
      <c r="F1226" s="9">
        <v>0</v>
      </c>
      <c r="G1226" s="9">
        <v>370.78</v>
      </c>
      <c r="H1226" s="9">
        <v>0</v>
      </c>
      <c r="I1226" s="9">
        <v>0</v>
      </c>
      <c r="J1226" s="9">
        <v>-5139.92</v>
      </c>
    </row>
    <row r="1227" spans="1:10" ht="15.75" x14ac:dyDescent="0.25">
      <c r="A1227" s="21">
        <v>45412</v>
      </c>
      <c r="B1227" t="str">
        <f>IFERROR(IF(VLOOKUP(C1227,Hoja1!$B$1:$C$6191,2,0)="",_xlfn.XLOOKUP(C1227,Hoja1!$B$2:$B$6191,Hoja1!$A$2:$A$6191),VLOOKUP(C1227,Hoja1!$B$1:$C$6191,2,0)),"No esta en Infor")</f>
        <v>NAC0673</v>
      </c>
      <c r="C1227" s="19" t="s">
        <v>390</v>
      </c>
      <c r="D1227" s="9">
        <v>0</v>
      </c>
      <c r="E1227" s="9">
        <v>672.85</v>
      </c>
      <c r="F1227" s="9">
        <v>0</v>
      </c>
      <c r="G1227" s="9">
        <v>0</v>
      </c>
      <c r="H1227" s="9">
        <v>0</v>
      </c>
      <c r="I1227" s="9">
        <v>0</v>
      </c>
      <c r="J1227" s="9">
        <v>672.85</v>
      </c>
    </row>
    <row r="1228" spans="1:10" ht="15.75" x14ac:dyDescent="0.25">
      <c r="A1228" s="21">
        <v>45412</v>
      </c>
      <c r="B1228" t="str">
        <f>IFERROR(IF(VLOOKUP(C1228,Hoja1!$B$1:$C$6191,2,0)="",_xlfn.XLOOKUP(C1228,Hoja1!$B$2:$B$6191,Hoja1!$A$2:$A$6191),VLOOKUP(C1228,Hoja1!$B$1:$C$6191,2,0)),"No esta en Infor")</f>
        <v>SH00498</v>
      </c>
      <c r="C1228" s="19" t="s">
        <v>123</v>
      </c>
      <c r="D1228" s="9">
        <v>0</v>
      </c>
      <c r="E1228" s="9">
        <v>0</v>
      </c>
      <c r="F1228" s="9">
        <v>78.38</v>
      </c>
      <c r="G1228" s="9">
        <v>0</v>
      </c>
      <c r="H1228" s="9">
        <v>0</v>
      </c>
      <c r="I1228" s="9">
        <v>0</v>
      </c>
      <c r="J1228" s="9">
        <v>78.38</v>
      </c>
    </row>
    <row r="1229" spans="1:10" ht="15.75" x14ac:dyDescent="0.25">
      <c r="A1229" s="21">
        <v>45412</v>
      </c>
      <c r="B1229" t="str">
        <f>IFERROR(IF(VLOOKUP(C1229,Hoja1!$B$1:$C$6191,2,0)="",_xlfn.XLOOKUP(C1229,Hoja1!$B$2:$B$6191,Hoja1!$A$2:$A$6191),VLOOKUP(C1229,Hoja1!$B$1:$C$6191,2,0)),"No esta en Infor")</f>
        <v>NAC0675</v>
      </c>
      <c r="C1229" s="19" t="s">
        <v>124</v>
      </c>
      <c r="D1229" s="9">
        <v>0</v>
      </c>
      <c r="E1229" s="9">
        <v>0</v>
      </c>
      <c r="F1229" s="9">
        <v>-787.89</v>
      </c>
      <c r="G1229" s="9">
        <v>0</v>
      </c>
      <c r="H1229" s="9">
        <v>0</v>
      </c>
      <c r="I1229" s="9">
        <v>0</v>
      </c>
      <c r="J1229" s="9">
        <v>-787.89</v>
      </c>
    </row>
    <row r="1230" spans="1:10" ht="15.75" x14ac:dyDescent="0.25">
      <c r="A1230" s="21">
        <v>45412</v>
      </c>
      <c r="B1230" t="str">
        <f>IFERROR(IF(VLOOKUP(C1230,Hoja1!$B$1:$C$6191,2,0)="",_xlfn.XLOOKUP(C1230,Hoja1!$B$2:$B$6191,Hoja1!$A$2:$A$6191),VLOOKUP(C1230,Hoja1!$B$1:$C$6191,2,0)),"No esta en Infor")</f>
        <v>NAC0687</v>
      </c>
      <c r="C1230" s="19" t="s">
        <v>128</v>
      </c>
      <c r="D1230" s="9">
        <v>0</v>
      </c>
      <c r="E1230" s="9">
        <v>0</v>
      </c>
      <c r="F1230" s="9">
        <v>-4768.2</v>
      </c>
      <c r="G1230" s="9">
        <v>0</v>
      </c>
      <c r="H1230" s="9">
        <v>0</v>
      </c>
      <c r="I1230" s="9">
        <v>0</v>
      </c>
      <c r="J1230" s="9">
        <v>-4768.2</v>
      </c>
    </row>
    <row r="1231" spans="1:10" ht="15.75" x14ac:dyDescent="0.25">
      <c r="A1231" s="21">
        <v>45412</v>
      </c>
      <c r="B1231" t="str">
        <f>IFERROR(IF(VLOOKUP(C1231,Hoja1!$B$1:$C$6191,2,0)="",_xlfn.XLOOKUP(C1231,Hoja1!$B$2:$B$6191,Hoja1!$A$2:$A$6191),VLOOKUP(C1231,Hoja1!$B$1:$C$6191,2,0)),"No esta en Infor")</f>
        <v>CAN0013</v>
      </c>
      <c r="C1231" s="19" t="s">
        <v>493</v>
      </c>
      <c r="D1231" s="9">
        <v>322.05</v>
      </c>
      <c r="E1231" s="9">
        <v>0</v>
      </c>
      <c r="F1231" s="9">
        <v>0</v>
      </c>
      <c r="G1231" s="9">
        <v>0</v>
      </c>
      <c r="H1231" s="9">
        <v>0</v>
      </c>
      <c r="I1231" s="9">
        <v>0</v>
      </c>
      <c r="J1231" s="9">
        <v>322.05</v>
      </c>
    </row>
    <row r="1232" spans="1:10" ht="15.75" x14ac:dyDescent="0.25">
      <c r="A1232" s="21">
        <v>45412</v>
      </c>
      <c r="B1232" t="str">
        <f>IFERROR(IF(VLOOKUP(C1232,Hoja1!$B$1:$C$6191,2,0)="",_xlfn.XLOOKUP(C1232,Hoja1!$B$2:$B$6191,Hoja1!$A$2:$A$6191),VLOOKUP(C1232,Hoja1!$B$1:$C$6191,2,0)),"No esta en Infor")</f>
        <v>SH00610</v>
      </c>
      <c r="C1232" s="19" t="s">
        <v>129</v>
      </c>
      <c r="D1232" s="9">
        <v>0</v>
      </c>
      <c r="E1232" s="9">
        <v>0</v>
      </c>
      <c r="F1232" s="9">
        <v>53.53</v>
      </c>
      <c r="G1232" s="9">
        <v>0</v>
      </c>
      <c r="H1232" s="9">
        <v>0</v>
      </c>
      <c r="I1232" s="9">
        <v>0</v>
      </c>
      <c r="J1232" s="9">
        <v>53.53</v>
      </c>
    </row>
    <row r="1233" spans="1:10" ht="15.75" x14ac:dyDescent="0.25">
      <c r="A1233" s="21">
        <v>45412</v>
      </c>
      <c r="B1233" t="str">
        <f>IFERROR(IF(VLOOKUP(C1233,Hoja1!$B$1:$C$6191,2,0)="",_xlfn.XLOOKUP(C1233,Hoja1!$B$2:$B$6191,Hoja1!$A$2:$A$6191),VLOOKUP(C1233,Hoja1!$B$1:$C$6191,2,0)),"No esta en Infor")</f>
        <v>INT0052</v>
      </c>
      <c r="C1233" s="19" t="s">
        <v>130</v>
      </c>
      <c r="D1233" s="9">
        <v>118.95</v>
      </c>
      <c r="E1233" s="9">
        <v>10515.55</v>
      </c>
      <c r="F1233" s="9">
        <v>3586.95</v>
      </c>
      <c r="G1233" s="9">
        <v>11415.76</v>
      </c>
      <c r="H1233" s="9">
        <v>45.88</v>
      </c>
      <c r="I1233" s="9">
        <v>-11.6</v>
      </c>
      <c r="J1233" s="9">
        <v>25671.49</v>
      </c>
    </row>
    <row r="1234" spans="1:10" ht="15.75" x14ac:dyDescent="0.25">
      <c r="A1234" s="21">
        <v>45412</v>
      </c>
      <c r="B1234" t="str">
        <f>IFERROR(IF(VLOOKUP(C1234,Hoja1!$B$1:$C$6191,2,0)="",_xlfn.XLOOKUP(C1234,Hoja1!$B$2:$B$6191,Hoja1!$A$2:$A$6191),VLOOKUP(C1234,Hoja1!$B$1:$C$6191,2,0)),"No esta en Infor")</f>
        <v>INT0007</v>
      </c>
      <c r="C1234" s="19" t="s">
        <v>131</v>
      </c>
      <c r="D1234" s="9">
        <v>715498.02</v>
      </c>
      <c r="E1234" s="9">
        <v>2330673.38</v>
      </c>
      <c r="F1234" s="9">
        <v>-175418.44</v>
      </c>
      <c r="G1234" s="9">
        <v>145540.68</v>
      </c>
      <c r="H1234" s="9">
        <v>142163.71</v>
      </c>
      <c r="I1234" s="9">
        <v>461750.47</v>
      </c>
      <c r="J1234" s="9">
        <v>3620207.82</v>
      </c>
    </row>
    <row r="1235" spans="1:10" ht="15.75" x14ac:dyDescent="0.25">
      <c r="A1235" s="21">
        <v>45412</v>
      </c>
      <c r="B1235" t="str">
        <f>IFERROR(IF(VLOOKUP(C1235,Hoja1!$B$1:$C$6191,2,0)="",_xlfn.XLOOKUP(C1235,Hoja1!$B$2:$B$6191,Hoja1!$A$2:$A$6191),VLOOKUP(C1235,Hoja1!$B$1:$C$6191,2,0)),"No esta en Infor")</f>
        <v>INT0006</v>
      </c>
      <c r="C1235" s="19" t="s">
        <v>132</v>
      </c>
      <c r="D1235" s="9">
        <v>56059.29</v>
      </c>
      <c r="E1235" s="9">
        <v>161356.66</v>
      </c>
      <c r="F1235" s="9">
        <v>20818.3</v>
      </c>
      <c r="G1235" s="9">
        <v>0</v>
      </c>
      <c r="H1235" s="9">
        <v>0</v>
      </c>
      <c r="I1235" s="9">
        <v>97148</v>
      </c>
      <c r="J1235" s="9">
        <v>335382.25</v>
      </c>
    </row>
    <row r="1236" spans="1:10" ht="15.75" x14ac:dyDescent="0.25">
      <c r="A1236" s="21">
        <v>45412</v>
      </c>
      <c r="B1236" t="str">
        <f>IFERROR(IF(VLOOKUP(C1236,Hoja1!$B$1:$C$6191,2,0)="",_xlfn.XLOOKUP(C1236,Hoja1!$B$2:$B$6191,Hoja1!$A$2:$A$6191),VLOOKUP(C1236,Hoja1!$B$1:$C$6191,2,0)),"No esta en Infor")</f>
        <v>INT0002</v>
      </c>
      <c r="C1236" s="19" t="s">
        <v>133</v>
      </c>
      <c r="D1236" s="9">
        <v>34.56</v>
      </c>
      <c r="E1236" s="9">
        <v>41.61</v>
      </c>
      <c r="F1236" s="9">
        <v>0</v>
      </c>
      <c r="G1236" s="9">
        <v>0</v>
      </c>
      <c r="H1236" s="9">
        <v>0</v>
      </c>
      <c r="I1236" s="9">
        <v>0</v>
      </c>
      <c r="J1236" s="9">
        <v>76.17</v>
      </c>
    </row>
    <row r="1237" spans="1:10" ht="15.75" x14ac:dyDescent="0.25">
      <c r="A1237" s="21">
        <v>45412</v>
      </c>
      <c r="B1237" t="str">
        <f>IFERROR(IF(VLOOKUP(C1237,Hoja1!$B$1:$C$6191,2,0)="",_xlfn.XLOOKUP(C1237,Hoja1!$B$2:$B$6191,Hoja1!$A$2:$A$6191),VLOOKUP(C1237,Hoja1!$B$1:$C$6191,2,0)),"No esta en Infor")</f>
        <v>INT0001</v>
      </c>
      <c r="C1237" s="19" t="s">
        <v>134</v>
      </c>
      <c r="D1237" s="9">
        <v>46647.59</v>
      </c>
      <c r="E1237" s="9">
        <v>0</v>
      </c>
      <c r="F1237" s="9">
        <v>0</v>
      </c>
      <c r="G1237" s="9">
        <v>-531.94000000000005</v>
      </c>
      <c r="H1237" s="9">
        <v>0</v>
      </c>
      <c r="I1237" s="9">
        <v>0</v>
      </c>
      <c r="J1237" s="9">
        <v>46115.65</v>
      </c>
    </row>
    <row r="1238" spans="1:10" ht="15.75" x14ac:dyDescent="0.25">
      <c r="A1238" s="21">
        <v>45412</v>
      </c>
      <c r="B1238" t="str">
        <f>IFERROR(IF(VLOOKUP(C1238,Hoja1!$B$1:$C$6191,2,0)="",_xlfn.XLOOKUP(C1238,Hoja1!$B$2:$B$6191,Hoja1!$A$2:$A$6191),VLOOKUP(C1238,Hoja1!$B$1:$C$6191,2,0)),"No esta en Infor")</f>
        <v>INT0065</v>
      </c>
      <c r="C1238" s="19" t="s">
        <v>135</v>
      </c>
      <c r="D1238" s="9">
        <v>14374.78</v>
      </c>
      <c r="E1238" s="9">
        <v>0</v>
      </c>
      <c r="F1238" s="9">
        <v>-3019.42</v>
      </c>
      <c r="G1238" s="9">
        <v>0</v>
      </c>
      <c r="H1238" s="9">
        <v>-14950</v>
      </c>
      <c r="I1238" s="9">
        <v>0</v>
      </c>
      <c r="J1238" s="9">
        <v>-3594.64</v>
      </c>
    </row>
    <row r="1239" spans="1:10" ht="15.75" x14ac:dyDescent="0.25">
      <c r="A1239" s="21">
        <v>45412</v>
      </c>
      <c r="B1239" t="str">
        <f>IFERROR(IF(VLOOKUP(C1239,Hoja1!$B$1:$C$6191,2,0)="",_xlfn.XLOOKUP(C1239,Hoja1!$B$2:$B$6191,Hoja1!$A$2:$A$6191),VLOOKUP(C1239,Hoja1!$B$1:$C$6191,2,0)),"No esta en Infor")</f>
        <v>INT0009</v>
      </c>
      <c r="C1239" t="s">
        <v>658</v>
      </c>
      <c r="D1239" s="9">
        <v>30344.69</v>
      </c>
      <c r="E1239" s="9">
        <v>8798.0300000000007</v>
      </c>
      <c r="F1239" s="9">
        <v>852.38</v>
      </c>
      <c r="G1239" s="9">
        <v>0</v>
      </c>
      <c r="H1239" s="9">
        <v>-14950</v>
      </c>
      <c r="I1239" s="9">
        <v>0</v>
      </c>
      <c r="J1239" s="9">
        <v>25045.1</v>
      </c>
    </row>
    <row r="1240" spans="1:10" ht="15.75" x14ac:dyDescent="0.25">
      <c r="A1240" s="21">
        <v>45412</v>
      </c>
      <c r="B1240" t="str">
        <f>IFERROR(IF(VLOOKUP(C1240,Hoja1!$B$1:$C$6191,2,0)="",_xlfn.XLOOKUP(C1240,Hoja1!$B$2:$B$6191,Hoja1!$A$2:$A$6191),VLOOKUP(C1240,Hoja1!$B$1:$C$6191,2,0)),"No esta en Infor")</f>
        <v>INT0060</v>
      </c>
      <c r="C1240" s="19" t="s">
        <v>136</v>
      </c>
      <c r="D1240" s="9">
        <v>19796.740000000002</v>
      </c>
      <c r="E1240" s="9">
        <v>717</v>
      </c>
      <c r="F1240" s="9">
        <v>5624.76</v>
      </c>
      <c r="G1240" s="9">
        <v>1224</v>
      </c>
      <c r="H1240" s="9">
        <v>4197.5</v>
      </c>
      <c r="I1240" s="9">
        <v>15030.43</v>
      </c>
      <c r="J1240" s="9">
        <v>46590.43</v>
      </c>
    </row>
    <row r="1241" spans="1:10" ht="15.75" x14ac:dyDescent="0.25">
      <c r="A1241" s="21">
        <v>45412</v>
      </c>
      <c r="B1241" t="str">
        <f>IFERROR(IF(VLOOKUP(C1241,Hoja1!$B$1:$C$6191,2,0)="",_xlfn.XLOOKUP(C1241,Hoja1!$B$2:$B$6191,Hoja1!$A$2:$A$6191),VLOOKUP(C1241,Hoja1!$B$1:$C$6191,2,0)),"No esta en Infor")</f>
        <v>NAC0700</v>
      </c>
      <c r="C1241" s="19" t="s">
        <v>137</v>
      </c>
      <c r="D1241" s="9">
        <v>0</v>
      </c>
      <c r="E1241" s="9">
        <v>206</v>
      </c>
      <c r="F1241" s="9">
        <v>0</v>
      </c>
      <c r="G1241" s="9">
        <v>0</v>
      </c>
      <c r="H1241" s="9">
        <v>0</v>
      </c>
      <c r="I1241" s="9">
        <v>0</v>
      </c>
      <c r="J1241" s="9">
        <v>206</v>
      </c>
    </row>
    <row r="1242" spans="1:10" ht="15.75" x14ac:dyDescent="0.25">
      <c r="A1242" s="21">
        <v>45412</v>
      </c>
      <c r="B1242" t="str">
        <f>IFERROR(IF(VLOOKUP(C1242,Hoja1!$B$1:$C$6191,2,0)="",_xlfn.XLOOKUP(C1242,Hoja1!$B$2:$B$6191,Hoja1!$A$2:$A$6191),VLOOKUP(C1242,Hoja1!$B$1:$C$6191,2,0)),"No esta en Infor")</f>
        <v>NAC0704</v>
      </c>
      <c r="C1242" s="19" t="s">
        <v>138</v>
      </c>
      <c r="D1242" s="9">
        <v>2406</v>
      </c>
      <c r="E1242" s="9">
        <v>0</v>
      </c>
      <c r="F1242" s="9">
        <v>0</v>
      </c>
      <c r="G1242" s="9">
        <v>0</v>
      </c>
      <c r="H1242" s="9">
        <v>0</v>
      </c>
      <c r="I1242" s="9">
        <v>0</v>
      </c>
      <c r="J1242" s="9">
        <v>2406</v>
      </c>
    </row>
    <row r="1243" spans="1:10" ht="15.75" x14ac:dyDescent="0.25">
      <c r="A1243" s="21">
        <v>45412</v>
      </c>
      <c r="B1243" t="str">
        <f>IFERROR(IF(VLOOKUP(C1243,Hoja1!$B$1:$C$6191,2,0)="",_xlfn.XLOOKUP(C1243,Hoja1!$B$2:$B$6191,Hoja1!$A$2:$A$6191),VLOOKUP(C1243,Hoja1!$B$1:$C$6191,2,0)),"No esta en Infor")</f>
        <v>NAC0710</v>
      </c>
      <c r="C1243" s="19" t="s">
        <v>140</v>
      </c>
      <c r="D1243" s="9">
        <v>2062</v>
      </c>
      <c r="E1243" s="9">
        <v>11312</v>
      </c>
      <c r="F1243" s="9">
        <v>0</v>
      </c>
      <c r="G1243" s="9">
        <v>0</v>
      </c>
      <c r="H1243" s="9">
        <v>0</v>
      </c>
      <c r="I1243" s="9">
        <v>0</v>
      </c>
      <c r="J1243" s="9">
        <v>13374</v>
      </c>
    </row>
    <row r="1244" spans="1:10" ht="15.75" x14ac:dyDescent="0.25">
      <c r="A1244" s="21">
        <v>45412</v>
      </c>
      <c r="B1244" t="str">
        <f>IFERROR(IF(VLOOKUP(C1244,Hoja1!$B$1:$C$6191,2,0)="",_xlfn.XLOOKUP(C1244,Hoja1!$B$2:$B$6191,Hoja1!$A$2:$A$6191),VLOOKUP(C1244,Hoja1!$B$1:$C$6191,2,0)),"No esta en Infor")</f>
        <v>CAN0014</v>
      </c>
      <c r="C1244" s="19" t="s">
        <v>141</v>
      </c>
      <c r="D1244" s="9">
        <v>386.4</v>
      </c>
      <c r="E1244" s="9">
        <v>0</v>
      </c>
      <c r="F1244" s="9">
        <v>-119.88</v>
      </c>
      <c r="G1244" s="9">
        <v>0</v>
      </c>
      <c r="H1244" s="9">
        <v>0</v>
      </c>
      <c r="I1244" s="9">
        <v>0</v>
      </c>
      <c r="J1244" s="9">
        <v>266.52</v>
      </c>
    </row>
    <row r="1245" spans="1:10" ht="15.75" x14ac:dyDescent="0.25">
      <c r="A1245" s="21">
        <v>45412</v>
      </c>
      <c r="B1245" t="str">
        <f>IFERROR(IF(VLOOKUP(C1245,Hoja1!$B$1:$C$6191,2,0)="",_xlfn.XLOOKUP(C1245,Hoja1!$B$2:$B$6191,Hoja1!$A$2:$A$6191),VLOOKUP(C1245,Hoja1!$B$1:$C$6191,2,0)),"No esta en Infor")</f>
        <v>NAC0712</v>
      </c>
      <c r="C1245" s="19" t="s">
        <v>142</v>
      </c>
      <c r="D1245" s="9">
        <v>0</v>
      </c>
      <c r="E1245" s="9">
        <v>17234.5</v>
      </c>
      <c r="F1245" s="9">
        <v>0</v>
      </c>
      <c r="G1245" s="9">
        <v>0</v>
      </c>
      <c r="H1245" s="9">
        <v>0</v>
      </c>
      <c r="I1245" s="9">
        <v>0</v>
      </c>
      <c r="J1245" s="9">
        <v>17234.5</v>
      </c>
    </row>
    <row r="1246" spans="1:10" ht="15.75" x14ac:dyDescent="0.25">
      <c r="A1246" s="21">
        <v>45412</v>
      </c>
      <c r="B1246" t="str">
        <f>IFERROR(IF(VLOOKUP(C1246,Hoja1!$B$1:$C$6191,2,0)="",_xlfn.XLOOKUP(C1246,Hoja1!$B$2:$B$6191,Hoja1!$A$2:$A$6191),VLOOKUP(C1246,Hoja1!$B$1:$C$6191,2,0)),"No esta en Infor")</f>
        <v>FOC0023</v>
      </c>
      <c r="C1246" s="19" t="s">
        <v>143</v>
      </c>
      <c r="D1246" s="9">
        <v>2936.25</v>
      </c>
      <c r="E1246" s="9">
        <v>0</v>
      </c>
      <c r="F1246" s="9">
        <v>19997.16</v>
      </c>
      <c r="G1246" s="9">
        <v>-18335</v>
      </c>
      <c r="H1246" s="9">
        <v>18335</v>
      </c>
      <c r="I1246" s="9">
        <v>2188.25</v>
      </c>
      <c r="J1246" s="9">
        <v>25121.66</v>
      </c>
    </row>
    <row r="1247" spans="1:10" ht="15.75" x14ac:dyDescent="0.25">
      <c r="A1247" s="21">
        <v>45412</v>
      </c>
      <c r="B1247" t="str">
        <f>IFERROR(IF(VLOOKUP(C1247,Hoja1!$B$1:$C$6191,2,0)="",_xlfn.XLOOKUP(C1247,Hoja1!$B$2:$B$6191,Hoja1!$A$2:$A$6191),VLOOKUP(C1247,Hoja1!$B$1:$C$6191,2,0)),"No esta en Infor")</f>
        <v>SH00640</v>
      </c>
      <c r="C1247" s="19" t="s">
        <v>392</v>
      </c>
      <c r="D1247" s="9">
        <v>0</v>
      </c>
      <c r="E1247" s="9">
        <v>1.41</v>
      </c>
      <c r="F1247" s="9">
        <v>0</v>
      </c>
      <c r="G1247" s="9">
        <v>0</v>
      </c>
      <c r="H1247" s="9">
        <v>0</v>
      </c>
      <c r="I1247" s="9">
        <v>0</v>
      </c>
      <c r="J1247" s="9">
        <v>1.41</v>
      </c>
    </row>
    <row r="1248" spans="1:10" ht="15.75" x14ac:dyDescent="0.25">
      <c r="A1248" s="21">
        <v>45412</v>
      </c>
      <c r="B1248" t="str">
        <f>IFERROR(IF(VLOOKUP(C1248,Hoja1!$B$1:$C$6191,2,0)="",_xlfn.XLOOKUP(C1248,Hoja1!$B$2:$B$6191,Hoja1!$A$2:$A$6191),VLOOKUP(C1248,Hoja1!$B$1:$C$6191,2,0)),"No esta en Infor")</f>
        <v>SH00642</v>
      </c>
      <c r="C1248" s="19" t="s">
        <v>144</v>
      </c>
      <c r="D1248" s="9">
        <v>0</v>
      </c>
      <c r="E1248" s="9">
        <v>0</v>
      </c>
      <c r="F1248" s="9">
        <v>323.89</v>
      </c>
      <c r="G1248" s="9">
        <v>0</v>
      </c>
      <c r="H1248" s="9">
        <v>0</v>
      </c>
      <c r="I1248" s="9">
        <v>0</v>
      </c>
      <c r="J1248" s="9">
        <v>323.89</v>
      </c>
    </row>
    <row r="1249" spans="1:10" ht="15.75" x14ac:dyDescent="0.25">
      <c r="A1249" s="21">
        <v>45412</v>
      </c>
      <c r="B1249" t="str">
        <f>IFERROR(IF(VLOOKUP(C1249,Hoja1!$B$1:$C$6191,2,0)="",_xlfn.XLOOKUP(C1249,Hoja1!$B$2:$B$6191,Hoja1!$A$2:$A$6191),VLOOKUP(C1249,Hoja1!$B$1:$C$6191,2,0)),"No esta en Infor")</f>
        <v>NAC0726</v>
      </c>
      <c r="C1249" s="19" t="s">
        <v>147</v>
      </c>
      <c r="D1249" s="9">
        <v>13921.5</v>
      </c>
      <c r="E1249" s="9">
        <v>3876.03</v>
      </c>
      <c r="F1249" s="9">
        <v>0</v>
      </c>
      <c r="G1249" s="9">
        <v>0</v>
      </c>
      <c r="H1249" s="9">
        <v>0</v>
      </c>
      <c r="I1249" s="9">
        <v>0</v>
      </c>
      <c r="J1249" s="9">
        <v>17797.53</v>
      </c>
    </row>
    <row r="1250" spans="1:10" ht="15.75" x14ac:dyDescent="0.25">
      <c r="A1250" s="21">
        <v>45412</v>
      </c>
      <c r="B1250" t="str">
        <f>IFERROR(IF(VLOOKUP(C1250,Hoja1!$B$1:$C$6191,2,0)="",_xlfn.XLOOKUP(C1250,Hoja1!$B$2:$B$6191,Hoja1!$A$2:$A$6191),VLOOKUP(C1250,Hoja1!$B$1:$C$6191,2,0)),"No esta en Infor")</f>
        <v>NAC0729</v>
      </c>
      <c r="C1250" s="19" t="s">
        <v>148</v>
      </c>
      <c r="D1250" s="9">
        <v>0</v>
      </c>
      <c r="E1250" s="9">
        <v>316</v>
      </c>
      <c r="F1250" s="9">
        <v>0</v>
      </c>
      <c r="G1250" s="9">
        <v>0</v>
      </c>
      <c r="H1250" s="9">
        <v>0</v>
      </c>
      <c r="I1250" s="9">
        <v>0</v>
      </c>
      <c r="J1250" s="9">
        <v>316</v>
      </c>
    </row>
    <row r="1251" spans="1:10" ht="15.75" x14ac:dyDescent="0.25">
      <c r="A1251" s="21">
        <v>45412</v>
      </c>
      <c r="B1251" t="str">
        <f>IFERROR(IF(VLOOKUP(C1251,Hoja1!$B$1:$C$6191,2,0)="",_xlfn.XLOOKUP(C1251,Hoja1!$B$2:$B$6191,Hoja1!$A$2:$A$6191),VLOOKUP(C1251,Hoja1!$B$1:$C$6191,2,0)),"No esta en Infor")</f>
        <v>NAC0734</v>
      </c>
      <c r="C1251" s="19" t="s">
        <v>149</v>
      </c>
      <c r="D1251" s="9">
        <v>0</v>
      </c>
      <c r="E1251" s="9">
        <v>116.7</v>
      </c>
      <c r="F1251" s="9">
        <v>0</v>
      </c>
      <c r="G1251" s="9">
        <v>0</v>
      </c>
      <c r="H1251" s="9">
        <v>0</v>
      </c>
      <c r="I1251" s="9">
        <v>0</v>
      </c>
      <c r="J1251" s="9">
        <v>116.7</v>
      </c>
    </row>
    <row r="1252" spans="1:10" ht="15.75" x14ac:dyDescent="0.25">
      <c r="A1252" s="21">
        <v>45412</v>
      </c>
      <c r="B1252" t="str">
        <f>IFERROR(IF(VLOOKUP(C1252,Hoja1!$B$1:$C$6191,2,0)="",_xlfn.XLOOKUP(C1252,Hoja1!$B$2:$B$6191,Hoja1!$A$2:$A$6191),VLOOKUP(C1252,Hoja1!$B$1:$C$6191,2,0)),"No esta en Infor")</f>
        <v>NAC0738</v>
      </c>
      <c r="C1252" s="19" t="s">
        <v>150</v>
      </c>
      <c r="D1252" s="9">
        <v>5555</v>
      </c>
      <c r="E1252" s="9">
        <v>0</v>
      </c>
      <c r="F1252" s="9">
        <v>0</v>
      </c>
      <c r="G1252" s="9">
        <v>0</v>
      </c>
      <c r="H1252" s="9">
        <v>0</v>
      </c>
      <c r="I1252" s="9">
        <v>0</v>
      </c>
      <c r="J1252" s="9">
        <v>5555</v>
      </c>
    </row>
    <row r="1253" spans="1:10" ht="15.75" x14ac:dyDescent="0.25">
      <c r="A1253" s="21">
        <v>45412</v>
      </c>
      <c r="B1253" t="str">
        <f>IFERROR(IF(VLOOKUP(C1253,Hoja1!$B$1:$C$6191,2,0)="",_xlfn.XLOOKUP(C1253,Hoja1!$B$2:$B$6191,Hoja1!$A$2:$A$6191),VLOOKUP(C1253,Hoja1!$B$1:$C$6191,2,0)),"No esta en Infor")</f>
        <v>NAC0740</v>
      </c>
      <c r="C1253" s="19" t="s">
        <v>151</v>
      </c>
      <c r="D1253" s="9">
        <v>0</v>
      </c>
      <c r="E1253" s="9">
        <v>60</v>
      </c>
      <c r="F1253" s="9">
        <v>0</v>
      </c>
      <c r="G1253" s="9">
        <v>0</v>
      </c>
      <c r="H1253" s="9">
        <v>96.38</v>
      </c>
      <c r="I1253" s="9">
        <v>0</v>
      </c>
      <c r="J1253" s="9">
        <v>156.38</v>
      </c>
    </row>
    <row r="1254" spans="1:10" ht="15.75" x14ac:dyDescent="0.25">
      <c r="A1254" s="21">
        <v>45412</v>
      </c>
      <c r="B1254" t="str">
        <f>IFERROR(IF(VLOOKUP(C1254,Hoja1!$B$1:$C$6191,2,0)="",_xlfn.XLOOKUP(C1254,Hoja1!$B$2:$B$6191,Hoja1!$A$2:$A$6191),VLOOKUP(C1254,Hoja1!$B$1:$C$6191,2,0)),"No esta en Infor")</f>
        <v>NAC1608</v>
      </c>
      <c r="C1254" s="19" t="s">
        <v>494</v>
      </c>
      <c r="D1254" s="9">
        <v>142</v>
      </c>
      <c r="E1254" s="9">
        <v>0</v>
      </c>
      <c r="F1254" s="9">
        <v>0</v>
      </c>
      <c r="G1254" s="9">
        <v>0</v>
      </c>
      <c r="H1254" s="9">
        <v>0</v>
      </c>
      <c r="I1254" s="9">
        <v>0</v>
      </c>
      <c r="J1254" s="9">
        <v>142</v>
      </c>
    </row>
    <row r="1255" spans="1:10" ht="15.75" x14ac:dyDescent="0.25">
      <c r="A1255" s="21">
        <v>45412</v>
      </c>
      <c r="B1255" t="str">
        <f>IFERROR(IF(VLOOKUP(C1255,Hoja1!$B$1:$C$6191,2,0)="",_xlfn.XLOOKUP(C1255,Hoja1!$B$2:$B$6191,Hoja1!$A$2:$A$6191),VLOOKUP(C1255,Hoja1!$B$1:$C$6191,2,0)),"No esta en Infor")</f>
        <v>NAC1608</v>
      </c>
      <c r="C1255" s="19" t="s">
        <v>445</v>
      </c>
      <c r="D1255" s="9">
        <v>-7.6</v>
      </c>
      <c r="E1255" s="9">
        <v>149.6</v>
      </c>
      <c r="F1255" s="9">
        <v>0</v>
      </c>
      <c r="G1255" s="9">
        <v>0</v>
      </c>
      <c r="H1255" s="9">
        <v>0</v>
      </c>
      <c r="I1255" s="9">
        <v>0</v>
      </c>
      <c r="J1255" s="9">
        <v>142</v>
      </c>
    </row>
    <row r="1256" spans="1:10" ht="15.75" x14ac:dyDescent="0.25">
      <c r="A1256" s="21">
        <v>45412</v>
      </c>
      <c r="B1256" t="str">
        <f>IFERROR(IF(VLOOKUP(C1256,Hoja1!$B$1:$C$6191,2,0)="",_xlfn.XLOOKUP(C1256,Hoja1!$B$2:$B$6191,Hoja1!$A$2:$A$6191),VLOOKUP(C1256,Hoja1!$B$1:$C$6191,2,0)),"No esta en Infor")</f>
        <v>NAC1608</v>
      </c>
      <c r="C1256" s="19" t="s">
        <v>446</v>
      </c>
      <c r="D1256" s="9">
        <v>0</v>
      </c>
      <c r="E1256" s="9">
        <v>142</v>
      </c>
      <c r="F1256" s="9">
        <v>0</v>
      </c>
      <c r="G1256" s="9">
        <v>0</v>
      </c>
      <c r="H1256" s="9">
        <v>0</v>
      </c>
      <c r="I1256" s="9">
        <v>0</v>
      </c>
      <c r="J1256" s="9">
        <v>142</v>
      </c>
    </row>
    <row r="1257" spans="1:10" ht="15.75" x14ac:dyDescent="0.25">
      <c r="A1257" s="21">
        <v>45412</v>
      </c>
      <c r="B1257" t="str">
        <f>IFERROR(IF(VLOOKUP(C1257,Hoja1!$B$1:$C$6191,2,0)="",_xlfn.XLOOKUP(C1257,Hoja1!$B$2:$B$6191,Hoja1!$A$2:$A$6191),VLOOKUP(C1257,Hoja1!$B$1:$C$6191,2,0)),"No esta en Infor")</f>
        <v>NAC1608</v>
      </c>
      <c r="C1257" s="19" t="s">
        <v>447</v>
      </c>
      <c r="D1257" s="9">
        <v>-8.94</v>
      </c>
      <c r="E1257" s="9">
        <v>0</v>
      </c>
      <c r="F1257" s="9">
        <v>0</v>
      </c>
      <c r="G1257" s="9">
        <v>0</v>
      </c>
      <c r="H1257" s="9">
        <v>0</v>
      </c>
      <c r="I1257" s="9">
        <v>0</v>
      </c>
      <c r="J1257" s="9">
        <v>-8.94</v>
      </c>
    </row>
    <row r="1258" spans="1:10" ht="15.75" x14ac:dyDescent="0.25">
      <c r="A1258" s="21">
        <v>45412</v>
      </c>
      <c r="B1258" t="str">
        <f>IFERROR(IF(VLOOKUP(C1258,Hoja1!$B$1:$C$6191,2,0)="",_xlfn.XLOOKUP(C1258,Hoja1!$B$2:$B$6191,Hoja1!$A$2:$A$6191),VLOOKUP(C1258,Hoja1!$B$1:$C$6191,2,0)),"No esta en Infor")</f>
        <v>NAC1608</v>
      </c>
      <c r="C1258" s="19" t="s">
        <v>448</v>
      </c>
      <c r="D1258" s="9">
        <v>-11.01</v>
      </c>
      <c r="E1258" s="9">
        <v>0</v>
      </c>
      <c r="F1258" s="9">
        <v>0</v>
      </c>
      <c r="G1258" s="9">
        <v>0</v>
      </c>
      <c r="H1258" s="9">
        <v>0</v>
      </c>
      <c r="I1258" s="9">
        <v>0</v>
      </c>
      <c r="J1258" s="9">
        <v>-11.01</v>
      </c>
    </row>
    <row r="1259" spans="1:10" ht="15.75" x14ac:dyDescent="0.25">
      <c r="A1259" s="21">
        <v>45412</v>
      </c>
      <c r="B1259" t="str">
        <f>IFERROR(IF(VLOOKUP(C1259,Hoja1!$B$1:$C$6191,2,0)="",_xlfn.XLOOKUP(C1259,Hoja1!$B$2:$B$6191,Hoja1!$A$2:$A$6191),VLOOKUP(C1259,Hoja1!$B$1:$C$6191,2,0)),"No esta en Infor")</f>
        <v>NAC1608</v>
      </c>
      <c r="C1259" s="19" t="s">
        <v>449</v>
      </c>
      <c r="D1259" s="9">
        <v>-12.8</v>
      </c>
      <c r="E1259" s="9">
        <v>0</v>
      </c>
      <c r="F1259" s="9">
        <v>0</v>
      </c>
      <c r="G1259" s="9">
        <v>0</v>
      </c>
      <c r="H1259" s="9">
        <v>0</v>
      </c>
      <c r="I1259" s="9">
        <v>0</v>
      </c>
      <c r="J1259" s="9">
        <v>-12.8</v>
      </c>
    </row>
    <row r="1260" spans="1:10" ht="15.75" x14ac:dyDescent="0.25">
      <c r="A1260" s="21">
        <v>45412</v>
      </c>
      <c r="B1260" t="str">
        <f>IFERROR(IF(VLOOKUP(C1260,Hoja1!$B$1:$C$6191,2,0)="",_xlfn.XLOOKUP(C1260,Hoja1!$B$2:$B$6191,Hoja1!$A$2:$A$6191),VLOOKUP(C1260,Hoja1!$B$1:$C$6191,2,0)),"No esta en Infor")</f>
        <v>NAC1608</v>
      </c>
      <c r="C1260" s="19" t="s">
        <v>451</v>
      </c>
      <c r="D1260" s="9">
        <v>-9.94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-9.94</v>
      </c>
    </row>
    <row r="1261" spans="1:10" ht="15.75" x14ac:dyDescent="0.25">
      <c r="A1261" s="21">
        <v>45412</v>
      </c>
      <c r="B1261" t="str">
        <f>IFERROR(IF(VLOOKUP(C1261,Hoja1!$B$1:$C$6191,2,0)="",_xlfn.XLOOKUP(C1261,Hoja1!$B$2:$B$6191,Hoja1!$A$2:$A$6191),VLOOKUP(C1261,Hoja1!$B$1:$C$6191,2,0)),"No esta en Infor")</f>
        <v>NAC1608</v>
      </c>
      <c r="C1261" s="19" t="s">
        <v>152</v>
      </c>
      <c r="D1261" s="9">
        <v>0</v>
      </c>
      <c r="E1261" s="9">
        <v>0</v>
      </c>
      <c r="F1261" s="9">
        <v>-308</v>
      </c>
      <c r="G1261" s="9">
        <v>0</v>
      </c>
      <c r="H1261" s="9">
        <v>0</v>
      </c>
      <c r="I1261" s="9">
        <v>0</v>
      </c>
      <c r="J1261" s="9">
        <v>-308</v>
      </c>
    </row>
    <row r="1262" spans="1:10" ht="15.75" x14ac:dyDescent="0.25">
      <c r="A1262" s="21">
        <v>45412</v>
      </c>
      <c r="B1262" t="str">
        <f>IFERROR(IF(VLOOKUP(C1262,Hoja1!$B$1:$C$6191,2,0)="",_xlfn.XLOOKUP(C1262,Hoja1!$B$2:$B$6191,Hoja1!$A$2:$A$6191),VLOOKUP(C1262,Hoja1!$B$1:$C$6191,2,0)),"No esta en Infor")</f>
        <v>NAC1608</v>
      </c>
      <c r="C1262" s="19" t="s">
        <v>452</v>
      </c>
      <c r="D1262" s="9">
        <v>-9.94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-9.94</v>
      </c>
    </row>
    <row r="1263" spans="1:10" ht="15.75" x14ac:dyDescent="0.25">
      <c r="A1263" s="21">
        <v>45412</v>
      </c>
      <c r="B1263" t="str">
        <f>IFERROR(IF(VLOOKUP(C1263,Hoja1!$B$1:$C$6191,2,0)="",_xlfn.XLOOKUP(C1263,Hoja1!$B$2:$B$6191,Hoja1!$A$2:$A$6191),VLOOKUP(C1263,Hoja1!$B$1:$C$6191,2,0)),"No esta en Infor")</f>
        <v>NAC1608</v>
      </c>
      <c r="C1263" s="19" t="s">
        <v>453</v>
      </c>
      <c r="D1263" s="9">
        <v>-9.94</v>
      </c>
      <c r="E1263" s="9">
        <v>0</v>
      </c>
      <c r="F1263" s="9">
        <v>0</v>
      </c>
      <c r="G1263" s="9">
        <v>0</v>
      </c>
      <c r="H1263" s="9">
        <v>0</v>
      </c>
      <c r="I1263" s="9">
        <v>0</v>
      </c>
      <c r="J1263" s="9">
        <v>-9.94</v>
      </c>
    </row>
    <row r="1264" spans="1:10" ht="15.75" x14ac:dyDescent="0.25">
      <c r="A1264" s="21">
        <v>45412</v>
      </c>
      <c r="B1264" t="str">
        <f>IFERROR(IF(VLOOKUP(C1264,Hoja1!$B$1:$C$6191,2,0)="",_xlfn.XLOOKUP(C1264,Hoja1!$B$2:$B$6191,Hoja1!$A$2:$A$6191),VLOOKUP(C1264,Hoja1!$B$1:$C$6191,2,0)),"No esta en Infor")</f>
        <v>NAC1608</v>
      </c>
      <c r="C1264" s="19" t="s">
        <v>153</v>
      </c>
      <c r="D1264" s="9">
        <v>152.30000000000001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152.30000000000001</v>
      </c>
    </row>
    <row r="1265" spans="1:10" ht="15.75" x14ac:dyDescent="0.25">
      <c r="A1265" s="21">
        <v>45412</v>
      </c>
      <c r="B1265" t="str">
        <f>IFERROR(IF(VLOOKUP(C1265,Hoja1!$B$1:$C$6191,2,0)="",_xlfn.XLOOKUP(C1265,Hoja1!$B$2:$B$6191,Hoja1!$A$2:$A$6191),VLOOKUP(C1265,Hoja1!$B$1:$C$6191,2,0)),"No esta en Infor")</f>
        <v>NAC0756</v>
      </c>
      <c r="C1265" s="19" t="s">
        <v>154</v>
      </c>
      <c r="D1265" s="9">
        <v>0</v>
      </c>
      <c r="E1265" s="9">
        <v>0</v>
      </c>
      <c r="F1265" s="9">
        <v>0</v>
      </c>
      <c r="G1265" s="9">
        <v>-3.79</v>
      </c>
      <c r="H1265" s="9">
        <v>0</v>
      </c>
      <c r="I1265" s="9">
        <v>0</v>
      </c>
      <c r="J1265" s="9">
        <v>-3.79</v>
      </c>
    </row>
    <row r="1266" spans="1:10" ht="15.75" x14ac:dyDescent="0.25">
      <c r="A1266" s="21">
        <v>45412</v>
      </c>
      <c r="B1266" t="str">
        <f>IFERROR(IF(VLOOKUP(C1266,Hoja1!$B$1:$C$6191,2,0)="",_xlfn.XLOOKUP(C1266,Hoja1!$B$2:$B$6191,Hoja1!$A$2:$A$6191),VLOOKUP(C1266,Hoja1!$B$1:$C$6191,2,0)),"No esta en Infor")</f>
        <v>NAC0767</v>
      </c>
      <c r="C1266" s="19" t="s">
        <v>155</v>
      </c>
      <c r="D1266" s="9">
        <v>1088772.3999999999</v>
      </c>
      <c r="E1266" s="9">
        <v>385300.8</v>
      </c>
      <c r="F1266" s="9">
        <v>0</v>
      </c>
      <c r="G1266" s="9">
        <v>0</v>
      </c>
      <c r="H1266" s="9">
        <v>-21257.9</v>
      </c>
      <c r="I1266" s="9">
        <v>0</v>
      </c>
      <c r="J1266" s="9">
        <v>1452815.3</v>
      </c>
    </row>
    <row r="1267" spans="1:10" ht="15.75" x14ac:dyDescent="0.25">
      <c r="A1267" s="21">
        <v>45412</v>
      </c>
      <c r="B1267" t="str">
        <f>IFERROR(IF(VLOOKUP(C1267,Hoja1!$B$1:$C$6191,2,0)="",_xlfn.XLOOKUP(C1267,Hoja1!$B$2:$B$6191,Hoja1!$A$2:$A$6191),VLOOKUP(C1267,Hoja1!$B$1:$C$6191,2,0)),"No esta en Infor")</f>
        <v>NAC0769</v>
      </c>
      <c r="C1267" s="19" t="s">
        <v>156</v>
      </c>
      <c r="D1267" s="9">
        <v>4518.79</v>
      </c>
      <c r="E1267" s="9">
        <v>-297.89</v>
      </c>
      <c r="F1267" s="9">
        <v>0</v>
      </c>
      <c r="G1267" s="9">
        <v>0</v>
      </c>
      <c r="H1267" s="9">
        <v>0</v>
      </c>
      <c r="I1267" s="9">
        <v>0</v>
      </c>
      <c r="J1267" s="9">
        <v>4220.8999999999996</v>
      </c>
    </row>
    <row r="1268" spans="1:10" ht="15.75" x14ac:dyDescent="0.25">
      <c r="A1268" s="21">
        <v>45412</v>
      </c>
      <c r="B1268" t="str">
        <f>IFERROR(IF(VLOOKUP(C1268,Hoja1!$B$1:$C$6191,2,0)="",_xlfn.XLOOKUP(C1268,Hoja1!$B$2:$B$6191,Hoja1!$A$2:$A$6191),VLOOKUP(C1268,Hoja1!$B$1:$C$6191,2,0)),"No esta en Infor")</f>
        <v>SH00725</v>
      </c>
      <c r="C1268" s="19" t="s">
        <v>495</v>
      </c>
      <c r="D1268" s="9">
        <v>0</v>
      </c>
      <c r="E1268" s="9">
        <v>54.35</v>
      </c>
      <c r="F1268" s="9">
        <v>0</v>
      </c>
      <c r="G1268" s="9">
        <v>0</v>
      </c>
      <c r="H1268" s="9">
        <v>0</v>
      </c>
      <c r="I1268" s="9">
        <v>0</v>
      </c>
      <c r="J1268" s="9">
        <v>54.35</v>
      </c>
    </row>
    <row r="1269" spans="1:10" ht="15.75" x14ac:dyDescent="0.25">
      <c r="A1269" s="21">
        <v>45412</v>
      </c>
      <c r="B1269" t="str">
        <f>IFERROR(IF(VLOOKUP(C1269,Hoja1!$B$1:$C$6191,2,0)="",_xlfn.XLOOKUP(C1269,Hoja1!$B$2:$B$6191,Hoja1!$A$2:$A$6191),VLOOKUP(C1269,Hoja1!$B$1:$C$6191,2,0)),"No esta en Infor")</f>
        <v>NAC0775</v>
      </c>
      <c r="C1269" s="19" t="s">
        <v>158</v>
      </c>
      <c r="D1269" s="9">
        <v>0</v>
      </c>
      <c r="E1269" s="9">
        <v>-29.24</v>
      </c>
      <c r="F1269" s="9">
        <v>0</v>
      </c>
      <c r="G1269" s="9">
        <v>0</v>
      </c>
      <c r="H1269" s="9">
        <v>0</v>
      </c>
      <c r="I1269" s="9">
        <v>0</v>
      </c>
      <c r="J1269" s="9">
        <v>-29.24</v>
      </c>
    </row>
    <row r="1270" spans="1:10" ht="15.75" x14ac:dyDescent="0.25">
      <c r="A1270" s="21">
        <v>45412</v>
      </c>
      <c r="B1270" t="str">
        <f>IFERROR(IF(VLOOKUP(C1270,Hoja1!$B$1:$C$6191,2,0)="",_xlfn.XLOOKUP(C1270,Hoja1!$B$2:$B$6191,Hoja1!$A$2:$A$6191),VLOOKUP(C1270,Hoja1!$B$1:$C$6191,2,0)),"No esta en Infor")</f>
        <v>NAC0778</v>
      </c>
      <c r="C1270" s="19" t="s">
        <v>159</v>
      </c>
      <c r="D1270" s="9">
        <v>0</v>
      </c>
      <c r="E1270" s="9">
        <v>0</v>
      </c>
      <c r="F1270" s="9">
        <v>-781.38</v>
      </c>
      <c r="G1270" s="9">
        <v>0</v>
      </c>
      <c r="H1270" s="9">
        <v>0</v>
      </c>
      <c r="I1270" s="9">
        <v>0</v>
      </c>
      <c r="J1270" s="9">
        <v>-781.38</v>
      </c>
    </row>
    <row r="1271" spans="1:10" ht="15.75" x14ac:dyDescent="0.25">
      <c r="A1271" s="21">
        <v>45412</v>
      </c>
      <c r="B1271" t="str">
        <f>IFERROR(IF(VLOOKUP(C1271,Hoja1!$B$1:$C$6191,2,0)="",_xlfn.XLOOKUP(C1271,Hoja1!$B$2:$B$6191,Hoja1!$A$2:$A$6191),VLOOKUP(C1271,Hoja1!$B$1:$C$6191,2,0)),"No esta en Infor")</f>
        <v>NAC0779</v>
      </c>
      <c r="C1271" s="19" t="s">
        <v>160</v>
      </c>
      <c r="D1271" s="9">
        <v>5211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5211</v>
      </c>
    </row>
    <row r="1272" spans="1:10" ht="15.75" x14ac:dyDescent="0.25">
      <c r="A1272" s="21">
        <v>45412</v>
      </c>
      <c r="B1272" t="str">
        <f>IFERROR(IF(VLOOKUP(C1272,Hoja1!$B$1:$C$6191,2,0)="",_xlfn.XLOOKUP(C1272,Hoja1!$B$2:$B$6191,Hoja1!$A$2:$A$6191),VLOOKUP(C1272,Hoja1!$B$1:$C$6191,2,0)),"No esta en Infor")</f>
        <v>NAC0780</v>
      </c>
      <c r="C1272" s="19" t="s">
        <v>161</v>
      </c>
      <c r="D1272" s="9">
        <v>8683</v>
      </c>
      <c r="E1272" s="9">
        <v>3139.2</v>
      </c>
      <c r="F1272" s="9">
        <v>0</v>
      </c>
      <c r="G1272" s="9">
        <v>0</v>
      </c>
      <c r="H1272" s="9">
        <v>0</v>
      </c>
      <c r="I1272" s="9">
        <v>0</v>
      </c>
      <c r="J1272" s="9">
        <v>11822.2</v>
      </c>
    </row>
    <row r="1273" spans="1:10" ht="15.75" x14ac:dyDescent="0.25">
      <c r="A1273" s="21">
        <v>45412</v>
      </c>
      <c r="B1273" t="str">
        <f>IFERROR(IF(VLOOKUP(C1273,Hoja1!$B$1:$C$6191,2,0)="",_xlfn.XLOOKUP(C1273,Hoja1!$B$2:$B$6191,Hoja1!$A$2:$A$6191),VLOOKUP(C1273,Hoja1!$B$1:$C$6191,2,0)),"No esta en Infor")</f>
        <v>NAC0781</v>
      </c>
      <c r="C1273" s="19" t="s">
        <v>162</v>
      </c>
      <c r="D1273" s="9">
        <v>2470</v>
      </c>
      <c r="E1273" s="9">
        <v>0</v>
      </c>
      <c r="F1273" s="9">
        <v>-340</v>
      </c>
      <c r="G1273" s="9">
        <v>0</v>
      </c>
      <c r="H1273" s="9">
        <v>-390</v>
      </c>
      <c r="I1273" s="9">
        <v>0</v>
      </c>
      <c r="J1273" s="9">
        <v>1740</v>
      </c>
    </row>
    <row r="1274" spans="1:10" ht="15.75" x14ac:dyDescent="0.25">
      <c r="A1274" s="21">
        <v>45412</v>
      </c>
      <c r="B1274" t="str">
        <f>IFERROR(IF(VLOOKUP(C1274,Hoja1!$B$1:$C$6191,2,0)="",_xlfn.XLOOKUP(C1274,Hoja1!$B$2:$B$6191,Hoja1!$A$2:$A$6191),VLOOKUP(C1274,Hoja1!$B$1:$C$6191,2,0)),"No esta en Infor")</f>
        <v>NAC0782</v>
      </c>
      <c r="C1274" s="19" t="s">
        <v>496</v>
      </c>
      <c r="D1274" s="9">
        <v>154</v>
      </c>
      <c r="E1274" s="9">
        <v>0</v>
      </c>
      <c r="F1274" s="9">
        <v>0</v>
      </c>
      <c r="G1274" s="9">
        <v>0</v>
      </c>
      <c r="H1274" s="9">
        <v>0</v>
      </c>
      <c r="I1274" s="9">
        <v>0</v>
      </c>
      <c r="J1274" s="9">
        <v>154</v>
      </c>
    </row>
    <row r="1275" spans="1:10" ht="15.75" x14ac:dyDescent="0.25">
      <c r="A1275" s="21">
        <v>45412</v>
      </c>
      <c r="B1275" t="str">
        <f>IFERROR(IF(VLOOKUP(C1275,Hoja1!$B$1:$C$6191,2,0)="",_xlfn.XLOOKUP(C1275,Hoja1!$B$2:$B$6191,Hoja1!$A$2:$A$6191),VLOOKUP(C1275,Hoja1!$B$1:$C$6191,2,0)),"No esta en Infor")</f>
        <v>NAC0788</v>
      </c>
      <c r="C1275" s="19" t="s">
        <v>163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  <c r="I1275" s="9">
        <v>-366</v>
      </c>
      <c r="J1275" s="9">
        <v>-366</v>
      </c>
    </row>
    <row r="1276" spans="1:10" ht="15.75" x14ac:dyDescent="0.25">
      <c r="A1276" s="21">
        <v>45412</v>
      </c>
      <c r="B1276" t="str">
        <f>IFERROR(IF(VLOOKUP(C1276,Hoja1!$B$1:$C$6191,2,0)="",_xlfn.XLOOKUP(C1276,Hoja1!$B$2:$B$6191,Hoja1!$A$2:$A$6191),VLOOKUP(C1276,Hoja1!$B$1:$C$6191,2,0)),"No esta en Infor")</f>
        <v>NAC0792</v>
      </c>
      <c r="C1276" s="19" t="s">
        <v>164</v>
      </c>
      <c r="D1276" s="9">
        <v>208256.24</v>
      </c>
      <c r="E1276" s="9">
        <v>9214.4</v>
      </c>
      <c r="F1276" s="9">
        <v>0</v>
      </c>
      <c r="G1276" s="9">
        <v>-0.01</v>
      </c>
      <c r="H1276" s="9">
        <v>0</v>
      </c>
      <c r="I1276" s="9">
        <v>-0.01</v>
      </c>
      <c r="J1276" s="9">
        <v>217470.62</v>
      </c>
    </row>
    <row r="1277" spans="1:10" ht="15.75" x14ac:dyDescent="0.25">
      <c r="A1277" s="21">
        <v>45412</v>
      </c>
      <c r="B1277" t="str">
        <f>IFERROR(IF(VLOOKUP(C1277,Hoja1!$B$1:$C$6191,2,0)="",_xlfn.XLOOKUP(C1277,Hoja1!$B$2:$B$6191,Hoja1!$A$2:$A$6191),VLOOKUP(C1277,Hoja1!$B$1:$C$6191,2,0)),"No esta en Infor")</f>
        <v>NAC1612</v>
      </c>
      <c r="C1277" s="19" t="s">
        <v>394</v>
      </c>
      <c r="D1277" s="9">
        <v>0</v>
      </c>
      <c r="E1277" s="9">
        <v>-0.01</v>
      </c>
      <c r="F1277" s="9">
        <v>0</v>
      </c>
      <c r="G1277" s="9">
        <v>0</v>
      </c>
      <c r="H1277" s="9">
        <v>0</v>
      </c>
      <c r="I1277" s="9">
        <v>0</v>
      </c>
      <c r="J1277" s="9">
        <v>-0.01</v>
      </c>
    </row>
    <row r="1278" spans="1:10" ht="15.75" x14ac:dyDescent="0.25">
      <c r="A1278" s="21">
        <v>45412</v>
      </c>
      <c r="B1278" t="str">
        <f>IFERROR(IF(VLOOKUP(C1278,Hoja1!$B$1:$C$6191,2,0)="",_xlfn.XLOOKUP(C1278,Hoja1!$B$2:$B$6191,Hoja1!$A$2:$A$6191),VLOOKUP(C1278,Hoja1!$B$1:$C$6191,2,0)),"No esta en Infor")</f>
        <v>NAC1612</v>
      </c>
      <c r="C1278" s="19" t="s">
        <v>165</v>
      </c>
      <c r="D1278" s="9">
        <v>0</v>
      </c>
      <c r="E1278" s="9">
        <v>-0.01</v>
      </c>
      <c r="F1278" s="9">
        <v>0</v>
      </c>
      <c r="G1278" s="9">
        <v>0</v>
      </c>
      <c r="H1278" s="9">
        <v>0</v>
      </c>
      <c r="I1278" s="9">
        <v>0</v>
      </c>
      <c r="J1278" s="9">
        <v>-0.01</v>
      </c>
    </row>
    <row r="1279" spans="1:10" ht="15.75" x14ac:dyDescent="0.25">
      <c r="A1279" s="21">
        <v>45412</v>
      </c>
      <c r="B1279" t="str">
        <f>IFERROR(IF(VLOOKUP(C1279,Hoja1!$B$1:$C$6191,2,0)="",_xlfn.XLOOKUP(C1279,Hoja1!$B$2:$B$6191,Hoja1!$A$2:$A$6191),VLOOKUP(C1279,Hoja1!$B$1:$C$6191,2,0)),"No esta en Infor")</f>
        <v>NAC0798</v>
      </c>
      <c r="C1279" s="19" t="s">
        <v>167</v>
      </c>
      <c r="D1279" s="9">
        <v>13346</v>
      </c>
      <c r="E1279" s="9">
        <v>0</v>
      </c>
      <c r="F1279" s="9">
        <v>0</v>
      </c>
      <c r="G1279" s="9">
        <v>0</v>
      </c>
      <c r="H1279" s="9">
        <v>0</v>
      </c>
      <c r="I1279" s="9">
        <v>0</v>
      </c>
      <c r="J1279" s="9">
        <v>13346</v>
      </c>
    </row>
    <row r="1280" spans="1:10" ht="15.75" x14ac:dyDescent="0.25">
      <c r="A1280" s="21">
        <v>45412</v>
      </c>
      <c r="B1280" t="str">
        <f>IFERROR(IF(VLOOKUP(C1280,Hoja1!$B$1:$C$6191,2,0)="",_xlfn.XLOOKUP(C1280,Hoja1!$B$2:$B$6191,Hoja1!$A$2:$A$6191),VLOOKUP(C1280,Hoja1!$B$1:$C$6191,2,0)),"No esta en Infor")</f>
        <v>NAC0801</v>
      </c>
      <c r="C1280" s="19" t="s">
        <v>168</v>
      </c>
      <c r="D1280" s="9">
        <v>1992.8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1992.8</v>
      </c>
    </row>
    <row r="1281" spans="1:10" ht="15.75" x14ac:dyDescent="0.25">
      <c r="A1281" s="21">
        <v>45412</v>
      </c>
      <c r="B1281" t="str">
        <f>IFERROR(IF(VLOOKUP(C1281,Hoja1!$B$1:$C$6191,2,0)="",_xlfn.XLOOKUP(C1281,Hoja1!$B$2:$B$6191,Hoja1!$A$2:$A$6191),VLOOKUP(C1281,Hoja1!$B$1:$C$6191,2,0)),"No esta en Infor")</f>
        <v>NAC0804</v>
      </c>
      <c r="C1281" s="19" t="s">
        <v>169</v>
      </c>
      <c r="D1281" s="9">
        <v>4155.68</v>
      </c>
      <c r="E1281" s="9">
        <v>0</v>
      </c>
      <c r="F1281" s="9">
        <v>0</v>
      </c>
      <c r="G1281" s="9">
        <v>0</v>
      </c>
      <c r="H1281" s="9">
        <v>0</v>
      </c>
      <c r="I1281" s="9">
        <v>0</v>
      </c>
      <c r="J1281" s="9">
        <v>4155.68</v>
      </c>
    </row>
    <row r="1282" spans="1:10" ht="15.75" x14ac:dyDescent="0.25">
      <c r="A1282" s="21">
        <v>45412</v>
      </c>
      <c r="B1282" t="str">
        <f>IFERROR(IF(VLOOKUP(C1282,Hoja1!$B$1:$C$6191,2,0)="",_xlfn.XLOOKUP(C1282,Hoja1!$B$2:$B$6191,Hoja1!$A$2:$A$6191),VLOOKUP(C1282,Hoja1!$B$1:$C$6191,2,0)),"No esta en Infor")</f>
        <v>NAC0805</v>
      </c>
      <c r="C1282" s="19" t="s">
        <v>170</v>
      </c>
      <c r="D1282" s="9">
        <v>0</v>
      </c>
      <c r="E1282" s="9">
        <v>0</v>
      </c>
      <c r="F1282" s="9">
        <v>0</v>
      </c>
      <c r="G1282" s="9">
        <v>0</v>
      </c>
      <c r="H1282" s="9">
        <v>0</v>
      </c>
      <c r="I1282" s="9">
        <v>-0.03</v>
      </c>
      <c r="J1282" s="9">
        <v>-0.03</v>
      </c>
    </row>
    <row r="1283" spans="1:10" ht="15.75" x14ac:dyDescent="0.25">
      <c r="A1283" s="21">
        <v>45412</v>
      </c>
      <c r="B1283" t="str">
        <f>IFERROR(IF(VLOOKUP(C1283,Hoja1!$B$1:$C$6191,2,0)="",_xlfn.XLOOKUP(C1283,Hoja1!$B$2:$B$6191,Hoja1!$A$2:$A$6191),VLOOKUP(C1283,Hoja1!$B$1:$C$6191,2,0)),"No esta en Infor")</f>
        <v>CAN0019</v>
      </c>
      <c r="C1283" s="19" t="s">
        <v>172</v>
      </c>
      <c r="D1283" s="9">
        <v>10988.8</v>
      </c>
      <c r="E1283" s="9">
        <v>0</v>
      </c>
      <c r="F1283" s="9">
        <v>0</v>
      </c>
      <c r="G1283" s="9">
        <v>0</v>
      </c>
      <c r="H1283" s="9">
        <v>0</v>
      </c>
      <c r="I1283" s="9">
        <v>0</v>
      </c>
      <c r="J1283" s="9">
        <v>10988.8</v>
      </c>
    </row>
    <row r="1284" spans="1:10" ht="15.75" x14ac:dyDescent="0.25">
      <c r="A1284" s="21">
        <v>45412</v>
      </c>
      <c r="B1284" t="str">
        <f>IFERROR(IF(VLOOKUP(C1284,Hoja1!$B$1:$C$6191,2,0)="",_xlfn.XLOOKUP(C1284,Hoja1!$B$2:$B$6191,Hoja1!$A$2:$A$6191),VLOOKUP(C1284,Hoja1!$B$1:$C$6191,2,0)),"No esta en Infor")</f>
        <v>NAC0811</v>
      </c>
      <c r="C1284" s="19" t="s">
        <v>173</v>
      </c>
      <c r="D1284" s="9">
        <v>0</v>
      </c>
      <c r="E1284" s="9">
        <v>1500</v>
      </c>
      <c r="F1284" s="9">
        <v>0</v>
      </c>
      <c r="G1284" s="9">
        <v>0</v>
      </c>
      <c r="H1284" s="9">
        <v>0</v>
      </c>
      <c r="I1284" s="9">
        <v>0</v>
      </c>
      <c r="J1284" s="9">
        <v>1500</v>
      </c>
    </row>
    <row r="1285" spans="1:10" ht="15.75" x14ac:dyDescent="0.25">
      <c r="A1285" s="21">
        <v>45412</v>
      </c>
      <c r="B1285" t="str">
        <f>IFERROR(IF(VLOOKUP(C1285,Hoja1!$B$1:$C$6191,2,0)="",_xlfn.XLOOKUP(C1285,Hoja1!$B$2:$B$6191,Hoja1!$A$2:$A$6191),VLOOKUP(C1285,Hoja1!$B$1:$C$6191,2,0)),"No esta en Infor")</f>
        <v>CAN0020</v>
      </c>
      <c r="C1285" s="19" t="s">
        <v>174</v>
      </c>
      <c r="D1285" s="9">
        <v>938.47</v>
      </c>
      <c r="E1285" s="9">
        <v>-36.4</v>
      </c>
      <c r="F1285" s="9">
        <v>0</v>
      </c>
      <c r="G1285" s="9">
        <v>0</v>
      </c>
      <c r="H1285" s="9">
        <v>0</v>
      </c>
      <c r="I1285" s="9">
        <v>0</v>
      </c>
      <c r="J1285" s="9">
        <v>902.07</v>
      </c>
    </row>
    <row r="1286" spans="1:10" ht="15.75" x14ac:dyDescent="0.25">
      <c r="A1286" s="21">
        <v>45412</v>
      </c>
      <c r="B1286" t="str">
        <f>IFERROR(IF(VLOOKUP(C1286,Hoja1!$B$1:$C$6191,2,0)="",_xlfn.XLOOKUP(C1286,Hoja1!$B$2:$B$6191,Hoja1!$A$2:$A$6191),VLOOKUP(C1286,Hoja1!$B$1:$C$6191,2,0)),"No esta en Infor")</f>
        <v>NAC0816</v>
      </c>
      <c r="C1286" s="19" t="s">
        <v>176</v>
      </c>
      <c r="D1286" s="9">
        <v>0</v>
      </c>
      <c r="E1286" s="9">
        <v>279</v>
      </c>
      <c r="F1286" s="9">
        <v>0</v>
      </c>
      <c r="G1286" s="9">
        <v>0</v>
      </c>
      <c r="H1286" s="9">
        <v>0</v>
      </c>
      <c r="I1286" s="9">
        <v>0</v>
      </c>
      <c r="J1286" s="9">
        <v>279</v>
      </c>
    </row>
    <row r="1287" spans="1:10" ht="15.75" x14ac:dyDescent="0.25">
      <c r="A1287" s="21">
        <v>45412</v>
      </c>
      <c r="B1287" t="str">
        <f>IFERROR(IF(VLOOKUP(C1287,Hoja1!$B$1:$C$6191,2,0)="",_xlfn.XLOOKUP(C1287,Hoja1!$B$2:$B$6191,Hoja1!$A$2:$A$6191),VLOOKUP(C1287,Hoja1!$B$1:$C$6191,2,0)),"No esta en Infor")</f>
        <v>NAC0818</v>
      </c>
      <c r="C1287" s="19" t="s">
        <v>177</v>
      </c>
      <c r="D1287" s="9">
        <v>0</v>
      </c>
      <c r="E1287" s="9">
        <v>0</v>
      </c>
      <c r="F1287" s="9">
        <v>0</v>
      </c>
      <c r="G1287" s="9">
        <v>0</v>
      </c>
      <c r="H1287" s="9">
        <v>0</v>
      </c>
      <c r="I1287" s="9">
        <v>-26</v>
      </c>
      <c r="J1287" s="9">
        <v>-26</v>
      </c>
    </row>
    <row r="1288" spans="1:10" ht="15.75" x14ac:dyDescent="0.25">
      <c r="A1288" s="21">
        <v>45412</v>
      </c>
      <c r="B1288" t="str">
        <f>IFERROR(IF(VLOOKUP(C1288,Hoja1!$B$1:$C$6191,2,0)="",_xlfn.XLOOKUP(C1288,Hoja1!$B$2:$B$6191,Hoja1!$A$2:$A$6191),VLOOKUP(C1288,Hoja1!$B$1:$C$6191,2,0)),"No esta en Infor")</f>
        <v>NAC0823</v>
      </c>
      <c r="C1288" s="19" t="s">
        <v>497</v>
      </c>
      <c r="D1288" s="9">
        <v>0</v>
      </c>
      <c r="E1288" s="9">
        <v>39.479999999999997</v>
      </c>
      <c r="F1288" s="9">
        <v>0</v>
      </c>
      <c r="G1288" s="9">
        <v>0</v>
      </c>
      <c r="H1288" s="9">
        <v>0</v>
      </c>
      <c r="I1288" s="9">
        <v>0</v>
      </c>
      <c r="J1288" s="9">
        <v>39.479999999999997</v>
      </c>
    </row>
    <row r="1289" spans="1:10" ht="15.75" x14ac:dyDescent="0.25">
      <c r="A1289" s="21">
        <v>45412</v>
      </c>
      <c r="B1289" t="str">
        <f>IFERROR(IF(VLOOKUP(C1289,Hoja1!$B$1:$C$6191,2,0)="",_xlfn.XLOOKUP(C1289,Hoja1!$B$2:$B$6191,Hoja1!$A$2:$A$6191),VLOOKUP(C1289,Hoja1!$B$1:$C$6191,2,0)),"No esta en Infor")</f>
        <v>NAC0824</v>
      </c>
      <c r="C1289" s="19" t="s">
        <v>178</v>
      </c>
      <c r="D1289" s="9">
        <v>2232</v>
      </c>
      <c r="E1289" s="9">
        <v>0</v>
      </c>
      <c r="F1289" s="9">
        <v>0</v>
      </c>
      <c r="G1289" s="9">
        <v>0</v>
      </c>
      <c r="H1289" s="9">
        <v>0</v>
      </c>
      <c r="I1289" s="9">
        <v>0</v>
      </c>
      <c r="J1289" s="9">
        <v>2232</v>
      </c>
    </row>
    <row r="1290" spans="1:10" ht="15.75" x14ac:dyDescent="0.25">
      <c r="A1290" s="21">
        <v>45412</v>
      </c>
      <c r="B1290" t="str">
        <f>IFERROR(IF(VLOOKUP(C1290,Hoja1!$B$1:$C$6191,2,0)="",_xlfn.XLOOKUP(C1290,Hoja1!$B$2:$B$6191,Hoja1!$A$2:$A$6191),VLOOKUP(C1290,Hoja1!$B$1:$C$6191,2,0)),"No esta en Infor")</f>
        <v>NAC0825</v>
      </c>
      <c r="C1290" s="19" t="s">
        <v>179</v>
      </c>
      <c r="D1290" s="9">
        <v>130665.01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130665.01</v>
      </c>
    </row>
    <row r="1291" spans="1:10" ht="15.75" x14ac:dyDescent="0.25">
      <c r="A1291" s="21">
        <v>45412</v>
      </c>
      <c r="B1291" t="str">
        <f>IFERROR(IF(VLOOKUP(C1291,Hoja1!$B$1:$C$6191,2,0)="",_xlfn.XLOOKUP(C1291,Hoja1!$B$2:$B$6191,Hoja1!$A$2:$A$6191),VLOOKUP(C1291,Hoja1!$B$1:$C$6191,2,0)),"No esta en Infor")</f>
        <v>NAC0835</v>
      </c>
      <c r="C1291" s="19" t="s">
        <v>182</v>
      </c>
      <c r="D1291" s="9">
        <v>0</v>
      </c>
      <c r="E1291" s="9">
        <v>0</v>
      </c>
      <c r="F1291" s="9">
        <v>0</v>
      </c>
      <c r="G1291" s="9">
        <v>0</v>
      </c>
      <c r="H1291" s="9">
        <v>0</v>
      </c>
      <c r="I1291" s="9">
        <v>-188.04</v>
      </c>
      <c r="J1291" s="9">
        <v>-188.04</v>
      </c>
    </row>
    <row r="1292" spans="1:10" ht="15.75" x14ac:dyDescent="0.25">
      <c r="A1292" s="21">
        <v>45412</v>
      </c>
      <c r="B1292" t="str">
        <f>IFERROR(IF(VLOOKUP(C1292,Hoja1!$B$1:$C$6191,2,0)="",_xlfn.XLOOKUP(C1292,Hoja1!$B$2:$B$6191,Hoja1!$A$2:$A$6191),VLOOKUP(C1292,Hoja1!$B$1:$C$6191,2,0)),"No esta en Infor")</f>
        <v>NAC0838</v>
      </c>
      <c r="C1292" s="19" t="s">
        <v>396</v>
      </c>
      <c r="D1292" s="9">
        <v>-493.5</v>
      </c>
      <c r="E1292" s="9">
        <v>54</v>
      </c>
      <c r="F1292" s="9">
        <v>0</v>
      </c>
      <c r="G1292" s="9">
        <v>0</v>
      </c>
      <c r="H1292" s="9">
        <v>0</v>
      </c>
      <c r="I1292" s="9">
        <v>0</v>
      </c>
      <c r="J1292" s="9">
        <v>-439.5</v>
      </c>
    </row>
    <row r="1293" spans="1:10" ht="15.75" x14ac:dyDescent="0.25">
      <c r="A1293" s="21">
        <v>45412</v>
      </c>
      <c r="B1293" t="str">
        <f>IFERROR(IF(VLOOKUP(C1293,Hoja1!$B$1:$C$6191,2,0)="",_xlfn.XLOOKUP(C1293,Hoja1!$B$2:$B$6191,Hoja1!$A$2:$A$6191),VLOOKUP(C1293,Hoja1!$B$1:$C$6191,2,0)),"No esta en Infor")</f>
        <v>NAC0844</v>
      </c>
      <c r="C1293" s="19" t="s">
        <v>22</v>
      </c>
      <c r="D1293" s="9">
        <v>0</v>
      </c>
      <c r="E1293" s="9">
        <v>0</v>
      </c>
      <c r="F1293" s="9">
        <v>0</v>
      </c>
      <c r="G1293" s="9">
        <v>63</v>
      </c>
      <c r="H1293" s="9">
        <v>0</v>
      </c>
      <c r="I1293" s="9">
        <v>0</v>
      </c>
      <c r="J1293" s="9">
        <v>63</v>
      </c>
    </row>
    <row r="1294" spans="1:10" ht="15.75" x14ac:dyDescent="0.25">
      <c r="A1294" s="21">
        <v>45412</v>
      </c>
      <c r="B1294" t="str">
        <f>IFERROR(IF(VLOOKUP(C1294,Hoja1!$B$1:$C$6191,2,0)="",_xlfn.XLOOKUP(C1294,Hoja1!$B$2:$B$6191,Hoja1!$A$2:$A$6191),VLOOKUP(C1294,Hoja1!$B$1:$C$6191,2,0)),"No esta en Infor")</f>
        <v>NAC0847</v>
      </c>
      <c r="C1294" s="19" t="s">
        <v>184</v>
      </c>
      <c r="D1294" s="9">
        <v>0</v>
      </c>
      <c r="E1294" s="9">
        <v>0</v>
      </c>
      <c r="F1294" s="9">
        <v>0</v>
      </c>
      <c r="G1294" s="9">
        <v>0</v>
      </c>
      <c r="H1294" s="9">
        <v>-1</v>
      </c>
      <c r="I1294" s="9">
        <v>0</v>
      </c>
      <c r="J1294" s="9">
        <v>-1</v>
      </c>
    </row>
    <row r="1295" spans="1:10" ht="15.75" x14ac:dyDescent="0.25">
      <c r="A1295" s="21">
        <v>45412</v>
      </c>
      <c r="B1295" t="str">
        <f>IFERROR(IF(VLOOKUP(C1295,Hoja1!$B$1:$C$6191,2,0)="",_xlfn.XLOOKUP(C1295,Hoja1!$B$2:$B$6191,Hoja1!$A$2:$A$6191),VLOOKUP(C1295,Hoja1!$B$1:$C$6191,2,0)),"No esta en Infor")</f>
        <v>NAC0848</v>
      </c>
      <c r="C1295" s="19" t="s">
        <v>498</v>
      </c>
      <c r="D1295" s="9">
        <v>2145.4899999999998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2145.4899999999998</v>
      </c>
    </row>
    <row r="1296" spans="1:10" ht="15.75" x14ac:dyDescent="0.25">
      <c r="A1296" s="21">
        <v>45412</v>
      </c>
      <c r="B1296" t="str">
        <f>IFERROR(IF(VLOOKUP(C1296,Hoja1!$B$1:$C$6191,2,0)="",_xlfn.XLOOKUP(C1296,Hoja1!$B$2:$B$6191,Hoja1!$A$2:$A$6191),VLOOKUP(C1296,Hoja1!$B$1:$C$6191,2,0)),"No esta en Infor")</f>
        <v>NAC0851</v>
      </c>
      <c r="C1296" s="19" t="s">
        <v>185</v>
      </c>
      <c r="D1296" s="9">
        <v>0</v>
      </c>
      <c r="E1296" s="9">
        <v>-151.19999999999999</v>
      </c>
      <c r="F1296" s="9">
        <v>-680.4</v>
      </c>
      <c r="G1296" s="9">
        <v>0</v>
      </c>
      <c r="H1296" s="9">
        <v>0</v>
      </c>
      <c r="I1296" s="9">
        <v>0</v>
      </c>
      <c r="J1296" s="9">
        <v>-831.6</v>
      </c>
    </row>
    <row r="1297" spans="1:10" ht="15.75" x14ac:dyDescent="0.25">
      <c r="A1297" s="21">
        <v>45412</v>
      </c>
      <c r="B1297" t="str">
        <f>IFERROR(IF(VLOOKUP(C1297,Hoja1!$B$1:$C$6191,2,0)="",_xlfn.XLOOKUP(C1297,Hoja1!$B$2:$B$6191,Hoja1!$A$2:$A$6191),VLOOKUP(C1297,Hoja1!$B$1:$C$6191,2,0)),"No esta en Infor")</f>
        <v>NAC0852</v>
      </c>
      <c r="C1297" s="19" t="s">
        <v>499</v>
      </c>
      <c r="D1297" s="9">
        <v>239.12</v>
      </c>
      <c r="E1297" s="9">
        <v>0</v>
      </c>
      <c r="F1297" s="9">
        <v>0</v>
      </c>
      <c r="G1297" s="9">
        <v>0</v>
      </c>
      <c r="H1297" s="9">
        <v>0</v>
      </c>
      <c r="I1297" s="9">
        <v>0</v>
      </c>
      <c r="J1297" s="9">
        <v>239.12</v>
      </c>
    </row>
    <row r="1298" spans="1:10" ht="15.75" x14ac:dyDescent="0.25">
      <c r="A1298" s="21">
        <v>45412</v>
      </c>
      <c r="B1298" t="str">
        <f>IFERROR(IF(VLOOKUP(C1298,Hoja1!$B$1:$C$6191,2,0)="",_xlfn.XLOOKUP(C1298,Hoja1!$B$2:$B$6191,Hoja1!$A$2:$A$6191),VLOOKUP(C1298,Hoja1!$B$1:$C$6191,2,0)),"No esta en Infor")</f>
        <v>SH00787</v>
      </c>
      <c r="C1298" s="19" t="s">
        <v>186</v>
      </c>
      <c r="D1298" s="9">
        <v>0</v>
      </c>
      <c r="E1298" s="9">
        <v>0</v>
      </c>
      <c r="F1298" s="9">
        <v>174.63</v>
      </c>
      <c r="G1298" s="9">
        <v>0</v>
      </c>
      <c r="H1298" s="9">
        <v>0</v>
      </c>
      <c r="I1298" s="9">
        <v>0</v>
      </c>
      <c r="J1298" s="9">
        <v>174.63</v>
      </c>
    </row>
    <row r="1299" spans="1:10" ht="15.75" x14ac:dyDescent="0.25">
      <c r="A1299" s="21">
        <v>45412</v>
      </c>
      <c r="B1299" t="str">
        <f>IFERROR(IF(VLOOKUP(C1299,Hoja1!$B$1:$C$6191,2,0)="",_xlfn.XLOOKUP(C1299,Hoja1!$B$2:$B$6191,Hoja1!$A$2:$A$6191),VLOOKUP(C1299,Hoja1!$B$1:$C$6191,2,0)),"No esta en Infor")</f>
        <v>No esta en Infor</v>
      </c>
      <c r="C1299" s="19" t="s">
        <v>187</v>
      </c>
      <c r="D1299" s="9">
        <v>449</v>
      </c>
      <c r="E1299" s="9">
        <v>0</v>
      </c>
      <c r="F1299" s="9">
        <v>-4.6500000000000004</v>
      </c>
      <c r="G1299" s="9">
        <v>0</v>
      </c>
      <c r="H1299" s="9">
        <v>0</v>
      </c>
      <c r="I1299" s="9">
        <v>0</v>
      </c>
      <c r="J1299" s="9">
        <v>444.35</v>
      </c>
    </row>
    <row r="1300" spans="1:10" ht="15.75" x14ac:dyDescent="0.25">
      <c r="A1300" s="21">
        <v>45412</v>
      </c>
      <c r="B1300" t="str">
        <f>IFERROR(IF(VLOOKUP(C1300,Hoja1!$B$1:$C$6191,2,0)="",_xlfn.XLOOKUP(C1300,Hoja1!$B$2:$B$6191,Hoja1!$A$2:$A$6191),VLOOKUP(C1300,Hoja1!$B$1:$C$6191,2,0)),"No esta en Infor")</f>
        <v>NAC0862</v>
      </c>
      <c r="C1300" s="19" t="s">
        <v>190</v>
      </c>
      <c r="D1300" s="9">
        <v>5989.86</v>
      </c>
      <c r="E1300" s="9">
        <v>0</v>
      </c>
      <c r="F1300" s="9">
        <v>0</v>
      </c>
      <c r="G1300" s="9">
        <v>0</v>
      </c>
      <c r="H1300" s="9">
        <v>0</v>
      </c>
      <c r="I1300" s="9">
        <v>0</v>
      </c>
      <c r="J1300" s="9">
        <v>5989.86</v>
      </c>
    </row>
    <row r="1301" spans="1:10" ht="15.75" x14ac:dyDescent="0.25">
      <c r="A1301" s="21">
        <v>45412</v>
      </c>
      <c r="B1301" t="str">
        <f>IFERROR(IF(VLOOKUP(C1301,Hoja1!$B$1:$C$6191,2,0)="",_xlfn.XLOOKUP(C1301,Hoja1!$B$2:$B$6191,Hoja1!$A$2:$A$6191),VLOOKUP(C1301,Hoja1!$B$1:$C$6191,2,0)),"No esta en Infor")</f>
        <v>NAC0863</v>
      </c>
      <c r="C1301" s="19" t="s">
        <v>398</v>
      </c>
      <c r="D1301" s="9">
        <v>0</v>
      </c>
      <c r="E1301" s="9">
        <v>-49.92</v>
      </c>
      <c r="F1301" s="9">
        <v>0</v>
      </c>
      <c r="G1301" s="9">
        <v>0</v>
      </c>
      <c r="H1301" s="9">
        <v>0</v>
      </c>
      <c r="I1301" s="9">
        <v>0</v>
      </c>
      <c r="J1301" s="9">
        <v>-49.92</v>
      </c>
    </row>
    <row r="1302" spans="1:10" ht="15.75" x14ac:dyDescent="0.25">
      <c r="A1302" s="21">
        <v>45412</v>
      </c>
      <c r="B1302" t="str">
        <f>IFERROR(IF(VLOOKUP(C1302,Hoja1!$B$1:$C$6191,2,0)="",_xlfn.XLOOKUP(C1302,Hoja1!$B$2:$B$6191,Hoja1!$A$2:$A$6191),VLOOKUP(C1302,Hoja1!$B$1:$C$6191,2,0)),"No esta en Infor")</f>
        <v>NAC0865</v>
      </c>
      <c r="C1302" s="19" t="s">
        <v>23</v>
      </c>
      <c r="D1302" s="9">
        <v>4378</v>
      </c>
      <c r="E1302" s="9">
        <v>2803.4</v>
      </c>
      <c r="F1302" s="9">
        <v>0</v>
      </c>
      <c r="G1302" s="9">
        <v>0</v>
      </c>
      <c r="H1302" s="9">
        <v>0</v>
      </c>
      <c r="I1302" s="9">
        <v>0</v>
      </c>
      <c r="J1302" s="9">
        <v>7181.4</v>
      </c>
    </row>
    <row r="1303" spans="1:10" ht="15.75" x14ac:dyDescent="0.25">
      <c r="A1303" s="21">
        <v>45412</v>
      </c>
      <c r="B1303" t="str">
        <f>IFERROR(IF(VLOOKUP(C1303,Hoja1!$B$1:$C$6191,2,0)="",_xlfn.XLOOKUP(C1303,Hoja1!$B$2:$B$6191,Hoja1!$A$2:$A$6191),VLOOKUP(C1303,Hoja1!$B$1:$C$6191,2,0)),"No esta en Infor")</f>
        <v>NAC0866</v>
      </c>
      <c r="C1303" s="19" t="s">
        <v>191</v>
      </c>
      <c r="D1303" s="9">
        <v>0</v>
      </c>
      <c r="E1303" s="9">
        <v>0</v>
      </c>
      <c r="F1303" s="9">
        <v>0</v>
      </c>
      <c r="G1303" s="9">
        <v>0</v>
      </c>
      <c r="H1303" s="9">
        <v>0</v>
      </c>
      <c r="I1303" s="9">
        <v>-622</v>
      </c>
      <c r="J1303" s="9">
        <v>-622</v>
      </c>
    </row>
    <row r="1304" spans="1:10" ht="15.75" x14ac:dyDescent="0.25">
      <c r="A1304" s="21">
        <v>45412</v>
      </c>
      <c r="B1304" t="str">
        <f>IFERROR(IF(VLOOKUP(C1304,Hoja1!$B$1:$C$6191,2,0)="",_xlfn.XLOOKUP(C1304,Hoja1!$B$2:$B$6191,Hoja1!$A$2:$A$6191),VLOOKUP(C1304,Hoja1!$B$1:$C$6191,2,0)),"No esta en Infor")</f>
        <v>NAC0869</v>
      </c>
      <c r="C1304" s="19" t="s">
        <v>192</v>
      </c>
      <c r="D1304" s="9">
        <v>5052.8999999999996</v>
      </c>
      <c r="E1304" s="9">
        <v>399</v>
      </c>
      <c r="F1304" s="9">
        <v>-5.05</v>
      </c>
      <c r="G1304" s="9">
        <v>-1.25</v>
      </c>
      <c r="H1304" s="9">
        <v>-802.53</v>
      </c>
      <c r="I1304" s="9">
        <v>-430.27</v>
      </c>
      <c r="J1304" s="9">
        <v>4212.8</v>
      </c>
    </row>
    <row r="1305" spans="1:10" ht="15.75" x14ac:dyDescent="0.25">
      <c r="A1305" s="21">
        <v>45412</v>
      </c>
      <c r="B1305" t="str">
        <f>IFERROR(IF(VLOOKUP(C1305,Hoja1!$B$1:$C$6191,2,0)="",_xlfn.XLOOKUP(C1305,Hoja1!$B$2:$B$6191,Hoja1!$A$2:$A$6191),VLOOKUP(C1305,Hoja1!$B$1:$C$6191,2,0)),"No esta en Infor")</f>
        <v>NAC0871</v>
      </c>
      <c r="C1305" s="19" t="s">
        <v>193</v>
      </c>
      <c r="D1305" s="9">
        <v>4628</v>
      </c>
      <c r="E1305" s="9">
        <v>0</v>
      </c>
      <c r="F1305" s="9">
        <v>0</v>
      </c>
      <c r="G1305" s="9">
        <v>0</v>
      </c>
      <c r="H1305" s="9">
        <v>0</v>
      </c>
      <c r="I1305" s="9">
        <v>0</v>
      </c>
      <c r="J1305" s="9">
        <v>4628</v>
      </c>
    </row>
    <row r="1306" spans="1:10" ht="15.75" x14ac:dyDescent="0.25">
      <c r="A1306" s="21">
        <v>45412</v>
      </c>
      <c r="B1306" t="str">
        <f>IFERROR(IF(VLOOKUP(C1306,Hoja1!$B$1:$C$6191,2,0)="",_xlfn.XLOOKUP(C1306,Hoja1!$B$2:$B$6191,Hoja1!$A$2:$A$6191),VLOOKUP(C1306,Hoja1!$B$1:$C$6191,2,0)),"No esta en Infor")</f>
        <v>NAC0873</v>
      </c>
      <c r="C1306" s="19" t="s">
        <v>455</v>
      </c>
      <c r="D1306" s="9">
        <v>114.03</v>
      </c>
      <c r="E1306" s="9">
        <v>0</v>
      </c>
      <c r="F1306" s="9">
        <v>0</v>
      </c>
      <c r="G1306" s="9">
        <v>0</v>
      </c>
      <c r="H1306" s="9">
        <v>0</v>
      </c>
      <c r="I1306" s="9">
        <v>0</v>
      </c>
      <c r="J1306" s="9">
        <v>114.03</v>
      </c>
    </row>
    <row r="1307" spans="1:10" ht="15.75" x14ac:dyDescent="0.25">
      <c r="A1307" s="21">
        <v>45412</v>
      </c>
      <c r="B1307" t="str">
        <f>IFERROR(IF(VLOOKUP(C1307,Hoja1!$B$1:$C$6191,2,0)="",_xlfn.XLOOKUP(C1307,Hoja1!$B$2:$B$6191,Hoja1!$A$2:$A$6191),VLOOKUP(C1307,Hoja1!$B$1:$C$6191,2,0)),"No esta en Infor")</f>
        <v>NAC0879</v>
      </c>
      <c r="C1307" s="19" t="s">
        <v>194</v>
      </c>
      <c r="D1307" s="9">
        <v>0</v>
      </c>
      <c r="E1307" s="9">
        <v>-117.9</v>
      </c>
      <c r="F1307" s="9">
        <v>0</v>
      </c>
      <c r="G1307" s="9">
        <v>0</v>
      </c>
      <c r="H1307" s="9">
        <v>0</v>
      </c>
      <c r="I1307" s="9">
        <v>0</v>
      </c>
      <c r="J1307" s="9">
        <v>-117.9</v>
      </c>
    </row>
    <row r="1308" spans="1:10" ht="15.75" x14ac:dyDescent="0.25">
      <c r="A1308" s="21">
        <v>45412</v>
      </c>
      <c r="B1308" t="str">
        <f>IFERROR(IF(VLOOKUP(C1308,Hoja1!$B$1:$C$6191,2,0)="",_xlfn.XLOOKUP(C1308,Hoja1!$B$2:$B$6191,Hoja1!$A$2:$A$6191),VLOOKUP(C1308,Hoja1!$B$1:$C$6191,2,0)),"No esta en Infor")</f>
        <v>NAC0881</v>
      </c>
      <c r="C1308" s="19" t="s">
        <v>195</v>
      </c>
      <c r="D1308" s="9">
        <v>15675.75</v>
      </c>
      <c r="E1308" s="9">
        <v>8399.76</v>
      </c>
      <c r="F1308" s="9">
        <v>0</v>
      </c>
      <c r="G1308" s="9">
        <v>0</v>
      </c>
      <c r="H1308" s="9">
        <v>0</v>
      </c>
      <c r="I1308" s="9">
        <v>0</v>
      </c>
      <c r="J1308" s="9">
        <v>24075.51</v>
      </c>
    </row>
    <row r="1309" spans="1:10" ht="15.75" x14ac:dyDescent="0.25">
      <c r="A1309" s="21">
        <v>45412</v>
      </c>
      <c r="B1309" t="str">
        <f>IFERROR(IF(VLOOKUP(C1309,Hoja1!$B$1:$C$6191,2,0)="",_xlfn.XLOOKUP(C1309,Hoja1!$B$2:$B$6191,Hoja1!$A$2:$A$6191),VLOOKUP(C1309,Hoja1!$B$1:$C$6191,2,0)),"No esta en Infor")</f>
        <v>NAC0886</v>
      </c>
      <c r="C1309" s="19" t="s">
        <v>196</v>
      </c>
      <c r="D1309" s="9">
        <v>0</v>
      </c>
      <c r="E1309" s="9">
        <v>25460.53</v>
      </c>
      <c r="F1309" s="9">
        <v>0</v>
      </c>
      <c r="G1309" s="9">
        <v>0</v>
      </c>
      <c r="H1309" s="9">
        <v>0</v>
      </c>
      <c r="I1309" s="9">
        <v>0</v>
      </c>
      <c r="J1309" s="9">
        <v>25460.53</v>
      </c>
    </row>
    <row r="1310" spans="1:10" ht="15.75" x14ac:dyDescent="0.25">
      <c r="A1310" s="21">
        <v>45412</v>
      </c>
      <c r="B1310" t="str">
        <f>IFERROR(IF(VLOOKUP(C1310,Hoja1!$B$1:$C$6191,2,0)="",_xlfn.XLOOKUP(C1310,Hoja1!$B$2:$B$6191,Hoja1!$A$2:$A$6191),VLOOKUP(C1310,Hoja1!$B$1:$C$6191,2,0)),"No esta en Infor")</f>
        <v>NAC0888</v>
      </c>
      <c r="C1310" s="19" t="s">
        <v>198</v>
      </c>
      <c r="D1310" s="9">
        <v>41244</v>
      </c>
      <c r="E1310" s="9">
        <v>0</v>
      </c>
      <c r="F1310" s="9">
        <v>0</v>
      </c>
      <c r="G1310" s="9">
        <v>0</v>
      </c>
      <c r="H1310" s="9">
        <v>0</v>
      </c>
      <c r="I1310" s="9">
        <v>0</v>
      </c>
      <c r="J1310" s="9">
        <v>41244</v>
      </c>
    </row>
    <row r="1311" spans="1:10" ht="15.75" x14ac:dyDescent="0.25">
      <c r="A1311" s="21">
        <v>45412</v>
      </c>
      <c r="B1311" t="str">
        <f>IFERROR(IF(VLOOKUP(C1311,Hoja1!$B$1:$C$6191,2,0)="",_xlfn.XLOOKUP(C1311,Hoja1!$B$2:$B$6191,Hoja1!$A$2:$A$6191),VLOOKUP(C1311,Hoja1!$B$1:$C$6191,2,0)),"No esta en Infor")</f>
        <v>NAC1628</v>
      </c>
      <c r="C1311" s="19" t="s">
        <v>500</v>
      </c>
      <c r="D1311" s="9">
        <v>124.98</v>
      </c>
      <c r="E1311" s="9">
        <v>0</v>
      </c>
      <c r="F1311" s="9">
        <v>0</v>
      </c>
      <c r="G1311" s="9">
        <v>0</v>
      </c>
      <c r="H1311" s="9">
        <v>0</v>
      </c>
      <c r="I1311" s="9">
        <v>0</v>
      </c>
      <c r="J1311" s="9">
        <v>124.98</v>
      </c>
    </row>
    <row r="1312" spans="1:10" ht="15.75" x14ac:dyDescent="0.25">
      <c r="A1312" s="21">
        <v>45412</v>
      </c>
      <c r="B1312" t="str">
        <f>IFERROR(IF(VLOOKUP(C1312,Hoja1!$B$1:$C$6191,2,0)="",_xlfn.XLOOKUP(C1312,Hoja1!$B$2:$B$6191,Hoja1!$A$2:$A$6191),VLOOKUP(C1312,Hoja1!$B$1:$C$6191,2,0)),"No esta en Infor")</f>
        <v>NAC0894</v>
      </c>
      <c r="C1312" s="19" t="s">
        <v>199</v>
      </c>
      <c r="D1312" s="9">
        <v>3090</v>
      </c>
      <c r="E1312" s="9">
        <v>-2280</v>
      </c>
      <c r="F1312" s="9">
        <v>0</v>
      </c>
      <c r="G1312" s="9">
        <v>0</v>
      </c>
      <c r="H1312" s="9">
        <v>0</v>
      </c>
      <c r="I1312" s="9">
        <v>0</v>
      </c>
      <c r="J1312" s="9">
        <v>810</v>
      </c>
    </row>
    <row r="1313" spans="1:10" ht="15.75" x14ac:dyDescent="0.25">
      <c r="A1313" s="21">
        <v>45412</v>
      </c>
      <c r="B1313" t="str">
        <f>IFERROR(IF(VLOOKUP(C1313,Hoja1!$B$1:$C$6191,2,0)="",_xlfn.XLOOKUP(C1313,Hoja1!$B$2:$B$6191,Hoja1!$A$2:$A$6191),VLOOKUP(C1313,Hoja1!$B$1:$C$6191,2,0)),"No esta en Infor")</f>
        <v>NAC0897</v>
      </c>
      <c r="C1313" s="19" t="s">
        <v>25</v>
      </c>
      <c r="D1313" s="9">
        <v>19606.39</v>
      </c>
      <c r="E1313" s="9">
        <v>13438.12</v>
      </c>
      <c r="F1313" s="9">
        <v>0</v>
      </c>
      <c r="G1313" s="9">
        <v>0</v>
      </c>
      <c r="H1313" s="9">
        <v>0</v>
      </c>
      <c r="I1313" s="9">
        <v>0</v>
      </c>
      <c r="J1313" s="9">
        <v>33044.51</v>
      </c>
    </row>
    <row r="1314" spans="1:10" ht="15.75" x14ac:dyDescent="0.25">
      <c r="A1314" s="21">
        <v>45412</v>
      </c>
      <c r="B1314" t="str">
        <f>IFERROR(IF(VLOOKUP(C1314,Hoja1!$B$1:$C$6191,2,0)="",_xlfn.XLOOKUP(C1314,Hoja1!$B$2:$B$6191,Hoja1!$A$2:$A$6191),VLOOKUP(C1314,Hoja1!$B$1:$C$6191,2,0)),"No esta en Infor")</f>
        <v>NAC0898</v>
      </c>
      <c r="C1314" s="19" t="s">
        <v>200</v>
      </c>
      <c r="D1314" s="9">
        <v>170</v>
      </c>
      <c r="E1314" s="9">
        <v>0</v>
      </c>
      <c r="F1314" s="9">
        <v>0</v>
      </c>
      <c r="G1314" s="9">
        <v>0</v>
      </c>
      <c r="H1314" s="9">
        <v>0</v>
      </c>
      <c r="I1314" s="9">
        <v>0</v>
      </c>
      <c r="J1314" s="9">
        <v>170</v>
      </c>
    </row>
    <row r="1315" spans="1:10" ht="15.75" x14ac:dyDescent="0.25">
      <c r="A1315" s="21">
        <v>45412</v>
      </c>
      <c r="B1315" t="str">
        <f>IFERROR(IF(VLOOKUP(C1315,Hoja1!$B$1:$C$6191,2,0)="",_xlfn.XLOOKUP(C1315,Hoja1!$B$2:$B$6191,Hoja1!$A$2:$A$6191),VLOOKUP(C1315,Hoja1!$B$1:$C$6191,2,0)),"No esta en Infor")</f>
        <v>NAC0900</v>
      </c>
      <c r="C1315" s="19" t="s">
        <v>201</v>
      </c>
      <c r="D1315" s="9">
        <v>857.75</v>
      </c>
      <c r="E1315" s="9">
        <v>276</v>
      </c>
      <c r="F1315" s="9">
        <v>0</v>
      </c>
      <c r="G1315" s="9">
        <v>413.65</v>
      </c>
      <c r="H1315" s="9">
        <v>0</v>
      </c>
      <c r="I1315" s="9">
        <v>0</v>
      </c>
      <c r="J1315" s="9">
        <v>1547.4</v>
      </c>
    </row>
    <row r="1316" spans="1:10" ht="15.75" x14ac:dyDescent="0.25">
      <c r="A1316" s="21">
        <v>45412</v>
      </c>
      <c r="B1316" t="str">
        <f>IFERROR(IF(VLOOKUP(C1316,Hoja1!$B$1:$C$6191,2,0)="",_xlfn.XLOOKUP(C1316,Hoja1!$B$2:$B$6191,Hoja1!$A$2:$A$6191),VLOOKUP(C1316,Hoja1!$B$1:$C$6191,2,0)),"No esta en Infor")</f>
        <v>NAC0906</v>
      </c>
      <c r="C1316" s="19" t="s">
        <v>456</v>
      </c>
      <c r="D1316" s="9">
        <v>0</v>
      </c>
      <c r="E1316" s="9">
        <v>-8.93</v>
      </c>
      <c r="F1316" s="9">
        <v>0</v>
      </c>
      <c r="G1316" s="9">
        <v>0</v>
      </c>
      <c r="H1316" s="9">
        <v>0</v>
      </c>
      <c r="I1316" s="9">
        <v>0</v>
      </c>
      <c r="J1316" s="9">
        <v>-8.93</v>
      </c>
    </row>
    <row r="1317" spans="1:10" ht="15.75" x14ac:dyDescent="0.25">
      <c r="A1317" s="21">
        <v>45412</v>
      </c>
      <c r="B1317" t="str">
        <f>IFERROR(IF(VLOOKUP(C1317,Hoja1!$B$1:$C$6191,2,0)="",_xlfn.XLOOKUP(C1317,Hoja1!$B$2:$B$6191,Hoja1!$A$2:$A$6191),VLOOKUP(C1317,Hoja1!$B$1:$C$6191,2,0)),"No esta en Infor")</f>
        <v>NAC0914</v>
      </c>
      <c r="C1317" s="19" t="s">
        <v>202</v>
      </c>
      <c r="D1317" s="9">
        <v>0</v>
      </c>
      <c r="E1317" s="9">
        <v>455</v>
      </c>
      <c r="F1317" s="9">
        <v>-100.21</v>
      </c>
      <c r="G1317" s="9">
        <v>0</v>
      </c>
      <c r="H1317" s="9">
        <v>0</v>
      </c>
      <c r="I1317" s="9">
        <v>0</v>
      </c>
      <c r="J1317" s="9">
        <v>354.79</v>
      </c>
    </row>
    <row r="1318" spans="1:10" ht="15.75" x14ac:dyDescent="0.25">
      <c r="A1318" s="21">
        <v>45412</v>
      </c>
      <c r="B1318" t="str">
        <f>IFERROR(IF(VLOOKUP(C1318,Hoja1!$B$1:$C$6191,2,0)="",_xlfn.XLOOKUP(C1318,Hoja1!$B$2:$B$6191,Hoja1!$A$2:$A$6191),VLOOKUP(C1318,Hoja1!$B$1:$C$6191,2,0)),"No esta en Infor")</f>
        <v>NAC0924</v>
      </c>
      <c r="C1318" s="19" t="s">
        <v>205</v>
      </c>
      <c r="D1318" s="9">
        <v>63686.7</v>
      </c>
      <c r="E1318" s="9">
        <v>129541.94</v>
      </c>
      <c r="F1318" s="9">
        <v>0</v>
      </c>
      <c r="G1318" s="9">
        <v>0</v>
      </c>
      <c r="H1318" s="9">
        <v>0</v>
      </c>
      <c r="I1318" s="9">
        <v>0</v>
      </c>
      <c r="J1318" s="9">
        <v>193228.64</v>
      </c>
    </row>
    <row r="1319" spans="1:10" ht="15.75" x14ac:dyDescent="0.25">
      <c r="A1319" s="21">
        <v>45412</v>
      </c>
      <c r="B1319" t="str">
        <f>IFERROR(IF(VLOOKUP(C1319,Hoja1!$B$1:$C$6191,2,0)="",_xlfn.XLOOKUP(C1319,Hoja1!$B$2:$B$6191,Hoja1!$A$2:$A$6191),VLOOKUP(C1319,Hoja1!$B$1:$C$6191,2,0)),"No esta en Infor")</f>
        <v>NAC0929</v>
      </c>
      <c r="C1319" s="19" t="s">
        <v>207</v>
      </c>
      <c r="D1319" s="9">
        <v>2040</v>
      </c>
      <c r="E1319" s="9">
        <v>-2160</v>
      </c>
      <c r="F1319" s="9">
        <v>0</v>
      </c>
      <c r="G1319" s="9">
        <v>0</v>
      </c>
      <c r="H1319" s="9">
        <v>0</v>
      </c>
      <c r="I1319" s="9">
        <v>0</v>
      </c>
      <c r="J1319" s="9">
        <v>-120</v>
      </c>
    </row>
    <row r="1320" spans="1:10" ht="15.75" x14ac:dyDescent="0.25">
      <c r="A1320" s="21">
        <v>45412</v>
      </c>
      <c r="B1320" t="str">
        <f>IFERROR(IF(VLOOKUP(C1320,Hoja1!$B$1:$C$6191,2,0)="",_xlfn.XLOOKUP(C1320,Hoja1!$B$2:$B$6191,Hoja1!$A$2:$A$6191),VLOOKUP(C1320,Hoja1!$B$1:$C$6191,2,0)),"No esta en Infor")</f>
        <v>CAN0028</v>
      </c>
      <c r="C1320" s="19" t="s">
        <v>208</v>
      </c>
      <c r="D1320" s="9">
        <v>0</v>
      </c>
      <c r="E1320" s="9">
        <v>0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</row>
    <row r="1321" spans="1:10" ht="15.75" x14ac:dyDescent="0.25">
      <c r="A1321" s="21">
        <v>45412</v>
      </c>
      <c r="B1321" t="str">
        <f>IFERROR(IF(VLOOKUP(C1321,Hoja1!$B$1:$C$6191,2,0)="",_xlfn.XLOOKUP(C1321,Hoja1!$B$2:$B$6191,Hoja1!$A$2:$A$6191),VLOOKUP(C1321,Hoja1!$B$1:$C$6191,2,0)),"No esta en Infor")</f>
        <v>NAC0934</v>
      </c>
      <c r="C1321" s="19" t="s">
        <v>209</v>
      </c>
      <c r="D1321" s="9">
        <v>276</v>
      </c>
      <c r="E1321" s="9">
        <v>0</v>
      </c>
      <c r="F1321" s="9">
        <v>0</v>
      </c>
      <c r="G1321" s="9">
        <v>0</v>
      </c>
      <c r="H1321" s="9">
        <v>0</v>
      </c>
      <c r="I1321" s="9">
        <v>-154</v>
      </c>
      <c r="J1321" s="9">
        <v>122</v>
      </c>
    </row>
    <row r="1322" spans="1:10" ht="15.75" x14ac:dyDescent="0.25">
      <c r="A1322" s="21">
        <v>45412</v>
      </c>
      <c r="B1322" t="str">
        <f>IFERROR(IF(VLOOKUP(C1322,Hoja1!$B$1:$C$6191,2,0)="",_xlfn.XLOOKUP(C1322,Hoja1!$B$2:$B$6191,Hoja1!$A$2:$A$6191),VLOOKUP(C1322,Hoja1!$B$1:$C$6191,2,0)),"No esta en Infor")</f>
        <v>CAN0030</v>
      </c>
      <c r="C1322" s="19" t="s">
        <v>210</v>
      </c>
      <c r="D1322" s="9">
        <v>28363</v>
      </c>
      <c r="E1322" s="9">
        <v>11712.06</v>
      </c>
      <c r="F1322" s="9">
        <v>0</v>
      </c>
      <c r="G1322" s="9">
        <v>0</v>
      </c>
      <c r="H1322" s="9">
        <v>0</v>
      </c>
      <c r="I1322" s="9">
        <v>0</v>
      </c>
      <c r="J1322" s="9">
        <v>40075.06</v>
      </c>
    </row>
    <row r="1323" spans="1:10" ht="15.75" x14ac:dyDescent="0.25">
      <c r="A1323" s="21">
        <v>45412</v>
      </c>
      <c r="B1323" t="str">
        <f>IFERROR(IF(VLOOKUP(C1323,Hoja1!$B$1:$C$6191,2,0)="",_xlfn.XLOOKUP(C1323,Hoja1!$B$2:$B$6191,Hoja1!$A$2:$A$6191),VLOOKUP(C1323,Hoja1!$B$1:$C$6191,2,0)),"No esta en Infor")</f>
        <v>NAC1607</v>
      </c>
      <c r="C1323" s="19" t="s">
        <v>668</v>
      </c>
      <c r="D1323" s="9">
        <v>0</v>
      </c>
      <c r="E1323" s="9">
        <v>1.83</v>
      </c>
      <c r="F1323" s="9">
        <v>0</v>
      </c>
      <c r="G1323" s="9">
        <v>0</v>
      </c>
      <c r="H1323" s="9">
        <v>0</v>
      </c>
      <c r="I1323" s="9">
        <v>0</v>
      </c>
      <c r="J1323" s="9">
        <v>1.83</v>
      </c>
    </row>
    <row r="1324" spans="1:10" ht="15.75" x14ac:dyDescent="0.25">
      <c r="A1324" s="21">
        <v>45412</v>
      </c>
      <c r="B1324" t="str">
        <f>IFERROR(IF(VLOOKUP(C1324,Hoja1!$B$1:$C$6191,2,0)="",_xlfn.XLOOKUP(C1324,Hoja1!$B$2:$B$6191,Hoja1!$A$2:$A$6191),VLOOKUP(C1324,Hoja1!$B$1:$C$6191,2,0)),"No esta en Infor")</f>
        <v>NAC1607</v>
      </c>
      <c r="C1324" s="19" t="s">
        <v>211</v>
      </c>
      <c r="D1324" s="9">
        <v>157.41999999999999</v>
      </c>
      <c r="E1324" s="9">
        <v>-11.95</v>
      </c>
      <c r="F1324" s="9">
        <v>0</v>
      </c>
      <c r="G1324" s="9">
        <v>0</v>
      </c>
      <c r="H1324" s="9">
        <v>0</v>
      </c>
      <c r="I1324" s="9">
        <v>0</v>
      </c>
      <c r="J1324" s="9">
        <v>145.47</v>
      </c>
    </row>
    <row r="1325" spans="1:10" ht="15.75" x14ac:dyDescent="0.25">
      <c r="A1325" s="21">
        <v>45412</v>
      </c>
      <c r="B1325" t="str">
        <f>IFERROR(IF(VLOOKUP(C1325,Hoja1!$B$1:$C$6191,2,0)="",_xlfn.XLOOKUP(C1325,Hoja1!$B$2:$B$6191,Hoja1!$A$2:$A$6191),VLOOKUP(C1325,Hoja1!$B$1:$C$6191,2,0)),"No esta en Infor")</f>
        <v>NAC1607</v>
      </c>
      <c r="C1325" s="19" t="s">
        <v>401</v>
      </c>
      <c r="D1325" s="9">
        <v>0</v>
      </c>
      <c r="E1325" s="9">
        <v>2.17</v>
      </c>
      <c r="F1325" s="9">
        <v>0</v>
      </c>
      <c r="G1325" s="9">
        <v>0</v>
      </c>
      <c r="H1325" s="9">
        <v>0</v>
      </c>
      <c r="I1325" s="9">
        <v>0</v>
      </c>
      <c r="J1325" s="9">
        <v>2.17</v>
      </c>
    </row>
    <row r="1326" spans="1:10" ht="15.75" x14ac:dyDescent="0.25">
      <c r="A1326" s="21">
        <v>45412</v>
      </c>
      <c r="B1326" t="str">
        <f>IFERROR(IF(VLOOKUP(C1326,Hoja1!$B$1:$C$6191,2,0)="",_xlfn.XLOOKUP(C1326,Hoja1!$B$2:$B$6191,Hoja1!$A$2:$A$6191),VLOOKUP(C1326,Hoja1!$B$1:$C$6191,2,0)),"No esta en Infor")</f>
        <v>NAC0953</v>
      </c>
      <c r="C1326" s="19" t="s">
        <v>28</v>
      </c>
      <c r="D1326" s="9">
        <v>-17.36</v>
      </c>
      <c r="E1326" s="9">
        <v>-602.74</v>
      </c>
      <c r="F1326" s="9">
        <v>-45.29</v>
      </c>
      <c r="G1326" s="9">
        <v>0</v>
      </c>
      <c r="H1326" s="9">
        <v>0</v>
      </c>
      <c r="I1326" s="9">
        <v>0</v>
      </c>
      <c r="J1326" s="9">
        <v>-665.39</v>
      </c>
    </row>
    <row r="1327" spans="1:10" ht="15.75" x14ac:dyDescent="0.25">
      <c r="A1327" s="21">
        <v>45412</v>
      </c>
      <c r="B1327" t="str">
        <f>IFERROR(IF(VLOOKUP(C1327,Hoja1!$B$1:$C$6191,2,0)="",_xlfn.XLOOKUP(C1327,Hoja1!$B$2:$B$6191,Hoja1!$A$2:$A$6191),VLOOKUP(C1327,Hoja1!$B$1:$C$6191,2,0)),"No esta en Infor")</f>
        <v>NAC0958</v>
      </c>
      <c r="C1327" s="19" t="s">
        <v>214</v>
      </c>
      <c r="D1327" s="9">
        <v>0</v>
      </c>
      <c r="E1327" s="9">
        <v>0</v>
      </c>
      <c r="F1327" s="9">
        <v>0</v>
      </c>
      <c r="G1327" s="9">
        <v>0</v>
      </c>
      <c r="H1327" s="9">
        <v>-674.94</v>
      </c>
      <c r="I1327" s="9">
        <v>0</v>
      </c>
      <c r="J1327" s="9">
        <v>-674.94</v>
      </c>
    </row>
    <row r="1328" spans="1:10" ht="15.75" x14ac:dyDescent="0.25">
      <c r="A1328" s="21">
        <v>45412</v>
      </c>
      <c r="B1328" t="str">
        <f>IFERROR(IF(VLOOKUP(C1328,Hoja1!$B$1:$C$6191,2,0)="",_xlfn.XLOOKUP(C1328,Hoja1!$B$2:$B$6191,Hoja1!$A$2:$A$6191),VLOOKUP(C1328,Hoja1!$B$1:$C$6191,2,0)),"No esta en Infor")</f>
        <v>NAC0955</v>
      </c>
      <c r="C1328" s="19" t="s">
        <v>215</v>
      </c>
      <c r="D1328" s="9">
        <v>0</v>
      </c>
      <c r="E1328" s="9">
        <v>725.77</v>
      </c>
      <c r="F1328" s="9">
        <v>0</v>
      </c>
      <c r="G1328" s="9">
        <v>0</v>
      </c>
      <c r="H1328" s="9">
        <v>0</v>
      </c>
      <c r="I1328" s="9">
        <v>0</v>
      </c>
      <c r="J1328" s="9">
        <v>725.77</v>
      </c>
    </row>
    <row r="1329" spans="1:10" ht="15.75" x14ac:dyDescent="0.25">
      <c r="A1329" s="21">
        <v>45412</v>
      </c>
      <c r="B1329" t="str">
        <f>IFERROR(IF(VLOOKUP(C1329,Hoja1!$B$1:$C$6191,2,0)="",_xlfn.XLOOKUP(C1329,Hoja1!$B$2:$B$6191,Hoja1!$A$2:$A$6191),VLOOKUP(C1329,Hoja1!$B$1:$C$6191,2,0)),"No esta en Infor")</f>
        <v>NAC0963</v>
      </c>
      <c r="C1329" s="19" t="s">
        <v>217</v>
      </c>
      <c r="D1329" s="9">
        <v>0</v>
      </c>
      <c r="E1329" s="9">
        <v>0</v>
      </c>
      <c r="F1329" s="9">
        <v>0</v>
      </c>
      <c r="G1329" s="9">
        <v>0</v>
      </c>
      <c r="H1329" s="9">
        <v>-595.57000000000005</v>
      </c>
      <c r="I1329" s="9">
        <v>0</v>
      </c>
      <c r="J1329" s="9">
        <v>-595.57000000000005</v>
      </c>
    </row>
    <row r="1330" spans="1:10" ht="15.75" x14ac:dyDescent="0.25">
      <c r="A1330" s="21">
        <v>45412</v>
      </c>
      <c r="B1330" t="str">
        <f>IFERROR(IF(VLOOKUP(C1330,Hoja1!$B$1:$C$6191,2,0)="",_xlfn.XLOOKUP(C1330,Hoja1!$B$2:$B$6191,Hoja1!$A$2:$A$6191),VLOOKUP(C1330,Hoja1!$B$1:$C$6191,2,0)),"No esta en Infor")</f>
        <v>NAC0968</v>
      </c>
      <c r="C1330" s="19" t="s">
        <v>501</v>
      </c>
      <c r="D1330" s="9">
        <v>0</v>
      </c>
      <c r="E1330" s="9">
        <v>-304.79000000000002</v>
      </c>
      <c r="F1330" s="9">
        <v>0</v>
      </c>
      <c r="G1330" s="9">
        <v>0</v>
      </c>
      <c r="H1330" s="9">
        <v>0</v>
      </c>
      <c r="I1330" s="9">
        <v>0</v>
      </c>
      <c r="J1330" s="9">
        <v>-304.79000000000002</v>
      </c>
    </row>
    <row r="1331" spans="1:10" ht="15.75" x14ac:dyDescent="0.25">
      <c r="A1331" s="21">
        <v>45412</v>
      </c>
      <c r="B1331" t="str">
        <f>IFERROR(IF(VLOOKUP(C1331,Hoja1!$B$1:$C$6191,2,0)="",_xlfn.XLOOKUP(C1331,Hoja1!$B$2:$B$6191,Hoja1!$A$2:$A$6191),VLOOKUP(C1331,Hoja1!$B$1:$C$6191,2,0)),"No esta en Infor")</f>
        <v>NAC0978</v>
      </c>
      <c r="C1331" s="19" t="s">
        <v>502</v>
      </c>
      <c r="D1331" s="9">
        <v>2541</v>
      </c>
      <c r="E1331" s="9">
        <v>0</v>
      </c>
      <c r="F1331" s="9">
        <v>0</v>
      </c>
      <c r="G1331" s="9">
        <v>0</v>
      </c>
      <c r="H1331" s="9">
        <v>0</v>
      </c>
      <c r="I1331" s="9">
        <v>0</v>
      </c>
      <c r="J1331" s="9">
        <v>2541</v>
      </c>
    </row>
    <row r="1332" spans="1:10" ht="15.75" x14ac:dyDescent="0.25">
      <c r="A1332" s="21">
        <v>45412</v>
      </c>
      <c r="B1332" t="str">
        <f>IFERROR(IF(VLOOKUP(C1332,Hoja1!$B$1:$C$6191,2,0)="",_xlfn.XLOOKUP(C1332,Hoja1!$B$2:$B$6191,Hoja1!$A$2:$A$6191),VLOOKUP(C1332,Hoja1!$B$1:$C$6191,2,0)),"No esta en Infor")</f>
        <v>NAC0979</v>
      </c>
      <c r="C1332" s="19" t="s">
        <v>222</v>
      </c>
      <c r="D1332" s="9">
        <v>0</v>
      </c>
      <c r="E1332" s="9">
        <v>0</v>
      </c>
      <c r="F1332" s="9">
        <v>-110</v>
      </c>
      <c r="G1332" s="9">
        <v>0</v>
      </c>
      <c r="H1332" s="9">
        <v>0</v>
      </c>
      <c r="I1332" s="9">
        <v>0</v>
      </c>
      <c r="J1332" s="9">
        <v>-110</v>
      </c>
    </row>
    <row r="1333" spans="1:10" ht="15.75" x14ac:dyDescent="0.25">
      <c r="A1333" s="21">
        <v>45412</v>
      </c>
      <c r="B1333" t="str">
        <f>IFERROR(IF(VLOOKUP(C1333,Hoja1!$B$1:$C$6191,2,0)="",_xlfn.XLOOKUP(C1333,Hoja1!$B$2:$B$6191,Hoja1!$A$2:$A$6191),VLOOKUP(C1333,Hoja1!$B$1:$C$6191,2,0)),"No esta en Infor")</f>
        <v>CAN0031</v>
      </c>
      <c r="C1333" s="19" t="s">
        <v>460</v>
      </c>
      <c r="D1333" s="9">
        <v>0</v>
      </c>
      <c r="E1333" s="9">
        <v>372.9</v>
      </c>
      <c r="F1333" s="9">
        <v>0</v>
      </c>
      <c r="G1333" s="9">
        <v>0</v>
      </c>
      <c r="H1333" s="9">
        <v>0</v>
      </c>
      <c r="I1333" s="9">
        <v>0</v>
      </c>
      <c r="J1333" s="9">
        <v>372.9</v>
      </c>
    </row>
    <row r="1334" spans="1:10" ht="15.75" x14ac:dyDescent="0.25">
      <c r="A1334" s="21">
        <v>45412</v>
      </c>
      <c r="B1334" t="str">
        <f>IFERROR(IF(VLOOKUP(C1334,Hoja1!$B$1:$C$6191,2,0)="",_xlfn.XLOOKUP(C1334,Hoja1!$B$2:$B$6191,Hoja1!$A$2:$A$6191),VLOOKUP(C1334,Hoja1!$B$1:$C$6191,2,0)),"No esta en Infor")</f>
        <v>CAN0032</v>
      </c>
      <c r="C1334" s="19" t="s">
        <v>461</v>
      </c>
      <c r="D1334" s="9">
        <v>0</v>
      </c>
      <c r="E1334" s="9">
        <v>1267.8599999999999</v>
      </c>
      <c r="F1334" s="9">
        <v>0</v>
      </c>
      <c r="G1334" s="9">
        <v>0</v>
      </c>
      <c r="H1334" s="9">
        <v>0</v>
      </c>
      <c r="I1334" s="9">
        <v>0</v>
      </c>
      <c r="J1334" s="9">
        <v>1267.8599999999999</v>
      </c>
    </row>
    <row r="1335" spans="1:10" ht="15.75" x14ac:dyDescent="0.25">
      <c r="A1335" s="21">
        <v>45412</v>
      </c>
      <c r="B1335" t="str">
        <f>IFERROR(IF(VLOOKUP(C1335,Hoja1!$B$1:$C$6191,2,0)="",_xlfn.XLOOKUP(C1335,Hoja1!$B$2:$B$6191,Hoja1!$A$2:$A$6191),VLOOKUP(C1335,Hoja1!$B$1:$C$6191,2,0)),"No esta en Infor")</f>
        <v>NAC0986</v>
      </c>
      <c r="C1335" s="19" t="s">
        <v>224</v>
      </c>
      <c r="D1335" s="9">
        <v>0</v>
      </c>
      <c r="E1335" s="9">
        <v>25604.13</v>
      </c>
      <c r="F1335" s="9">
        <v>12068.55</v>
      </c>
      <c r="G1335" s="9">
        <v>5772.77</v>
      </c>
      <c r="H1335" s="9">
        <v>0</v>
      </c>
      <c r="I1335" s="9">
        <v>0</v>
      </c>
      <c r="J1335" s="9">
        <v>43445.45</v>
      </c>
    </row>
    <row r="1336" spans="1:10" ht="15.75" x14ac:dyDescent="0.25">
      <c r="A1336" s="21">
        <v>45412</v>
      </c>
      <c r="B1336" t="str">
        <f>IFERROR(IF(VLOOKUP(C1336,Hoja1!$B$1:$C$6191,2,0)="",_xlfn.XLOOKUP(C1336,Hoja1!$B$2:$B$6191,Hoja1!$A$2:$A$6191),VLOOKUP(C1336,Hoja1!$B$1:$C$6191,2,0)),"No esta en Infor")</f>
        <v>NAC0987</v>
      </c>
      <c r="C1336" s="19" t="s">
        <v>225</v>
      </c>
      <c r="D1336" s="9">
        <v>0</v>
      </c>
      <c r="E1336" s="9">
        <v>0</v>
      </c>
      <c r="F1336" s="9">
        <v>0</v>
      </c>
      <c r="G1336" s="9">
        <v>0</v>
      </c>
      <c r="H1336" s="9">
        <v>0</v>
      </c>
      <c r="I1336" s="9">
        <v>2040.5</v>
      </c>
      <c r="J1336" s="9">
        <v>2040.5</v>
      </c>
    </row>
    <row r="1337" spans="1:10" ht="15.75" x14ac:dyDescent="0.25">
      <c r="A1337" s="21">
        <v>45412</v>
      </c>
      <c r="B1337" t="str">
        <f>IFERROR(IF(VLOOKUP(C1337,Hoja1!$B$1:$C$6191,2,0)="",_xlfn.XLOOKUP(C1337,Hoja1!$B$2:$B$6191,Hoja1!$A$2:$A$6191),VLOOKUP(C1337,Hoja1!$B$1:$C$6191,2,0)),"No esta en Infor")</f>
        <v>SH01083</v>
      </c>
      <c r="C1337" s="19" t="s">
        <v>503</v>
      </c>
      <c r="D1337" s="9">
        <v>0</v>
      </c>
      <c r="E1337" s="9">
        <v>0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</row>
    <row r="1338" spans="1:10" ht="15.75" x14ac:dyDescent="0.25">
      <c r="A1338" s="21">
        <v>45412</v>
      </c>
      <c r="B1338" t="str">
        <f>IFERROR(IF(VLOOKUP(C1338,Hoja1!$B$1:$C$6191,2,0)="",_xlfn.XLOOKUP(C1338,Hoja1!$B$2:$B$6191,Hoja1!$A$2:$A$6191),VLOOKUP(C1338,Hoja1!$B$1:$C$6191,2,0)),"No esta en Infor")</f>
        <v>SH01114</v>
      </c>
      <c r="C1338" s="19" t="s">
        <v>504</v>
      </c>
      <c r="D1338" s="9">
        <v>0</v>
      </c>
      <c r="E1338" s="9">
        <v>132.62</v>
      </c>
      <c r="F1338" s="9">
        <v>0</v>
      </c>
      <c r="G1338" s="9">
        <v>0</v>
      </c>
      <c r="H1338" s="9">
        <v>0</v>
      </c>
      <c r="I1338" s="9">
        <v>0</v>
      </c>
      <c r="J1338" s="9">
        <v>132.62</v>
      </c>
    </row>
    <row r="1339" spans="1:10" ht="15.75" x14ac:dyDescent="0.25">
      <c r="A1339" s="21">
        <v>45412</v>
      </c>
      <c r="B1339" t="str">
        <f>IFERROR(IF(VLOOKUP(C1339,Hoja1!$B$1:$C$6191,2,0)="",_xlfn.XLOOKUP(C1339,Hoja1!$B$2:$B$6191,Hoja1!$A$2:$A$6191),VLOOKUP(C1339,Hoja1!$B$1:$C$6191,2,0)),"No esta en Infor")</f>
        <v>NAC0995</v>
      </c>
      <c r="C1339" s="19" t="s">
        <v>227</v>
      </c>
      <c r="D1339" s="9">
        <v>636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636</v>
      </c>
    </row>
    <row r="1340" spans="1:10" ht="15.75" x14ac:dyDescent="0.25">
      <c r="A1340" s="21">
        <v>45412</v>
      </c>
      <c r="B1340" t="str">
        <f>IFERROR(IF(VLOOKUP(C1340,Hoja1!$B$1:$C$6191,2,0)="",_xlfn.XLOOKUP(C1340,Hoja1!$B$2:$B$6191,Hoja1!$A$2:$A$6191),VLOOKUP(C1340,Hoja1!$B$1:$C$6191,2,0)),"No esta en Infor")</f>
        <v>No esta en Infor</v>
      </c>
      <c r="C1340" s="19" t="s">
        <v>505</v>
      </c>
      <c r="D1340" s="9">
        <v>0</v>
      </c>
      <c r="E1340" s="9">
        <v>10</v>
      </c>
      <c r="F1340" s="9">
        <v>0</v>
      </c>
      <c r="G1340" s="9">
        <v>0</v>
      </c>
      <c r="H1340" s="9">
        <v>0</v>
      </c>
      <c r="I1340" s="9">
        <v>0</v>
      </c>
      <c r="J1340" s="9">
        <v>10</v>
      </c>
    </row>
    <row r="1341" spans="1:10" ht="15.75" x14ac:dyDescent="0.25">
      <c r="A1341" s="21">
        <v>45412</v>
      </c>
      <c r="B1341" t="str">
        <f>IFERROR(IF(VLOOKUP(C1341,Hoja1!$B$1:$C$6191,2,0)="",_xlfn.XLOOKUP(C1341,Hoja1!$B$2:$B$6191,Hoja1!$A$2:$A$6191),VLOOKUP(C1341,Hoja1!$B$1:$C$6191,2,0)),"No esta en Infor")</f>
        <v>NAC0997</v>
      </c>
      <c r="C1341" s="19" t="s">
        <v>228</v>
      </c>
      <c r="D1341" s="9">
        <v>0</v>
      </c>
      <c r="E1341" s="9">
        <v>0</v>
      </c>
      <c r="F1341" s="9">
        <v>0</v>
      </c>
      <c r="G1341" s="9">
        <v>0</v>
      </c>
      <c r="H1341" s="9">
        <v>0</v>
      </c>
      <c r="I1341" s="9">
        <v>-148</v>
      </c>
      <c r="J1341" s="9">
        <v>-148</v>
      </c>
    </row>
    <row r="1342" spans="1:10" ht="15.75" x14ac:dyDescent="0.25">
      <c r="A1342" s="21">
        <v>45412</v>
      </c>
      <c r="B1342" t="str">
        <f>IFERROR(IF(VLOOKUP(C1342,Hoja1!$B$1:$C$6191,2,0)="",_xlfn.XLOOKUP(C1342,Hoja1!$B$2:$B$6191,Hoja1!$A$2:$A$6191),VLOOKUP(C1342,Hoja1!$B$1:$C$6191,2,0)),"No esta en Infor")</f>
        <v>NAC0998</v>
      </c>
      <c r="C1342" s="19" t="s">
        <v>229</v>
      </c>
      <c r="D1342" s="9">
        <v>0</v>
      </c>
      <c r="E1342" s="9">
        <v>184.99</v>
      </c>
      <c r="F1342" s="9">
        <v>0</v>
      </c>
      <c r="G1342" s="9">
        <v>0</v>
      </c>
      <c r="H1342" s="9">
        <v>0</v>
      </c>
      <c r="I1342" s="9">
        <v>0</v>
      </c>
      <c r="J1342" s="9">
        <v>184.99</v>
      </c>
    </row>
    <row r="1343" spans="1:10" ht="15.75" x14ac:dyDescent="0.25">
      <c r="A1343" s="21">
        <v>45412</v>
      </c>
      <c r="B1343" t="str">
        <f>IFERROR(IF(VLOOKUP(C1343,Hoja1!$B$1:$C$6191,2,0)="",_xlfn.XLOOKUP(C1343,Hoja1!$B$2:$B$6191,Hoja1!$A$2:$A$6191),VLOOKUP(C1343,Hoja1!$B$1:$C$6191,2,0)),"No esta en Infor")</f>
        <v>NAC1005</v>
      </c>
      <c r="C1343" s="19" t="s">
        <v>231</v>
      </c>
      <c r="D1343" s="9">
        <v>0</v>
      </c>
      <c r="E1343" s="9">
        <v>0</v>
      </c>
      <c r="F1343" s="9">
        <v>0</v>
      </c>
      <c r="G1343" s="9">
        <v>0</v>
      </c>
      <c r="H1343" s="9">
        <v>0</v>
      </c>
      <c r="I1343" s="9">
        <v>-35.14</v>
      </c>
      <c r="J1343" s="9">
        <v>-35.14</v>
      </c>
    </row>
    <row r="1344" spans="1:10" ht="15.75" x14ac:dyDescent="0.25">
      <c r="A1344" s="21">
        <v>45412</v>
      </c>
      <c r="B1344" t="str">
        <f>IFERROR(IF(VLOOKUP(C1344,Hoja1!$B$1:$C$6191,2,0)="",_xlfn.XLOOKUP(C1344,Hoja1!$B$2:$B$6191,Hoja1!$A$2:$A$6191),VLOOKUP(C1344,Hoja1!$B$1:$C$6191,2,0)),"No esta en Infor")</f>
        <v>NAC1007</v>
      </c>
      <c r="C1344" s="19" t="s">
        <v>233</v>
      </c>
      <c r="D1344" s="9">
        <v>0</v>
      </c>
      <c r="E1344" s="9">
        <v>-1440</v>
      </c>
      <c r="F1344" s="9">
        <v>0</v>
      </c>
      <c r="G1344" s="9">
        <v>0</v>
      </c>
      <c r="H1344" s="9">
        <v>0</v>
      </c>
      <c r="I1344" s="9">
        <v>0</v>
      </c>
      <c r="J1344" s="9">
        <v>-1440</v>
      </c>
    </row>
    <row r="1345" spans="1:10" ht="15.75" x14ac:dyDescent="0.25">
      <c r="A1345" s="21">
        <v>45412</v>
      </c>
      <c r="B1345" t="str">
        <f>IFERROR(IF(VLOOKUP(C1345,Hoja1!$B$1:$C$6191,2,0)="",_xlfn.XLOOKUP(C1345,Hoja1!$B$2:$B$6191,Hoja1!$A$2:$A$6191),VLOOKUP(C1345,Hoja1!$B$1:$C$6191,2,0)),"No esta en Infor")</f>
        <v>SH01268</v>
      </c>
      <c r="C1345" s="19" t="s">
        <v>234</v>
      </c>
      <c r="D1345" s="9">
        <v>0</v>
      </c>
      <c r="E1345" s="9">
        <v>-68.489999999999995</v>
      </c>
      <c r="F1345" s="9">
        <v>68.489999999999995</v>
      </c>
      <c r="G1345" s="9">
        <v>0</v>
      </c>
      <c r="H1345" s="9">
        <v>0</v>
      </c>
      <c r="I1345" s="9">
        <v>0</v>
      </c>
      <c r="J1345" s="9">
        <v>0</v>
      </c>
    </row>
    <row r="1346" spans="1:10" ht="15.75" x14ac:dyDescent="0.25">
      <c r="A1346" s="21">
        <v>45412</v>
      </c>
      <c r="B1346" t="str">
        <f>IFERROR(IF(VLOOKUP(C1346,Hoja1!$B$1:$C$6191,2,0)="",_xlfn.XLOOKUP(C1346,Hoja1!$B$2:$B$6191,Hoja1!$A$2:$A$6191),VLOOKUP(C1346,Hoja1!$B$1:$C$6191,2,0)),"No esta en Infor")</f>
        <v>SH01272</v>
      </c>
      <c r="C1346" s="19" t="s">
        <v>506</v>
      </c>
      <c r="D1346" s="9">
        <v>0</v>
      </c>
      <c r="E1346" s="9">
        <v>36.94</v>
      </c>
      <c r="F1346" s="9">
        <v>0</v>
      </c>
      <c r="G1346" s="9">
        <v>0</v>
      </c>
      <c r="H1346" s="9">
        <v>0</v>
      </c>
      <c r="I1346" s="9">
        <v>0</v>
      </c>
      <c r="J1346" s="9">
        <v>36.94</v>
      </c>
    </row>
    <row r="1347" spans="1:10" ht="15.75" x14ac:dyDescent="0.25">
      <c r="A1347" s="21">
        <v>45412</v>
      </c>
      <c r="B1347" t="str">
        <f>IFERROR(IF(VLOOKUP(C1347,Hoja1!$B$1:$C$6191,2,0)="",_xlfn.XLOOKUP(C1347,Hoja1!$B$2:$B$6191,Hoja1!$A$2:$A$6191),VLOOKUP(C1347,Hoja1!$B$1:$C$6191,2,0)),"No esta en Infor")</f>
        <v>SH01296</v>
      </c>
      <c r="C1347" s="19" t="s">
        <v>507</v>
      </c>
      <c r="D1347" s="9">
        <v>0</v>
      </c>
      <c r="E1347" s="9">
        <v>105.88</v>
      </c>
      <c r="F1347" s="9">
        <v>0</v>
      </c>
      <c r="G1347" s="9">
        <v>0</v>
      </c>
      <c r="H1347" s="9">
        <v>0</v>
      </c>
      <c r="I1347" s="9">
        <v>0</v>
      </c>
      <c r="J1347" s="9">
        <v>105.88</v>
      </c>
    </row>
    <row r="1348" spans="1:10" ht="15.75" x14ac:dyDescent="0.25">
      <c r="A1348" s="21">
        <v>45412</v>
      </c>
      <c r="B1348" t="str">
        <f>IFERROR(IF(VLOOKUP(C1348,Hoja1!$B$1:$C$6191,2,0)="",_xlfn.XLOOKUP(C1348,Hoja1!$B$2:$B$6191,Hoja1!$A$2:$A$6191),VLOOKUP(C1348,Hoja1!$B$1:$C$6191,2,0)),"No esta en Infor")</f>
        <v>NAC1616</v>
      </c>
      <c r="C1348" s="19" t="s">
        <v>2970</v>
      </c>
      <c r="D1348" s="9">
        <v>23307.24</v>
      </c>
      <c r="E1348" s="9">
        <v>5647.73</v>
      </c>
      <c r="F1348" s="9">
        <v>0</v>
      </c>
      <c r="G1348" s="9">
        <v>0</v>
      </c>
      <c r="H1348" s="9">
        <v>0</v>
      </c>
      <c r="I1348" s="9">
        <v>0</v>
      </c>
      <c r="J1348" s="9">
        <v>28954.97</v>
      </c>
    </row>
    <row r="1349" spans="1:10" ht="15.75" x14ac:dyDescent="0.25">
      <c r="A1349" s="21">
        <v>45412</v>
      </c>
      <c r="B1349" t="str">
        <f>IFERROR(IF(VLOOKUP(C1349,Hoja1!$B$1:$C$6191,2,0)="",_xlfn.XLOOKUP(C1349,Hoja1!$B$2:$B$6191,Hoja1!$A$2:$A$6191),VLOOKUP(C1349,Hoja1!$B$1:$C$6191,2,0)),"No esta en Infor")</f>
        <v>NAC1606</v>
      </c>
      <c r="C1349" s="19" t="s">
        <v>236</v>
      </c>
      <c r="D1349" s="9">
        <v>30084.880000000001</v>
      </c>
      <c r="E1349" s="9">
        <v>0</v>
      </c>
      <c r="F1349" s="9">
        <v>0</v>
      </c>
      <c r="G1349" s="9">
        <v>0</v>
      </c>
      <c r="H1349" s="9">
        <v>0</v>
      </c>
      <c r="I1349" s="9">
        <v>0</v>
      </c>
      <c r="J1349" s="9">
        <v>30084.880000000001</v>
      </c>
    </row>
    <row r="1350" spans="1:10" ht="15.75" x14ac:dyDescent="0.25">
      <c r="A1350" s="21">
        <v>45412</v>
      </c>
      <c r="B1350" t="str">
        <f>IFERROR(IF(VLOOKUP(C1350,Hoja1!$B$1:$C$6191,2,0)="",_xlfn.XLOOKUP(C1350,Hoja1!$B$2:$B$6191,Hoja1!$A$2:$A$6191),VLOOKUP(C1350,Hoja1!$B$1:$C$6191,2,0)),"No esta en Infor")</f>
        <v>NAC1018</v>
      </c>
      <c r="C1350" s="19" t="s">
        <v>463</v>
      </c>
      <c r="D1350" s="9">
        <v>303</v>
      </c>
      <c r="E1350" s="9">
        <v>624</v>
      </c>
      <c r="F1350" s="9">
        <v>0</v>
      </c>
      <c r="G1350" s="9">
        <v>0</v>
      </c>
      <c r="H1350" s="9">
        <v>0</v>
      </c>
      <c r="I1350" s="9">
        <v>0</v>
      </c>
      <c r="J1350" s="9">
        <v>927</v>
      </c>
    </row>
    <row r="1351" spans="1:10" ht="15.75" x14ac:dyDescent="0.25">
      <c r="A1351" s="21">
        <v>45412</v>
      </c>
      <c r="B1351" t="str">
        <f>IFERROR(IF(VLOOKUP(C1351,Hoja1!$B$1:$C$6191,2,0)="",_xlfn.XLOOKUP(C1351,Hoja1!$B$2:$B$6191,Hoja1!$A$2:$A$6191),VLOOKUP(C1351,Hoja1!$B$1:$C$6191,2,0)),"No esta en Infor")</f>
        <v>NAC1019</v>
      </c>
      <c r="C1351" s="19" t="s">
        <v>238</v>
      </c>
      <c r="D1351" s="9">
        <v>0</v>
      </c>
      <c r="E1351" s="9">
        <v>0</v>
      </c>
      <c r="F1351" s="9">
        <v>0</v>
      </c>
      <c r="G1351" s="9">
        <v>0</v>
      </c>
      <c r="H1351" s="9">
        <v>-1620</v>
      </c>
      <c r="I1351" s="9">
        <v>0</v>
      </c>
      <c r="J1351" s="9">
        <v>-1620</v>
      </c>
    </row>
    <row r="1352" spans="1:10" ht="15.75" x14ac:dyDescent="0.25">
      <c r="A1352" s="21">
        <v>45412</v>
      </c>
      <c r="B1352" t="str">
        <f>IFERROR(IF(VLOOKUP(C1352,Hoja1!$B$1:$C$6191,2,0)="",_xlfn.XLOOKUP(C1352,Hoja1!$B$2:$B$6191,Hoja1!$A$2:$A$6191),VLOOKUP(C1352,Hoja1!$B$1:$C$6191,2,0)),"No esta en Infor")</f>
        <v>NAC1021</v>
      </c>
      <c r="C1352" s="19" t="s">
        <v>239</v>
      </c>
      <c r="D1352" s="9">
        <v>0</v>
      </c>
      <c r="E1352" s="9">
        <v>0</v>
      </c>
      <c r="F1352" s="9">
        <v>-5</v>
      </c>
      <c r="G1352" s="9">
        <v>0</v>
      </c>
      <c r="H1352" s="9">
        <v>-8.01</v>
      </c>
      <c r="I1352" s="9">
        <v>0</v>
      </c>
      <c r="J1352" s="9">
        <v>-13.01</v>
      </c>
    </row>
    <row r="1353" spans="1:10" ht="15.75" x14ac:dyDescent="0.25">
      <c r="A1353" s="21">
        <v>45412</v>
      </c>
      <c r="B1353" t="str">
        <f>IFERROR(IF(VLOOKUP(C1353,Hoja1!$B$1:$C$6191,2,0)="",_xlfn.XLOOKUP(C1353,Hoja1!$B$2:$B$6191,Hoja1!$A$2:$A$6191),VLOOKUP(C1353,Hoja1!$B$1:$C$6191,2,0)),"No esta en Infor")</f>
        <v>NAC1024</v>
      </c>
      <c r="C1353" s="19" t="s">
        <v>241</v>
      </c>
      <c r="D1353" s="9">
        <v>0</v>
      </c>
      <c r="E1353" s="9">
        <v>0</v>
      </c>
      <c r="F1353" s="9">
        <v>0</v>
      </c>
      <c r="G1353" s="9">
        <v>0</v>
      </c>
      <c r="H1353" s="9">
        <v>0</v>
      </c>
      <c r="I1353" s="9">
        <v>-16.41</v>
      </c>
      <c r="J1353" s="9">
        <v>-16.41</v>
      </c>
    </row>
    <row r="1354" spans="1:10" ht="15.75" x14ac:dyDescent="0.25">
      <c r="A1354" s="21">
        <v>45412</v>
      </c>
      <c r="B1354" t="str">
        <f>IFERROR(IF(VLOOKUP(C1354,Hoja1!$B$1:$C$6191,2,0)="",_xlfn.XLOOKUP(C1354,Hoja1!$B$2:$B$6191,Hoja1!$A$2:$A$6191),VLOOKUP(C1354,Hoja1!$B$1:$C$6191,2,0)),"No esta en Infor")</f>
        <v>NAC1025</v>
      </c>
      <c r="C1354" s="19" t="s">
        <v>242</v>
      </c>
      <c r="D1354" s="9">
        <v>0</v>
      </c>
      <c r="E1354" s="9">
        <v>681.67</v>
      </c>
      <c r="F1354" s="9">
        <v>-681.67</v>
      </c>
      <c r="G1354" s="9">
        <v>0</v>
      </c>
      <c r="H1354" s="9">
        <v>0</v>
      </c>
      <c r="I1354" s="9">
        <v>0</v>
      </c>
      <c r="J1354" s="9">
        <v>0</v>
      </c>
    </row>
    <row r="1355" spans="1:10" ht="15.75" x14ac:dyDescent="0.25">
      <c r="A1355" s="21">
        <v>45412</v>
      </c>
      <c r="B1355" t="str">
        <f>IFERROR(IF(VLOOKUP(C1355,Hoja1!$B$1:$C$6191,2,0)="",_xlfn.XLOOKUP(C1355,Hoja1!$B$2:$B$6191,Hoja1!$A$2:$A$6191),VLOOKUP(C1355,Hoja1!$B$1:$C$6191,2,0)),"No esta en Infor")</f>
        <v>NAC1027</v>
      </c>
      <c r="C1355" s="19" t="s">
        <v>243</v>
      </c>
      <c r="D1355" s="9">
        <v>114</v>
      </c>
      <c r="E1355" s="9">
        <v>0</v>
      </c>
      <c r="F1355" s="9">
        <v>0</v>
      </c>
      <c r="G1355" s="9">
        <v>0</v>
      </c>
      <c r="H1355" s="9">
        <v>0</v>
      </c>
      <c r="I1355" s="9">
        <v>-2408</v>
      </c>
      <c r="J1355" s="9">
        <v>-2294</v>
      </c>
    </row>
    <row r="1356" spans="1:10" ht="15.75" x14ac:dyDescent="0.25">
      <c r="A1356" s="21">
        <v>45412</v>
      </c>
      <c r="B1356" t="str">
        <f>IFERROR(IF(VLOOKUP(C1356,Hoja1!$B$1:$C$6191,2,0)="",_xlfn.XLOOKUP(C1356,Hoja1!$B$2:$B$6191,Hoja1!$A$2:$A$6191),VLOOKUP(C1356,Hoja1!$B$1:$C$6191,2,0)),"No esta en Infor")</f>
        <v>SH01379</v>
      </c>
      <c r="C1356" s="19" t="s">
        <v>508</v>
      </c>
      <c r="D1356" s="9">
        <v>57.68</v>
      </c>
      <c r="E1356" s="9">
        <v>0</v>
      </c>
      <c r="F1356" s="9">
        <v>0</v>
      </c>
      <c r="G1356" s="9">
        <v>0</v>
      </c>
      <c r="H1356" s="9">
        <v>0</v>
      </c>
      <c r="I1356" s="9">
        <v>0</v>
      </c>
      <c r="J1356" s="9">
        <v>57.68</v>
      </c>
    </row>
    <row r="1357" spans="1:10" ht="15.75" x14ac:dyDescent="0.25">
      <c r="A1357" s="21">
        <v>45412</v>
      </c>
      <c r="B1357" t="str">
        <f>IFERROR(IF(VLOOKUP(C1357,Hoja1!$B$1:$C$6191,2,0)="",_xlfn.XLOOKUP(C1357,Hoja1!$B$2:$B$6191,Hoja1!$A$2:$A$6191),VLOOKUP(C1357,Hoja1!$B$1:$C$6191,2,0)),"No esta en Infor")</f>
        <v>NAC1042</v>
      </c>
      <c r="C1357" s="19" t="s">
        <v>244</v>
      </c>
      <c r="D1357" s="9">
        <v>2772.4</v>
      </c>
      <c r="E1357" s="9">
        <v>530.5</v>
      </c>
      <c r="F1357" s="9">
        <v>0</v>
      </c>
      <c r="G1357" s="9">
        <v>0</v>
      </c>
      <c r="H1357" s="9">
        <v>0</v>
      </c>
      <c r="I1357" s="9">
        <v>0</v>
      </c>
      <c r="J1357" s="9">
        <v>3302.9</v>
      </c>
    </row>
    <row r="1358" spans="1:10" ht="15.75" x14ac:dyDescent="0.25">
      <c r="A1358" s="21">
        <v>45412</v>
      </c>
      <c r="B1358" t="str">
        <f>IFERROR(IF(VLOOKUP(C1358,Hoja1!$B$1:$C$6191,2,0)="",_xlfn.XLOOKUP(C1358,Hoja1!$B$2:$B$6191,Hoja1!$A$2:$A$6191),VLOOKUP(C1358,Hoja1!$B$1:$C$6191,2,0)),"No esta en Infor")</f>
        <v>SH01418</v>
      </c>
      <c r="C1358" s="19" t="s">
        <v>509</v>
      </c>
      <c r="D1358" s="9">
        <v>0</v>
      </c>
      <c r="E1358" s="9">
        <v>268.76</v>
      </c>
      <c r="F1358" s="9">
        <v>0</v>
      </c>
      <c r="G1358" s="9">
        <v>0</v>
      </c>
      <c r="H1358" s="9">
        <v>0</v>
      </c>
      <c r="I1358" s="9">
        <v>0</v>
      </c>
      <c r="J1358" s="9">
        <v>268.76</v>
      </c>
    </row>
    <row r="1359" spans="1:10" ht="15.75" x14ac:dyDescent="0.25">
      <c r="A1359" s="21">
        <v>45412</v>
      </c>
      <c r="B1359" t="str">
        <f>IFERROR(IF(VLOOKUP(C1359,Hoja1!$B$1:$C$6191,2,0)="",_xlfn.XLOOKUP(C1359,Hoja1!$B$2:$B$6191,Hoja1!$A$2:$A$6191),VLOOKUP(C1359,Hoja1!$B$1:$C$6191,2,0)),"No esta en Infor")</f>
        <v>SH01449</v>
      </c>
      <c r="C1359" s="19" t="s">
        <v>510</v>
      </c>
      <c r="D1359" s="9">
        <v>0</v>
      </c>
      <c r="E1359" s="9">
        <v>118.85</v>
      </c>
      <c r="F1359" s="9">
        <v>0</v>
      </c>
      <c r="G1359" s="9">
        <v>0</v>
      </c>
      <c r="H1359" s="9">
        <v>0</v>
      </c>
      <c r="I1359" s="9">
        <v>0</v>
      </c>
      <c r="J1359" s="9">
        <v>118.85</v>
      </c>
    </row>
    <row r="1360" spans="1:10" ht="15.75" x14ac:dyDescent="0.25">
      <c r="A1360" s="21">
        <v>45412</v>
      </c>
      <c r="B1360" t="str">
        <f>IFERROR(IF(VLOOKUP(C1360,Hoja1!$B$1:$C$6191,2,0)="",_xlfn.XLOOKUP(C1360,Hoja1!$B$2:$B$6191,Hoja1!$A$2:$A$6191),VLOOKUP(C1360,Hoja1!$B$1:$C$6191,2,0)),"No esta en Infor")</f>
        <v>SH01470</v>
      </c>
      <c r="C1360" s="19" t="s">
        <v>511</v>
      </c>
      <c r="D1360" s="9">
        <v>0</v>
      </c>
      <c r="E1360" s="9">
        <v>37.369999999999997</v>
      </c>
      <c r="F1360" s="9">
        <v>0</v>
      </c>
      <c r="G1360" s="9">
        <v>0</v>
      </c>
      <c r="H1360" s="9">
        <v>0</v>
      </c>
      <c r="I1360" s="9">
        <v>0</v>
      </c>
      <c r="J1360" s="9">
        <v>37.369999999999997</v>
      </c>
    </row>
    <row r="1361" spans="1:10" ht="15.75" x14ac:dyDescent="0.25">
      <c r="A1361" s="21">
        <v>45412</v>
      </c>
      <c r="B1361" t="str">
        <f>IFERROR(IF(VLOOKUP(C1361,Hoja1!$B$1:$C$6191,2,0)="",_xlfn.XLOOKUP(C1361,Hoja1!$B$2:$B$6191,Hoja1!$A$2:$A$6191),VLOOKUP(C1361,Hoja1!$B$1:$C$6191,2,0)),"No esta en Infor")</f>
        <v>NAC1051</v>
      </c>
      <c r="C1361" s="19" t="s">
        <v>246</v>
      </c>
      <c r="D1361" s="9">
        <v>456.77</v>
      </c>
      <c r="E1361" s="9">
        <v>500.76</v>
      </c>
      <c r="F1361" s="9">
        <v>0</v>
      </c>
      <c r="G1361" s="9">
        <v>0</v>
      </c>
      <c r="H1361" s="9">
        <v>0</v>
      </c>
      <c r="I1361" s="9">
        <v>0</v>
      </c>
      <c r="J1361" s="9">
        <v>957.53</v>
      </c>
    </row>
    <row r="1362" spans="1:10" ht="15.75" x14ac:dyDescent="0.25">
      <c r="A1362" s="21">
        <v>45412</v>
      </c>
      <c r="B1362" t="str">
        <f>IFERROR(IF(VLOOKUP(C1362,Hoja1!$B$1:$C$6191,2,0)="",_xlfn.XLOOKUP(C1362,Hoja1!$B$2:$B$6191,Hoja1!$A$2:$A$6191),VLOOKUP(C1362,Hoja1!$B$1:$C$6191,2,0)),"No esta en Infor")</f>
        <v>FOC0001</v>
      </c>
      <c r="C1362" s="19" t="s">
        <v>247</v>
      </c>
      <c r="D1362" s="9">
        <v>0</v>
      </c>
      <c r="E1362" s="9">
        <v>0</v>
      </c>
      <c r="F1362" s="9">
        <v>0</v>
      </c>
      <c r="G1362" s="9">
        <v>0</v>
      </c>
      <c r="H1362" s="9">
        <v>0</v>
      </c>
      <c r="I1362" s="9">
        <v>-88.81</v>
      </c>
      <c r="J1362" s="9">
        <v>-88.81</v>
      </c>
    </row>
    <row r="1363" spans="1:10" ht="15.75" x14ac:dyDescent="0.25">
      <c r="A1363" s="21">
        <v>45412</v>
      </c>
      <c r="B1363" t="str">
        <f>IFERROR(IF(VLOOKUP(C1363,Hoja1!$B$1:$C$6191,2,0)="",_xlfn.XLOOKUP(C1363,Hoja1!$B$2:$B$6191,Hoja1!$A$2:$A$6191),VLOOKUP(C1363,Hoja1!$B$1:$C$6191,2,0)),"No esta en Infor")</f>
        <v>NAC1054</v>
      </c>
      <c r="C1363" s="19" t="s">
        <v>248</v>
      </c>
      <c r="D1363" s="9">
        <v>329.8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329.8</v>
      </c>
    </row>
    <row r="1364" spans="1:10" ht="15.75" x14ac:dyDescent="0.25">
      <c r="A1364" s="21">
        <v>45412</v>
      </c>
      <c r="B1364" t="str">
        <f>IFERROR(IF(VLOOKUP(C1364,Hoja1!$B$1:$C$6191,2,0)="",_xlfn.XLOOKUP(C1364,Hoja1!$B$2:$B$6191,Hoja1!$A$2:$A$6191),VLOOKUP(C1364,Hoja1!$B$1:$C$6191,2,0)),"No esta en Infor")</f>
        <v>NAC1056</v>
      </c>
      <c r="C1364" s="19" t="s">
        <v>465</v>
      </c>
      <c r="D1364" s="9">
        <v>74.88</v>
      </c>
      <c r="E1364" s="9">
        <v>74.88</v>
      </c>
      <c r="F1364" s="9">
        <v>0</v>
      </c>
      <c r="G1364" s="9">
        <v>0</v>
      </c>
      <c r="H1364" s="9">
        <v>0</v>
      </c>
      <c r="I1364" s="9">
        <v>0</v>
      </c>
      <c r="J1364" s="9">
        <v>149.76</v>
      </c>
    </row>
    <row r="1365" spans="1:10" ht="15.75" x14ac:dyDescent="0.25">
      <c r="A1365" s="21">
        <v>45412</v>
      </c>
      <c r="B1365" t="str">
        <f>IFERROR(IF(VLOOKUP(C1365,Hoja1!$B$1:$C$6191,2,0)="",_xlfn.XLOOKUP(C1365,Hoja1!$B$2:$B$6191,Hoja1!$A$2:$A$6191),VLOOKUP(C1365,Hoja1!$B$1:$C$6191,2,0)),"No esta en Infor")</f>
        <v>NAC1074</v>
      </c>
      <c r="C1365" s="19" t="s">
        <v>252</v>
      </c>
      <c r="D1365" s="9">
        <v>346.53</v>
      </c>
      <c r="E1365" s="9">
        <v>-124.83</v>
      </c>
      <c r="F1365" s="9">
        <v>-66.400000000000006</v>
      </c>
      <c r="G1365" s="9">
        <v>0</v>
      </c>
      <c r="H1365" s="9">
        <v>0</v>
      </c>
      <c r="I1365" s="9">
        <v>0</v>
      </c>
      <c r="J1365" s="9">
        <v>155.30000000000001</v>
      </c>
    </row>
    <row r="1366" spans="1:10" ht="15.75" x14ac:dyDescent="0.25">
      <c r="A1366" s="21">
        <v>45412</v>
      </c>
      <c r="B1366" t="str">
        <f>IFERROR(IF(VLOOKUP(C1366,Hoja1!$B$1:$C$6191,2,0)="",_xlfn.XLOOKUP(C1366,Hoja1!$B$2:$B$6191,Hoja1!$A$2:$A$6191),VLOOKUP(C1366,Hoja1!$B$1:$C$6191,2,0)),"No esta en Infor")</f>
        <v>NAC1076</v>
      </c>
      <c r="C1366" s="19" t="s">
        <v>253</v>
      </c>
      <c r="D1366" s="9">
        <v>0</v>
      </c>
      <c r="E1366" s="9">
        <v>0</v>
      </c>
      <c r="F1366" s="9">
        <v>-47.19</v>
      </c>
      <c r="G1366" s="9">
        <v>0</v>
      </c>
      <c r="H1366" s="9">
        <v>0</v>
      </c>
      <c r="I1366" s="9">
        <v>0</v>
      </c>
      <c r="J1366" s="9">
        <v>-47.19</v>
      </c>
    </row>
    <row r="1367" spans="1:10" ht="15.75" x14ac:dyDescent="0.25">
      <c r="A1367" s="21">
        <v>45412</v>
      </c>
      <c r="B1367" t="str">
        <f>IFERROR(IF(VLOOKUP(C1367,Hoja1!$B$1:$C$6191,2,0)="",_xlfn.XLOOKUP(C1367,Hoja1!$B$2:$B$6191,Hoja1!$A$2:$A$6191),VLOOKUP(C1367,Hoja1!$B$1:$C$6191,2,0)),"No esta en Infor")</f>
        <v>NAC1077</v>
      </c>
      <c r="C1367" s="19" t="s">
        <v>254</v>
      </c>
      <c r="D1367" s="9">
        <v>2231</v>
      </c>
      <c r="E1367" s="9">
        <v>1857</v>
      </c>
      <c r="F1367" s="9">
        <v>0</v>
      </c>
      <c r="G1367" s="9">
        <v>0</v>
      </c>
      <c r="H1367" s="9">
        <v>0</v>
      </c>
      <c r="I1367" s="9">
        <v>0</v>
      </c>
      <c r="J1367" s="9">
        <v>4088</v>
      </c>
    </row>
    <row r="1368" spans="1:10" ht="15.75" x14ac:dyDescent="0.25">
      <c r="A1368" s="21">
        <v>45412</v>
      </c>
      <c r="B1368" t="str">
        <f>IFERROR(IF(VLOOKUP(C1368,Hoja1!$B$1:$C$6191,2,0)="",_xlfn.XLOOKUP(C1368,Hoja1!$B$2:$B$6191,Hoja1!$A$2:$A$6191),VLOOKUP(C1368,Hoja1!$B$1:$C$6191,2,0)),"No esta en Infor")</f>
        <v>CAN0036</v>
      </c>
      <c r="C1368" s="19" t="s">
        <v>256</v>
      </c>
      <c r="D1368" s="9">
        <v>0</v>
      </c>
      <c r="E1368" s="9">
        <v>8657.8799999999992</v>
      </c>
      <c r="F1368" s="9">
        <v>0</v>
      </c>
      <c r="G1368" s="9">
        <v>0</v>
      </c>
      <c r="H1368" s="9">
        <v>0</v>
      </c>
      <c r="I1368" s="9">
        <v>0</v>
      </c>
      <c r="J1368" s="9">
        <v>8657.8799999999992</v>
      </c>
    </row>
    <row r="1369" spans="1:10" ht="15.75" x14ac:dyDescent="0.25">
      <c r="A1369" s="21">
        <v>45412</v>
      </c>
      <c r="B1369" t="str">
        <f>IFERROR(IF(VLOOKUP(C1369,Hoja1!$B$1:$C$6191,2,0)="",_xlfn.XLOOKUP(C1369,Hoja1!$B$2:$B$6191,Hoja1!$A$2:$A$6191),VLOOKUP(C1369,Hoja1!$B$1:$C$6191,2,0)),"No esta en Infor")</f>
        <v>SH01719</v>
      </c>
      <c r="C1369" s="19" t="s">
        <v>512</v>
      </c>
      <c r="D1369" s="9">
        <v>0</v>
      </c>
      <c r="E1369" s="9">
        <v>57.73</v>
      </c>
      <c r="F1369" s="9">
        <v>0</v>
      </c>
      <c r="G1369" s="9">
        <v>0</v>
      </c>
      <c r="H1369" s="9">
        <v>0</v>
      </c>
      <c r="I1369" s="9">
        <v>0</v>
      </c>
      <c r="J1369" s="9">
        <v>57.73</v>
      </c>
    </row>
    <row r="1370" spans="1:10" ht="15.75" x14ac:dyDescent="0.25">
      <c r="A1370" s="21">
        <v>45412</v>
      </c>
      <c r="B1370" t="str">
        <f>IFERROR(IF(VLOOKUP(C1370,Hoja1!$B$1:$C$6191,2,0)="",_xlfn.XLOOKUP(C1370,Hoja1!$B$2:$B$6191,Hoja1!$A$2:$A$6191),VLOOKUP(C1370,Hoja1!$B$1:$C$6191,2,0)),"No esta en Infor")</f>
        <v>NAC1106</v>
      </c>
      <c r="C1370" s="19" t="s">
        <v>259</v>
      </c>
      <c r="D1370" s="9">
        <v>372.88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  <c r="J1370" s="9">
        <v>372.88</v>
      </c>
    </row>
    <row r="1371" spans="1:10" ht="15.75" x14ac:dyDescent="0.25">
      <c r="A1371" s="21">
        <v>45412</v>
      </c>
      <c r="B1371" t="str">
        <f>IFERROR(IF(VLOOKUP(C1371,Hoja1!$B$1:$C$6191,2,0)="",_xlfn.XLOOKUP(C1371,Hoja1!$B$2:$B$6191,Hoja1!$A$2:$A$6191),VLOOKUP(C1371,Hoja1!$B$1:$C$6191,2,0)),"No esta en Infor")</f>
        <v>NAC1108</v>
      </c>
      <c r="C1371" s="19" t="s">
        <v>468</v>
      </c>
      <c r="D1371" s="9">
        <v>0</v>
      </c>
      <c r="E1371" s="9">
        <v>194.84</v>
      </c>
      <c r="F1371" s="9">
        <v>0</v>
      </c>
      <c r="G1371" s="9">
        <v>0</v>
      </c>
      <c r="H1371" s="9">
        <v>0</v>
      </c>
      <c r="I1371" s="9">
        <v>0</v>
      </c>
      <c r="J1371" s="9">
        <v>194.84</v>
      </c>
    </row>
    <row r="1372" spans="1:10" ht="15.75" x14ac:dyDescent="0.25">
      <c r="A1372" s="21">
        <v>45412</v>
      </c>
      <c r="B1372" t="str">
        <f>IFERROR(IF(VLOOKUP(C1372,Hoja1!$B$1:$C$6191,2,0)="",_xlfn.XLOOKUP(C1372,Hoja1!$B$2:$B$6191,Hoja1!$A$2:$A$6191),VLOOKUP(C1372,Hoja1!$B$1:$C$6191,2,0)),"No esta en Infor")</f>
        <v>NAC1114</v>
      </c>
      <c r="C1372" s="19" t="s">
        <v>408</v>
      </c>
      <c r="D1372" s="9">
        <v>2084.94</v>
      </c>
      <c r="E1372" s="9">
        <v>-196.34</v>
      </c>
      <c r="F1372" s="9">
        <v>0</v>
      </c>
      <c r="G1372" s="9">
        <v>0</v>
      </c>
      <c r="H1372" s="9">
        <v>0</v>
      </c>
      <c r="I1372" s="9">
        <v>0</v>
      </c>
      <c r="J1372" s="9">
        <v>1888.6</v>
      </c>
    </row>
    <row r="1373" spans="1:10" ht="15.75" x14ac:dyDescent="0.25">
      <c r="A1373" s="21">
        <v>45412</v>
      </c>
      <c r="B1373" t="str">
        <f>IFERROR(IF(VLOOKUP(C1373,Hoja1!$B$1:$C$6191,2,0)="",_xlfn.XLOOKUP(C1373,Hoja1!$B$2:$B$6191,Hoja1!$A$2:$A$6191),VLOOKUP(C1373,Hoja1!$B$1:$C$6191,2,0)),"No esta en Infor")</f>
        <v>NAC1116</v>
      </c>
      <c r="C1373" s="19" t="s">
        <v>260</v>
      </c>
      <c r="D1373" s="9">
        <v>0</v>
      </c>
      <c r="E1373" s="9">
        <v>0</v>
      </c>
      <c r="F1373" s="9">
        <v>0</v>
      </c>
      <c r="G1373" s="9">
        <v>109.44</v>
      </c>
      <c r="H1373" s="9">
        <v>0</v>
      </c>
      <c r="I1373" s="9">
        <v>0</v>
      </c>
      <c r="J1373" s="9">
        <v>109.44</v>
      </c>
    </row>
    <row r="1374" spans="1:10" ht="15.75" x14ac:dyDescent="0.25">
      <c r="A1374" s="21">
        <v>45412</v>
      </c>
      <c r="B1374" t="str">
        <f>IFERROR(IF(VLOOKUP(C1374,Hoja1!$B$1:$C$6191,2,0)="",_xlfn.XLOOKUP(C1374,Hoja1!$B$2:$B$6191,Hoja1!$A$2:$A$6191),VLOOKUP(C1374,Hoja1!$B$1:$C$6191,2,0)),"No esta en Infor")</f>
        <v>NAC1117</v>
      </c>
      <c r="C1374" s="19" t="s">
        <v>513</v>
      </c>
      <c r="D1374" s="9">
        <v>-702.48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  <c r="J1374" s="9">
        <v>-702.48</v>
      </c>
    </row>
    <row r="1375" spans="1:10" ht="15.75" x14ac:dyDescent="0.25">
      <c r="A1375" s="21">
        <v>45412</v>
      </c>
      <c r="B1375" t="str">
        <f>IFERROR(IF(VLOOKUP(C1375,Hoja1!$B$1:$C$6191,2,0)="",_xlfn.XLOOKUP(C1375,Hoja1!$B$2:$B$6191,Hoja1!$A$2:$A$6191),VLOOKUP(C1375,Hoja1!$B$1:$C$6191,2,0)),"No esta en Infor")</f>
        <v>NAC1119</v>
      </c>
      <c r="C1375" s="19" t="s">
        <v>514</v>
      </c>
      <c r="D1375" s="9">
        <v>11749.4</v>
      </c>
      <c r="E1375" s="9">
        <v>0</v>
      </c>
      <c r="F1375" s="9">
        <v>0</v>
      </c>
      <c r="G1375" s="9">
        <v>0</v>
      </c>
      <c r="H1375" s="9">
        <v>0</v>
      </c>
      <c r="I1375" s="9">
        <v>0</v>
      </c>
      <c r="J1375" s="9">
        <v>11749.4</v>
      </c>
    </row>
    <row r="1376" spans="1:10" ht="15.75" x14ac:dyDescent="0.25">
      <c r="A1376" s="21">
        <v>45412</v>
      </c>
      <c r="B1376" t="str">
        <f>IFERROR(IF(VLOOKUP(C1376,Hoja1!$B$1:$C$6191,2,0)="",_xlfn.XLOOKUP(C1376,Hoja1!$B$2:$B$6191,Hoja1!$A$2:$A$6191),VLOOKUP(C1376,Hoja1!$B$1:$C$6191,2,0)),"No esta en Infor")</f>
        <v>NAC1122</v>
      </c>
      <c r="C1376" s="19" t="s">
        <v>515</v>
      </c>
      <c r="D1376" s="9">
        <v>9593</v>
      </c>
      <c r="E1376" s="9">
        <v>0</v>
      </c>
      <c r="F1376" s="9">
        <v>0</v>
      </c>
      <c r="G1376" s="9">
        <v>0</v>
      </c>
      <c r="H1376" s="9">
        <v>0</v>
      </c>
      <c r="I1376" s="9">
        <v>0</v>
      </c>
      <c r="J1376" s="9">
        <v>9593</v>
      </c>
    </row>
    <row r="1377" spans="1:10" ht="15.75" x14ac:dyDescent="0.25">
      <c r="A1377" s="21">
        <v>45412</v>
      </c>
      <c r="B1377" t="str">
        <f>IFERROR(IF(VLOOKUP(C1377,Hoja1!$B$1:$C$6191,2,0)="",_xlfn.XLOOKUP(C1377,Hoja1!$B$2:$B$6191,Hoja1!$A$2:$A$6191),VLOOKUP(C1377,Hoja1!$B$1:$C$6191,2,0)),"No esta en Infor")</f>
        <v>NAC1125</v>
      </c>
      <c r="C1377" s="19" t="s">
        <v>262</v>
      </c>
      <c r="D1377" s="9">
        <v>0</v>
      </c>
      <c r="E1377" s="9">
        <v>0</v>
      </c>
      <c r="F1377" s="9">
        <v>0</v>
      </c>
      <c r="G1377" s="9">
        <v>0</v>
      </c>
      <c r="H1377" s="9">
        <v>-3413.5</v>
      </c>
      <c r="I1377" s="9">
        <v>-379.3</v>
      </c>
      <c r="J1377" s="9">
        <v>-3792.8</v>
      </c>
    </row>
    <row r="1378" spans="1:10" ht="15.75" x14ac:dyDescent="0.25">
      <c r="A1378" s="21">
        <v>45412</v>
      </c>
      <c r="B1378" t="str">
        <f>IFERROR(IF(VLOOKUP(C1378,Hoja1!$B$1:$C$6191,2,0)="",_xlfn.XLOOKUP(C1378,Hoja1!$B$2:$B$6191,Hoja1!$A$2:$A$6191),VLOOKUP(C1378,Hoja1!$B$1:$C$6191,2,0)),"No esta en Infor")</f>
        <v>NAC1128</v>
      </c>
      <c r="C1378" s="19" t="s">
        <v>263</v>
      </c>
      <c r="D1378" s="9">
        <v>14485</v>
      </c>
      <c r="E1378" s="9">
        <v>0</v>
      </c>
      <c r="F1378" s="9">
        <v>0</v>
      </c>
      <c r="G1378" s="9">
        <v>0</v>
      </c>
      <c r="H1378" s="9">
        <v>0</v>
      </c>
      <c r="I1378" s="9">
        <v>0</v>
      </c>
      <c r="J1378" s="9">
        <v>14485</v>
      </c>
    </row>
    <row r="1379" spans="1:10" ht="15.75" x14ac:dyDescent="0.25">
      <c r="A1379" s="21">
        <v>45412</v>
      </c>
      <c r="B1379" t="str">
        <f>IFERROR(IF(VLOOKUP(C1379,Hoja1!$B$1:$C$6191,2,0)="",_xlfn.XLOOKUP(C1379,Hoja1!$B$2:$B$6191,Hoja1!$A$2:$A$6191),VLOOKUP(C1379,Hoja1!$B$1:$C$6191,2,0)),"No esta en Infor")</f>
        <v>CAN0038</v>
      </c>
      <c r="C1379" s="19" t="s">
        <v>264</v>
      </c>
      <c r="D1379" s="9">
        <v>6336.15</v>
      </c>
      <c r="E1379" s="9">
        <v>250.53</v>
      </c>
      <c r="F1379" s="9">
        <v>0</v>
      </c>
      <c r="G1379" s="9">
        <v>0</v>
      </c>
      <c r="H1379" s="9">
        <v>0</v>
      </c>
      <c r="I1379" s="9">
        <v>0</v>
      </c>
      <c r="J1379" s="9">
        <v>6586.68</v>
      </c>
    </row>
    <row r="1380" spans="1:10" ht="15.75" x14ac:dyDescent="0.25">
      <c r="A1380" s="21">
        <v>45412</v>
      </c>
      <c r="B1380" t="str">
        <f>IFERROR(IF(VLOOKUP(C1380,Hoja1!$B$1:$C$6191,2,0)="",_xlfn.XLOOKUP(C1380,Hoja1!$B$2:$B$6191,Hoja1!$A$2:$A$6191),VLOOKUP(C1380,Hoja1!$B$1:$C$6191,2,0)),"No esta en Infor")</f>
        <v>CAN0039</v>
      </c>
      <c r="C1380" s="19" t="s">
        <v>265</v>
      </c>
      <c r="D1380" s="9">
        <v>54567.040000000001</v>
      </c>
      <c r="E1380" s="9">
        <v>0</v>
      </c>
      <c r="F1380" s="9">
        <v>0</v>
      </c>
      <c r="G1380" s="9">
        <v>0</v>
      </c>
      <c r="H1380" s="9">
        <v>0</v>
      </c>
      <c r="I1380" s="9">
        <v>0</v>
      </c>
      <c r="J1380" s="9">
        <v>54567.040000000001</v>
      </c>
    </row>
    <row r="1381" spans="1:10" ht="15.75" x14ac:dyDescent="0.25">
      <c r="A1381" s="21">
        <v>45412</v>
      </c>
      <c r="B1381" t="str">
        <f>IFERROR(IF(VLOOKUP(C1381,Hoja1!$B$1:$C$6191,2,0)="",_xlfn.XLOOKUP(C1381,Hoja1!$B$2:$B$6191,Hoja1!$A$2:$A$6191),VLOOKUP(C1381,Hoja1!$B$1:$C$6191,2,0)),"No esta en Infor")</f>
        <v>NAC1134</v>
      </c>
      <c r="C1381" s="19" t="s">
        <v>266</v>
      </c>
      <c r="D1381" s="9">
        <v>0</v>
      </c>
      <c r="E1381" s="9">
        <v>0</v>
      </c>
      <c r="F1381" s="9">
        <v>0</v>
      </c>
      <c r="G1381" s="9">
        <v>14.6</v>
      </c>
      <c r="H1381" s="9">
        <v>0</v>
      </c>
      <c r="I1381" s="9">
        <v>0</v>
      </c>
      <c r="J1381" s="9">
        <v>14.6</v>
      </c>
    </row>
    <row r="1382" spans="1:10" ht="15.75" x14ac:dyDescent="0.25">
      <c r="A1382" s="21">
        <v>45412</v>
      </c>
      <c r="B1382" t="str">
        <f>IFERROR(IF(VLOOKUP(C1382,Hoja1!$B$1:$C$6191,2,0)="",_xlfn.XLOOKUP(C1382,Hoja1!$B$2:$B$6191,Hoja1!$A$2:$A$6191),VLOOKUP(C1382,Hoja1!$B$1:$C$6191,2,0)),"No esta en Infor")</f>
        <v>NAC1611</v>
      </c>
      <c r="C1382" s="19" t="s">
        <v>2210</v>
      </c>
      <c r="D1382" s="9">
        <v>49174.44</v>
      </c>
      <c r="E1382" s="9">
        <v>55242.16</v>
      </c>
      <c r="F1382" s="9">
        <v>0</v>
      </c>
      <c r="G1382" s="9">
        <v>0</v>
      </c>
      <c r="H1382" s="9">
        <v>0</v>
      </c>
      <c r="I1382" s="9">
        <v>0</v>
      </c>
      <c r="J1382" s="9">
        <v>104416.6</v>
      </c>
    </row>
    <row r="1383" spans="1:10" ht="15.75" x14ac:dyDescent="0.25">
      <c r="A1383" s="21">
        <v>45412</v>
      </c>
      <c r="B1383" t="str">
        <f>IFERROR(IF(VLOOKUP(C1383,Hoja1!$B$1:$C$6191,2,0)="",_xlfn.XLOOKUP(C1383,Hoja1!$B$2:$B$6191,Hoja1!$A$2:$A$6191),VLOOKUP(C1383,Hoja1!$B$1:$C$6191,2,0)),"No esta en Infor")</f>
        <v>NAC1143</v>
      </c>
      <c r="C1383" s="19" t="s">
        <v>268</v>
      </c>
      <c r="D1383" s="9">
        <v>3976</v>
      </c>
      <c r="E1383" s="9">
        <v>0</v>
      </c>
      <c r="F1383" s="9">
        <v>0</v>
      </c>
      <c r="G1383" s="9">
        <v>0</v>
      </c>
      <c r="H1383" s="9">
        <v>0</v>
      </c>
      <c r="I1383" s="9">
        <v>0</v>
      </c>
      <c r="J1383" s="9">
        <v>3976</v>
      </c>
    </row>
    <row r="1384" spans="1:10" ht="15.75" x14ac:dyDescent="0.25">
      <c r="A1384" s="21">
        <v>45412</v>
      </c>
      <c r="B1384" t="str">
        <f>IFERROR(IF(VLOOKUP(C1384,Hoja1!$B$1:$C$6191,2,0)="",_xlfn.XLOOKUP(C1384,Hoja1!$B$2:$B$6191,Hoja1!$A$2:$A$6191),VLOOKUP(C1384,Hoja1!$B$1:$C$6191,2,0)),"No esta en Infor")</f>
        <v>NAC1144</v>
      </c>
      <c r="C1384" s="19" t="s">
        <v>411</v>
      </c>
      <c r="D1384" s="9">
        <v>0</v>
      </c>
      <c r="E1384" s="9">
        <v>29.71</v>
      </c>
      <c r="F1384" s="9">
        <v>0</v>
      </c>
      <c r="G1384" s="9">
        <v>0</v>
      </c>
      <c r="H1384" s="9">
        <v>0</v>
      </c>
      <c r="I1384" s="9">
        <v>0</v>
      </c>
      <c r="J1384" s="9">
        <v>29.71</v>
      </c>
    </row>
    <row r="1385" spans="1:10" ht="15.75" x14ac:dyDescent="0.25">
      <c r="A1385" s="21">
        <v>45412</v>
      </c>
      <c r="B1385" t="str">
        <f>IFERROR(IF(VLOOKUP(C1385,Hoja1!$B$1:$C$6191,2,0)="",_xlfn.XLOOKUP(C1385,Hoja1!$B$2:$B$6191,Hoja1!$A$2:$A$6191),VLOOKUP(C1385,Hoja1!$B$1:$C$6191,2,0)),"No esta en Infor")</f>
        <v>NAC1145</v>
      </c>
      <c r="C1385" s="19" t="s">
        <v>269</v>
      </c>
      <c r="D1385" s="9">
        <v>0</v>
      </c>
      <c r="E1385" s="9">
        <v>0</v>
      </c>
      <c r="F1385" s="9">
        <v>-16.16</v>
      </c>
      <c r="G1385" s="9">
        <v>0</v>
      </c>
      <c r="H1385" s="9">
        <v>0</v>
      </c>
      <c r="I1385" s="9">
        <v>0</v>
      </c>
      <c r="J1385" s="9">
        <v>-16.16</v>
      </c>
    </row>
    <row r="1386" spans="1:10" ht="15.75" x14ac:dyDescent="0.25">
      <c r="A1386" s="21">
        <v>45412</v>
      </c>
      <c r="B1386" t="str">
        <f>IFERROR(IF(VLOOKUP(C1386,Hoja1!$B$1:$C$6191,2,0)="",_xlfn.XLOOKUP(C1386,Hoja1!$B$2:$B$6191,Hoja1!$A$2:$A$6191),VLOOKUP(C1386,Hoja1!$B$1:$C$6191,2,0)),"No esta en Infor")</f>
        <v>NAC1148</v>
      </c>
      <c r="C1386" s="19" t="s">
        <v>270</v>
      </c>
      <c r="D1386" s="9">
        <v>3986.43</v>
      </c>
      <c r="E1386" s="9">
        <v>7784.08</v>
      </c>
      <c r="F1386" s="9">
        <v>0</v>
      </c>
      <c r="G1386" s="9">
        <v>0</v>
      </c>
      <c r="H1386" s="9">
        <v>0</v>
      </c>
      <c r="I1386" s="9">
        <v>0</v>
      </c>
      <c r="J1386" s="9">
        <v>11770.51</v>
      </c>
    </row>
    <row r="1387" spans="1:10" ht="15.75" x14ac:dyDescent="0.25">
      <c r="A1387" s="21">
        <v>45412</v>
      </c>
      <c r="B1387" t="str">
        <f>IFERROR(IF(VLOOKUP(C1387,Hoja1!$B$1:$C$6191,2,0)="",_xlfn.XLOOKUP(C1387,Hoja1!$B$2:$B$6191,Hoja1!$A$2:$A$6191),VLOOKUP(C1387,Hoja1!$B$1:$C$6191,2,0)),"No esta en Infor")</f>
        <v>NAC1151</v>
      </c>
      <c r="C1387" s="19" t="s">
        <v>271</v>
      </c>
      <c r="D1387" s="9">
        <v>5521</v>
      </c>
      <c r="E1387" s="9">
        <v>72733.8</v>
      </c>
      <c r="F1387" s="9">
        <v>0</v>
      </c>
      <c r="G1387" s="9">
        <v>0</v>
      </c>
      <c r="H1387" s="9">
        <v>0</v>
      </c>
      <c r="I1387" s="9">
        <v>0</v>
      </c>
      <c r="J1387" s="9">
        <v>78254.8</v>
      </c>
    </row>
    <row r="1388" spans="1:10" ht="15.75" x14ac:dyDescent="0.25">
      <c r="A1388" s="21">
        <v>45412</v>
      </c>
      <c r="B1388" t="str">
        <f>IFERROR(IF(VLOOKUP(C1388,Hoja1!$B$1:$C$6191,2,0)="",_xlfn.XLOOKUP(C1388,Hoja1!$B$2:$B$6191,Hoja1!$A$2:$A$6191),VLOOKUP(C1388,Hoja1!$B$1:$C$6191,2,0)),"No esta en Infor")</f>
        <v>NAC1152</v>
      </c>
      <c r="C1388" s="19" t="s">
        <v>470</v>
      </c>
      <c r="D1388" s="9">
        <v>8237.25</v>
      </c>
      <c r="E1388" s="9">
        <v>1875.93</v>
      </c>
      <c r="F1388" s="9">
        <v>0</v>
      </c>
      <c r="G1388" s="9">
        <v>0</v>
      </c>
      <c r="H1388" s="9">
        <v>0</v>
      </c>
      <c r="I1388" s="9">
        <v>0</v>
      </c>
      <c r="J1388" s="9">
        <v>10113.18</v>
      </c>
    </row>
    <row r="1389" spans="1:10" ht="15.75" x14ac:dyDescent="0.25">
      <c r="A1389" s="21">
        <v>45412</v>
      </c>
      <c r="B1389" t="str">
        <f>IFERROR(IF(VLOOKUP(C1389,Hoja1!$B$1:$C$6191,2,0)="",_xlfn.XLOOKUP(C1389,Hoja1!$B$2:$B$6191,Hoja1!$A$2:$A$6191),VLOOKUP(C1389,Hoja1!$B$1:$C$6191,2,0)),"No esta en Infor")</f>
        <v>NAC1158</v>
      </c>
      <c r="C1389" s="19" t="s">
        <v>272</v>
      </c>
      <c r="D1389" s="9">
        <v>17807.650000000001</v>
      </c>
      <c r="E1389" s="9">
        <v>7107.8</v>
      </c>
      <c r="F1389" s="9">
        <v>-479.32</v>
      </c>
      <c r="G1389" s="9">
        <v>0</v>
      </c>
      <c r="H1389" s="9">
        <v>0</v>
      </c>
      <c r="I1389" s="9">
        <v>0</v>
      </c>
      <c r="J1389" s="9">
        <v>24436.13</v>
      </c>
    </row>
    <row r="1390" spans="1:10" ht="15.75" x14ac:dyDescent="0.25">
      <c r="A1390" s="21">
        <v>45412</v>
      </c>
      <c r="B1390" t="str">
        <f>IFERROR(IF(VLOOKUP(C1390,Hoja1!$B$1:$C$6191,2,0)="",_xlfn.XLOOKUP(C1390,Hoja1!$B$2:$B$6191,Hoja1!$A$2:$A$6191),VLOOKUP(C1390,Hoja1!$B$1:$C$6191,2,0)),"No esta en Infor")</f>
        <v>NAC1604</v>
      </c>
      <c r="C1390" s="19" t="s">
        <v>273</v>
      </c>
      <c r="D1390" s="9">
        <v>17457.68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17457.68</v>
      </c>
    </row>
    <row r="1391" spans="1:10" ht="15.75" x14ac:dyDescent="0.25">
      <c r="A1391" s="21">
        <v>45412</v>
      </c>
      <c r="B1391" t="str">
        <f>IFERROR(IF(VLOOKUP(C1391,Hoja1!$B$1:$C$6191,2,0)="",_xlfn.XLOOKUP(C1391,Hoja1!$B$2:$B$6191,Hoja1!$A$2:$A$6191),VLOOKUP(C1391,Hoja1!$B$1:$C$6191,2,0)),"No esta en Infor")</f>
        <v>NAC1604</v>
      </c>
      <c r="C1391" s="19" t="s">
        <v>274</v>
      </c>
      <c r="D1391" s="9">
        <v>6610.2</v>
      </c>
      <c r="E1391" s="9">
        <v>0</v>
      </c>
      <c r="F1391" s="9">
        <v>0</v>
      </c>
      <c r="G1391" s="9">
        <v>0</v>
      </c>
      <c r="H1391" s="9">
        <v>0</v>
      </c>
      <c r="I1391" s="9">
        <v>0</v>
      </c>
      <c r="J1391" s="9">
        <v>6610.2</v>
      </c>
    </row>
    <row r="1392" spans="1:10" ht="15.75" x14ac:dyDescent="0.25">
      <c r="A1392" s="21">
        <v>45412</v>
      </c>
      <c r="B1392" t="str">
        <f>IFERROR(IF(VLOOKUP(C1392,Hoja1!$B$1:$C$6191,2,0)="",_xlfn.XLOOKUP(C1392,Hoja1!$B$2:$B$6191,Hoja1!$A$2:$A$6191),VLOOKUP(C1392,Hoja1!$B$1:$C$6191,2,0)),"No esta en Infor")</f>
        <v>NAC1604</v>
      </c>
      <c r="C1392" s="19" t="s">
        <v>275</v>
      </c>
      <c r="D1392" s="9">
        <v>19197.900000000001</v>
      </c>
      <c r="E1392" s="9">
        <v>0</v>
      </c>
      <c r="F1392" s="9">
        <v>-280</v>
      </c>
      <c r="G1392" s="9">
        <v>0</v>
      </c>
      <c r="H1392" s="9">
        <v>-44.8</v>
      </c>
      <c r="I1392" s="9">
        <v>-318</v>
      </c>
      <c r="J1392" s="9">
        <v>18555.099999999999</v>
      </c>
    </row>
    <row r="1393" spans="1:10" ht="15.75" x14ac:dyDescent="0.25">
      <c r="A1393" s="21">
        <v>45412</v>
      </c>
      <c r="B1393" t="str">
        <f>IFERROR(IF(VLOOKUP(C1393,Hoja1!$B$1:$C$6191,2,0)="",_xlfn.XLOOKUP(C1393,Hoja1!$B$2:$B$6191,Hoja1!$A$2:$A$6191),VLOOKUP(C1393,Hoja1!$B$1:$C$6191,2,0)),"No esta en Infor")</f>
        <v>NAC1604</v>
      </c>
      <c r="C1393" s="19" t="s">
        <v>12389</v>
      </c>
      <c r="D1393" s="9">
        <v>43655.4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43655.4</v>
      </c>
    </row>
    <row r="1394" spans="1:10" ht="15.75" x14ac:dyDescent="0.25">
      <c r="A1394" s="21">
        <v>45412</v>
      </c>
      <c r="B1394" t="str">
        <f>IFERROR(IF(VLOOKUP(C1394,Hoja1!$B$1:$C$6191,2,0)="",_xlfn.XLOOKUP(C1394,Hoja1!$B$2:$B$6191,Hoja1!$A$2:$A$6191),VLOOKUP(C1394,Hoja1!$B$1:$C$6191,2,0)),"No esta en Infor")</f>
        <v>NAC1604</v>
      </c>
      <c r="C1394" s="19" t="s">
        <v>276</v>
      </c>
      <c r="D1394" s="9">
        <v>698.6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698.6</v>
      </c>
    </row>
    <row r="1395" spans="1:10" ht="15.75" x14ac:dyDescent="0.25">
      <c r="A1395" s="21">
        <v>45412</v>
      </c>
      <c r="B1395" t="str">
        <f>IFERROR(IF(VLOOKUP(C1395,Hoja1!$B$1:$C$6191,2,0)="",_xlfn.XLOOKUP(C1395,Hoja1!$B$2:$B$6191,Hoja1!$A$2:$A$6191),VLOOKUP(C1395,Hoja1!$B$1:$C$6191,2,0)),"No esta en Infor")</f>
        <v>NAC1166</v>
      </c>
      <c r="C1395" s="19" t="s">
        <v>516</v>
      </c>
      <c r="D1395" s="9">
        <v>1817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1817</v>
      </c>
    </row>
    <row r="1396" spans="1:10" ht="15.75" x14ac:dyDescent="0.25">
      <c r="A1396" s="21">
        <v>45412</v>
      </c>
      <c r="B1396" t="str">
        <f>IFERROR(IF(VLOOKUP(C1396,Hoja1!$B$1:$C$6191,2,0)="",_xlfn.XLOOKUP(C1396,Hoja1!$B$2:$B$6191,Hoja1!$A$2:$A$6191),VLOOKUP(C1396,Hoja1!$B$1:$C$6191,2,0)),"No esta en Infor")</f>
        <v>NAC1167</v>
      </c>
      <c r="C1396" s="19" t="s">
        <v>34</v>
      </c>
      <c r="D1396" s="9">
        <v>4718</v>
      </c>
      <c r="E1396" s="9">
        <v>0</v>
      </c>
      <c r="F1396" s="9">
        <v>0</v>
      </c>
      <c r="G1396" s="9">
        <v>0</v>
      </c>
      <c r="H1396" s="9">
        <v>0</v>
      </c>
      <c r="I1396" s="9">
        <v>0</v>
      </c>
      <c r="J1396" s="9">
        <v>4718</v>
      </c>
    </row>
    <row r="1397" spans="1:10" ht="15.75" x14ac:dyDescent="0.25">
      <c r="A1397" s="21">
        <v>45412</v>
      </c>
      <c r="B1397" t="str">
        <f>IFERROR(IF(VLOOKUP(C1397,Hoja1!$B$1:$C$6191,2,0)="",_xlfn.XLOOKUP(C1397,Hoja1!$B$2:$B$6191,Hoja1!$A$2:$A$6191),VLOOKUP(C1397,Hoja1!$B$1:$C$6191,2,0)),"No esta en Infor")</f>
        <v>NAC1174</v>
      </c>
      <c r="C1397" s="19" t="s">
        <v>279</v>
      </c>
      <c r="D1397" s="9">
        <v>0</v>
      </c>
      <c r="E1397" s="9">
        <v>0</v>
      </c>
      <c r="F1397" s="9">
        <v>-27.89</v>
      </c>
      <c r="G1397" s="9">
        <v>0</v>
      </c>
      <c r="H1397" s="9">
        <v>0</v>
      </c>
      <c r="I1397" s="9">
        <v>0</v>
      </c>
      <c r="J1397" s="9">
        <v>-27.89</v>
      </c>
    </row>
    <row r="1398" spans="1:10" ht="15.75" x14ac:dyDescent="0.25">
      <c r="A1398" s="21">
        <v>45412</v>
      </c>
      <c r="B1398" t="str">
        <f>IFERROR(IF(VLOOKUP(C1398,Hoja1!$B$1:$C$6191,2,0)="",_xlfn.XLOOKUP(C1398,Hoja1!$B$2:$B$6191,Hoja1!$A$2:$A$6191),VLOOKUP(C1398,Hoja1!$B$1:$C$6191,2,0)),"No esta en Infor")</f>
        <v>CAN0043</v>
      </c>
      <c r="C1398" s="19" t="s">
        <v>280</v>
      </c>
      <c r="D1398" s="9">
        <v>6130.78</v>
      </c>
      <c r="E1398" s="9">
        <v>0</v>
      </c>
      <c r="F1398" s="9">
        <v>0</v>
      </c>
      <c r="G1398" s="9">
        <v>0</v>
      </c>
      <c r="H1398" s="9">
        <v>0</v>
      </c>
      <c r="I1398" s="9">
        <v>0</v>
      </c>
      <c r="J1398" s="9">
        <v>6130.78</v>
      </c>
    </row>
    <row r="1399" spans="1:10" ht="15.75" x14ac:dyDescent="0.25">
      <c r="A1399" s="21">
        <v>45412</v>
      </c>
      <c r="B1399" t="str">
        <f>IFERROR(IF(VLOOKUP(C1399,Hoja1!$B$1:$C$6191,2,0)="",_xlfn.XLOOKUP(C1399,Hoja1!$B$2:$B$6191,Hoja1!$A$2:$A$6191),VLOOKUP(C1399,Hoja1!$B$1:$C$6191,2,0)),"No esta en Infor")</f>
        <v>NAC1187</v>
      </c>
      <c r="C1399" s="19" t="s">
        <v>471</v>
      </c>
      <c r="D1399" s="9">
        <v>882</v>
      </c>
      <c r="E1399" s="9">
        <v>1127.5</v>
      </c>
      <c r="F1399" s="9">
        <v>0</v>
      </c>
      <c r="G1399" s="9">
        <v>0</v>
      </c>
      <c r="H1399" s="9">
        <v>0</v>
      </c>
      <c r="I1399" s="9">
        <v>0</v>
      </c>
      <c r="J1399" s="9">
        <v>2009.5</v>
      </c>
    </row>
    <row r="1400" spans="1:10" ht="15.75" x14ac:dyDescent="0.25">
      <c r="A1400" s="21">
        <v>45412</v>
      </c>
      <c r="B1400" t="str">
        <f>IFERROR(IF(VLOOKUP(C1400,Hoja1!$B$1:$C$6191,2,0)="",_xlfn.XLOOKUP(C1400,Hoja1!$B$2:$B$6191,Hoja1!$A$2:$A$6191),VLOOKUP(C1400,Hoja1!$B$1:$C$6191,2,0)),"No esta en Infor")</f>
        <v>CAN0045</v>
      </c>
      <c r="C1400" s="19" t="s">
        <v>472</v>
      </c>
      <c r="D1400" s="9">
        <v>0</v>
      </c>
      <c r="E1400" s="9">
        <v>894.96</v>
      </c>
      <c r="F1400" s="9">
        <v>0</v>
      </c>
      <c r="G1400" s="9">
        <v>0</v>
      </c>
      <c r="H1400" s="9">
        <v>0</v>
      </c>
      <c r="I1400" s="9">
        <v>0</v>
      </c>
      <c r="J1400" s="9">
        <v>894.96</v>
      </c>
    </row>
    <row r="1401" spans="1:10" ht="15.75" x14ac:dyDescent="0.25">
      <c r="A1401" s="21">
        <v>45412</v>
      </c>
      <c r="B1401" t="str">
        <f>IFERROR(IF(VLOOKUP(C1401,Hoja1!$B$1:$C$6191,2,0)="",_xlfn.XLOOKUP(C1401,Hoja1!$B$2:$B$6191,Hoja1!$A$2:$A$6191),VLOOKUP(C1401,Hoja1!$B$1:$C$6191,2,0)),"No esta en Infor")</f>
        <v>CAN0046</v>
      </c>
      <c r="C1401" s="19" t="s">
        <v>283</v>
      </c>
      <c r="D1401" s="9">
        <v>0</v>
      </c>
      <c r="E1401" s="9">
        <v>2377.89</v>
      </c>
      <c r="F1401" s="9">
        <v>0</v>
      </c>
      <c r="G1401" s="9">
        <v>0</v>
      </c>
      <c r="H1401" s="9">
        <v>0</v>
      </c>
      <c r="I1401" s="9">
        <v>0</v>
      </c>
      <c r="J1401" s="9">
        <v>2377.89</v>
      </c>
    </row>
    <row r="1402" spans="1:10" ht="15.75" x14ac:dyDescent="0.25">
      <c r="A1402" s="21">
        <v>45412</v>
      </c>
      <c r="B1402" t="str">
        <f>IFERROR(IF(VLOOKUP(C1402,Hoja1!$B$1:$C$6191,2,0)="",_xlfn.XLOOKUP(C1402,Hoja1!$B$2:$B$6191,Hoja1!$A$2:$A$6191),VLOOKUP(C1402,Hoja1!$B$1:$C$6191,2,0)),"No esta en Infor")</f>
        <v>SH01977</v>
      </c>
      <c r="C1402" s="19" t="s">
        <v>517</v>
      </c>
      <c r="D1402" s="9">
        <v>0</v>
      </c>
      <c r="E1402" s="9">
        <v>73.099999999999994</v>
      </c>
      <c r="F1402" s="9">
        <v>0</v>
      </c>
      <c r="G1402" s="9">
        <v>0</v>
      </c>
      <c r="H1402" s="9">
        <v>0</v>
      </c>
      <c r="I1402" s="9">
        <v>0</v>
      </c>
      <c r="J1402" s="9">
        <v>73.099999999999994</v>
      </c>
    </row>
    <row r="1403" spans="1:10" ht="15.75" x14ac:dyDescent="0.25">
      <c r="A1403" s="21">
        <v>45412</v>
      </c>
      <c r="B1403" t="str">
        <f>IFERROR(IF(VLOOKUP(C1403,Hoja1!$B$1:$C$6191,2,0)="",_xlfn.XLOOKUP(C1403,Hoja1!$B$2:$B$6191,Hoja1!$A$2:$A$6191),VLOOKUP(C1403,Hoja1!$B$1:$C$6191,2,0)),"No esta en Infor")</f>
        <v>NAC1200</v>
      </c>
      <c r="C1403" s="19" t="s">
        <v>473</v>
      </c>
      <c r="D1403" s="9">
        <v>0</v>
      </c>
      <c r="E1403" s="9">
        <v>406.37</v>
      </c>
      <c r="F1403" s="9">
        <v>0</v>
      </c>
      <c r="G1403" s="9">
        <v>0</v>
      </c>
      <c r="H1403" s="9">
        <v>0</v>
      </c>
      <c r="I1403" s="9">
        <v>0</v>
      </c>
      <c r="J1403" s="9">
        <v>406.37</v>
      </c>
    </row>
    <row r="1404" spans="1:10" ht="15.75" x14ac:dyDescent="0.25">
      <c r="A1404" s="21">
        <v>45412</v>
      </c>
      <c r="B1404" t="str">
        <f>IFERROR(IF(VLOOKUP(C1404,Hoja1!$B$1:$C$6191,2,0)="",_xlfn.XLOOKUP(C1404,Hoja1!$B$2:$B$6191,Hoja1!$A$2:$A$6191),VLOOKUP(C1404,Hoja1!$B$1:$C$6191,2,0)),"No esta en Infor")</f>
        <v>NAC1202</v>
      </c>
      <c r="C1404" s="19" t="s">
        <v>416</v>
      </c>
      <c r="D1404" s="9">
        <v>0</v>
      </c>
      <c r="E1404" s="9">
        <v>267.25</v>
      </c>
      <c r="F1404" s="9">
        <v>0</v>
      </c>
      <c r="G1404" s="9">
        <v>0</v>
      </c>
      <c r="H1404" s="9">
        <v>0</v>
      </c>
      <c r="I1404" s="9">
        <v>0</v>
      </c>
      <c r="J1404" s="9">
        <v>267.25</v>
      </c>
    </row>
    <row r="1405" spans="1:10" ht="15.75" x14ac:dyDescent="0.25">
      <c r="A1405" s="21">
        <v>45412</v>
      </c>
      <c r="B1405" t="str">
        <f>IFERROR(IF(VLOOKUP(C1405,Hoja1!$B$1:$C$6191,2,0)="",_xlfn.XLOOKUP(C1405,Hoja1!$B$2:$B$6191,Hoja1!$A$2:$A$6191),VLOOKUP(C1405,Hoja1!$B$1:$C$6191,2,0)),"No esta en Infor")</f>
        <v>NAC1211</v>
      </c>
      <c r="C1405" s="19" t="s">
        <v>284</v>
      </c>
      <c r="D1405" s="9">
        <v>49377.27</v>
      </c>
      <c r="E1405" s="9">
        <v>159431.67999999999</v>
      </c>
      <c r="F1405" s="9">
        <v>0</v>
      </c>
      <c r="G1405" s="9">
        <v>0</v>
      </c>
      <c r="H1405" s="9">
        <v>0</v>
      </c>
      <c r="I1405" s="9">
        <v>0</v>
      </c>
      <c r="J1405" s="9">
        <v>208808.95</v>
      </c>
    </row>
    <row r="1406" spans="1:10" ht="15.75" x14ac:dyDescent="0.25">
      <c r="A1406" s="21">
        <v>45412</v>
      </c>
      <c r="B1406" t="str">
        <f>IFERROR(IF(VLOOKUP(C1406,Hoja1!$B$1:$C$6191,2,0)="",_xlfn.XLOOKUP(C1406,Hoja1!$B$2:$B$6191,Hoja1!$A$2:$A$6191),VLOOKUP(C1406,Hoja1!$B$1:$C$6191,2,0)),"No esta en Infor")</f>
        <v>NAC1212</v>
      </c>
      <c r="C1406" s="19" t="s">
        <v>285</v>
      </c>
      <c r="D1406" s="9">
        <v>13016.4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13016.4</v>
      </c>
    </row>
    <row r="1407" spans="1:10" ht="15.75" x14ac:dyDescent="0.25">
      <c r="A1407" s="21">
        <v>45412</v>
      </c>
      <c r="B1407" t="str">
        <f>IFERROR(IF(VLOOKUP(C1407,Hoja1!$B$1:$C$6191,2,0)="",_xlfn.XLOOKUP(C1407,Hoja1!$B$2:$B$6191,Hoja1!$A$2:$A$6191),VLOOKUP(C1407,Hoja1!$B$1:$C$6191,2,0)),"No esta en Infor")</f>
        <v>NAC1216</v>
      </c>
      <c r="C1407" s="19" t="s">
        <v>287</v>
      </c>
      <c r="D1407" s="9">
        <v>0</v>
      </c>
      <c r="E1407" s="9">
        <v>0</v>
      </c>
      <c r="F1407" s="9">
        <v>-0.01</v>
      </c>
      <c r="G1407" s="9">
        <v>0</v>
      </c>
      <c r="H1407" s="9">
        <v>0</v>
      </c>
      <c r="I1407" s="9">
        <v>0</v>
      </c>
      <c r="J1407" s="9">
        <v>-0.01</v>
      </c>
    </row>
    <row r="1408" spans="1:10" ht="15.75" x14ac:dyDescent="0.25">
      <c r="A1408" s="21">
        <v>45412</v>
      </c>
      <c r="B1408" t="str">
        <f>IFERROR(IF(VLOOKUP(C1408,Hoja1!$B$1:$C$6191,2,0)="",_xlfn.XLOOKUP(C1408,Hoja1!$B$2:$B$6191,Hoja1!$A$2:$A$6191),VLOOKUP(C1408,Hoja1!$B$1:$C$6191,2,0)),"No esta en Infor")</f>
        <v>NAC1218</v>
      </c>
      <c r="C1408" s="19" t="s">
        <v>474</v>
      </c>
      <c r="D1408" s="9">
        <v>0</v>
      </c>
      <c r="E1408" s="9">
        <v>229.98</v>
      </c>
      <c r="F1408" s="9">
        <v>0</v>
      </c>
      <c r="G1408" s="9">
        <v>0</v>
      </c>
      <c r="H1408" s="9">
        <v>0</v>
      </c>
      <c r="I1408" s="9">
        <v>0</v>
      </c>
      <c r="J1408" s="9">
        <v>229.98</v>
      </c>
    </row>
    <row r="1409" spans="1:10" ht="15.75" x14ac:dyDescent="0.25">
      <c r="A1409" s="21">
        <v>45412</v>
      </c>
      <c r="B1409" t="str">
        <f>IFERROR(IF(VLOOKUP(C1409,Hoja1!$B$1:$C$6191,2,0)="",_xlfn.XLOOKUP(C1409,Hoja1!$B$2:$B$6191,Hoja1!$A$2:$A$6191),VLOOKUP(C1409,Hoja1!$B$1:$C$6191,2,0)),"No esta en Infor")</f>
        <v>NAC1219</v>
      </c>
      <c r="C1409" s="19" t="s">
        <v>475</v>
      </c>
      <c r="D1409" s="9">
        <v>0</v>
      </c>
      <c r="E1409" s="9">
        <v>-299.55</v>
      </c>
      <c r="F1409" s="9">
        <v>0</v>
      </c>
      <c r="G1409" s="9">
        <v>0</v>
      </c>
      <c r="H1409" s="9">
        <v>0</v>
      </c>
      <c r="I1409" s="9">
        <v>0</v>
      </c>
      <c r="J1409" s="9">
        <v>-299.55</v>
      </c>
    </row>
    <row r="1410" spans="1:10" ht="15.75" x14ac:dyDescent="0.25">
      <c r="A1410" s="21">
        <v>45412</v>
      </c>
      <c r="B1410" t="str">
        <f>IFERROR(IF(VLOOKUP(C1410,Hoja1!$B$1:$C$6191,2,0)="",_xlfn.XLOOKUP(C1410,Hoja1!$B$2:$B$6191,Hoja1!$A$2:$A$6191),VLOOKUP(C1410,Hoja1!$B$1:$C$6191,2,0)),"No esta en Infor")</f>
        <v>CAN0049</v>
      </c>
      <c r="C1410" s="19" t="s">
        <v>289</v>
      </c>
      <c r="D1410" s="9">
        <v>11868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11868</v>
      </c>
    </row>
    <row r="1411" spans="1:10" ht="15.75" x14ac:dyDescent="0.25">
      <c r="A1411" s="21">
        <v>45412</v>
      </c>
      <c r="B1411" t="str">
        <f>IFERROR(IF(VLOOKUP(C1411,Hoja1!$B$1:$C$6191,2,0)="",_xlfn.XLOOKUP(C1411,Hoja1!$B$2:$B$6191,Hoja1!$A$2:$A$6191),VLOOKUP(C1411,Hoja1!$B$1:$C$6191,2,0)),"No esta en Infor")</f>
        <v>NAC1229</v>
      </c>
      <c r="C1411" s="19" t="s">
        <v>418</v>
      </c>
      <c r="D1411" s="9">
        <v>0</v>
      </c>
      <c r="E1411" s="9">
        <v>505.49</v>
      </c>
      <c r="F1411" s="9">
        <v>0</v>
      </c>
      <c r="G1411" s="9">
        <v>0</v>
      </c>
      <c r="H1411" s="9">
        <v>0</v>
      </c>
      <c r="I1411" s="9">
        <v>0</v>
      </c>
      <c r="J1411" s="9">
        <v>505.49</v>
      </c>
    </row>
    <row r="1412" spans="1:10" ht="15.75" x14ac:dyDescent="0.25">
      <c r="A1412" s="21">
        <v>45412</v>
      </c>
      <c r="B1412" t="str">
        <f>IFERROR(IF(VLOOKUP(C1412,Hoja1!$B$1:$C$6191,2,0)="",_xlfn.XLOOKUP(C1412,Hoja1!$B$2:$B$6191,Hoja1!$A$2:$A$6191),VLOOKUP(C1412,Hoja1!$B$1:$C$6191,2,0)),"No esta en Infor")</f>
        <v>CAN0050</v>
      </c>
      <c r="C1412" s="19" t="s">
        <v>291</v>
      </c>
      <c r="D1412" s="9">
        <v>0</v>
      </c>
      <c r="E1412" s="9">
        <v>24183.05</v>
      </c>
      <c r="F1412" s="9">
        <v>0</v>
      </c>
      <c r="G1412" s="9">
        <v>0</v>
      </c>
      <c r="H1412" s="9">
        <v>0</v>
      </c>
      <c r="I1412" s="9">
        <v>0</v>
      </c>
      <c r="J1412" s="9">
        <v>24183.05</v>
      </c>
    </row>
    <row r="1413" spans="1:10" ht="15.75" x14ac:dyDescent="0.25">
      <c r="A1413" s="21">
        <v>45412</v>
      </c>
      <c r="B1413" t="str">
        <f>IFERROR(IF(VLOOKUP(C1413,Hoja1!$B$1:$C$6191,2,0)="",_xlfn.XLOOKUP(C1413,Hoja1!$B$2:$B$6191,Hoja1!$A$2:$A$6191),VLOOKUP(C1413,Hoja1!$B$1:$C$6191,2,0)),"No esta en Infor")</f>
        <v>NAC1234</v>
      </c>
      <c r="C1413" s="19" t="s">
        <v>293</v>
      </c>
      <c r="D1413" s="9">
        <v>0</v>
      </c>
      <c r="E1413" s="9">
        <v>6090.72</v>
      </c>
      <c r="F1413" s="9">
        <v>-52.72</v>
      </c>
      <c r="G1413" s="9">
        <v>0</v>
      </c>
      <c r="H1413" s="9">
        <v>0</v>
      </c>
      <c r="I1413" s="9">
        <v>0</v>
      </c>
      <c r="J1413" s="9">
        <v>6038</v>
      </c>
    </row>
    <row r="1414" spans="1:10" ht="15.75" x14ac:dyDescent="0.25">
      <c r="A1414" s="21">
        <v>45412</v>
      </c>
      <c r="B1414" t="str">
        <f>IFERROR(IF(VLOOKUP(C1414,Hoja1!$B$1:$C$6191,2,0)="",_xlfn.XLOOKUP(C1414,Hoja1!$B$2:$B$6191,Hoja1!$A$2:$A$6191),VLOOKUP(C1414,Hoja1!$B$1:$C$6191,2,0)),"No esta en Infor")</f>
        <v>NAC1236</v>
      </c>
      <c r="C1414" s="19" t="s">
        <v>518</v>
      </c>
      <c r="D1414" s="9">
        <v>506</v>
      </c>
      <c r="E1414" s="9">
        <v>0</v>
      </c>
      <c r="F1414" s="9">
        <v>0</v>
      </c>
      <c r="G1414" s="9">
        <v>0</v>
      </c>
      <c r="H1414" s="9">
        <v>0</v>
      </c>
      <c r="I1414" s="9">
        <v>0</v>
      </c>
      <c r="J1414" s="9">
        <v>506</v>
      </c>
    </row>
    <row r="1415" spans="1:10" ht="15.75" x14ac:dyDescent="0.25">
      <c r="A1415" s="21">
        <v>45412</v>
      </c>
      <c r="B1415" t="str">
        <f>IFERROR(IF(VLOOKUP(C1415,Hoja1!$B$1:$C$6191,2,0)="",_xlfn.XLOOKUP(C1415,Hoja1!$B$2:$B$6191,Hoja1!$A$2:$A$6191),VLOOKUP(C1415,Hoja1!$B$1:$C$6191,2,0)),"No esta en Infor")</f>
        <v>NAC1238</v>
      </c>
      <c r="C1415" s="19" t="s">
        <v>476</v>
      </c>
      <c r="D1415" s="9">
        <v>0</v>
      </c>
      <c r="E1415" s="9">
        <v>515</v>
      </c>
      <c r="F1415" s="9">
        <v>0</v>
      </c>
      <c r="G1415" s="9">
        <v>0</v>
      </c>
      <c r="H1415" s="9">
        <v>0</v>
      </c>
      <c r="I1415" s="9">
        <v>0</v>
      </c>
      <c r="J1415" s="9">
        <v>515</v>
      </c>
    </row>
    <row r="1416" spans="1:10" ht="15.75" x14ac:dyDescent="0.25">
      <c r="A1416" s="21">
        <v>45412</v>
      </c>
      <c r="B1416" t="str">
        <f>IFERROR(IF(VLOOKUP(C1416,Hoja1!$B$1:$C$6191,2,0)="",_xlfn.XLOOKUP(C1416,Hoja1!$B$2:$B$6191,Hoja1!$A$2:$A$6191),VLOOKUP(C1416,Hoja1!$B$1:$C$6191,2,0)),"No esta en Infor")</f>
        <v>SH02051</v>
      </c>
      <c r="C1416" s="19" t="s">
        <v>294</v>
      </c>
      <c r="D1416" s="9">
        <v>0</v>
      </c>
      <c r="E1416" s="9">
        <v>0</v>
      </c>
      <c r="F1416" s="9">
        <v>0</v>
      </c>
      <c r="G1416" s="9">
        <v>23.82</v>
      </c>
      <c r="H1416" s="9">
        <v>0</v>
      </c>
      <c r="I1416" s="9">
        <v>0</v>
      </c>
      <c r="J1416" s="9">
        <v>23.82</v>
      </c>
    </row>
    <row r="1417" spans="1:10" ht="15.75" x14ac:dyDescent="0.25">
      <c r="A1417" s="21">
        <v>45412</v>
      </c>
      <c r="B1417" t="str">
        <f>IFERROR(IF(VLOOKUP(C1417,Hoja1!$B$1:$C$6191,2,0)="",_xlfn.XLOOKUP(C1417,Hoja1!$B$2:$B$6191,Hoja1!$A$2:$A$6191),VLOOKUP(C1417,Hoja1!$B$1:$C$6191,2,0)),"No esta en Infor")</f>
        <v>NAC1241</v>
      </c>
      <c r="C1417" s="19" t="s">
        <v>295</v>
      </c>
      <c r="D1417" s="9">
        <v>0</v>
      </c>
      <c r="E1417" s="9">
        <v>8443.76</v>
      </c>
      <c r="F1417" s="9">
        <v>0</v>
      </c>
      <c r="G1417" s="9">
        <v>0</v>
      </c>
      <c r="H1417" s="9">
        <v>0</v>
      </c>
      <c r="I1417" s="9">
        <v>-75</v>
      </c>
      <c r="J1417" s="9">
        <v>8368.76</v>
      </c>
    </row>
    <row r="1418" spans="1:10" ht="15.75" x14ac:dyDescent="0.25">
      <c r="A1418" s="21">
        <v>45412</v>
      </c>
      <c r="B1418" t="str">
        <f>IFERROR(IF(VLOOKUP(C1418,Hoja1!$B$1:$C$6191,2,0)="",_xlfn.XLOOKUP(C1418,Hoja1!$B$2:$B$6191,Hoja1!$A$2:$A$6191),VLOOKUP(C1418,Hoja1!$B$1:$C$6191,2,0)),"No esta en Infor")</f>
        <v>NAC1247</v>
      </c>
      <c r="C1418" s="19" t="s">
        <v>298</v>
      </c>
      <c r="D1418" s="9">
        <v>6983.25</v>
      </c>
      <c r="E1418" s="9">
        <v>0</v>
      </c>
      <c r="F1418" s="9">
        <v>0</v>
      </c>
      <c r="G1418" s="9">
        <v>0</v>
      </c>
      <c r="H1418" s="9">
        <v>0</v>
      </c>
      <c r="I1418" s="9">
        <v>0</v>
      </c>
      <c r="J1418" s="9">
        <v>6983.25</v>
      </c>
    </row>
    <row r="1419" spans="1:10" ht="15.75" x14ac:dyDescent="0.25">
      <c r="A1419" s="21">
        <v>45412</v>
      </c>
      <c r="B1419" t="str">
        <f>IFERROR(IF(VLOOKUP(C1419,Hoja1!$B$1:$C$6191,2,0)="",_xlfn.XLOOKUP(C1419,Hoja1!$B$2:$B$6191,Hoja1!$A$2:$A$6191),VLOOKUP(C1419,Hoja1!$B$1:$C$6191,2,0)),"No esta en Infor")</f>
        <v>CAN0051</v>
      </c>
      <c r="C1419" s="19" t="s">
        <v>299</v>
      </c>
      <c r="D1419" s="9">
        <v>0</v>
      </c>
      <c r="E1419" s="9">
        <v>3916.98</v>
      </c>
      <c r="F1419" s="9">
        <v>-0.34</v>
      </c>
      <c r="G1419" s="9">
        <v>0</v>
      </c>
      <c r="H1419" s="9">
        <v>0</v>
      </c>
      <c r="I1419" s="9">
        <v>0</v>
      </c>
      <c r="J1419" s="9">
        <v>3916.64</v>
      </c>
    </row>
    <row r="1420" spans="1:10" ht="15.75" x14ac:dyDescent="0.25">
      <c r="A1420" s="21">
        <v>45412</v>
      </c>
      <c r="B1420" t="str">
        <f>IFERROR(IF(VLOOKUP(C1420,Hoja1!$B$1:$C$6191,2,0)="",_xlfn.XLOOKUP(C1420,Hoja1!$B$2:$B$6191,Hoja1!$A$2:$A$6191),VLOOKUP(C1420,Hoja1!$B$1:$C$6191,2,0)),"No esta en Infor")</f>
        <v>NAC1249</v>
      </c>
      <c r="C1420" s="19" t="s">
        <v>300</v>
      </c>
      <c r="D1420" s="9">
        <v>26301.119999999999</v>
      </c>
      <c r="E1420" s="9">
        <v>74537.919999999998</v>
      </c>
      <c r="F1420" s="9">
        <v>0</v>
      </c>
      <c r="G1420" s="9">
        <v>0</v>
      </c>
      <c r="H1420" s="9">
        <v>0</v>
      </c>
      <c r="I1420" s="9">
        <v>0</v>
      </c>
      <c r="J1420" s="9">
        <v>100839.03999999999</v>
      </c>
    </row>
    <row r="1421" spans="1:10" ht="15.75" x14ac:dyDescent="0.25">
      <c r="A1421" s="21">
        <v>45412</v>
      </c>
      <c r="B1421" t="str">
        <f>IFERROR(IF(VLOOKUP(C1421,Hoja1!$B$1:$C$6191,2,0)="",_xlfn.XLOOKUP(C1421,Hoja1!$B$2:$B$6191,Hoja1!$A$2:$A$6191),VLOOKUP(C1421,Hoja1!$B$1:$C$6191,2,0)),"No esta en Infor")</f>
        <v>NAC1251</v>
      </c>
      <c r="C1421" s="19" t="s">
        <v>519</v>
      </c>
      <c r="D1421" s="9">
        <v>3000</v>
      </c>
      <c r="E1421" s="9">
        <v>0</v>
      </c>
      <c r="F1421" s="9">
        <v>0</v>
      </c>
      <c r="G1421" s="9">
        <v>0</v>
      </c>
      <c r="H1421" s="9">
        <v>0</v>
      </c>
      <c r="I1421" s="9">
        <v>0</v>
      </c>
      <c r="J1421" s="9">
        <v>3000</v>
      </c>
    </row>
    <row r="1422" spans="1:10" ht="15.75" x14ac:dyDescent="0.25">
      <c r="A1422" s="21">
        <v>45412</v>
      </c>
      <c r="B1422" t="str">
        <f>IFERROR(IF(VLOOKUP(C1422,Hoja1!$B$1:$C$6191,2,0)="",_xlfn.XLOOKUP(C1422,Hoja1!$B$2:$B$6191,Hoja1!$A$2:$A$6191),VLOOKUP(C1422,Hoja1!$B$1:$C$6191,2,0)),"No esta en Infor")</f>
        <v>NAC1615</v>
      </c>
      <c r="C1422" s="19" t="s">
        <v>520</v>
      </c>
      <c r="D1422" s="9">
        <v>17.64</v>
      </c>
      <c r="E1422" s="9">
        <v>0</v>
      </c>
      <c r="F1422" s="9">
        <v>0</v>
      </c>
      <c r="G1422" s="9">
        <v>0</v>
      </c>
      <c r="H1422" s="9">
        <v>0</v>
      </c>
      <c r="I1422" s="9">
        <v>0</v>
      </c>
      <c r="J1422" s="9">
        <v>17.64</v>
      </c>
    </row>
    <row r="1423" spans="1:10" ht="15.75" x14ac:dyDescent="0.25">
      <c r="A1423" s="21">
        <v>45412</v>
      </c>
      <c r="B1423" t="str">
        <f>IFERROR(IF(VLOOKUP(C1423,Hoja1!$B$1:$C$6191,2,0)="",_xlfn.XLOOKUP(C1423,Hoja1!$B$2:$B$6191,Hoja1!$A$2:$A$6191),VLOOKUP(C1423,Hoja1!$B$1:$C$6191,2,0)),"No esta en Infor")</f>
        <v>NAC1281</v>
      </c>
      <c r="C1423" s="19" t="s">
        <v>305</v>
      </c>
      <c r="D1423" s="9">
        <v>0</v>
      </c>
      <c r="E1423" s="9">
        <v>649.98</v>
      </c>
      <c r="F1423" s="9">
        <v>0</v>
      </c>
      <c r="G1423" s="9">
        <v>0</v>
      </c>
      <c r="H1423" s="9">
        <v>0</v>
      </c>
      <c r="I1423" s="9">
        <v>0</v>
      </c>
      <c r="J1423" s="9">
        <v>649.98</v>
      </c>
    </row>
    <row r="1424" spans="1:10" ht="15.75" x14ac:dyDescent="0.25">
      <c r="A1424" s="21">
        <v>45412</v>
      </c>
      <c r="B1424" t="str">
        <f>IFERROR(IF(VLOOKUP(C1424,Hoja1!$B$1:$C$6191,2,0)="",_xlfn.XLOOKUP(C1424,Hoja1!$B$2:$B$6191,Hoja1!$A$2:$A$6191),VLOOKUP(C1424,Hoja1!$B$1:$C$6191,2,0)),"No esta en Infor")</f>
        <v>NAC1283</v>
      </c>
      <c r="C1424" s="19" t="s">
        <v>308</v>
      </c>
      <c r="D1424" s="9">
        <v>0</v>
      </c>
      <c r="E1424" s="9">
        <v>-118</v>
      </c>
      <c r="F1424" s="9">
        <v>0</v>
      </c>
      <c r="G1424" s="9">
        <v>0</v>
      </c>
      <c r="H1424" s="9">
        <v>0</v>
      </c>
      <c r="I1424" s="9">
        <v>0</v>
      </c>
      <c r="J1424" s="9">
        <v>-118</v>
      </c>
    </row>
    <row r="1425" spans="1:10" ht="15.75" x14ac:dyDescent="0.25">
      <c r="A1425" s="21">
        <v>45412</v>
      </c>
      <c r="B1425" t="str">
        <f>IFERROR(IF(VLOOKUP(C1425,Hoja1!$B$1:$C$6191,2,0)="",_xlfn.XLOOKUP(C1425,Hoja1!$B$2:$B$6191,Hoja1!$A$2:$A$6191),VLOOKUP(C1425,Hoja1!$B$1:$C$6191,2,0)),"No esta en Infor")</f>
        <v>SH02118</v>
      </c>
      <c r="C1425" s="19" t="s">
        <v>521</v>
      </c>
      <c r="D1425" s="9">
        <v>0</v>
      </c>
      <c r="E1425" s="9">
        <v>173.98</v>
      </c>
      <c r="F1425" s="9">
        <v>0</v>
      </c>
      <c r="G1425" s="9">
        <v>0</v>
      </c>
      <c r="H1425" s="9">
        <v>0</v>
      </c>
      <c r="I1425" s="9">
        <v>0</v>
      </c>
      <c r="J1425" s="9">
        <v>173.98</v>
      </c>
    </row>
    <row r="1426" spans="1:10" ht="15.75" x14ac:dyDescent="0.25">
      <c r="A1426" s="21">
        <v>45412</v>
      </c>
      <c r="B1426" t="str">
        <f>IFERROR(IF(VLOOKUP(C1426,Hoja1!$B$1:$C$6191,2,0)="",_xlfn.XLOOKUP(C1426,Hoja1!$B$2:$B$6191,Hoja1!$A$2:$A$6191),VLOOKUP(C1426,Hoja1!$B$1:$C$6191,2,0)),"No esta en Infor")</f>
        <v>No esta en Infor</v>
      </c>
      <c r="C1426" s="19" t="s">
        <v>47</v>
      </c>
      <c r="D1426" s="9">
        <v>41.6</v>
      </c>
      <c r="E1426" s="9">
        <v>50</v>
      </c>
      <c r="F1426" s="9">
        <v>0</v>
      </c>
      <c r="G1426" s="9">
        <v>39</v>
      </c>
      <c r="H1426" s="9">
        <v>0</v>
      </c>
      <c r="I1426" s="9">
        <v>0</v>
      </c>
      <c r="J1426" s="9">
        <v>130.6</v>
      </c>
    </row>
    <row r="1427" spans="1:10" ht="15.75" x14ac:dyDescent="0.25">
      <c r="A1427" s="21">
        <v>45412</v>
      </c>
      <c r="B1427" t="str">
        <f>IFERROR(IF(VLOOKUP(C1427,Hoja1!$B$1:$C$6191,2,0)="",_xlfn.XLOOKUP(C1427,Hoja1!$B$2:$B$6191,Hoja1!$A$2:$A$6191),VLOOKUP(C1427,Hoja1!$B$1:$C$6191,2,0)),"No esta en Infor")</f>
        <v>NAC1311</v>
      </c>
      <c r="C1427" s="19" t="s">
        <v>311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  <c r="I1427" s="9">
        <v>-116.74</v>
      </c>
      <c r="J1427" s="9">
        <v>-116.74</v>
      </c>
    </row>
    <row r="1428" spans="1:10" ht="15.75" x14ac:dyDescent="0.25">
      <c r="A1428" s="21">
        <v>45412</v>
      </c>
      <c r="B1428" t="str">
        <f>IFERROR(IF(VLOOKUP(C1428,Hoja1!$B$1:$C$6191,2,0)="",_xlfn.XLOOKUP(C1428,Hoja1!$B$2:$B$6191,Hoja1!$A$2:$A$6191),VLOOKUP(C1428,Hoja1!$B$1:$C$6191,2,0)),"No esta en Infor")</f>
        <v>NAC1609</v>
      </c>
      <c r="C1428" s="19" t="s">
        <v>312</v>
      </c>
      <c r="D1428" s="9">
        <v>0</v>
      </c>
      <c r="E1428" s="9">
        <v>128.99</v>
      </c>
      <c r="F1428" s="9">
        <v>0</v>
      </c>
      <c r="G1428" s="9">
        <v>0</v>
      </c>
      <c r="H1428" s="9">
        <v>0</v>
      </c>
      <c r="I1428" s="9">
        <v>0</v>
      </c>
      <c r="J1428" s="9">
        <v>128.99</v>
      </c>
    </row>
    <row r="1429" spans="1:10" ht="15.75" x14ac:dyDescent="0.25">
      <c r="A1429" s="21">
        <v>45412</v>
      </c>
      <c r="B1429" t="str">
        <f>IFERROR(IF(VLOOKUP(C1429,Hoja1!$B$1:$C$6191,2,0)="",_xlfn.XLOOKUP(C1429,Hoja1!$B$2:$B$6191,Hoja1!$A$2:$A$6191),VLOOKUP(C1429,Hoja1!$B$1:$C$6191,2,0)),"No esta en Infor")</f>
        <v>NAC1312</v>
      </c>
      <c r="C1429" s="19" t="s">
        <v>314</v>
      </c>
      <c r="D1429" s="9">
        <v>157235.17000000001</v>
      </c>
      <c r="E1429" s="9">
        <v>78962.77</v>
      </c>
      <c r="F1429" s="9">
        <v>0</v>
      </c>
      <c r="G1429" s="9">
        <v>6392.93</v>
      </c>
      <c r="H1429" s="9">
        <v>0</v>
      </c>
      <c r="I1429" s="9">
        <v>0</v>
      </c>
      <c r="J1429" s="9">
        <v>242590.87</v>
      </c>
    </row>
    <row r="1430" spans="1:10" ht="15.75" x14ac:dyDescent="0.25">
      <c r="A1430" s="21">
        <v>45412</v>
      </c>
      <c r="B1430" t="str">
        <f>IFERROR(IF(VLOOKUP(C1430,Hoja1!$B$1:$C$6191,2,0)="",_xlfn.XLOOKUP(C1430,Hoja1!$B$2:$B$6191,Hoja1!$A$2:$A$6191),VLOOKUP(C1430,Hoja1!$B$1:$C$6191,2,0)),"No esta en Infor")</f>
        <v>NAC1313</v>
      </c>
      <c r="C1430" s="19" t="s">
        <v>315</v>
      </c>
      <c r="D1430" s="9">
        <v>8391</v>
      </c>
      <c r="E1430" s="9">
        <v>0</v>
      </c>
      <c r="F1430" s="9">
        <v>0</v>
      </c>
      <c r="G1430" s="9">
        <v>0</v>
      </c>
      <c r="H1430" s="9">
        <v>0</v>
      </c>
      <c r="I1430" s="9">
        <v>0</v>
      </c>
      <c r="J1430" s="9">
        <v>8391</v>
      </c>
    </row>
    <row r="1431" spans="1:10" ht="15.75" x14ac:dyDescent="0.25">
      <c r="A1431" s="21">
        <v>45412</v>
      </c>
      <c r="B1431" t="str">
        <f>IFERROR(IF(VLOOKUP(C1431,Hoja1!$B$1:$C$6191,2,0)="",_xlfn.XLOOKUP(C1431,Hoja1!$B$2:$B$6191,Hoja1!$A$2:$A$6191),VLOOKUP(C1431,Hoja1!$B$1:$C$6191,2,0)),"No esta en Infor")</f>
        <v>SH02186</v>
      </c>
      <c r="C1431" s="19" t="s">
        <v>522</v>
      </c>
      <c r="D1431" s="9">
        <v>0</v>
      </c>
      <c r="E1431" s="9">
        <v>64.680000000000007</v>
      </c>
      <c r="F1431" s="9">
        <v>0</v>
      </c>
      <c r="G1431" s="9">
        <v>0</v>
      </c>
      <c r="H1431" s="9">
        <v>0</v>
      </c>
      <c r="I1431" s="9">
        <v>0</v>
      </c>
      <c r="J1431" s="9">
        <v>64.680000000000007</v>
      </c>
    </row>
    <row r="1432" spans="1:10" ht="15.75" x14ac:dyDescent="0.25">
      <c r="A1432" s="21">
        <v>45412</v>
      </c>
      <c r="B1432" t="str">
        <f>IFERROR(IF(VLOOKUP(C1432,Hoja1!$B$1:$C$6191,2,0)="",_xlfn.XLOOKUP(C1432,Hoja1!$B$2:$B$6191,Hoja1!$A$2:$A$6191),VLOOKUP(C1432,Hoja1!$B$1:$C$6191,2,0)),"No esta en Infor")</f>
        <v>CAN0060</v>
      </c>
      <c r="C1432" s="19" t="s">
        <v>422</v>
      </c>
      <c r="D1432" s="9">
        <v>0</v>
      </c>
      <c r="E1432" s="9">
        <v>-28.5</v>
      </c>
      <c r="F1432" s="9">
        <v>0</v>
      </c>
      <c r="G1432" s="9">
        <v>0</v>
      </c>
      <c r="H1432" s="9">
        <v>0</v>
      </c>
      <c r="I1432" s="9">
        <v>0</v>
      </c>
      <c r="J1432" s="9">
        <v>-28.5</v>
      </c>
    </row>
    <row r="1433" spans="1:10" ht="15.75" x14ac:dyDescent="0.25">
      <c r="A1433" s="21">
        <v>45412</v>
      </c>
      <c r="B1433" t="str">
        <f>IFERROR(IF(VLOOKUP(C1433,Hoja1!$B$1:$C$6191,2,0)="",_xlfn.XLOOKUP(C1433,Hoja1!$B$2:$B$6191,Hoja1!$A$2:$A$6191),VLOOKUP(C1433,Hoja1!$B$1:$C$6191,2,0)),"No esta en Infor")</f>
        <v>NAC1333</v>
      </c>
      <c r="C1433" s="19" t="s">
        <v>318</v>
      </c>
      <c r="D1433" s="9">
        <v>13311.41</v>
      </c>
      <c r="E1433" s="9">
        <v>374.08</v>
      </c>
      <c r="F1433" s="9">
        <v>-290.11</v>
      </c>
      <c r="G1433" s="9">
        <v>0</v>
      </c>
      <c r="H1433" s="9">
        <v>0</v>
      </c>
      <c r="I1433" s="9">
        <v>0</v>
      </c>
      <c r="J1433" s="9">
        <v>13395.38</v>
      </c>
    </row>
    <row r="1434" spans="1:10" ht="15.75" x14ac:dyDescent="0.25">
      <c r="A1434" s="21">
        <v>45412</v>
      </c>
      <c r="B1434" t="str">
        <f>IFERROR(IF(VLOOKUP(C1434,Hoja1!$B$1:$C$6191,2,0)="",_xlfn.XLOOKUP(C1434,Hoja1!$B$2:$B$6191,Hoja1!$A$2:$A$6191),VLOOKUP(C1434,Hoja1!$B$1:$C$6191,2,0)),"No esta en Infor")</f>
        <v>No esta en Infor</v>
      </c>
      <c r="C1434" s="19" t="s">
        <v>320</v>
      </c>
      <c r="D1434" s="9">
        <v>0</v>
      </c>
      <c r="E1434" s="9">
        <v>0</v>
      </c>
      <c r="F1434" s="9">
        <v>48.29</v>
      </c>
      <c r="G1434" s="9">
        <v>0</v>
      </c>
      <c r="H1434" s="9">
        <v>0</v>
      </c>
      <c r="I1434" s="9">
        <v>0</v>
      </c>
      <c r="J1434" s="9">
        <v>48.29</v>
      </c>
    </row>
    <row r="1435" spans="1:10" ht="15.75" x14ac:dyDescent="0.25">
      <c r="A1435" s="21">
        <v>45412</v>
      </c>
      <c r="B1435" t="str">
        <f>IFERROR(IF(VLOOKUP(C1435,Hoja1!$B$1:$C$6191,2,0)="",_xlfn.XLOOKUP(C1435,Hoja1!$B$2:$B$6191,Hoja1!$A$2:$A$6191),VLOOKUP(C1435,Hoja1!$B$1:$C$6191,2,0)),"No esta en Infor")</f>
        <v>SH02315</v>
      </c>
      <c r="C1435" s="19" t="s">
        <v>523</v>
      </c>
      <c r="D1435" s="9">
        <v>0</v>
      </c>
      <c r="E1435" s="9">
        <v>54.53</v>
      </c>
      <c r="F1435" s="9">
        <v>0</v>
      </c>
      <c r="G1435" s="9">
        <v>0</v>
      </c>
      <c r="H1435" s="9">
        <v>0</v>
      </c>
      <c r="I1435" s="9">
        <v>0</v>
      </c>
      <c r="J1435" s="9">
        <v>54.53</v>
      </c>
    </row>
    <row r="1436" spans="1:10" ht="15.75" x14ac:dyDescent="0.25">
      <c r="A1436" s="21">
        <v>45412</v>
      </c>
      <c r="B1436" t="str">
        <f>IFERROR(IF(VLOOKUP(C1436,Hoja1!$B$1:$C$6191,2,0)="",_xlfn.XLOOKUP(C1436,Hoja1!$B$2:$B$6191,Hoja1!$A$2:$A$6191),VLOOKUP(C1436,Hoja1!$B$1:$C$6191,2,0)),"No esta en Infor")</f>
        <v>NAC1346</v>
      </c>
      <c r="C1436" s="19" t="s">
        <v>321</v>
      </c>
      <c r="D1436" s="9">
        <v>896.69</v>
      </c>
      <c r="E1436" s="9">
        <v>235.87</v>
      </c>
      <c r="F1436" s="9">
        <v>0</v>
      </c>
      <c r="G1436" s="9">
        <v>0</v>
      </c>
      <c r="H1436" s="9">
        <v>0</v>
      </c>
      <c r="I1436" s="9">
        <v>-1123.33</v>
      </c>
      <c r="J1436" s="9">
        <v>9.23</v>
      </c>
    </row>
    <row r="1437" spans="1:10" ht="15.75" x14ac:dyDescent="0.25">
      <c r="A1437" s="21">
        <v>45412</v>
      </c>
      <c r="B1437" t="str">
        <f>IFERROR(IF(VLOOKUP(C1437,Hoja1!$B$1:$C$6191,2,0)="",_xlfn.XLOOKUP(C1437,Hoja1!$B$2:$B$6191,Hoja1!$A$2:$A$6191),VLOOKUP(C1437,Hoja1!$B$1:$C$6191,2,0)),"No esta en Infor")</f>
        <v>NAC1349</v>
      </c>
      <c r="C1437" s="19" t="s">
        <v>322</v>
      </c>
      <c r="D1437" s="9">
        <v>0</v>
      </c>
      <c r="E1437" s="9">
        <v>-178.85</v>
      </c>
      <c r="F1437" s="9">
        <v>-169.96</v>
      </c>
      <c r="G1437" s="9">
        <v>0</v>
      </c>
      <c r="H1437" s="9">
        <v>0</v>
      </c>
      <c r="I1437" s="9">
        <v>0</v>
      </c>
      <c r="J1437" s="9">
        <v>-348.81</v>
      </c>
    </row>
    <row r="1438" spans="1:10" ht="15.75" x14ac:dyDescent="0.25">
      <c r="A1438" s="21">
        <v>45412</v>
      </c>
      <c r="B1438" t="str">
        <f>IFERROR(IF(VLOOKUP(C1438,Hoja1!$B$1:$C$6191,2,0)="",_xlfn.XLOOKUP(C1438,Hoja1!$B$2:$B$6191,Hoja1!$A$2:$A$6191),VLOOKUP(C1438,Hoja1!$B$1:$C$6191,2,0)),"No esta en Infor")</f>
        <v>NAC1348</v>
      </c>
      <c r="C1438" s="19" t="s">
        <v>323</v>
      </c>
      <c r="D1438" s="9">
        <v>0</v>
      </c>
      <c r="E1438" s="9">
        <v>0</v>
      </c>
      <c r="F1438" s="9">
        <v>0</v>
      </c>
      <c r="G1438" s="9">
        <v>-40</v>
      </c>
      <c r="H1438" s="9">
        <v>-303.89999999999998</v>
      </c>
      <c r="I1438" s="9">
        <v>0</v>
      </c>
      <c r="J1438" s="9">
        <v>-343.9</v>
      </c>
    </row>
    <row r="1439" spans="1:10" ht="15.75" x14ac:dyDescent="0.25">
      <c r="A1439" s="21">
        <v>45412</v>
      </c>
      <c r="B1439" t="str">
        <f>IFERROR(IF(VLOOKUP(C1439,Hoja1!$B$1:$C$6191,2,0)="",_xlfn.XLOOKUP(C1439,Hoja1!$B$2:$B$6191,Hoja1!$A$2:$A$6191),VLOOKUP(C1439,Hoja1!$B$1:$C$6191,2,0)),"No esta en Infor")</f>
        <v>NAC1356</v>
      </c>
      <c r="C1439" s="19" t="s">
        <v>325</v>
      </c>
      <c r="D1439" s="9">
        <v>0</v>
      </c>
      <c r="E1439" s="9">
        <v>0</v>
      </c>
      <c r="F1439" s="9">
        <v>-421.28</v>
      </c>
      <c r="G1439" s="9">
        <v>0</v>
      </c>
      <c r="H1439" s="9">
        <v>0</v>
      </c>
      <c r="I1439" s="9">
        <v>0</v>
      </c>
      <c r="J1439" s="9">
        <v>-421.28</v>
      </c>
    </row>
    <row r="1440" spans="1:10" ht="15.75" x14ac:dyDescent="0.25">
      <c r="A1440" s="21">
        <v>45412</v>
      </c>
      <c r="B1440" t="str">
        <f>IFERROR(IF(VLOOKUP(C1440,Hoja1!$B$1:$C$6191,2,0)="",_xlfn.XLOOKUP(C1440,Hoja1!$B$2:$B$6191,Hoja1!$A$2:$A$6191),VLOOKUP(C1440,Hoja1!$B$1:$C$6191,2,0)),"No esta en Infor")</f>
        <v>NAC1359</v>
      </c>
      <c r="C1440" s="19" t="s">
        <v>524</v>
      </c>
      <c r="D1440" s="9">
        <v>19320</v>
      </c>
      <c r="E1440" s="9">
        <v>0</v>
      </c>
      <c r="F1440" s="9">
        <v>0</v>
      </c>
      <c r="G1440" s="9">
        <v>0</v>
      </c>
      <c r="H1440" s="9">
        <v>0</v>
      </c>
      <c r="I1440" s="9">
        <v>0</v>
      </c>
      <c r="J1440" s="9">
        <v>19320</v>
      </c>
    </row>
    <row r="1441" spans="1:10" ht="15.75" x14ac:dyDescent="0.25">
      <c r="A1441" s="21">
        <v>45412</v>
      </c>
      <c r="B1441" t="str">
        <f>IFERROR(IF(VLOOKUP(C1441,Hoja1!$B$1:$C$6191,2,0)="",_xlfn.XLOOKUP(C1441,Hoja1!$B$2:$B$6191,Hoja1!$A$2:$A$6191),VLOOKUP(C1441,Hoja1!$B$1:$C$6191,2,0)),"No esta en Infor")</f>
        <v>NAC1361</v>
      </c>
      <c r="C1441" s="19" t="s">
        <v>326</v>
      </c>
      <c r="D1441" s="9">
        <v>0</v>
      </c>
      <c r="E1441" s="9">
        <v>0</v>
      </c>
      <c r="F1441" s="9">
        <v>0</v>
      </c>
      <c r="G1441" s="9">
        <v>8611.74</v>
      </c>
      <c r="H1441" s="9">
        <v>0</v>
      </c>
      <c r="I1441" s="9">
        <v>0</v>
      </c>
      <c r="J1441" s="9">
        <v>8611.74</v>
      </c>
    </row>
    <row r="1442" spans="1:10" ht="15.75" x14ac:dyDescent="0.25">
      <c r="A1442" s="21">
        <v>45412</v>
      </c>
      <c r="B1442" t="str">
        <f>IFERROR(IF(VLOOKUP(C1442,Hoja1!$B$1:$C$6191,2,0)="",_xlfn.XLOOKUP(C1442,Hoja1!$B$2:$B$6191,Hoja1!$A$2:$A$6191),VLOOKUP(C1442,Hoja1!$B$1:$C$6191,2,0)),"No esta en Infor")</f>
        <v>CAN0065</v>
      </c>
      <c r="C1442" s="19" t="s">
        <v>327</v>
      </c>
      <c r="D1442" s="9">
        <v>593.25</v>
      </c>
      <c r="E1442" s="9">
        <v>5223.99</v>
      </c>
      <c r="F1442" s="9">
        <v>0</v>
      </c>
      <c r="G1442" s="9">
        <v>0</v>
      </c>
      <c r="H1442" s="9">
        <v>0</v>
      </c>
      <c r="I1442" s="9">
        <v>0</v>
      </c>
      <c r="J1442" s="9">
        <v>5817.24</v>
      </c>
    </row>
    <row r="1443" spans="1:10" ht="15.75" x14ac:dyDescent="0.25">
      <c r="A1443" s="21">
        <v>45412</v>
      </c>
      <c r="B1443" t="str">
        <f>IFERROR(IF(VLOOKUP(C1443,Hoja1!$B$1:$C$6191,2,0)="",_xlfn.XLOOKUP(C1443,Hoja1!$B$2:$B$6191,Hoja1!$A$2:$A$6191),VLOOKUP(C1443,Hoja1!$B$1:$C$6191,2,0)),"No esta en Infor")</f>
        <v>NAC1367</v>
      </c>
      <c r="C1443" s="19" t="s">
        <v>424</v>
      </c>
      <c r="D1443" s="9">
        <v>0</v>
      </c>
      <c r="E1443" s="9">
        <v>2442</v>
      </c>
      <c r="F1443" s="9">
        <v>0</v>
      </c>
      <c r="G1443" s="9">
        <v>0</v>
      </c>
      <c r="H1443" s="9">
        <v>0</v>
      </c>
      <c r="I1443" s="9">
        <v>-199.08</v>
      </c>
      <c r="J1443" s="9">
        <v>2242.92</v>
      </c>
    </row>
    <row r="1444" spans="1:10" ht="15.75" x14ac:dyDescent="0.25">
      <c r="A1444" s="21">
        <v>45412</v>
      </c>
      <c r="B1444" t="str">
        <f>IFERROR(IF(VLOOKUP(C1444,Hoja1!$B$1:$C$6191,2,0)="",_xlfn.XLOOKUP(C1444,Hoja1!$B$2:$B$6191,Hoja1!$A$2:$A$6191),VLOOKUP(C1444,Hoja1!$B$1:$C$6191,2,0)),"No esta en Infor")</f>
        <v>CAN0066</v>
      </c>
      <c r="C1444" s="19" t="s">
        <v>330</v>
      </c>
      <c r="D1444" s="9">
        <v>0</v>
      </c>
      <c r="E1444" s="9">
        <v>0</v>
      </c>
      <c r="F1444" s="9">
        <v>0</v>
      </c>
      <c r="G1444" s="9">
        <v>-18.57</v>
      </c>
      <c r="H1444" s="9">
        <v>0</v>
      </c>
      <c r="I1444" s="9">
        <v>0</v>
      </c>
      <c r="J1444" s="9">
        <v>-18.57</v>
      </c>
    </row>
    <row r="1445" spans="1:10" ht="15.75" x14ac:dyDescent="0.25">
      <c r="A1445" s="21">
        <v>45412</v>
      </c>
      <c r="B1445" t="str">
        <f>IFERROR(IF(VLOOKUP(C1445,Hoja1!$B$1:$C$6191,2,0)="",_xlfn.XLOOKUP(C1445,Hoja1!$B$2:$B$6191,Hoja1!$A$2:$A$6191),VLOOKUP(C1445,Hoja1!$B$1:$C$6191,2,0)),"No esta en Infor")</f>
        <v>NAC1375</v>
      </c>
      <c r="C1445" s="19" t="s">
        <v>426</v>
      </c>
      <c r="D1445" s="9">
        <v>907.66</v>
      </c>
      <c r="E1445" s="9">
        <v>0</v>
      </c>
      <c r="F1445" s="9">
        <v>0</v>
      </c>
      <c r="G1445" s="9">
        <v>0</v>
      </c>
      <c r="H1445" s="9">
        <v>0</v>
      </c>
      <c r="I1445" s="9">
        <v>0</v>
      </c>
      <c r="J1445" s="9">
        <v>907.66</v>
      </c>
    </row>
    <row r="1446" spans="1:10" ht="15.75" x14ac:dyDescent="0.25">
      <c r="A1446" s="21">
        <v>45412</v>
      </c>
      <c r="B1446" t="str">
        <f>IFERROR(IF(VLOOKUP(C1446,Hoja1!$B$1:$C$6191,2,0)="",_xlfn.XLOOKUP(C1446,Hoja1!$B$2:$B$6191,Hoja1!$A$2:$A$6191),VLOOKUP(C1446,Hoja1!$B$1:$C$6191,2,0)),"No esta en Infor")</f>
        <v>NAC1376</v>
      </c>
      <c r="C1446" s="19" t="s">
        <v>331</v>
      </c>
      <c r="D1446" s="9">
        <v>36275</v>
      </c>
      <c r="E1446" s="9">
        <v>75314.3</v>
      </c>
      <c r="F1446" s="9">
        <v>0</v>
      </c>
      <c r="G1446" s="9">
        <v>0</v>
      </c>
      <c r="H1446" s="9">
        <v>0</v>
      </c>
      <c r="I1446" s="9">
        <v>0</v>
      </c>
      <c r="J1446" s="9">
        <v>111589.3</v>
      </c>
    </row>
    <row r="1447" spans="1:10" ht="15.75" x14ac:dyDescent="0.25">
      <c r="A1447" s="21">
        <v>45412</v>
      </c>
      <c r="B1447" t="str">
        <f>IFERROR(IF(VLOOKUP(C1447,Hoja1!$B$1:$C$6191,2,0)="",_xlfn.XLOOKUP(C1447,Hoja1!$B$2:$B$6191,Hoja1!$A$2:$A$6191),VLOOKUP(C1447,Hoja1!$B$1:$C$6191,2,0)),"No esta en Infor")</f>
        <v>NAC1377</v>
      </c>
      <c r="C1447" s="19" t="s">
        <v>525</v>
      </c>
      <c r="D1447" s="9">
        <v>5160.8500000000004</v>
      </c>
      <c r="E1447" s="9">
        <v>0</v>
      </c>
      <c r="F1447" s="9">
        <v>0</v>
      </c>
      <c r="G1447" s="9">
        <v>0</v>
      </c>
      <c r="H1447" s="9">
        <v>0</v>
      </c>
      <c r="I1447" s="9">
        <v>0</v>
      </c>
      <c r="J1447" s="9">
        <v>5160.8500000000004</v>
      </c>
    </row>
    <row r="1448" spans="1:10" ht="15.75" x14ac:dyDescent="0.25">
      <c r="A1448" s="21">
        <v>45412</v>
      </c>
      <c r="B1448" t="str">
        <f>IFERROR(IF(VLOOKUP(C1448,Hoja1!$B$1:$C$6191,2,0)="",_xlfn.XLOOKUP(C1448,Hoja1!$B$2:$B$6191,Hoja1!$A$2:$A$6191),VLOOKUP(C1448,Hoja1!$B$1:$C$6191,2,0)),"No esta en Infor")</f>
        <v>NAC1381</v>
      </c>
      <c r="C1448" s="19" t="s">
        <v>478</v>
      </c>
      <c r="D1448" s="9">
        <v>-5.28</v>
      </c>
      <c r="E1448" s="9">
        <v>0</v>
      </c>
      <c r="F1448" s="9">
        <v>0</v>
      </c>
      <c r="G1448" s="9">
        <v>0</v>
      </c>
      <c r="H1448" s="9">
        <v>0</v>
      </c>
      <c r="I1448" s="9">
        <v>0</v>
      </c>
      <c r="J1448" s="9">
        <v>-5.28</v>
      </c>
    </row>
    <row r="1449" spans="1:10" ht="15.75" x14ac:dyDescent="0.25">
      <c r="A1449" s="21">
        <v>45412</v>
      </c>
      <c r="B1449" t="str">
        <f>IFERROR(IF(VLOOKUP(C1449,Hoja1!$B$1:$C$6191,2,0)="",_xlfn.XLOOKUP(C1449,Hoja1!$B$2:$B$6191,Hoja1!$A$2:$A$6191),VLOOKUP(C1449,Hoja1!$B$1:$C$6191,2,0)),"No esta en Infor")</f>
        <v>NAC1382</v>
      </c>
      <c r="C1449" s="19" t="s">
        <v>332</v>
      </c>
      <c r="D1449" s="9">
        <v>244895.46</v>
      </c>
      <c r="E1449" s="9">
        <v>64320.12</v>
      </c>
      <c r="F1449" s="9">
        <v>0</v>
      </c>
      <c r="G1449" s="9">
        <v>0</v>
      </c>
      <c r="H1449" s="9">
        <v>0</v>
      </c>
      <c r="I1449" s="9">
        <v>0</v>
      </c>
      <c r="J1449" s="9">
        <v>309215.58</v>
      </c>
    </row>
    <row r="1450" spans="1:10" ht="15.75" x14ac:dyDescent="0.25">
      <c r="A1450" s="21">
        <v>45412</v>
      </c>
      <c r="B1450" t="str">
        <f>IFERROR(IF(VLOOKUP(C1450,Hoja1!$B$1:$C$6191,2,0)="",_xlfn.XLOOKUP(C1450,Hoja1!$B$2:$B$6191,Hoja1!$A$2:$A$6191),VLOOKUP(C1450,Hoja1!$B$1:$C$6191,2,0)),"No esta en Infor")</f>
        <v>NAC1610</v>
      </c>
      <c r="C1450" s="19" t="s">
        <v>526</v>
      </c>
      <c r="D1450" s="9">
        <v>246.49</v>
      </c>
      <c r="E1450" s="9">
        <v>0</v>
      </c>
      <c r="F1450" s="9">
        <v>0</v>
      </c>
      <c r="G1450" s="9">
        <v>0</v>
      </c>
      <c r="H1450" s="9">
        <v>0</v>
      </c>
      <c r="I1450" s="9">
        <v>0</v>
      </c>
      <c r="J1450" s="9">
        <v>246.49</v>
      </c>
    </row>
    <row r="1451" spans="1:10" ht="15.75" x14ac:dyDescent="0.25">
      <c r="A1451" s="21">
        <v>45412</v>
      </c>
      <c r="B1451" t="str">
        <f>IFERROR(IF(VLOOKUP(C1451,Hoja1!$B$1:$C$6191,2,0)="",_xlfn.XLOOKUP(C1451,Hoja1!$B$2:$B$6191,Hoja1!$A$2:$A$6191),VLOOKUP(C1451,Hoja1!$B$1:$C$6191,2,0)),"No esta en Infor")</f>
        <v>NAC1448</v>
      </c>
      <c r="C1451" s="19" t="s">
        <v>53</v>
      </c>
      <c r="D1451" s="9">
        <v>0</v>
      </c>
      <c r="E1451" s="9">
        <v>0</v>
      </c>
      <c r="F1451" s="9">
        <v>0</v>
      </c>
      <c r="G1451" s="9">
        <v>0</v>
      </c>
      <c r="H1451" s="9">
        <v>0</v>
      </c>
      <c r="I1451" s="9">
        <v>-162.37</v>
      </c>
      <c r="J1451" s="9">
        <v>-162.37</v>
      </c>
    </row>
    <row r="1452" spans="1:10" ht="15.75" x14ac:dyDescent="0.25">
      <c r="A1452" s="21">
        <v>45412</v>
      </c>
      <c r="B1452" t="str">
        <f>IFERROR(IF(VLOOKUP(C1452,Hoja1!$B$1:$C$6191,2,0)="",_xlfn.XLOOKUP(C1452,Hoja1!$B$2:$B$6191,Hoja1!$A$2:$A$6191),VLOOKUP(C1452,Hoja1!$B$1:$C$6191,2,0)),"No esta en Infor")</f>
        <v>NAC1393</v>
      </c>
      <c r="C1452" s="19" t="s">
        <v>335</v>
      </c>
      <c r="D1452" s="9">
        <v>0</v>
      </c>
      <c r="E1452" s="9">
        <v>0</v>
      </c>
      <c r="F1452" s="9">
        <v>-3.21</v>
      </c>
      <c r="G1452" s="9">
        <v>0</v>
      </c>
      <c r="H1452" s="9">
        <v>0</v>
      </c>
      <c r="I1452" s="9">
        <v>0</v>
      </c>
      <c r="J1452" s="9">
        <v>-3.21</v>
      </c>
    </row>
    <row r="1453" spans="1:10" ht="15.75" x14ac:dyDescent="0.25">
      <c r="A1453" s="21">
        <v>45412</v>
      </c>
      <c r="B1453" t="str">
        <f>IFERROR(IF(VLOOKUP(C1453,Hoja1!$B$1:$C$6191,2,0)="",_xlfn.XLOOKUP(C1453,Hoja1!$B$2:$B$6191,Hoja1!$A$2:$A$6191),VLOOKUP(C1453,Hoja1!$B$1:$C$6191,2,0)),"No esta en Infor")</f>
        <v>NAC1395</v>
      </c>
      <c r="C1453" s="19" t="s">
        <v>337</v>
      </c>
      <c r="D1453" s="9">
        <v>13639.53</v>
      </c>
      <c r="E1453" s="9">
        <v>8703</v>
      </c>
      <c r="F1453" s="9">
        <v>0</v>
      </c>
      <c r="G1453" s="9">
        <v>0</v>
      </c>
      <c r="H1453" s="9">
        <v>0</v>
      </c>
      <c r="I1453" s="9">
        <v>0</v>
      </c>
      <c r="J1453" s="9">
        <v>22342.53</v>
      </c>
    </row>
    <row r="1454" spans="1:10" ht="15.75" x14ac:dyDescent="0.25">
      <c r="A1454" s="21">
        <v>45412</v>
      </c>
      <c r="B1454" t="str">
        <f>IFERROR(IF(VLOOKUP(C1454,Hoja1!$B$1:$C$6191,2,0)="",_xlfn.XLOOKUP(C1454,Hoja1!$B$2:$B$6191,Hoja1!$A$2:$A$6191),VLOOKUP(C1454,Hoja1!$B$1:$C$6191,2,0)),"No esta en Infor")</f>
        <v>SH02422</v>
      </c>
      <c r="C1454" s="19" t="s">
        <v>527</v>
      </c>
      <c r="D1454" s="9">
        <v>0</v>
      </c>
      <c r="E1454" s="9">
        <v>304.35000000000002</v>
      </c>
      <c r="F1454" s="9">
        <v>0</v>
      </c>
      <c r="G1454" s="9">
        <v>0</v>
      </c>
      <c r="H1454" s="9">
        <v>0</v>
      </c>
      <c r="I1454" s="9">
        <v>0</v>
      </c>
      <c r="J1454" s="9">
        <v>304.35000000000002</v>
      </c>
    </row>
    <row r="1455" spans="1:10" ht="15.75" x14ac:dyDescent="0.25">
      <c r="A1455" s="21">
        <v>45412</v>
      </c>
      <c r="B1455" t="str">
        <f>IFERROR(IF(VLOOKUP(C1455,Hoja1!$B$1:$C$6191,2,0)="",_xlfn.XLOOKUP(C1455,Hoja1!$B$2:$B$6191,Hoja1!$A$2:$A$6191),VLOOKUP(C1455,Hoja1!$B$1:$C$6191,2,0)),"No esta en Infor")</f>
        <v>No esta en Infor</v>
      </c>
      <c r="C1455" s="19" t="s">
        <v>338</v>
      </c>
      <c r="D1455" s="9">
        <v>0</v>
      </c>
      <c r="E1455" s="9">
        <v>0</v>
      </c>
      <c r="F1455" s="9">
        <v>0</v>
      </c>
      <c r="G1455" s="9">
        <v>0</v>
      </c>
      <c r="H1455" s="9">
        <v>0</v>
      </c>
      <c r="I1455" s="9">
        <v>-340.25</v>
      </c>
      <c r="J1455" s="9">
        <v>-340.25</v>
      </c>
    </row>
    <row r="1456" spans="1:10" ht="15.75" x14ac:dyDescent="0.25">
      <c r="A1456" s="21">
        <v>45412</v>
      </c>
      <c r="B1456" t="str">
        <f>IFERROR(IF(VLOOKUP(C1456,Hoja1!$B$1:$C$6191,2,0)="",_xlfn.XLOOKUP(C1456,Hoja1!$B$2:$B$6191,Hoja1!$A$2:$A$6191),VLOOKUP(C1456,Hoja1!$B$1:$C$6191,2,0)),"No esta en Infor")</f>
        <v>SH02451</v>
      </c>
      <c r="C1456" s="19" t="s">
        <v>528</v>
      </c>
      <c r="D1456" s="9">
        <v>0</v>
      </c>
      <c r="E1456" s="9">
        <v>315.52999999999997</v>
      </c>
      <c r="F1456" s="9">
        <v>0</v>
      </c>
      <c r="G1456" s="9">
        <v>0</v>
      </c>
      <c r="H1456" s="9">
        <v>0</v>
      </c>
      <c r="I1456" s="9">
        <v>0</v>
      </c>
      <c r="J1456" s="9">
        <v>315.52999999999997</v>
      </c>
    </row>
    <row r="1457" spans="1:10" ht="15.75" x14ac:dyDescent="0.25">
      <c r="A1457" s="21">
        <v>45412</v>
      </c>
      <c r="B1457" t="str">
        <f>IFERROR(IF(VLOOKUP(C1457,Hoja1!$B$1:$C$6191,2,0)="",_xlfn.XLOOKUP(C1457,Hoja1!$B$2:$B$6191,Hoja1!$A$2:$A$6191),VLOOKUP(C1457,Hoja1!$B$1:$C$6191,2,0)),"No esta en Infor")</f>
        <v>CAN0068</v>
      </c>
      <c r="C1457" s="19" t="s">
        <v>529</v>
      </c>
      <c r="D1457" s="9">
        <v>1051.8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1051.8</v>
      </c>
    </row>
    <row r="1458" spans="1:10" ht="15.75" x14ac:dyDescent="0.25">
      <c r="A1458" s="21">
        <v>45412</v>
      </c>
      <c r="B1458" t="str">
        <f>IFERROR(IF(VLOOKUP(C1458,Hoja1!$B$1:$C$6191,2,0)="",_xlfn.XLOOKUP(C1458,Hoja1!$B$2:$B$6191,Hoja1!$A$2:$A$6191),VLOOKUP(C1458,Hoja1!$B$1:$C$6191,2,0)),"No esta en Infor")</f>
        <v>NAC1408</v>
      </c>
      <c r="C1458" s="19" t="s">
        <v>530</v>
      </c>
      <c r="D1458" s="9">
        <v>707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707</v>
      </c>
    </row>
    <row r="1459" spans="1:10" ht="15.75" x14ac:dyDescent="0.25">
      <c r="A1459" s="21">
        <v>45412</v>
      </c>
      <c r="B1459" t="str">
        <f>IFERROR(IF(VLOOKUP(C1459,Hoja1!$B$1:$C$6191,2,0)="",_xlfn.XLOOKUP(C1459,Hoja1!$B$2:$B$6191,Hoja1!$A$2:$A$6191),VLOOKUP(C1459,Hoja1!$B$1:$C$6191,2,0)),"No esta en Infor")</f>
        <v>CAN0090</v>
      </c>
      <c r="C1459" s="19" t="s">
        <v>574</v>
      </c>
      <c r="D1459" s="9">
        <v>29569.67</v>
      </c>
      <c r="E1459" s="9">
        <v>0</v>
      </c>
      <c r="F1459" s="9">
        <v>0</v>
      </c>
      <c r="G1459" s="9">
        <v>0</v>
      </c>
      <c r="H1459" s="9">
        <v>0</v>
      </c>
      <c r="I1459" s="9">
        <v>0</v>
      </c>
      <c r="J1459" s="9">
        <v>29569.67</v>
      </c>
    </row>
    <row r="1460" spans="1:10" ht="15.75" x14ac:dyDescent="0.25">
      <c r="A1460" s="21">
        <v>45412</v>
      </c>
      <c r="B1460" t="str">
        <f>IFERROR(IF(VLOOKUP(C1460,Hoja1!$B$1:$C$6191,2,0)="",_xlfn.XLOOKUP(C1460,Hoja1!$B$2:$B$6191,Hoja1!$A$2:$A$6191),VLOOKUP(C1460,Hoja1!$B$1:$C$6191,2,0)),"No esta en Infor")</f>
        <v>CAN0071</v>
      </c>
      <c r="C1460" s="19" t="s">
        <v>341</v>
      </c>
      <c r="D1460" s="9">
        <v>1730.7</v>
      </c>
      <c r="E1460" s="9">
        <v>0</v>
      </c>
      <c r="F1460" s="9">
        <v>0</v>
      </c>
      <c r="G1460" s="9">
        <v>0</v>
      </c>
      <c r="H1460" s="9">
        <v>0</v>
      </c>
      <c r="I1460" s="9">
        <v>0</v>
      </c>
      <c r="J1460" s="9">
        <v>1730.7</v>
      </c>
    </row>
    <row r="1461" spans="1:10" ht="15.75" x14ac:dyDescent="0.25">
      <c r="A1461" s="21">
        <v>45412</v>
      </c>
      <c r="B1461" t="str">
        <f>IFERROR(IF(VLOOKUP(C1461,Hoja1!$B$1:$C$6191,2,0)="",_xlfn.XLOOKUP(C1461,Hoja1!$B$2:$B$6191,Hoja1!$A$2:$A$6191),VLOOKUP(C1461,Hoja1!$B$1:$C$6191,2,0)),"No esta en Infor")</f>
        <v>NAC1419</v>
      </c>
      <c r="C1461" s="19" t="s">
        <v>343</v>
      </c>
      <c r="D1461" s="9">
        <v>0</v>
      </c>
      <c r="E1461" s="9">
        <v>0</v>
      </c>
      <c r="F1461" s="9">
        <v>0</v>
      </c>
      <c r="G1461" s="9">
        <v>0</v>
      </c>
      <c r="H1461" s="9">
        <v>0</v>
      </c>
      <c r="I1461" s="9">
        <v>-4.18</v>
      </c>
      <c r="J1461" s="9">
        <v>-4.18</v>
      </c>
    </row>
    <row r="1462" spans="1:10" ht="15.75" x14ac:dyDescent="0.25">
      <c r="A1462" s="21">
        <v>45412</v>
      </c>
      <c r="B1462" t="str">
        <f>IFERROR(IF(VLOOKUP(C1462,Hoja1!$B$1:$C$6191,2,0)="",_xlfn.XLOOKUP(C1462,Hoja1!$B$2:$B$6191,Hoja1!$A$2:$A$6191),VLOOKUP(C1462,Hoja1!$B$1:$C$6191,2,0)),"No esta en Infor")</f>
        <v>NAC1422</v>
      </c>
      <c r="C1462" s="19" t="s">
        <v>344</v>
      </c>
      <c r="D1462" s="9">
        <v>0</v>
      </c>
      <c r="E1462" s="9">
        <v>0</v>
      </c>
      <c r="F1462" s="9">
        <v>0</v>
      </c>
      <c r="G1462" s="9">
        <v>0</v>
      </c>
      <c r="H1462" s="9">
        <v>-0.01</v>
      </c>
      <c r="I1462" s="9">
        <v>0</v>
      </c>
      <c r="J1462" s="9">
        <v>-0.01</v>
      </c>
    </row>
    <row r="1463" spans="1:10" ht="15.75" x14ac:dyDescent="0.25">
      <c r="A1463" s="21">
        <v>45412</v>
      </c>
      <c r="B1463" t="str">
        <f>IFERROR(IF(VLOOKUP(C1463,Hoja1!$B$1:$C$6191,2,0)="",_xlfn.XLOOKUP(C1463,Hoja1!$B$2:$B$6191,Hoja1!$A$2:$A$6191),VLOOKUP(C1463,Hoja1!$B$1:$C$6191,2,0)),"No esta en Infor")</f>
        <v>NAC1424</v>
      </c>
      <c r="C1463" s="19" t="s">
        <v>345</v>
      </c>
      <c r="D1463" s="9">
        <v>40888.85</v>
      </c>
      <c r="E1463" s="9">
        <v>179</v>
      </c>
      <c r="F1463" s="9">
        <v>0</v>
      </c>
      <c r="G1463" s="9">
        <v>0</v>
      </c>
      <c r="H1463" s="9">
        <v>0</v>
      </c>
      <c r="I1463" s="9">
        <v>0</v>
      </c>
      <c r="J1463" s="9">
        <v>41067.85</v>
      </c>
    </row>
    <row r="1464" spans="1:10" ht="15.75" x14ac:dyDescent="0.25">
      <c r="A1464" s="21">
        <v>45412</v>
      </c>
      <c r="B1464" t="str">
        <f>IFERROR(IF(VLOOKUP(C1464,Hoja1!$B$1:$C$6191,2,0)="",_xlfn.XLOOKUP(C1464,Hoja1!$B$2:$B$6191,Hoja1!$A$2:$A$6191),VLOOKUP(C1464,Hoja1!$B$1:$C$6191,2,0)),"No esta en Infor")</f>
        <v>NAC1426</v>
      </c>
      <c r="C1464" s="19" t="s">
        <v>531</v>
      </c>
      <c r="D1464" s="9">
        <v>0</v>
      </c>
      <c r="E1464" s="9">
        <v>0.66</v>
      </c>
      <c r="F1464" s="9">
        <v>0</v>
      </c>
      <c r="G1464" s="9">
        <v>0</v>
      </c>
      <c r="H1464" s="9">
        <v>0</v>
      </c>
      <c r="I1464" s="9">
        <v>0</v>
      </c>
      <c r="J1464" s="9">
        <v>0.66</v>
      </c>
    </row>
    <row r="1465" spans="1:10" ht="15.75" x14ac:dyDescent="0.25">
      <c r="A1465" s="21">
        <v>45412</v>
      </c>
      <c r="B1465" t="str">
        <f>IFERROR(IF(VLOOKUP(C1465,Hoja1!$B$1:$C$6191,2,0)="",_xlfn.XLOOKUP(C1465,Hoja1!$B$2:$B$6191,Hoja1!$A$2:$A$6191),VLOOKUP(C1465,Hoja1!$B$1:$C$6191,2,0)),"No esta en Infor")</f>
        <v>NAC1429</v>
      </c>
      <c r="C1465" s="19" t="s">
        <v>347</v>
      </c>
      <c r="D1465" s="9">
        <v>0</v>
      </c>
      <c r="E1465" s="9">
        <v>43.6</v>
      </c>
      <c r="F1465" s="9">
        <v>0</v>
      </c>
      <c r="G1465" s="9">
        <v>0</v>
      </c>
      <c r="H1465" s="9">
        <v>0</v>
      </c>
      <c r="I1465" s="9">
        <v>0</v>
      </c>
      <c r="J1465" s="9">
        <v>43.6</v>
      </c>
    </row>
    <row r="1466" spans="1:10" ht="15.75" x14ac:dyDescent="0.25">
      <c r="A1466" s="21">
        <v>45412</v>
      </c>
      <c r="B1466" t="str">
        <f>IFERROR(IF(VLOOKUP(C1466,Hoja1!$B$1:$C$6191,2,0)="",_xlfn.XLOOKUP(C1466,Hoja1!$B$2:$B$6191,Hoja1!$A$2:$A$6191),VLOOKUP(C1466,Hoja1!$B$1:$C$6191,2,0)),"No esta en Infor")</f>
        <v>NAC1434</v>
      </c>
      <c r="C1466" s="19" t="s">
        <v>348</v>
      </c>
      <c r="D1466" s="9">
        <v>0</v>
      </c>
      <c r="E1466" s="9">
        <v>0</v>
      </c>
      <c r="F1466" s="9">
        <v>-0.01</v>
      </c>
      <c r="G1466" s="9">
        <v>0</v>
      </c>
      <c r="H1466" s="9">
        <v>0</v>
      </c>
      <c r="I1466" s="9">
        <v>0</v>
      </c>
      <c r="J1466" s="9">
        <v>-0.01</v>
      </c>
    </row>
    <row r="1467" spans="1:10" ht="15.75" x14ac:dyDescent="0.25">
      <c r="A1467" s="21">
        <v>45412</v>
      </c>
      <c r="B1467" t="str">
        <f>IFERROR(IF(VLOOKUP(C1467,Hoja1!$B$1:$C$6191,2,0)="",_xlfn.XLOOKUP(C1467,Hoja1!$B$2:$B$6191,Hoja1!$A$2:$A$6191),VLOOKUP(C1467,Hoja1!$B$1:$C$6191,2,0)),"No esta en Infor")</f>
        <v>CAN0074</v>
      </c>
      <c r="C1467" s="19" t="s">
        <v>350</v>
      </c>
      <c r="D1467" s="9">
        <v>0</v>
      </c>
      <c r="E1467" s="9">
        <v>0</v>
      </c>
      <c r="F1467" s="9">
        <v>0</v>
      </c>
      <c r="G1467" s="9">
        <v>0</v>
      </c>
      <c r="H1467" s="9">
        <v>0</v>
      </c>
      <c r="I1467" s="9">
        <v>-100</v>
      </c>
      <c r="J1467" s="9">
        <v>-100</v>
      </c>
    </row>
    <row r="1468" spans="1:10" ht="15.75" x14ac:dyDescent="0.25">
      <c r="A1468" s="21">
        <v>45412</v>
      </c>
      <c r="B1468" t="str">
        <f>IFERROR(IF(VLOOKUP(C1468,Hoja1!$B$1:$C$6191,2,0)="",_xlfn.XLOOKUP(C1468,Hoja1!$B$2:$B$6191,Hoja1!$A$2:$A$6191),VLOOKUP(C1468,Hoja1!$B$1:$C$6191,2,0)),"No esta en Infor")</f>
        <v>NAC1471</v>
      </c>
      <c r="C1468" s="19" t="s">
        <v>351</v>
      </c>
      <c r="D1468" s="9">
        <v>111.2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111.2</v>
      </c>
    </row>
    <row r="1469" spans="1:10" ht="15.75" x14ac:dyDescent="0.25">
      <c r="A1469" s="21">
        <v>45412</v>
      </c>
      <c r="B1469" t="str">
        <f>IFERROR(IF(VLOOKUP(C1469,Hoja1!$B$1:$C$6191,2,0)="",_xlfn.XLOOKUP(C1469,Hoja1!$B$2:$B$6191,Hoja1!$A$2:$A$6191),VLOOKUP(C1469,Hoja1!$B$1:$C$6191,2,0)),"No esta en Infor")</f>
        <v>NAC1473</v>
      </c>
      <c r="C1469" s="19" t="s">
        <v>532</v>
      </c>
      <c r="D1469" s="9">
        <v>980</v>
      </c>
      <c r="E1469" s="9">
        <v>0</v>
      </c>
      <c r="F1469" s="9">
        <v>0</v>
      </c>
      <c r="G1469" s="9">
        <v>0</v>
      </c>
      <c r="H1469" s="9">
        <v>0</v>
      </c>
      <c r="I1469" s="9">
        <v>0</v>
      </c>
      <c r="J1469" s="9">
        <v>980</v>
      </c>
    </row>
    <row r="1470" spans="1:10" ht="15.75" x14ac:dyDescent="0.25">
      <c r="A1470" s="21">
        <v>45412</v>
      </c>
      <c r="B1470" t="str">
        <f>IFERROR(IF(VLOOKUP(C1470,Hoja1!$B$1:$C$6191,2,0)="",_xlfn.XLOOKUP(C1470,Hoja1!$B$2:$B$6191,Hoja1!$A$2:$A$6191),VLOOKUP(C1470,Hoja1!$B$1:$C$6191,2,0)),"No esta en Infor")</f>
        <v>CAN0077</v>
      </c>
      <c r="C1470" s="19" t="s">
        <v>353</v>
      </c>
      <c r="D1470" s="9">
        <v>0</v>
      </c>
      <c r="E1470" s="9">
        <v>0</v>
      </c>
      <c r="F1470" s="9">
        <v>0</v>
      </c>
      <c r="G1470" s="9">
        <v>0</v>
      </c>
      <c r="H1470" s="9">
        <v>0</v>
      </c>
      <c r="I1470" s="9">
        <v>-364.86</v>
      </c>
      <c r="J1470" s="9">
        <v>-364.86</v>
      </c>
    </row>
    <row r="1471" spans="1:10" ht="15.75" x14ac:dyDescent="0.25">
      <c r="A1471" s="21">
        <v>45412</v>
      </c>
      <c r="B1471" t="str">
        <f>IFERROR(IF(VLOOKUP(C1471,Hoja1!$B$1:$C$6191,2,0)="",_xlfn.XLOOKUP(C1471,Hoja1!$B$2:$B$6191,Hoja1!$A$2:$A$6191),VLOOKUP(C1471,Hoja1!$B$1:$C$6191,2,0)),"No esta en Infor")</f>
        <v>NAC1479</v>
      </c>
      <c r="C1471" s="19" t="s">
        <v>354</v>
      </c>
      <c r="D1471" s="9">
        <v>0</v>
      </c>
      <c r="E1471" s="9">
        <v>0</v>
      </c>
      <c r="F1471" s="9">
        <v>-6.68</v>
      </c>
      <c r="G1471" s="9">
        <v>0</v>
      </c>
      <c r="H1471" s="9">
        <v>0</v>
      </c>
      <c r="I1471" s="9">
        <v>0</v>
      </c>
      <c r="J1471" s="9">
        <v>-6.68</v>
      </c>
    </row>
    <row r="1472" spans="1:10" ht="15.75" x14ac:dyDescent="0.25">
      <c r="A1472" s="21">
        <v>45412</v>
      </c>
      <c r="B1472" t="str">
        <f>IFERROR(IF(VLOOKUP(C1472,Hoja1!$B$1:$C$6191,2,0)="",_xlfn.XLOOKUP(C1472,Hoja1!$B$2:$B$6191,Hoja1!$A$2:$A$6191),VLOOKUP(C1472,Hoja1!$B$1:$C$6191,2,0)),"No esta en Infor")</f>
        <v>CAN0080</v>
      </c>
      <c r="C1472" s="19" t="s">
        <v>533</v>
      </c>
      <c r="D1472" s="9">
        <v>0</v>
      </c>
      <c r="E1472" s="9">
        <v>-93.6</v>
      </c>
      <c r="F1472" s="9">
        <v>0</v>
      </c>
      <c r="G1472" s="9">
        <v>0</v>
      </c>
      <c r="H1472" s="9">
        <v>0</v>
      </c>
      <c r="I1472" s="9">
        <v>0</v>
      </c>
      <c r="J1472" s="9">
        <v>-93.6</v>
      </c>
    </row>
    <row r="1473" spans="1:10" ht="15.75" x14ac:dyDescent="0.25">
      <c r="A1473" s="21">
        <v>45412</v>
      </c>
      <c r="B1473" t="str">
        <f>IFERROR(IF(VLOOKUP(C1473,Hoja1!$B$1:$C$6191,2,0)="",_xlfn.XLOOKUP(C1473,Hoja1!$B$2:$B$6191,Hoja1!$A$2:$A$6191),VLOOKUP(C1473,Hoja1!$B$1:$C$6191,2,0)),"No esta en Infor")</f>
        <v>NAC1611</v>
      </c>
      <c r="C1473" s="19" t="s">
        <v>355</v>
      </c>
      <c r="D1473" s="9">
        <v>1327.52</v>
      </c>
      <c r="E1473" s="9">
        <v>14856.31</v>
      </c>
      <c r="F1473" s="9">
        <v>0</v>
      </c>
      <c r="G1473" s="9">
        <v>0</v>
      </c>
      <c r="H1473" s="9">
        <v>0</v>
      </c>
      <c r="I1473" s="9">
        <v>-184</v>
      </c>
      <c r="J1473" s="9">
        <v>15999.83</v>
      </c>
    </row>
    <row r="1474" spans="1:10" ht="15.75" x14ac:dyDescent="0.25">
      <c r="A1474" s="21">
        <v>45412</v>
      </c>
      <c r="B1474" t="str">
        <f>IFERROR(IF(VLOOKUP(C1474,Hoja1!$B$1:$C$6191,2,0)="",_xlfn.XLOOKUP(C1474,Hoja1!$B$2:$B$6191,Hoja1!$A$2:$A$6191),VLOOKUP(C1474,Hoja1!$B$1:$C$6191,2,0)),"No esta en Infor")</f>
        <v>NAC1482</v>
      </c>
      <c r="C1474" s="19" t="s">
        <v>356</v>
      </c>
      <c r="D1474" s="9">
        <v>516.19000000000005</v>
      </c>
      <c r="E1474" s="9">
        <v>0</v>
      </c>
      <c r="F1474" s="9">
        <v>0</v>
      </c>
      <c r="G1474" s="9">
        <v>-53.68</v>
      </c>
      <c r="H1474" s="9">
        <v>0</v>
      </c>
      <c r="I1474" s="9">
        <v>0</v>
      </c>
      <c r="J1474" s="9">
        <v>462.51</v>
      </c>
    </row>
    <row r="1475" spans="1:10" ht="15.75" x14ac:dyDescent="0.25">
      <c r="A1475" s="21">
        <v>45412</v>
      </c>
      <c r="B1475" t="str">
        <f>IFERROR(IF(VLOOKUP(C1475,Hoja1!$B$1:$C$6191,2,0)="",_xlfn.XLOOKUP(C1475,Hoja1!$B$2:$B$6191,Hoja1!$A$2:$A$6191),VLOOKUP(C1475,Hoja1!$B$1:$C$6191,2,0)),"No esta en Infor")</f>
        <v>NAC1483</v>
      </c>
      <c r="C1475" s="19" t="s">
        <v>357</v>
      </c>
      <c r="D1475" s="9">
        <v>115</v>
      </c>
      <c r="E1475" s="9">
        <v>0</v>
      </c>
      <c r="F1475" s="9">
        <v>0</v>
      </c>
      <c r="G1475" s="9">
        <v>0</v>
      </c>
      <c r="H1475" s="9">
        <v>0</v>
      </c>
      <c r="I1475" s="9">
        <v>0</v>
      </c>
      <c r="J1475" s="9">
        <v>115</v>
      </c>
    </row>
    <row r="1476" spans="1:10" ht="15.75" x14ac:dyDescent="0.25">
      <c r="A1476" s="21">
        <v>45412</v>
      </c>
      <c r="B1476" t="str">
        <f>IFERROR(IF(VLOOKUP(C1476,Hoja1!$B$1:$C$6191,2,0)="",_xlfn.XLOOKUP(C1476,Hoja1!$B$2:$B$6191,Hoja1!$A$2:$A$6191),VLOOKUP(C1476,Hoja1!$B$1:$C$6191,2,0)),"No esta en Infor")</f>
        <v>NAC1485</v>
      </c>
      <c r="C1476" s="19" t="s">
        <v>358</v>
      </c>
      <c r="D1476" s="9">
        <v>0</v>
      </c>
      <c r="E1476" s="9">
        <v>0</v>
      </c>
      <c r="F1476" s="9">
        <v>-10</v>
      </c>
      <c r="G1476" s="9">
        <v>0</v>
      </c>
      <c r="H1476" s="9">
        <v>0</v>
      </c>
      <c r="I1476" s="9">
        <v>0</v>
      </c>
      <c r="J1476" s="9">
        <v>-10</v>
      </c>
    </row>
    <row r="1477" spans="1:10" ht="15.75" x14ac:dyDescent="0.25">
      <c r="A1477" s="21">
        <v>45412</v>
      </c>
      <c r="B1477" t="str">
        <f>IFERROR(IF(VLOOKUP(C1477,Hoja1!$B$1:$C$6191,2,0)="",_xlfn.XLOOKUP(C1477,Hoja1!$B$2:$B$6191,Hoja1!$A$2:$A$6191),VLOOKUP(C1477,Hoja1!$B$1:$C$6191,2,0)),"No esta en Infor")</f>
        <v>NAC1494</v>
      </c>
      <c r="C1477" s="19" t="s">
        <v>360</v>
      </c>
      <c r="D1477" s="9">
        <v>595.75</v>
      </c>
      <c r="E1477" s="9">
        <v>0</v>
      </c>
      <c r="F1477" s="9">
        <v>0</v>
      </c>
      <c r="G1477" s="9">
        <v>0</v>
      </c>
      <c r="H1477" s="9">
        <v>0</v>
      </c>
      <c r="I1477" s="9">
        <v>-286.77999999999997</v>
      </c>
      <c r="J1477" s="9">
        <v>308.97000000000003</v>
      </c>
    </row>
    <row r="1478" spans="1:10" ht="15.75" x14ac:dyDescent="0.25">
      <c r="A1478" s="21">
        <v>45412</v>
      </c>
      <c r="B1478" t="str">
        <f>IFERROR(IF(VLOOKUP(C1478,Hoja1!$B$1:$C$6191,2,0)="",_xlfn.XLOOKUP(C1478,Hoja1!$B$2:$B$6191,Hoja1!$A$2:$A$6191),VLOOKUP(C1478,Hoja1!$B$1:$C$6191,2,0)),"No esta en Infor")</f>
        <v>NAC1495</v>
      </c>
      <c r="C1478" s="19" t="s">
        <v>482</v>
      </c>
      <c r="D1478" s="9">
        <v>0</v>
      </c>
      <c r="E1478" s="9">
        <v>244.13</v>
      </c>
      <c r="F1478" s="9">
        <v>0</v>
      </c>
      <c r="G1478" s="9">
        <v>0</v>
      </c>
      <c r="H1478" s="9">
        <v>0</v>
      </c>
      <c r="I1478" s="9">
        <v>0</v>
      </c>
      <c r="J1478" s="9">
        <v>244.13</v>
      </c>
    </row>
    <row r="1479" spans="1:10" ht="15.75" x14ac:dyDescent="0.25">
      <c r="A1479" s="21">
        <v>45412</v>
      </c>
      <c r="B1479" t="str">
        <f>IFERROR(IF(VLOOKUP(C1479,Hoja1!$B$1:$C$6191,2,0)="",_xlfn.XLOOKUP(C1479,Hoja1!$B$2:$B$6191,Hoja1!$A$2:$A$6191),VLOOKUP(C1479,Hoja1!$B$1:$C$6191,2,0)),"No esta en Infor")</f>
        <v>NAC1500</v>
      </c>
      <c r="C1479" s="19" t="s">
        <v>432</v>
      </c>
      <c r="D1479" s="9">
        <v>0</v>
      </c>
      <c r="E1479" s="9">
        <v>107.8</v>
      </c>
      <c r="F1479" s="9">
        <v>0</v>
      </c>
      <c r="G1479" s="9">
        <v>0</v>
      </c>
      <c r="H1479" s="9">
        <v>0</v>
      </c>
      <c r="I1479" s="9">
        <v>0</v>
      </c>
      <c r="J1479" s="9">
        <v>107.8</v>
      </c>
    </row>
    <row r="1480" spans="1:10" ht="15.75" x14ac:dyDescent="0.25">
      <c r="A1480" s="21">
        <v>45412</v>
      </c>
      <c r="B1480" t="str">
        <f>IFERROR(IF(VLOOKUP(C1480,Hoja1!$B$1:$C$6191,2,0)="",_xlfn.XLOOKUP(C1480,Hoja1!$B$2:$B$6191,Hoja1!$A$2:$A$6191),VLOOKUP(C1480,Hoja1!$B$1:$C$6191,2,0)),"No esta en Infor")</f>
        <v>NAC1501</v>
      </c>
      <c r="C1480" s="19" t="s">
        <v>361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-179.49</v>
      </c>
      <c r="J1480" s="9">
        <v>-179.49</v>
      </c>
    </row>
    <row r="1481" spans="1:10" ht="15.75" x14ac:dyDescent="0.25">
      <c r="A1481" s="21">
        <v>45412</v>
      </c>
      <c r="B1481" t="str">
        <f>IFERROR(IF(VLOOKUP(C1481,Hoja1!$B$1:$C$6191,2,0)="",_xlfn.XLOOKUP(C1481,Hoja1!$B$2:$B$6191,Hoja1!$A$2:$A$6191),VLOOKUP(C1481,Hoja1!$B$1:$C$6191,2,0)),"No esta en Infor")</f>
        <v>NAC1511</v>
      </c>
      <c r="C1481" s="19" t="s">
        <v>534</v>
      </c>
      <c r="D1481" s="9">
        <v>2607</v>
      </c>
      <c r="E1481" s="9">
        <v>0</v>
      </c>
      <c r="F1481" s="9">
        <v>0</v>
      </c>
      <c r="G1481" s="9">
        <v>0</v>
      </c>
      <c r="H1481" s="9">
        <v>0</v>
      </c>
      <c r="I1481" s="9">
        <v>0</v>
      </c>
      <c r="J1481" s="9">
        <v>2607</v>
      </c>
    </row>
    <row r="1482" spans="1:10" ht="15.75" x14ac:dyDescent="0.25">
      <c r="A1482" s="21">
        <v>45412</v>
      </c>
      <c r="B1482" t="str">
        <f>IFERROR(IF(VLOOKUP(C1482,Hoja1!$B$1:$C$6191,2,0)="",_xlfn.XLOOKUP(C1482,Hoja1!$B$2:$B$6191,Hoja1!$A$2:$A$6191),VLOOKUP(C1482,Hoja1!$B$1:$C$6191,2,0)),"No esta en Infor")</f>
        <v>CAN0084</v>
      </c>
      <c r="C1482" s="19" t="s">
        <v>535</v>
      </c>
      <c r="D1482" s="9">
        <v>411.32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411.32</v>
      </c>
    </row>
    <row r="1483" spans="1:10" ht="15.75" x14ac:dyDescent="0.25">
      <c r="A1483" s="21">
        <v>45412</v>
      </c>
      <c r="B1483" t="str">
        <f>IFERROR(IF(VLOOKUP(C1483,Hoja1!$B$1:$C$6191,2,0)="",_xlfn.XLOOKUP(C1483,Hoja1!$B$2:$B$6191,Hoja1!$A$2:$A$6191),VLOOKUP(C1483,Hoja1!$B$1:$C$6191,2,0)),"No esta en Infor")</f>
        <v>NAC1517</v>
      </c>
      <c r="C1483" s="19" t="s">
        <v>365</v>
      </c>
      <c r="D1483" s="9">
        <v>60108.69</v>
      </c>
      <c r="E1483" s="9">
        <v>489</v>
      </c>
      <c r="F1483" s="9">
        <v>-501.9</v>
      </c>
      <c r="G1483" s="9">
        <v>0</v>
      </c>
      <c r="H1483" s="9">
        <v>-1098.0899999999999</v>
      </c>
      <c r="I1483" s="9">
        <v>-659.3</v>
      </c>
      <c r="J1483" s="9">
        <v>58338.400000000001</v>
      </c>
    </row>
    <row r="1484" spans="1:10" ht="15.75" x14ac:dyDescent="0.25">
      <c r="A1484" s="21">
        <v>45412</v>
      </c>
      <c r="B1484" t="str">
        <f>IFERROR(IF(VLOOKUP(C1484,Hoja1!$B$1:$C$6191,2,0)="",_xlfn.XLOOKUP(C1484,Hoja1!$B$2:$B$6191,Hoja1!$A$2:$A$6191),VLOOKUP(C1484,Hoja1!$B$1:$C$6191,2,0)),"No esta en Infor")</f>
        <v>CAN0088</v>
      </c>
      <c r="C1484" s="19" t="s">
        <v>369</v>
      </c>
      <c r="D1484" s="9">
        <v>13122</v>
      </c>
      <c r="E1484" s="9">
        <v>-891</v>
      </c>
      <c r="F1484" s="9">
        <v>0</v>
      </c>
      <c r="G1484" s="9">
        <v>0</v>
      </c>
      <c r="H1484" s="9">
        <v>0</v>
      </c>
      <c r="I1484" s="9">
        <v>0</v>
      </c>
      <c r="J1484" s="9">
        <v>12231</v>
      </c>
    </row>
    <row r="1485" spans="1:10" ht="15.75" x14ac:dyDescent="0.25">
      <c r="A1485" s="21">
        <v>45412</v>
      </c>
      <c r="B1485" t="str">
        <f>IFERROR(IF(VLOOKUP(C1485,Hoja1!$B$1:$C$6191,2,0)="",_xlfn.XLOOKUP(C1485,Hoja1!$B$2:$B$6191,Hoja1!$A$2:$A$6191),VLOOKUP(C1485,Hoja1!$B$1:$C$6191,2,0)),"No esta en Infor")</f>
        <v>NAC1533</v>
      </c>
      <c r="C1485" s="19" t="s">
        <v>483</v>
      </c>
      <c r="D1485" s="9">
        <v>500.96</v>
      </c>
      <c r="E1485" s="9">
        <v>144.59</v>
      </c>
      <c r="F1485" s="9">
        <v>0</v>
      </c>
      <c r="G1485" s="9">
        <v>0</v>
      </c>
      <c r="H1485" s="9">
        <v>0</v>
      </c>
      <c r="I1485" s="9">
        <v>0</v>
      </c>
      <c r="J1485" s="9">
        <v>645.54999999999995</v>
      </c>
    </row>
    <row r="1486" spans="1:10" ht="15.75" x14ac:dyDescent="0.25">
      <c r="A1486" s="21">
        <v>45412</v>
      </c>
      <c r="B1486" t="str">
        <f>IFERROR(IF(VLOOKUP(C1486,Hoja1!$B$1:$C$6191,2,0)="",_xlfn.XLOOKUP(C1486,Hoja1!$B$2:$B$6191,Hoja1!$A$2:$A$6191),VLOOKUP(C1486,Hoja1!$B$1:$C$6191,2,0)),"No esta en Infor")</f>
        <v>NAC1538</v>
      </c>
      <c r="C1486" s="19" t="s">
        <v>536</v>
      </c>
      <c r="D1486" s="9">
        <v>906.25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906.25</v>
      </c>
    </row>
    <row r="1487" spans="1:10" ht="15.75" x14ac:dyDescent="0.25">
      <c r="A1487" s="21">
        <v>45412</v>
      </c>
      <c r="B1487" t="str">
        <f>IFERROR(IF(VLOOKUP(C1487,Hoja1!$B$1:$C$6191,2,0)="",_xlfn.XLOOKUP(C1487,Hoja1!$B$2:$B$6191,Hoja1!$A$2:$A$6191),VLOOKUP(C1487,Hoja1!$B$1:$C$6191,2,0)),"No esta en Infor")</f>
        <v>NAC1539</v>
      </c>
      <c r="C1487" s="19" t="s">
        <v>58</v>
      </c>
      <c r="D1487" s="9">
        <v>0</v>
      </c>
      <c r="E1487" s="9">
        <v>-3921</v>
      </c>
      <c r="F1487" s="9">
        <v>-1603.8</v>
      </c>
      <c r="G1487" s="9">
        <v>0</v>
      </c>
      <c r="H1487" s="9">
        <v>0</v>
      </c>
      <c r="I1487" s="9">
        <v>0</v>
      </c>
      <c r="J1487" s="9">
        <v>-5524.8</v>
      </c>
    </row>
    <row r="1488" spans="1:10" ht="15.75" x14ac:dyDescent="0.25">
      <c r="A1488" s="21">
        <v>45412</v>
      </c>
      <c r="B1488" t="str">
        <f>IFERROR(IF(VLOOKUP(C1488,Hoja1!$B$1:$C$6191,2,0)="",_xlfn.XLOOKUP(C1488,Hoja1!$B$2:$B$6191,Hoja1!$A$2:$A$6191),VLOOKUP(C1488,Hoja1!$B$1:$C$6191,2,0)),"No esta en Infor")</f>
        <v>SH02648</v>
      </c>
      <c r="C1488" s="19" t="s">
        <v>537</v>
      </c>
      <c r="D1488" s="9">
        <v>0</v>
      </c>
      <c r="E1488" s="9">
        <v>6.15</v>
      </c>
      <c r="F1488" s="9">
        <v>0</v>
      </c>
      <c r="G1488" s="9">
        <v>0</v>
      </c>
      <c r="H1488" s="9">
        <v>0</v>
      </c>
      <c r="I1488" s="9">
        <v>0</v>
      </c>
      <c r="J1488" s="9">
        <v>6.15</v>
      </c>
    </row>
    <row r="1489" spans="1:10" ht="15.75" x14ac:dyDescent="0.25">
      <c r="A1489" s="21">
        <v>45443</v>
      </c>
      <c r="B1489" t="str">
        <f>IFERROR(IF(VLOOKUP(C1489,Hoja1!$B$1:$C$6191,2,0)="",_xlfn.XLOOKUP(C1489,Hoja1!$B$2:$B$6191,Hoja1!$A$2:$A$6191),VLOOKUP(C1489,Hoja1!$B$1:$C$6191,2,0)),"No esta en Infor")</f>
        <v>NAC0456</v>
      </c>
      <c r="C1489" s="11" t="s">
        <v>10</v>
      </c>
      <c r="D1489" s="8">
        <v>560.66</v>
      </c>
      <c r="E1489" s="8">
        <v>-42.12</v>
      </c>
      <c r="F1489" s="8">
        <v>0</v>
      </c>
      <c r="G1489" s="8">
        <v>0</v>
      </c>
      <c r="H1489" s="8">
        <v>58.75</v>
      </c>
      <c r="I1489" s="8">
        <v>0</v>
      </c>
      <c r="J1489" s="8">
        <v>577.29</v>
      </c>
    </row>
    <row r="1490" spans="1:10" ht="15.75" x14ac:dyDescent="0.25">
      <c r="A1490" s="21">
        <v>45443</v>
      </c>
      <c r="B1490" t="str">
        <f>IFERROR(IF(VLOOKUP(C1490,Hoja1!$B$1:$C$6191,2,0)="",_xlfn.XLOOKUP(C1490,Hoja1!$B$2:$B$6191,Hoja1!$A$2:$A$6191),VLOOKUP(C1490,Hoja1!$B$1:$C$6191,2,0)),"No esta en Infor")</f>
        <v>NAC0483</v>
      </c>
      <c r="C1490" s="11" t="s">
        <v>12</v>
      </c>
      <c r="D1490" s="8">
        <v>0</v>
      </c>
      <c r="E1490" s="8">
        <v>810</v>
      </c>
      <c r="F1490" s="8">
        <v>5082.42</v>
      </c>
      <c r="G1490" s="8">
        <v>4023.08</v>
      </c>
      <c r="H1490" s="8">
        <v>0</v>
      </c>
      <c r="I1490" s="8">
        <v>17814.68</v>
      </c>
      <c r="J1490" s="8">
        <v>27730.18</v>
      </c>
    </row>
    <row r="1491" spans="1:10" ht="15.75" x14ac:dyDescent="0.25">
      <c r="A1491" s="21">
        <v>45443</v>
      </c>
      <c r="B1491" t="str">
        <f>IFERROR(IF(VLOOKUP(C1491,Hoja1!$B$1:$C$6191,2,0)="",_xlfn.XLOOKUP(C1491,Hoja1!$B$2:$B$6191,Hoja1!$A$2:$A$6191),VLOOKUP(C1491,Hoja1!$B$1:$C$6191,2,0)),"No esta en Infor")</f>
        <v>NAC0512</v>
      </c>
      <c r="C1491" s="11" t="s">
        <v>376</v>
      </c>
      <c r="D1491" s="8">
        <v>0</v>
      </c>
      <c r="E1491" s="8">
        <v>0</v>
      </c>
      <c r="F1491" s="8">
        <v>14</v>
      </c>
      <c r="G1491" s="8">
        <v>0</v>
      </c>
      <c r="H1491" s="8">
        <v>0</v>
      </c>
      <c r="I1491" s="8">
        <v>0</v>
      </c>
      <c r="J1491" s="8">
        <v>14</v>
      </c>
    </row>
    <row r="1492" spans="1:10" ht="15.75" x14ac:dyDescent="0.25">
      <c r="A1492" s="21">
        <v>45443</v>
      </c>
      <c r="B1492" t="str">
        <f>IFERROR(IF(VLOOKUP(C1492,Hoja1!$B$1:$C$6191,2,0)="",_xlfn.XLOOKUP(C1492,Hoja1!$B$2:$B$6191,Hoja1!$A$2:$A$6191),VLOOKUP(C1492,Hoja1!$B$1:$C$6191,2,0)),"No esta en Infor")</f>
        <v>NAC0520</v>
      </c>
      <c r="C1492" s="11" t="s">
        <v>68</v>
      </c>
      <c r="D1492" s="8">
        <v>13078</v>
      </c>
      <c r="E1492" s="8">
        <v>2016.2</v>
      </c>
      <c r="F1492" s="8">
        <v>146.18</v>
      </c>
      <c r="G1492" s="8">
        <v>-604.5</v>
      </c>
      <c r="H1492" s="8">
        <v>0</v>
      </c>
      <c r="I1492" s="8">
        <v>-0.01</v>
      </c>
      <c r="J1492" s="8">
        <v>14635.87</v>
      </c>
    </row>
    <row r="1493" spans="1:10" ht="15.75" x14ac:dyDescent="0.25">
      <c r="A1493" s="21">
        <v>45443</v>
      </c>
      <c r="B1493" t="str">
        <f>IFERROR(IF(VLOOKUP(C1493,Hoja1!$B$1:$C$6191,2,0)="",_xlfn.XLOOKUP(C1493,Hoja1!$B$2:$B$6191,Hoja1!$A$2:$A$6191),VLOOKUP(C1493,Hoja1!$B$1:$C$6191,2,0)),"No esta en Infor")</f>
        <v>NAC0539</v>
      </c>
      <c r="C1493" s="11" t="s">
        <v>80</v>
      </c>
      <c r="D1493" s="8">
        <v>0</v>
      </c>
      <c r="E1493" s="8">
        <v>2131.42</v>
      </c>
      <c r="F1493" s="8">
        <v>2131.42</v>
      </c>
      <c r="G1493" s="8">
        <v>0</v>
      </c>
      <c r="H1493" s="8">
        <v>0</v>
      </c>
      <c r="I1493" s="8">
        <v>0</v>
      </c>
      <c r="J1493" s="8">
        <v>4262.84</v>
      </c>
    </row>
    <row r="1494" spans="1:10" ht="15.75" x14ac:dyDescent="0.25">
      <c r="A1494" s="21">
        <v>45443</v>
      </c>
      <c r="B1494" t="str">
        <f>IFERROR(IF(VLOOKUP(C1494,Hoja1!$B$1:$C$6191,2,0)="",_xlfn.XLOOKUP(C1494,Hoja1!$B$2:$B$6191,Hoja1!$A$2:$A$6191),VLOOKUP(C1494,Hoja1!$B$1:$C$6191,2,0)),"No esta en Infor")</f>
        <v>NAC0556</v>
      </c>
      <c r="C1494" s="11" t="s">
        <v>14</v>
      </c>
      <c r="D1494" s="8">
        <v>0</v>
      </c>
      <c r="E1494" s="8">
        <v>29086.25</v>
      </c>
      <c r="F1494" s="8">
        <v>133</v>
      </c>
      <c r="G1494" s="8">
        <v>973.24</v>
      </c>
      <c r="H1494" s="8">
        <v>1632.89</v>
      </c>
      <c r="I1494" s="8">
        <v>0</v>
      </c>
      <c r="J1494" s="8">
        <v>31825.38</v>
      </c>
    </row>
    <row r="1495" spans="1:10" ht="15.75" x14ac:dyDescent="0.25">
      <c r="A1495" s="21">
        <v>45443</v>
      </c>
      <c r="B1495" t="str">
        <f>IFERROR(IF(VLOOKUP(C1495,Hoja1!$B$1:$C$6191,2,0)="",_xlfn.XLOOKUP(C1495,Hoja1!$B$2:$B$6191,Hoja1!$A$2:$A$6191),VLOOKUP(C1495,Hoja1!$B$1:$C$6191,2,0)),"No esta en Infor")</f>
        <v>CAN0002</v>
      </c>
      <c r="C1495" s="11" t="s">
        <v>87</v>
      </c>
      <c r="D1495" s="8">
        <v>2638.55</v>
      </c>
      <c r="E1495" s="8">
        <v>15778.27</v>
      </c>
      <c r="F1495" s="8">
        <v>713.81</v>
      </c>
      <c r="G1495" s="8">
        <v>0</v>
      </c>
      <c r="H1495" s="8">
        <v>0</v>
      </c>
      <c r="I1495" s="8">
        <v>0</v>
      </c>
      <c r="J1495" s="8">
        <v>19130.63</v>
      </c>
    </row>
    <row r="1496" spans="1:10" ht="15.75" x14ac:dyDescent="0.25">
      <c r="A1496" s="21">
        <v>45443</v>
      </c>
      <c r="B1496" t="str">
        <f>IFERROR(IF(VLOOKUP(C1496,Hoja1!$B$1:$C$6191,2,0)="",_xlfn.XLOOKUP(C1496,Hoja1!$B$2:$B$6191,Hoja1!$A$2:$A$6191),VLOOKUP(C1496,Hoja1!$B$1:$C$6191,2,0)),"No esta en Infor")</f>
        <v>NAC0573</v>
      </c>
      <c r="C1496" s="11" t="s">
        <v>15</v>
      </c>
      <c r="D1496" s="8">
        <v>0</v>
      </c>
      <c r="E1496" s="8">
        <v>1193.93</v>
      </c>
      <c r="F1496" s="8">
        <v>-211.43</v>
      </c>
      <c r="G1496" s="8">
        <v>3091.94</v>
      </c>
      <c r="H1496" s="8">
        <v>0</v>
      </c>
      <c r="I1496" s="8">
        <v>0</v>
      </c>
      <c r="J1496" s="8">
        <v>4074.44</v>
      </c>
    </row>
    <row r="1497" spans="1:10" ht="15.75" x14ac:dyDescent="0.25">
      <c r="A1497" s="21">
        <v>45443</v>
      </c>
      <c r="B1497" t="str">
        <f>IFERROR(IF(VLOOKUP(C1497,Hoja1!$B$1:$C$6191,2,0)="",_xlfn.XLOOKUP(C1497,Hoja1!$B$2:$B$6191,Hoja1!$A$2:$A$6191),VLOOKUP(C1497,Hoja1!$B$1:$C$6191,2,0)),"No esta en Infor")</f>
        <v>CAN0005</v>
      </c>
      <c r="C1497" s="11" t="s">
        <v>90</v>
      </c>
      <c r="D1497" s="8">
        <v>123415.1</v>
      </c>
      <c r="E1497" s="8">
        <v>20</v>
      </c>
      <c r="F1497" s="8">
        <v>0</v>
      </c>
      <c r="G1497" s="8">
        <v>10260</v>
      </c>
      <c r="H1497" s="8">
        <v>-67.2</v>
      </c>
      <c r="I1497" s="8">
        <v>0</v>
      </c>
      <c r="J1497" s="8">
        <v>133627.9</v>
      </c>
    </row>
    <row r="1498" spans="1:10" ht="15.75" x14ac:dyDescent="0.25">
      <c r="A1498" s="21">
        <v>45443</v>
      </c>
      <c r="B1498" t="str">
        <f>IFERROR(IF(VLOOKUP(C1498,Hoja1!$B$1:$C$6191,2,0)="",_xlfn.XLOOKUP(C1498,Hoja1!$B$2:$B$6191,Hoja1!$A$2:$A$6191),VLOOKUP(C1498,Hoja1!$B$1:$C$6191,2,0)),"No esta en Infor")</f>
        <v>NAC0583</v>
      </c>
      <c r="C1498" s="11" t="s">
        <v>385</v>
      </c>
      <c r="D1498" s="8">
        <v>0</v>
      </c>
      <c r="E1498" s="8">
        <v>0</v>
      </c>
      <c r="F1498" s="8">
        <v>40</v>
      </c>
      <c r="G1498" s="8">
        <v>0</v>
      </c>
      <c r="H1498" s="8">
        <v>0</v>
      </c>
      <c r="I1498" s="8">
        <v>0</v>
      </c>
      <c r="J1498" s="8">
        <v>40</v>
      </c>
    </row>
    <row r="1499" spans="1:10" ht="15.75" x14ac:dyDescent="0.25">
      <c r="A1499" s="21">
        <v>45443</v>
      </c>
      <c r="B1499" t="str">
        <f>IFERROR(IF(VLOOKUP(C1499,Hoja1!$B$1:$C$6191,2,0)="",_xlfn.XLOOKUP(C1499,Hoja1!$B$2:$B$6191,Hoja1!$A$2:$A$6191),VLOOKUP(C1499,Hoja1!$B$1:$C$6191,2,0)),"No esta en Infor")</f>
        <v>NAC0597</v>
      </c>
      <c r="C1499" s="11" t="s">
        <v>1368</v>
      </c>
      <c r="D1499" s="8">
        <v>0</v>
      </c>
      <c r="E1499" s="8">
        <v>0</v>
      </c>
      <c r="F1499" s="8">
        <v>0</v>
      </c>
      <c r="G1499" s="8">
        <v>488.2</v>
      </c>
      <c r="H1499" s="8">
        <v>0</v>
      </c>
      <c r="I1499" s="8">
        <v>0</v>
      </c>
      <c r="J1499" s="8">
        <v>488.2</v>
      </c>
    </row>
    <row r="1500" spans="1:10" ht="15.75" x14ac:dyDescent="0.25">
      <c r="A1500" s="21">
        <v>45443</v>
      </c>
      <c r="B1500" t="str">
        <f>IFERROR(IF(VLOOKUP(C1500,Hoja1!$B$1:$C$6191,2,0)="",_xlfn.XLOOKUP(C1500,Hoja1!$B$2:$B$6191,Hoja1!$A$2:$A$6191),VLOOKUP(C1500,Hoja1!$B$1:$C$6191,2,0)),"No esta en Infor")</f>
        <v>NAC0610</v>
      </c>
      <c r="C1500" s="11" t="s">
        <v>16</v>
      </c>
      <c r="D1500" s="8">
        <v>62060.04</v>
      </c>
      <c r="E1500" s="8">
        <v>0</v>
      </c>
      <c r="F1500" s="8">
        <v>0</v>
      </c>
      <c r="G1500" s="8">
        <v>24445.89</v>
      </c>
      <c r="H1500" s="8">
        <v>0</v>
      </c>
      <c r="I1500" s="8">
        <v>0</v>
      </c>
      <c r="J1500" s="8">
        <v>86505.93</v>
      </c>
    </row>
    <row r="1501" spans="1:10" ht="15.75" x14ac:dyDescent="0.25">
      <c r="A1501" s="21">
        <v>45443</v>
      </c>
      <c r="B1501" t="str">
        <f>IFERROR(IF(VLOOKUP(C1501,Hoja1!$B$1:$C$6191,2,0)="",_xlfn.XLOOKUP(C1501,Hoja1!$B$2:$B$6191,Hoja1!$A$2:$A$6191),VLOOKUP(C1501,Hoja1!$B$1:$C$6191,2,0)),"No esta en Infor")</f>
        <v>CAN0006</v>
      </c>
      <c r="C1501" s="11" t="s">
        <v>17</v>
      </c>
      <c r="D1501" s="8">
        <v>50221.5</v>
      </c>
      <c r="E1501" s="8">
        <v>147</v>
      </c>
      <c r="F1501" s="8">
        <v>-5738.17</v>
      </c>
      <c r="G1501" s="8">
        <v>4554.5</v>
      </c>
      <c r="H1501" s="8">
        <v>0</v>
      </c>
      <c r="I1501" s="8">
        <v>0</v>
      </c>
      <c r="J1501" s="8">
        <v>49184.83</v>
      </c>
    </row>
    <row r="1502" spans="1:10" ht="15.75" x14ac:dyDescent="0.25">
      <c r="A1502" s="21">
        <v>45443</v>
      </c>
      <c r="B1502" t="str">
        <f>IFERROR(IF(VLOOKUP(C1502,Hoja1!$B$1:$C$6191,2,0)="",_xlfn.XLOOKUP(C1502,Hoja1!$B$2:$B$6191,Hoja1!$A$2:$A$6191),VLOOKUP(C1502,Hoja1!$B$1:$C$6191,2,0)),"No esta en Infor")</f>
        <v>NAC0614</v>
      </c>
      <c r="C1502" s="11" t="s">
        <v>102</v>
      </c>
      <c r="D1502" s="8">
        <v>1540</v>
      </c>
      <c r="E1502" s="8">
        <v>0</v>
      </c>
      <c r="F1502" s="8">
        <v>246.15</v>
      </c>
      <c r="G1502" s="8">
        <v>0</v>
      </c>
      <c r="H1502" s="8">
        <v>0</v>
      </c>
      <c r="I1502" s="8">
        <v>0</v>
      </c>
      <c r="J1502" s="8">
        <v>1786.15</v>
      </c>
    </row>
    <row r="1503" spans="1:10" ht="15.75" x14ac:dyDescent="0.25">
      <c r="A1503" s="21">
        <v>45443</v>
      </c>
      <c r="B1503" t="str">
        <f>IFERROR(IF(VLOOKUP(C1503,Hoja1!$B$1:$C$6191,2,0)="",_xlfn.XLOOKUP(C1503,Hoja1!$B$2:$B$6191,Hoja1!$A$2:$A$6191),VLOOKUP(C1503,Hoja1!$B$1:$C$6191,2,0)),"No esta en Infor")</f>
        <v>NAC0641</v>
      </c>
      <c r="C1503" s="11" t="s">
        <v>18</v>
      </c>
      <c r="D1503" s="8">
        <v>0</v>
      </c>
      <c r="E1503" s="8">
        <v>0</v>
      </c>
      <c r="F1503" s="8">
        <v>0</v>
      </c>
      <c r="G1503" s="8">
        <v>363.64</v>
      </c>
      <c r="H1503" s="8">
        <v>0</v>
      </c>
      <c r="I1503" s="8">
        <v>0</v>
      </c>
      <c r="J1503" s="8">
        <v>363.64</v>
      </c>
    </row>
    <row r="1504" spans="1:10" ht="15.75" x14ac:dyDescent="0.25">
      <c r="A1504" s="21">
        <v>45443</v>
      </c>
      <c r="B1504" t="str">
        <f>IFERROR(IF(VLOOKUP(C1504,Hoja1!$B$1:$C$6191,2,0)="",_xlfn.XLOOKUP(C1504,Hoja1!$B$2:$B$6191,Hoja1!$A$2:$A$6191),VLOOKUP(C1504,Hoja1!$B$1:$C$6191,2,0)),"No esta en Infor")</f>
        <v>NAC0645</v>
      </c>
      <c r="C1504" s="11" t="s">
        <v>110</v>
      </c>
      <c r="D1504" s="8">
        <v>0</v>
      </c>
      <c r="E1504" s="8">
        <v>0</v>
      </c>
      <c r="F1504" s="8">
        <v>293.57</v>
      </c>
      <c r="G1504" s="8">
        <v>0</v>
      </c>
      <c r="H1504" s="8">
        <v>0</v>
      </c>
      <c r="I1504" s="8">
        <v>0</v>
      </c>
      <c r="J1504" s="8">
        <v>293.57</v>
      </c>
    </row>
    <row r="1505" spans="1:10" ht="15.75" x14ac:dyDescent="0.25">
      <c r="A1505" s="21">
        <v>45443</v>
      </c>
      <c r="B1505" t="str">
        <f>IFERROR(IF(VLOOKUP(C1505,Hoja1!$B$1:$C$6191,2,0)="",_xlfn.XLOOKUP(C1505,Hoja1!$B$2:$B$6191,Hoja1!$A$2:$A$6191),VLOOKUP(C1505,Hoja1!$B$1:$C$6191,2,0)),"No esta en Infor")</f>
        <v>CAN0011</v>
      </c>
      <c r="C1505" s="11" t="s">
        <v>121</v>
      </c>
      <c r="D1505" s="8">
        <v>0</v>
      </c>
      <c r="E1505" s="8">
        <v>39931.71</v>
      </c>
      <c r="F1505" s="8">
        <v>381.94</v>
      </c>
      <c r="G1505" s="8">
        <v>0</v>
      </c>
      <c r="H1505" s="8">
        <v>0</v>
      </c>
      <c r="I1505" s="8">
        <v>0</v>
      </c>
      <c r="J1505" s="8">
        <v>40313.65</v>
      </c>
    </row>
    <row r="1506" spans="1:10" ht="15.75" x14ac:dyDescent="0.25">
      <c r="A1506" s="21">
        <v>45443</v>
      </c>
      <c r="B1506" t="str">
        <f>IFERROR(IF(VLOOKUP(C1506,Hoja1!$B$1:$C$6191,2,0)="",_xlfn.XLOOKUP(C1506,Hoja1!$B$2:$B$6191,Hoja1!$A$2:$A$6191),VLOOKUP(C1506,Hoja1!$B$1:$C$6191,2,0)),"No esta en Infor")</f>
        <v>NAC0672</v>
      </c>
      <c r="C1506" s="11" t="s">
        <v>122</v>
      </c>
      <c r="D1506" s="8">
        <v>0</v>
      </c>
      <c r="E1506" s="8">
        <v>-5510.7</v>
      </c>
      <c r="F1506" s="8">
        <v>0</v>
      </c>
      <c r="G1506" s="8">
        <v>370.78</v>
      </c>
      <c r="H1506" s="8">
        <v>0</v>
      </c>
      <c r="I1506" s="8">
        <v>0</v>
      </c>
      <c r="J1506" s="8">
        <v>-5139.92</v>
      </c>
    </row>
    <row r="1507" spans="1:10" ht="15.75" x14ac:dyDescent="0.25">
      <c r="A1507" s="21">
        <v>45443</v>
      </c>
      <c r="B1507" t="str">
        <f>IFERROR(IF(VLOOKUP(C1507,Hoja1!$B$1:$C$6191,2,0)="",_xlfn.XLOOKUP(C1507,Hoja1!$B$2:$B$6191,Hoja1!$A$2:$A$6191),VLOOKUP(C1507,Hoja1!$B$1:$C$6191,2,0)),"No esta en Infor")</f>
        <v>NAC0706</v>
      </c>
      <c r="C1507" s="11" t="s">
        <v>139</v>
      </c>
      <c r="D1507" s="8">
        <v>0</v>
      </c>
      <c r="E1507" s="8">
        <v>0</v>
      </c>
      <c r="F1507" s="8">
        <v>0</v>
      </c>
      <c r="G1507" s="8">
        <v>667.38</v>
      </c>
      <c r="H1507" s="8">
        <v>0</v>
      </c>
      <c r="I1507" s="8">
        <v>0</v>
      </c>
      <c r="J1507" s="8">
        <v>667.38</v>
      </c>
    </row>
    <row r="1508" spans="1:10" ht="15.75" x14ac:dyDescent="0.25">
      <c r="A1508" s="21">
        <v>45443</v>
      </c>
      <c r="B1508" t="str">
        <f>IFERROR(IF(VLOOKUP(C1508,Hoja1!$B$1:$C$6191,2,0)="",_xlfn.XLOOKUP(C1508,Hoja1!$B$2:$B$6191,Hoja1!$A$2:$A$6191),VLOOKUP(C1508,Hoja1!$B$1:$C$6191,2,0)),"No esta en Infor")</f>
        <v>NAC0729</v>
      </c>
      <c r="C1508" s="11" t="s">
        <v>148</v>
      </c>
      <c r="D1508" s="8">
        <v>0</v>
      </c>
      <c r="E1508" s="8">
        <v>0</v>
      </c>
      <c r="F1508" s="8">
        <v>316</v>
      </c>
      <c r="G1508" s="8">
        <v>0</v>
      </c>
      <c r="H1508" s="8">
        <v>0</v>
      </c>
      <c r="I1508" s="8">
        <v>0</v>
      </c>
      <c r="J1508" s="8">
        <v>316</v>
      </c>
    </row>
    <row r="1509" spans="1:10" ht="15.75" x14ac:dyDescent="0.25">
      <c r="A1509" s="21">
        <v>45443</v>
      </c>
      <c r="B1509" t="str">
        <f>IFERROR(IF(VLOOKUP(C1509,Hoja1!$B$1:$C$6191,2,0)="",_xlfn.XLOOKUP(C1509,Hoja1!$B$2:$B$6191,Hoja1!$A$2:$A$6191),VLOOKUP(C1509,Hoja1!$B$1:$C$6191,2,0)),"No esta en Infor")</f>
        <v>NAC1608</v>
      </c>
      <c r="C1509" s="11" t="s">
        <v>538</v>
      </c>
      <c r="D1509" s="8">
        <v>154</v>
      </c>
      <c r="E1509" s="8">
        <v>363.43</v>
      </c>
      <c r="F1509" s="8">
        <v>76.73</v>
      </c>
      <c r="G1509" s="8">
        <v>-136.01</v>
      </c>
      <c r="H1509" s="8">
        <v>0</v>
      </c>
      <c r="I1509" s="8">
        <v>0</v>
      </c>
      <c r="J1509" s="8">
        <v>458.15</v>
      </c>
    </row>
    <row r="1510" spans="1:10" ht="15.75" x14ac:dyDescent="0.25">
      <c r="A1510" s="21">
        <v>45443</v>
      </c>
      <c r="B1510" t="str">
        <f>IFERROR(IF(VLOOKUP(C1510,Hoja1!$B$1:$C$6191,2,0)="",_xlfn.XLOOKUP(C1510,Hoja1!$B$2:$B$6191,Hoja1!$A$2:$A$6191),VLOOKUP(C1510,Hoja1!$B$1:$C$6191,2,0)),"No esta en Infor")</f>
        <v>CAN0018</v>
      </c>
      <c r="C1510" s="11" t="s">
        <v>21</v>
      </c>
      <c r="D1510" s="8">
        <v>21986.69</v>
      </c>
      <c r="E1510" s="8">
        <v>18519.64</v>
      </c>
      <c r="F1510" s="8">
        <v>0</v>
      </c>
      <c r="G1510" s="8">
        <v>4564.38</v>
      </c>
      <c r="H1510" s="8">
        <v>0</v>
      </c>
      <c r="I1510" s="8">
        <v>0</v>
      </c>
      <c r="J1510" s="8">
        <v>45070.71</v>
      </c>
    </row>
    <row r="1511" spans="1:10" ht="15.75" x14ac:dyDescent="0.25">
      <c r="A1511" s="21">
        <v>45443</v>
      </c>
      <c r="B1511" t="str">
        <f>IFERROR(IF(VLOOKUP(C1511,Hoja1!$B$1:$C$6191,2,0)="",_xlfn.XLOOKUP(C1511,Hoja1!$B$2:$B$6191,Hoja1!$A$2:$A$6191),VLOOKUP(C1511,Hoja1!$B$1:$C$6191,2,0)),"No esta en Infor")</f>
        <v>NAC0816</v>
      </c>
      <c r="C1511" s="11" t="s">
        <v>176</v>
      </c>
      <c r="D1511" s="8">
        <v>0</v>
      </c>
      <c r="E1511" s="8">
        <v>0</v>
      </c>
      <c r="F1511" s="8">
        <v>279</v>
      </c>
      <c r="G1511" s="8">
        <v>0</v>
      </c>
      <c r="H1511" s="8">
        <v>0</v>
      </c>
      <c r="I1511" s="8">
        <v>0</v>
      </c>
      <c r="J1511" s="8">
        <v>279</v>
      </c>
    </row>
    <row r="1512" spans="1:10" ht="15.75" x14ac:dyDescent="0.25">
      <c r="A1512" s="21">
        <v>45443</v>
      </c>
      <c r="B1512" t="str">
        <f>IFERROR(IF(VLOOKUP(C1512,Hoja1!$B$1:$C$6191,2,0)="",_xlfn.XLOOKUP(C1512,Hoja1!$B$2:$B$6191,Hoja1!$A$2:$A$6191),VLOOKUP(C1512,Hoja1!$B$1:$C$6191,2,0)),"No esta en Infor")</f>
        <v>CAN0021</v>
      </c>
      <c r="C1512" s="11" t="s">
        <v>180</v>
      </c>
      <c r="D1512" s="8">
        <v>0</v>
      </c>
      <c r="E1512" s="8">
        <v>0</v>
      </c>
      <c r="F1512" s="8">
        <v>314.64</v>
      </c>
      <c r="G1512" s="8">
        <v>18.38</v>
      </c>
      <c r="H1512" s="8">
        <v>0</v>
      </c>
      <c r="I1512" s="8">
        <v>0</v>
      </c>
      <c r="J1512" s="8">
        <v>333.02</v>
      </c>
    </row>
    <row r="1513" spans="1:10" ht="15.75" x14ac:dyDescent="0.25">
      <c r="A1513" s="21">
        <v>45443</v>
      </c>
      <c r="B1513" t="str">
        <f>IFERROR(IF(VLOOKUP(C1513,Hoja1!$B$1:$C$6191,2,0)="",_xlfn.XLOOKUP(C1513,Hoja1!$B$2:$B$6191,Hoja1!$A$2:$A$6191),VLOOKUP(C1513,Hoja1!$B$1:$C$6191,2,0)),"No esta en Infor")</f>
        <v>NAC0838</v>
      </c>
      <c r="C1513" s="11" t="s">
        <v>396</v>
      </c>
      <c r="D1513" s="8">
        <v>0</v>
      </c>
      <c r="E1513" s="8">
        <v>0</v>
      </c>
      <c r="F1513" s="8">
        <v>54</v>
      </c>
      <c r="G1513" s="8">
        <v>0</v>
      </c>
      <c r="H1513" s="8">
        <v>0</v>
      </c>
      <c r="I1513" s="8">
        <v>0</v>
      </c>
      <c r="J1513" s="8">
        <v>54</v>
      </c>
    </row>
    <row r="1514" spans="1:10" ht="15.75" x14ac:dyDescent="0.25">
      <c r="A1514" s="21">
        <v>45443</v>
      </c>
      <c r="B1514" t="str">
        <f>IFERROR(IF(VLOOKUP(C1514,Hoja1!$B$1:$C$6191,2,0)="",_xlfn.XLOOKUP(C1514,Hoja1!$B$2:$B$6191,Hoja1!$A$2:$A$6191),VLOOKUP(C1514,Hoja1!$B$1:$C$6191,2,0)),"No esta en Infor")</f>
        <v>NAC0858</v>
      </c>
      <c r="C1514" s="11" t="s">
        <v>188</v>
      </c>
      <c r="D1514" s="8">
        <v>0</v>
      </c>
      <c r="E1514" s="8">
        <v>0</v>
      </c>
      <c r="F1514" s="8">
        <v>100</v>
      </c>
      <c r="G1514" s="8">
        <v>0</v>
      </c>
      <c r="H1514" s="8">
        <v>0</v>
      </c>
      <c r="I1514" s="8">
        <v>0</v>
      </c>
      <c r="J1514" s="8">
        <v>100</v>
      </c>
    </row>
    <row r="1515" spans="1:10" ht="15.75" x14ac:dyDescent="0.25">
      <c r="A1515" s="21">
        <v>45443</v>
      </c>
      <c r="B1515" t="str">
        <f>IFERROR(IF(VLOOKUP(C1515,Hoja1!$B$1:$C$6191,2,0)="",_xlfn.XLOOKUP(C1515,Hoja1!$B$2:$B$6191,Hoja1!$A$2:$A$6191),VLOOKUP(C1515,Hoja1!$B$1:$C$6191,2,0)),"No esta en Infor")</f>
        <v>NAC0869</v>
      </c>
      <c r="C1515" s="11" t="s">
        <v>192</v>
      </c>
      <c r="D1515" s="8">
        <v>810.25</v>
      </c>
      <c r="E1515" s="8">
        <v>491.2</v>
      </c>
      <c r="F1515" s="8">
        <v>43.35</v>
      </c>
      <c r="G1515" s="8">
        <v>-3.55</v>
      </c>
      <c r="H1515" s="8">
        <v>-802.53</v>
      </c>
      <c r="I1515" s="8">
        <v>-430.27</v>
      </c>
      <c r="J1515" s="8">
        <v>108.45</v>
      </c>
    </row>
    <row r="1516" spans="1:10" ht="15.75" x14ac:dyDescent="0.25">
      <c r="A1516" s="21">
        <v>45443</v>
      </c>
      <c r="B1516" t="str">
        <f>IFERROR(IF(VLOOKUP(C1516,Hoja1!$B$1:$C$6191,2,0)="",_xlfn.XLOOKUP(C1516,Hoja1!$B$2:$B$6191,Hoja1!$A$2:$A$6191),VLOOKUP(C1516,Hoja1!$B$1:$C$6191,2,0)),"No esta en Infor")</f>
        <v>NAC0880</v>
      </c>
      <c r="C1516" s="11" t="s">
        <v>24</v>
      </c>
      <c r="D1516" s="8">
        <v>4575.03</v>
      </c>
      <c r="E1516" s="8">
        <v>522.14</v>
      </c>
      <c r="F1516" s="8">
        <v>431.33</v>
      </c>
      <c r="G1516" s="8">
        <v>0</v>
      </c>
      <c r="H1516" s="8">
        <v>1357.43</v>
      </c>
      <c r="I1516" s="8">
        <v>45.05</v>
      </c>
      <c r="J1516" s="8">
        <v>6930.98</v>
      </c>
    </row>
    <row r="1517" spans="1:10" ht="15.75" x14ac:dyDescent="0.25">
      <c r="A1517" s="21">
        <v>45443</v>
      </c>
      <c r="B1517" t="str">
        <f>IFERROR(IF(VLOOKUP(C1517,Hoja1!$B$1:$C$6191,2,0)="",_xlfn.XLOOKUP(C1517,Hoja1!$B$2:$B$6191,Hoja1!$A$2:$A$6191),VLOOKUP(C1517,Hoja1!$B$1:$C$6191,2,0)),"No esta en Infor")</f>
        <v>NAC0894</v>
      </c>
      <c r="C1517" s="11" t="s">
        <v>199</v>
      </c>
      <c r="D1517" s="8">
        <v>3275.4</v>
      </c>
      <c r="E1517" s="8">
        <v>-4.97</v>
      </c>
      <c r="F1517" s="8">
        <v>814.97</v>
      </c>
      <c r="G1517" s="8">
        <v>0</v>
      </c>
      <c r="H1517" s="8">
        <v>0</v>
      </c>
      <c r="I1517" s="8">
        <v>0</v>
      </c>
      <c r="J1517" s="8">
        <v>4085.4</v>
      </c>
    </row>
    <row r="1518" spans="1:10" ht="15.75" x14ac:dyDescent="0.25">
      <c r="A1518" s="21">
        <v>45443</v>
      </c>
      <c r="B1518" t="str">
        <f>IFERROR(IF(VLOOKUP(C1518,Hoja1!$B$1:$C$6191,2,0)="",_xlfn.XLOOKUP(C1518,Hoja1!$B$2:$B$6191,Hoja1!$A$2:$A$6191),VLOOKUP(C1518,Hoja1!$B$1:$C$6191,2,0)),"No esta en Infor")</f>
        <v>NAC0900</v>
      </c>
      <c r="C1518" s="11" t="s">
        <v>201</v>
      </c>
      <c r="D1518" s="8">
        <v>942.53</v>
      </c>
      <c r="E1518" s="8">
        <v>1133.75</v>
      </c>
      <c r="F1518" s="8">
        <v>0</v>
      </c>
      <c r="G1518" s="8">
        <v>413.65</v>
      </c>
      <c r="H1518" s="8">
        <v>0</v>
      </c>
      <c r="I1518" s="8">
        <v>0</v>
      </c>
      <c r="J1518" s="8">
        <v>2489.9299999999998</v>
      </c>
    </row>
    <row r="1519" spans="1:10" ht="15.75" x14ac:dyDescent="0.25">
      <c r="A1519" s="21">
        <v>45443</v>
      </c>
      <c r="B1519" t="str">
        <f>IFERROR(IF(VLOOKUP(C1519,Hoja1!$B$1:$C$6191,2,0)="",_xlfn.XLOOKUP(C1519,Hoja1!$B$2:$B$6191,Hoja1!$A$2:$A$6191),VLOOKUP(C1519,Hoja1!$B$1:$C$6191,2,0)),"No esta en Infor")</f>
        <v>CAN0025</v>
      </c>
      <c r="C1519" s="11" t="s">
        <v>26</v>
      </c>
      <c r="D1519" s="8">
        <v>0</v>
      </c>
      <c r="E1519" s="8">
        <v>14086.23</v>
      </c>
      <c r="F1519" s="8">
        <v>0</v>
      </c>
      <c r="G1519" s="8">
        <v>161.44999999999999</v>
      </c>
      <c r="H1519" s="8">
        <v>0</v>
      </c>
      <c r="I1519" s="8">
        <v>0</v>
      </c>
      <c r="J1519" s="8">
        <v>14247.68</v>
      </c>
    </row>
    <row r="1520" spans="1:10" ht="15.75" x14ac:dyDescent="0.25">
      <c r="A1520" s="21">
        <v>45443</v>
      </c>
      <c r="B1520" t="str">
        <f>IFERROR(IF(VLOOKUP(C1520,Hoja1!$B$1:$C$6191,2,0)="",_xlfn.XLOOKUP(C1520,Hoja1!$B$2:$B$6191,Hoja1!$A$2:$A$6191),VLOOKUP(C1520,Hoja1!$B$1:$C$6191,2,0)),"No esta en Infor")</f>
        <v>NAC0920</v>
      </c>
      <c r="C1520" s="11" t="s">
        <v>204</v>
      </c>
      <c r="D1520" s="8">
        <v>0</v>
      </c>
      <c r="E1520" s="8">
        <v>0</v>
      </c>
      <c r="F1520" s="8">
        <v>0</v>
      </c>
      <c r="G1520" s="8">
        <v>591.91</v>
      </c>
      <c r="H1520" s="8">
        <v>0</v>
      </c>
      <c r="I1520" s="8">
        <v>0</v>
      </c>
      <c r="J1520" s="8">
        <v>591.91</v>
      </c>
    </row>
    <row r="1521" spans="1:10" ht="15.75" x14ac:dyDescent="0.25">
      <c r="A1521" s="21">
        <v>45443</v>
      </c>
      <c r="B1521" t="str">
        <f>IFERROR(IF(VLOOKUP(C1521,Hoja1!$B$1:$C$6191,2,0)="",_xlfn.XLOOKUP(C1521,Hoja1!$B$2:$B$6191,Hoja1!$A$2:$A$6191),VLOOKUP(C1521,Hoja1!$B$1:$C$6191,2,0)),"No esta en Infor")</f>
        <v>NAC0922</v>
      </c>
      <c r="C1521" s="11" t="s">
        <v>27</v>
      </c>
      <c r="D1521" s="8">
        <v>0</v>
      </c>
      <c r="E1521" s="8">
        <v>0</v>
      </c>
      <c r="F1521" s="8">
        <v>0</v>
      </c>
      <c r="G1521" s="8">
        <v>631.96</v>
      </c>
      <c r="H1521" s="8">
        <v>0</v>
      </c>
      <c r="I1521" s="8">
        <v>0</v>
      </c>
      <c r="J1521" s="8">
        <v>631.96</v>
      </c>
    </row>
    <row r="1522" spans="1:10" ht="15.75" x14ac:dyDescent="0.25">
      <c r="A1522" s="21">
        <v>45443</v>
      </c>
      <c r="B1522" t="str">
        <f>IFERROR(IF(VLOOKUP(C1522,Hoja1!$B$1:$C$6191,2,0)="",_xlfn.XLOOKUP(C1522,Hoja1!$B$2:$B$6191,Hoja1!$A$2:$A$6191),VLOOKUP(C1522,Hoja1!$B$1:$C$6191,2,0)),"No esta en Infor")</f>
        <v>NAC0926</v>
      </c>
      <c r="C1522" s="11" t="s">
        <v>206</v>
      </c>
      <c r="D1522" s="8">
        <v>0</v>
      </c>
      <c r="E1522" s="8">
        <v>0</v>
      </c>
      <c r="F1522" s="8">
        <v>1958.78</v>
      </c>
      <c r="G1522" s="8">
        <v>0</v>
      </c>
      <c r="H1522" s="8">
        <v>0</v>
      </c>
      <c r="I1522" s="8">
        <v>0</v>
      </c>
      <c r="J1522" s="8">
        <v>1958.78</v>
      </c>
    </row>
    <row r="1523" spans="1:10" ht="15.75" x14ac:dyDescent="0.25">
      <c r="A1523" s="21">
        <v>45443</v>
      </c>
      <c r="B1523" t="str">
        <f>IFERROR(IF(VLOOKUP(C1523,Hoja1!$B$1:$C$6191,2,0)="",_xlfn.XLOOKUP(C1523,Hoja1!$B$2:$B$6191,Hoja1!$A$2:$A$6191),VLOOKUP(C1523,Hoja1!$B$1:$C$6191,2,0)),"No esta en Infor")</f>
        <v>CAN0030</v>
      </c>
      <c r="C1523" s="11" t="s">
        <v>210</v>
      </c>
      <c r="D1523" s="8">
        <v>0</v>
      </c>
      <c r="E1523" s="8">
        <v>10407.09</v>
      </c>
      <c r="F1523" s="8">
        <v>1687</v>
      </c>
      <c r="G1523" s="8">
        <v>0</v>
      </c>
      <c r="H1523" s="8">
        <v>0</v>
      </c>
      <c r="I1523" s="8">
        <v>0</v>
      </c>
      <c r="J1523" s="8">
        <v>12094.09</v>
      </c>
    </row>
    <row r="1524" spans="1:10" ht="15.75" x14ac:dyDescent="0.25">
      <c r="A1524" s="21">
        <v>45443</v>
      </c>
      <c r="B1524" t="str">
        <f>IFERROR(IF(VLOOKUP(C1524,Hoja1!$B$1:$C$6191,2,0)="",_xlfn.XLOOKUP(C1524,Hoja1!$B$2:$B$6191,Hoja1!$A$2:$A$6191),VLOOKUP(C1524,Hoja1!$B$1:$C$6191,2,0)),"No esta en Infor")</f>
        <v>NAC1607</v>
      </c>
      <c r="C1524" s="19" t="s">
        <v>668</v>
      </c>
      <c r="D1524" s="8">
        <v>186.59</v>
      </c>
      <c r="E1524" s="8">
        <v>430.97</v>
      </c>
      <c r="F1524" s="8">
        <v>206.35</v>
      </c>
      <c r="G1524" s="8">
        <v>0</v>
      </c>
      <c r="H1524" s="8">
        <v>0</v>
      </c>
      <c r="I1524" s="8">
        <v>0</v>
      </c>
      <c r="J1524" s="8">
        <v>823.91</v>
      </c>
    </row>
    <row r="1525" spans="1:10" ht="15.75" x14ac:dyDescent="0.25">
      <c r="A1525" s="21">
        <v>45443</v>
      </c>
      <c r="B1525" t="str">
        <f>IFERROR(IF(VLOOKUP(C1525,Hoja1!$B$1:$C$6191,2,0)="",_xlfn.XLOOKUP(C1525,Hoja1!$B$2:$B$6191,Hoja1!$A$2:$A$6191),VLOOKUP(C1525,Hoja1!$B$1:$C$6191,2,0)),"No esta en Infor")</f>
        <v>NAC0953</v>
      </c>
      <c r="C1525" s="11" t="s">
        <v>28</v>
      </c>
      <c r="D1525" s="8">
        <v>0</v>
      </c>
      <c r="E1525" s="8">
        <v>-308.14999999999998</v>
      </c>
      <c r="F1525" s="8">
        <v>-284.44</v>
      </c>
      <c r="G1525" s="8">
        <v>2.5</v>
      </c>
      <c r="H1525" s="8">
        <v>0</v>
      </c>
      <c r="I1525" s="8">
        <v>0</v>
      </c>
      <c r="J1525" s="8">
        <v>-590.09</v>
      </c>
    </row>
    <row r="1526" spans="1:10" ht="15.75" x14ac:dyDescent="0.25">
      <c r="A1526" s="21">
        <v>45443</v>
      </c>
      <c r="B1526" t="str">
        <f>IFERROR(IF(VLOOKUP(C1526,Hoja1!$B$1:$C$6191,2,0)="",_xlfn.XLOOKUP(C1526,Hoja1!$B$2:$B$6191,Hoja1!$A$2:$A$6191),VLOOKUP(C1526,Hoja1!$B$1:$C$6191,2,0)),"No esta en Infor")</f>
        <v>NAC0955</v>
      </c>
      <c r="C1526" s="11" t="s">
        <v>539</v>
      </c>
      <c r="D1526" s="8">
        <v>473.25</v>
      </c>
      <c r="E1526" s="8">
        <v>0</v>
      </c>
      <c r="F1526" s="8">
        <v>725.77</v>
      </c>
      <c r="G1526" s="8">
        <v>0</v>
      </c>
      <c r="H1526" s="8">
        <v>0</v>
      </c>
      <c r="I1526" s="8">
        <v>0</v>
      </c>
      <c r="J1526" s="8">
        <v>1199.02</v>
      </c>
    </row>
    <row r="1527" spans="1:10" ht="15.75" x14ac:dyDescent="0.25">
      <c r="A1527" s="21">
        <v>45443</v>
      </c>
      <c r="B1527" t="str">
        <f>IFERROR(IF(VLOOKUP(C1527,Hoja1!$B$1:$C$6191,2,0)="",_xlfn.XLOOKUP(C1527,Hoja1!$B$2:$B$6191,Hoja1!$A$2:$A$6191),VLOOKUP(C1527,Hoja1!$B$1:$C$6191,2,0)),"No esta en Infor")</f>
        <v>NAC0960</v>
      </c>
      <c r="C1527" s="11" t="s">
        <v>216</v>
      </c>
      <c r="D1527" s="8">
        <v>0</v>
      </c>
      <c r="E1527" s="8">
        <v>0</v>
      </c>
      <c r="F1527" s="8">
        <v>2078.98</v>
      </c>
      <c r="G1527" s="8">
        <v>0</v>
      </c>
      <c r="H1527" s="8">
        <v>0</v>
      </c>
      <c r="I1527" s="8">
        <v>0</v>
      </c>
      <c r="J1527" s="8">
        <v>2078.98</v>
      </c>
    </row>
    <row r="1528" spans="1:10" ht="15.75" x14ac:dyDescent="0.25">
      <c r="A1528" s="21">
        <v>45443</v>
      </c>
      <c r="B1528" t="str">
        <f>IFERROR(IF(VLOOKUP(C1528,Hoja1!$B$1:$C$6191,2,0)="",_xlfn.XLOOKUP(C1528,Hoja1!$B$2:$B$6191,Hoja1!$A$2:$A$6191),VLOOKUP(C1528,Hoja1!$B$1:$C$6191,2,0)),"No esta en Infor")</f>
        <v>NAC0971</v>
      </c>
      <c r="C1528" s="11" t="s">
        <v>219</v>
      </c>
      <c r="D1528" s="8">
        <v>0</v>
      </c>
      <c r="E1528" s="8">
        <v>0</v>
      </c>
      <c r="F1528" s="8">
        <v>0</v>
      </c>
      <c r="G1528" s="8">
        <v>467.32</v>
      </c>
      <c r="H1528" s="8">
        <v>0</v>
      </c>
      <c r="I1528" s="8">
        <v>0</v>
      </c>
      <c r="J1528" s="8">
        <v>467.32</v>
      </c>
    </row>
    <row r="1529" spans="1:10" ht="15.75" x14ac:dyDescent="0.25">
      <c r="A1529" s="21">
        <v>45443</v>
      </c>
      <c r="B1529" t="str">
        <f>IFERROR(IF(VLOOKUP(C1529,Hoja1!$B$1:$C$6191,2,0)="",_xlfn.XLOOKUP(C1529,Hoja1!$B$2:$B$6191,Hoja1!$A$2:$A$6191),VLOOKUP(C1529,Hoja1!$B$1:$C$6191,2,0)),"No esta en Infor")</f>
        <v>NAC0972</v>
      </c>
      <c r="C1529" s="11" t="s">
        <v>221</v>
      </c>
      <c r="D1529" s="8">
        <v>0</v>
      </c>
      <c r="E1529" s="8">
        <v>0</v>
      </c>
      <c r="F1529" s="8">
        <v>217.86</v>
      </c>
      <c r="G1529" s="8">
        <v>0</v>
      </c>
      <c r="H1529" s="8">
        <v>0</v>
      </c>
      <c r="I1529" s="8">
        <v>0</v>
      </c>
      <c r="J1529" s="8">
        <v>217.86</v>
      </c>
    </row>
    <row r="1530" spans="1:10" ht="15.75" x14ac:dyDescent="0.25">
      <c r="A1530" s="21">
        <v>45443</v>
      </c>
      <c r="B1530" t="str">
        <f>IFERROR(IF(VLOOKUP(C1530,Hoja1!$B$1:$C$6191,2,0)="",_xlfn.XLOOKUP(C1530,Hoja1!$B$2:$B$6191,Hoja1!$A$2:$A$6191),VLOOKUP(C1530,Hoja1!$B$1:$C$6191,2,0)),"No esta en Infor")</f>
        <v>NAC0988</v>
      </c>
      <c r="C1530" s="11" t="s">
        <v>29</v>
      </c>
      <c r="D1530" s="8">
        <v>41133.599999999999</v>
      </c>
      <c r="E1530" s="8">
        <v>159262.70000000001</v>
      </c>
      <c r="F1530" s="8">
        <v>29805</v>
      </c>
      <c r="G1530" s="8">
        <v>11863</v>
      </c>
      <c r="H1530" s="8">
        <v>0</v>
      </c>
      <c r="I1530" s="8">
        <v>0</v>
      </c>
      <c r="J1530" s="8">
        <v>242064.3</v>
      </c>
    </row>
    <row r="1531" spans="1:10" ht="15.75" x14ac:dyDescent="0.25">
      <c r="A1531" s="21">
        <v>45443</v>
      </c>
      <c r="B1531" t="str">
        <f>IFERROR(IF(VLOOKUP(C1531,Hoja1!$B$1:$C$6191,2,0)="",_xlfn.XLOOKUP(C1531,Hoja1!$B$2:$B$6191,Hoja1!$A$2:$A$6191),VLOOKUP(C1531,Hoja1!$B$1:$C$6191,2,0)),"No esta en Infor")</f>
        <v>NAC0998</v>
      </c>
      <c r="C1531" s="11" t="s">
        <v>229</v>
      </c>
      <c r="D1531" s="8">
        <v>0</v>
      </c>
      <c r="E1531" s="8">
        <v>0</v>
      </c>
      <c r="F1531" s="8">
        <v>184.99</v>
      </c>
      <c r="G1531" s="8">
        <v>0</v>
      </c>
      <c r="H1531" s="8">
        <v>0</v>
      </c>
      <c r="I1531" s="8">
        <v>0</v>
      </c>
      <c r="J1531" s="8">
        <v>184.99</v>
      </c>
    </row>
    <row r="1532" spans="1:10" ht="15.75" x14ac:dyDescent="0.25">
      <c r="A1532" s="21">
        <v>45443</v>
      </c>
      <c r="B1532" t="str">
        <f>IFERROR(IF(VLOOKUP(C1532,Hoja1!$B$1:$C$6191,2,0)="",_xlfn.XLOOKUP(C1532,Hoja1!$B$2:$B$6191,Hoja1!$A$2:$A$6191),VLOOKUP(C1532,Hoja1!$B$1:$C$6191,2,0)),"No esta en Infor")</f>
        <v>NAC1025</v>
      </c>
      <c r="C1532" s="11" t="s">
        <v>242</v>
      </c>
      <c r="D1532" s="8">
        <v>0</v>
      </c>
      <c r="E1532" s="8">
        <v>491.97</v>
      </c>
      <c r="F1532" s="8">
        <v>191.78</v>
      </c>
      <c r="G1532" s="8">
        <v>-683.75</v>
      </c>
      <c r="H1532" s="8">
        <v>0</v>
      </c>
      <c r="I1532" s="8">
        <v>0</v>
      </c>
      <c r="J1532" s="8">
        <v>0</v>
      </c>
    </row>
    <row r="1533" spans="1:10" ht="15.75" x14ac:dyDescent="0.25">
      <c r="A1533" s="21">
        <v>45443</v>
      </c>
      <c r="B1533" t="str">
        <f>IFERROR(IF(VLOOKUP(C1533,Hoja1!$B$1:$C$6191,2,0)="",_xlfn.XLOOKUP(C1533,Hoja1!$B$2:$B$6191,Hoja1!$A$2:$A$6191),VLOOKUP(C1533,Hoja1!$B$1:$C$6191,2,0)),"No esta en Infor")</f>
        <v>NAC1040</v>
      </c>
      <c r="C1533" s="11" t="s">
        <v>30</v>
      </c>
      <c r="D1533" s="8">
        <v>337549.43</v>
      </c>
      <c r="E1533" s="8">
        <v>55003.39</v>
      </c>
      <c r="F1533" s="8">
        <v>-22152.47</v>
      </c>
      <c r="G1533" s="8">
        <v>1053.48</v>
      </c>
      <c r="H1533" s="8">
        <v>-263</v>
      </c>
      <c r="I1533" s="8">
        <v>-14501.3</v>
      </c>
      <c r="J1533" s="8">
        <v>356689.53</v>
      </c>
    </row>
    <row r="1534" spans="1:10" ht="15.75" x14ac:dyDescent="0.25">
      <c r="A1534" s="21">
        <v>45443</v>
      </c>
      <c r="B1534" t="str">
        <f>IFERROR(IF(VLOOKUP(C1534,Hoja1!$B$1:$C$6191,2,0)="",_xlfn.XLOOKUP(C1534,Hoja1!$B$2:$B$6191,Hoja1!$A$2:$A$6191),VLOOKUP(C1534,Hoja1!$B$1:$C$6191,2,0)),"No esta en Infor")</f>
        <v>CAN0035</v>
      </c>
      <c r="C1534" s="11" t="s">
        <v>31</v>
      </c>
      <c r="D1534" s="8">
        <v>6335</v>
      </c>
      <c r="E1534" s="8">
        <v>0</v>
      </c>
      <c r="F1534" s="8">
        <v>256.62</v>
      </c>
      <c r="G1534" s="8">
        <v>1075.24</v>
      </c>
      <c r="H1534" s="8">
        <v>0</v>
      </c>
      <c r="I1534" s="8">
        <v>0</v>
      </c>
      <c r="J1534" s="8">
        <v>7666.86</v>
      </c>
    </row>
    <row r="1535" spans="1:10" ht="15.75" x14ac:dyDescent="0.25">
      <c r="A1535" s="21">
        <v>45443</v>
      </c>
      <c r="B1535" t="str">
        <f>IFERROR(IF(VLOOKUP(C1535,Hoja1!$B$1:$C$6191,2,0)="",_xlfn.XLOOKUP(C1535,Hoja1!$B$2:$B$6191,Hoja1!$A$2:$A$6191),VLOOKUP(C1535,Hoja1!$B$1:$C$6191,2,0)),"No esta en Infor")</f>
        <v>NAC1105</v>
      </c>
      <c r="C1535" s="11" t="s">
        <v>32</v>
      </c>
      <c r="D1535" s="8">
        <v>227.92</v>
      </c>
      <c r="E1535" s="8">
        <v>2850.94</v>
      </c>
      <c r="F1535" s="8">
        <v>2475.89</v>
      </c>
      <c r="G1535" s="8">
        <v>8057.31</v>
      </c>
      <c r="H1535" s="8">
        <v>0</v>
      </c>
      <c r="I1535" s="8">
        <v>672.77</v>
      </c>
      <c r="J1535" s="8">
        <v>14284.83</v>
      </c>
    </row>
    <row r="1536" spans="1:10" ht="15.75" x14ac:dyDescent="0.25">
      <c r="A1536" s="21">
        <v>45443</v>
      </c>
      <c r="B1536" t="str">
        <f>IFERROR(IF(VLOOKUP(C1536,Hoja1!$B$1:$C$6191,2,0)="",_xlfn.XLOOKUP(C1536,Hoja1!$B$2:$B$6191,Hoja1!$A$2:$A$6191),VLOOKUP(C1536,Hoja1!$B$1:$C$6191,2,0)),"No esta en Infor")</f>
        <v>CAN0037</v>
      </c>
      <c r="C1536" s="11" t="s">
        <v>687</v>
      </c>
      <c r="D1536" s="8">
        <v>27813.82</v>
      </c>
      <c r="E1536" s="8">
        <v>260.68</v>
      </c>
      <c r="F1536" s="8">
        <v>-4056.13</v>
      </c>
      <c r="G1536" s="8">
        <v>167.43</v>
      </c>
      <c r="H1536" s="8">
        <v>0</v>
      </c>
      <c r="I1536" s="8">
        <v>0</v>
      </c>
      <c r="J1536" s="8">
        <v>24185.8</v>
      </c>
    </row>
    <row r="1537" spans="1:10" ht="15.75" x14ac:dyDescent="0.25">
      <c r="A1537" s="21">
        <v>45443</v>
      </c>
      <c r="B1537" t="str">
        <f>IFERROR(IF(VLOOKUP(C1537,Hoja1!$B$1:$C$6191,2,0)="",_xlfn.XLOOKUP(C1537,Hoja1!$B$2:$B$6191,Hoja1!$A$2:$A$6191),VLOOKUP(C1537,Hoja1!$B$1:$C$6191,2,0)),"No esta en Infor")</f>
        <v>NAC1146</v>
      </c>
      <c r="C1537" s="11" t="s">
        <v>33</v>
      </c>
      <c r="D1537" s="8">
        <v>0</v>
      </c>
      <c r="E1537" s="8">
        <v>0</v>
      </c>
      <c r="F1537" s="8">
        <v>0</v>
      </c>
      <c r="G1537" s="8">
        <v>2016.26</v>
      </c>
      <c r="H1537" s="8">
        <v>0</v>
      </c>
      <c r="I1537" s="8">
        <v>0</v>
      </c>
      <c r="J1537" s="8">
        <v>2016.26</v>
      </c>
    </row>
    <row r="1538" spans="1:10" ht="15.75" x14ac:dyDescent="0.25">
      <c r="A1538" s="21">
        <v>45443</v>
      </c>
      <c r="B1538" t="str">
        <f>IFERROR(IF(VLOOKUP(C1538,Hoja1!$B$1:$C$6191,2,0)="",_xlfn.XLOOKUP(C1538,Hoja1!$B$2:$B$6191,Hoja1!$A$2:$A$6191),VLOOKUP(C1538,Hoja1!$B$1:$C$6191,2,0)),"No esta en Infor")</f>
        <v>CAN0044</v>
      </c>
      <c r="C1538" s="11" t="s">
        <v>35</v>
      </c>
      <c r="D1538" s="8">
        <v>0</v>
      </c>
      <c r="E1538" s="8">
        <v>68540.77</v>
      </c>
      <c r="F1538" s="8">
        <v>-246.7</v>
      </c>
      <c r="G1538" s="8">
        <v>755.04</v>
      </c>
      <c r="H1538" s="8">
        <v>5.71</v>
      </c>
      <c r="I1538" s="8">
        <v>0</v>
      </c>
      <c r="J1538" s="8">
        <v>69054.820000000007</v>
      </c>
    </row>
    <row r="1539" spans="1:10" ht="15.75" x14ac:dyDescent="0.25">
      <c r="A1539" s="21">
        <v>45443</v>
      </c>
      <c r="B1539" t="str">
        <f>IFERROR(IF(VLOOKUP(C1539,Hoja1!$B$1:$C$6191,2,0)="",_xlfn.XLOOKUP(C1539,Hoja1!$B$2:$B$6191,Hoja1!$A$2:$A$6191),VLOOKUP(C1539,Hoja1!$B$1:$C$6191,2,0)),"No esta en Infor")</f>
        <v>NAC1231</v>
      </c>
      <c r="C1539" s="11" t="s">
        <v>290</v>
      </c>
      <c r="D1539" s="8">
        <v>0</v>
      </c>
      <c r="E1539" s="8">
        <v>0</v>
      </c>
      <c r="F1539" s="8">
        <v>36561.449999999997</v>
      </c>
      <c r="G1539" s="8">
        <v>0</v>
      </c>
      <c r="H1539" s="8">
        <v>0</v>
      </c>
      <c r="I1539" s="8">
        <v>0</v>
      </c>
      <c r="J1539" s="8">
        <v>36561.449999999997</v>
      </c>
    </row>
    <row r="1540" spans="1:10" ht="15.75" x14ac:dyDescent="0.25">
      <c r="A1540" s="21">
        <v>45443</v>
      </c>
      <c r="B1540" t="str">
        <f>IFERROR(IF(VLOOKUP(C1540,Hoja1!$B$1:$C$6191,2,0)="",_xlfn.XLOOKUP(C1540,Hoja1!$B$2:$B$6191,Hoja1!$A$2:$A$6191),VLOOKUP(C1540,Hoja1!$B$1:$C$6191,2,0)),"No esta en Infor")</f>
        <v>NAC1233</v>
      </c>
      <c r="C1540" s="11" t="s">
        <v>292</v>
      </c>
      <c r="D1540" s="8">
        <v>0</v>
      </c>
      <c r="E1540" s="8">
        <v>122.91</v>
      </c>
      <c r="F1540" s="8">
        <v>-122.91</v>
      </c>
      <c r="G1540" s="8">
        <v>10349.299999999999</v>
      </c>
      <c r="H1540" s="8">
        <v>0</v>
      </c>
      <c r="I1540" s="8">
        <v>-451.95</v>
      </c>
      <c r="J1540" s="8">
        <v>9897.35</v>
      </c>
    </row>
    <row r="1541" spans="1:10" ht="15.75" x14ac:dyDescent="0.25">
      <c r="A1541" s="21">
        <v>45443</v>
      </c>
      <c r="B1541" t="str">
        <f>IFERROR(IF(VLOOKUP(C1541,Hoja1!$B$1:$C$6191,2,0)="",_xlfn.XLOOKUP(C1541,Hoja1!$B$2:$B$6191,Hoja1!$A$2:$A$6191),VLOOKUP(C1541,Hoja1!$B$1:$C$6191,2,0)),"No esta en Infor")</f>
        <v>NAC1242</v>
      </c>
      <c r="C1541" s="11" t="s">
        <v>296</v>
      </c>
      <c r="D1541" s="8">
        <v>0</v>
      </c>
      <c r="E1541" s="8">
        <v>0</v>
      </c>
      <c r="F1541" s="8">
        <v>10.44</v>
      </c>
      <c r="G1541" s="8">
        <v>0</v>
      </c>
      <c r="H1541" s="8">
        <v>0</v>
      </c>
      <c r="I1541" s="8">
        <v>0</v>
      </c>
      <c r="J1541" s="8">
        <v>10.44</v>
      </c>
    </row>
    <row r="1542" spans="1:10" ht="15.75" x14ac:dyDescent="0.25">
      <c r="A1542" s="21">
        <v>45443</v>
      </c>
      <c r="B1542" t="str">
        <f>IFERROR(IF(VLOOKUP(C1542,Hoja1!$B$1:$C$6191,2,0)="",_xlfn.XLOOKUP(C1542,Hoja1!$B$2:$B$6191,Hoja1!$A$2:$A$6191),VLOOKUP(C1542,Hoja1!$B$1:$C$6191,2,0)),"No esta en Infor")</f>
        <v>NAC1249</v>
      </c>
      <c r="C1542" s="11" t="s">
        <v>300</v>
      </c>
      <c r="D1542" s="8">
        <v>0</v>
      </c>
      <c r="E1542" s="8">
        <v>26322.12</v>
      </c>
      <c r="F1542" s="8">
        <v>74516.92</v>
      </c>
      <c r="G1542" s="8">
        <v>0</v>
      </c>
      <c r="H1542" s="8">
        <v>0</v>
      </c>
      <c r="I1542" s="8">
        <v>0</v>
      </c>
      <c r="J1542" s="8">
        <v>100839.03999999999</v>
      </c>
    </row>
    <row r="1543" spans="1:10" ht="15.75" x14ac:dyDescent="0.25">
      <c r="A1543" s="21">
        <v>45443</v>
      </c>
      <c r="B1543" t="str">
        <f>IFERROR(IF(VLOOKUP(C1543,Hoja1!$B$1:$C$6191,2,0)="",_xlfn.XLOOKUP(C1543,Hoja1!$B$2:$B$6191,Hoja1!$A$2:$A$6191),VLOOKUP(C1543,Hoja1!$B$1:$C$6191,2,0)),"No esta en Infor")</f>
        <v>CAN0054</v>
      </c>
      <c r="C1543" s="11" t="s">
        <v>36</v>
      </c>
      <c r="D1543" s="8">
        <v>0</v>
      </c>
      <c r="E1543" s="8">
        <v>0</v>
      </c>
      <c r="F1543" s="8">
        <v>448.61</v>
      </c>
      <c r="G1543" s="8">
        <v>620.91999999999996</v>
      </c>
      <c r="H1543" s="8">
        <v>0</v>
      </c>
      <c r="I1543" s="8">
        <v>0</v>
      </c>
      <c r="J1543" s="8">
        <v>1069.53</v>
      </c>
    </row>
    <row r="1544" spans="1:10" ht="15.75" x14ac:dyDescent="0.25">
      <c r="A1544" s="21">
        <v>45443</v>
      </c>
      <c r="B1544" t="str">
        <f>IFERROR(IF(VLOOKUP(C1544,Hoja1!$B$1:$C$6191,2,0)="",_xlfn.XLOOKUP(C1544,Hoja1!$B$2:$B$6191,Hoja1!$A$2:$A$6191),VLOOKUP(C1544,Hoja1!$B$1:$C$6191,2,0)),"No esta en Infor")</f>
        <v>NAC1281</v>
      </c>
      <c r="C1544" s="11" t="s">
        <v>37</v>
      </c>
      <c r="D1544" s="8">
        <v>3016.91</v>
      </c>
      <c r="E1544" s="8">
        <v>3821.86</v>
      </c>
      <c r="F1544" s="8">
        <v>10712.37</v>
      </c>
      <c r="G1544" s="8">
        <v>6131.18</v>
      </c>
      <c r="H1544" s="8">
        <v>3095.64</v>
      </c>
      <c r="I1544" s="8">
        <v>1341.2</v>
      </c>
      <c r="J1544" s="8">
        <v>28119.16</v>
      </c>
    </row>
    <row r="1545" spans="1:10" ht="15.75" x14ac:dyDescent="0.25">
      <c r="A1545" s="21">
        <v>45443</v>
      </c>
      <c r="B1545" t="str">
        <f>IFERROR(IF(VLOOKUP(C1545,Hoja1!$B$1:$C$6191,2,0)="",_xlfn.XLOOKUP(C1545,Hoja1!$B$2:$B$6191,Hoja1!$A$2:$A$6191),VLOOKUP(C1545,Hoja1!$B$1:$C$6191,2,0)),"No esta en Infor")</f>
        <v>NAC1292</v>
      </c>
      <c r="C1545" s="11" t="s">
        <v>46</v>
      </c>
      <c r="D1545" s="8">
        <v>7800</v>
      </c>
      <c r="E1545" s="8">
        <v>3760</v>
      </c>
      <c r="F1545" s="8">
        <v>-2537.5</v>
      </c>
      <c r="G1545" s="8">
        <v>3697.5</v>
      </c>
      <c r="H1545" s="8">
        <v>0</v>
      </c>
      <c r="I1545" s="8">
        <v>0</v>
      </c>
      <c r="J1545" s="8">
        <v>12720</v>
      </c>
    </row>
    <row r="1546" spans="1:10" ht="15.75" x14ac:dyDescent="0.25">
      <c r="A1546" s="21">
        <v>45443</v>
      </c>
      <c r="B1546" t="str">
        <f>IFERROR(IF(VLOOKUP(C1546,Hoja1!$B$1:$C$6191,2,0)="",_xlfn.XLOOKUP(C1546,Hoja1!$B$2:$B$6191,Hoja1!$A$2:$A$6191),VLOOKUP(C1546,Hoja1!$B$1:$C$6191,2,0)),"No esta en Infor")</f>
        <v>NAC1323</v>
      </c>
      <c r="C1546" s="11" t="s">
        <v>49</v>
      </c>
      <c r="D1546" s="8">
        <v>221488.15</v>
      </c>
      <c r="E1546" s="8">
        <v>335965.62</v>
      </c>
      <c r="F1546" s="8">
        <v>42342.63</v>
      </c>
      <c r="G1546" s="8">
        <v>10853.59</v>
      </c>
      <c r="H1546" s="8">
        <v>-684.77</v>
      </c>
      <c r="I1546" s="8">
        <v>563.14</v>
      </c>
      <c r="J1546" s="8">
        <v>610528.36</v>
      </c>
    </row>
    <row r="1547" spans="1:10" ht="15.75" x14ac:dyDescent="0.25">
      <c r="A1547" s="21">
        <v>45443</v>
      </c>
      <c r="B1547" t="str">
        <f>IFERROR(IF(VLOOKUP(C1547,Hoja1!$B$1:$C$6191,2,0)="",_xlfn.XLOOKUP(C1547,Hoja1!$B$2:$B$6191,Hoja1!$A$2:$A$6191),VLOOKUP(C1547,Hoja1!$B$1:$C$6191,2,0)),"No esta en Infor")</f>
        <v>NAC1327</v>
      </c>
      <c r="C1547" s="11" t="s">
        <v>50</v>
      </c>
      <c r="D1547" s="8">
        <v>75835.199999999997</v>
      </c>
      <c r="E1547" s="8">
        <v>61831.57</v>
      </c>
      <c r="F1547" s="8">
        <v>5999.26</v>
      </c>
      <c r="G1547" s="8">
        <v>93.24</v>
      </c>
      <c r="H1547" s="8">
        <v>0</v>
      </c>
      <c r="I1547" s="8">
        <v>-29.08</v>
      </c>
      <c r="J1547" s="8">
        <v>143730.19</v>
      </c>
    </row>
    <row r="1548" spans="1:10" ht="15.75" x14ac:dyDescent="0.25">
      <c r="A1548" s="21">
        <v>45443</v>
      </c>
      <c r="B1548" t="str">
        <f>IFERROR(IF(VLOOKUP(C1548,Hoja1!$B$1:$C$6191,2,0)="",_xlfn.XLOOKUP(C1548,Hoja1!$B$2:$B$6191,Hoja1!$A$2:$A$6191),VLOOKUP(C1548,Hoja1!$B$1:$C$6191,2,0)),"No esta en Infor")</f>
        <v>CAN0059</v>
      </c>
      <c r="C1548" s="11" t="s">
        <v>51</v>
      </c>
      <c r="D1548" s="8">
        <v>6618.5</v>
      </c>
      <c r="E1548" s="8">
        <v>341.68</v>
      </c>
      <c r="F1548" s="8">
        <v>930.68</v>
      </c>
      <c r="G1548" s="8">
        <v>787.12</v>
      </c>
      <c r="H1548" s="8">
        <v>-10</v>
      </c>
      <c r="I1548" s="8">
        <v>0</v>
      </c>
      <c r="J1548" s="8">
        <v>8667.98</v>
      </c>
    </row>
    <row r="1549" spans="1:10" ht="15.75" x14ac:dyDescent="0.25">
      <c r="A1549" s="21">
        <v>45443</v>
      </c>
      <c r="B1549" t="str">
        <f>IFERROR(IF(VLOOKUP(C1549,Hoja1!$B$1:$C$6191,2,0)="",_xlfn.XLOOKUP(C1549,Hoja1!$B$2:$B$6191,Hoja1!$A$2:$A$6191),VLOOKUP(C1549,Hoja1!$B$1:$C$6191,2,0)),"No esta en Infor")</f>
        <v>NAC1333</v>
      </c>
      <c r="C1549" s="11" t="s">
        <v>318</v>
      </c>
      <c r="D1549" s="8">
        <v>19609</v>
      </c>
      <c r="E1549" s="8">
        <v>13311.41</v>
      </c>
      <c r="F1549" s="8">
        <v>83.97</v>
      </c>
      <c r="G1549" s="8">
        <v>0</v>
      </c>
      <c r="H1549" s="8">
        <v>0</v>
      </c>
      <c r="I1549" s="8">
        <v>0</v>
      </c>
      <c r="J1549" s="8">
        <v>33004.379999999997</v>
      </c>
    </row>
    <row r="1550" spans="1:10" ht="15.75" x14ac:dyDescent="0.25">
      <c r="A1550" s="21">
        <v>45443</v>
      </c>
      <c r="B1550" t="str">
        <f>IFERROR(IF(VLOOKUP(C1550,Hoja1!$B$1:$C$6191,2,0)="",_xlfn.XLOOKUP(C1550,Hoja1!$B$2:$B$6191,Hoja1!$A$2:$A$6191),VLOOKUP(C1550,Hoja1!$B$1:$C$6191,2,0)),"No esta en Infor")</f>
        <v>NAC1354</v>
      </c>
      <c r="C1550" s="11" t="s">
        <v>324</v>
      </c>
      <c r="D1550" s="8">
        <v>0</v>
      </c>
      <c r="E1550" s="8">
        <v>0</v>
      </c>
      <c r="F1550" s="8">
        <v>0</v>
      </c>
      <c r="G1550" s="8">
        <v>424.57</v>
      </c>
      <c r="H1550" s="8">
        <v>0</v>
      </c>
      <c r="I1550" s="8">
        <v>0</v>
      </c>
      <c r="J1550" s="8">
        <v>424.57</v>
      </c>
    </row>
    <row r="1551" spans="1:10" ht="15.75" x14ac:dyDescent="0.25">
      <c r="A1551" s="21">
        <v>45443</v>
      </c>
      <c r="B1551" t="str">
        <f>IFERROR(IF(VLOOKUP(C1551,Hoja1!$B$1:$C$6191,2,0)="",_xlfn.XLOOKUP(C1551,Hoja1!$B$2:$B$6191,Hoja1!$A$2:$A$6191),VLOOKUP(C1551,Hoja1!$B$1:$C$6191,2,0)),"No esta en Infor")</f>
        <v>NAC1610</v>
      </c>
      <c r="C1551" s="11" t="s">
        <v>540</v>
      </c>
      <c r="D1551" s="8">
        <v>0</v>
      </c>
      <c r="E1551" s="8">
        <v>0</v>
      </c>
      <c r="F1551" s="8">
        <v>1242.05</v>
      </c>
      <c r="G1551" s="8">
        <v>167.44</v>
      </c>
      <c r="H1551" s="8">
        <v>0</v>
      </c>
      <c r="I1551" s="8">
        <v>16.66</v>
      </c>
      <c r="J1551" s="8">
        <v>1426.15</v>
      </c>
    </row>
    <row r="1552" spans="1:10" ht="15.75" x14ac:dyDescent="0.25">
      <c r="A1552" s="21">
        <v>45443</v>
      </c>
      <c r="B1552" t="str">
        <f>IFERROR(IF(VLOOKUP(C1552,Hoja1!$B$1:$C$6191,2,0)="",_xlfn.XLOOKUP(C1552,Hoja1!$B$2:$B$6191,Hoja1!$A$2:$A$6191),VLOOKUP(C1552,Hoja1!$B$1:$C$6191,2,0)),"No esta en Infor")</f>
        <v>CAN0069</v>
      </c>
      <c r="C1552" s="11" t="s">
        <v>340</v>
      </c>
      <c r="D1552" s="8">
        <v>0</v>
      </c>
      <c r="E1552" s="8">
        <v>3023.32</v>
      </c>
      <c r="F1552" s="8">
        <v>0</v>
      </c>
      <c r="G1552" s="8">
        <v>540.15</v>
      </c>
      <c r="H1552" s="8">
        <v>0</v>
      </c>
      <c r="I1552" s="8">
        <v>0</v>
      </c>
      <c r="J1552" s="8">
        <v>3563.47</v>
      </c>
    </row>
    <row r="1553" spans="1:10" ht="15.75" x14ac:dyDescent="0.25">
      <c r="A1553" s="21">
        <v>45443</v>
      </c>
      <c r="B1553" t="str">
        <f>IFERROR(IF(VLOOKUP(C1553,Hoja1!$B$1:$C$6191,2,0)="",_xlfn.XLOOKUP(C1553,Hoja1!$B$2:$B$6191,Hoja1!$A$2:$A$6191),VLOOKUP(C1553,Hoja1!$B$1:$C$6191,2,0)),"No esta en Infor")</f>
        <v>NAC1413</v>
      </c>
      <c r="C1553" s="11" t="s">
        <v>342</v>
      </c>
      <c r="D1553" s="8">
        <v>19959.12</v>
      </c>
      <c r="E1553" s="8">
        <v>0</v>
      </c>
      <c r="F1553" s="8">
        <v>17836.3</v>
      </c>
      <c r="G1553" s="8">
        <v>0</v>
      </c>
      <c r="H1553" s="8">
        <v>0</v>
      </c>
      <c r="I1553" s="8">
        <v>0</v>
      </c>
      <c r="J1553" s="8">
        <v>37795.42</v>
      </c>
    </row>
    <row r="1554" spans="1:10" ht="15.75" x14ac:dyDescent="0.25">
      <c r="A1554" s="21">
        <v>45443</v>
      </c>
      <c r="B1554" t="str">
        <f>IFERROR(IF(VLOOKUP(C1554,Hoja1!$B$1:$C$6191,2,0)="",_xlfn.XLOOKUP(C1554,Hoja1!$B$2:$B$6191,Hoja1!$A$2:$A$6191),VLOOKUP(C1554,Hoja1!$B$1:$C$6191,2,0)),"No esta en Infor")</f>
        <v>NAC1448</v>
      </c>
      <c r="C1554" s="11" t="s">
        <v>9</v>
      </c>
      <c r="D1554" s="8">
        <v>11437.76</v>
      </c>
      <c r="E1554" s="8">
        <v>5270</v>
      </c>
      <c r="F1554" s="8">
        <v>10848.4</v>
      </c>
      <c r="G1554" s="8">
        <v>17488.650000000001</v>
      </c>
      <c r="H1554" s="8">
        <v>3455.55</v>
      </c>
      <c r="I1554" s="8">
        <v>446.75</v>
      </c>
      <c r="J1554" s="8">
        <v>48947.11</v>
      </c>
    </row>
    <row r="1555" spans="1:10" ht="15.75" x14ac:dyDescent="0.25">
      <c r="A1555" s="21">
        <v>45443</v>
      </c>
      <c r="B1555" t="str">
        <f>IFERROR(IF(VLOOKUP(C1555,Hoja1!$B$1:$C$6191,2,0)="",_xlfn.XLOOKUP(C1555,Hoja1!$B$2:$B$6191,Hoja1!$A$2:$A$6191),VLOOKUP(C1555,Hoja1!$B$1:$C$6191,2,0)),"No esta en Infor")</f>
        <v>NAC1450</v>
      </c>
      <c r="C1555" s="11" t="s">
        <v>54</v>
      </c>
      <c r="D1555" s="8">
        <v>492.75</v>
      </c>
      <c r="E1555" s="8">
        <v>320.73</v>
      </c>
      <c r="F1555" s="8">
        <v>1637.42</v>
      </c>
      <c r="G1555" s="8">
        <v>1258.51</v>
      </c>
      <c r="H1555" s="8">
        <v>225.91</v>
      </c>
      <c r="I1555" s="8">
        <v>1211.79</v>
      </c>
      <c r="J1555" s="8">
        <v>5147.1099999999997</v>
      </c>
    </row>
    <row r="1556" spans="1:10" ht="15.75" x14ac:dyDescent="0.25">
      <c r="A1556" s="21">
        <v>45443</v>
      </c>
      <c r="B1556" t="str">
        <f>IFERROR(IF(VLOOKUP(C1556,Hoja1!$B$1:$C$6191,2,0)="",_xlfn.XLOOKUP(C1556,Hoja1!$B$2:$B$6191,Hoja1!$A$2:$A$6191),VLOOKUP(C1556,Hoja1!$B$1:$C$6191,2,0)),"No esta en Infor")</f>
        <v>NAC1488</v>
      </c>
      <c r="C1556" s="11" t="s">
        <v>359</v>
      </c>
      <c r="D1556" s="8">
        <v>0</v>
      </c>
      <c r="E1556" s="8">
        <v>0</v>
      </c>
      <c r="F1556" s="8">
        <v>260</v>
      </c>
      <c r="G1556" s="8">
        <v>0</v>
      </c>
      <c r="H1556" s="8">
        <v>0</v>
      </c>
      <c r="I1556" s="8">
        <v>0</v>
      </c>
      <c r="J1556" s="8">
        <v>260</v>
      </c>
    </row>
    <row r="1557" spans="1:10" ht="15.75" x14ac:dyDescent="0.25">
      <c r="A1557" s="21">
        <v>45443</v>
      </c>
      <c r="B1557" t="str">
        <f>IFERROR(IF(VLOOKUP(C1557,Hoja1!$B$1:$C$6191,2,0)="",_xlfn.XLOOKUP(C1557,Hoja1!$B$2:$B$6191,Hoja1!$A$2:$A$6191),VLOOKUP(C1557,Hoja1!$B$1:$C$6191,2,0)),"No esta en Infor")</f>
        <v>NAC1506</v>
      </c>
      <c r="C1557" s="11" t="s">
        <v>364</v>
      </c>
      <c r="D1557" s="8">
        <v>457</v>
      </c>
      <c r="E1557" s="8">
        <v>0</v>
      </c>
      <c r="F1557" s="8">
        <v>838.5</v>
      </c>
      <c r="G1557" s="8">
        <v>0</v>
      </c>
      <c r="H1557" s="8">
        <v>0</v>
      </c>
      <c r="I1557" s="8">
        <v>0</v>
      </c>
      <c r="J1557" s="8">
        <v>1295.5</v>
      </c>
    </row>
    <row r="1558" spans="1:10" ht="15.75" x14ac:dyDescent="0.25">
      <c r="A1558" s="21">
        <v>45443</v>
      </c>
      <c r="B1558" t="str">
        <f>IFERROR(IF(VLOOKUP(C1558,Hoja1!$B$1:$C$6191,2,0)="",_xlfn.XLOOKUP(C1558,Hoja1!$B$2:$B$6191,Hoja1!$A$2:$A$6191),VLOOKUP(C1558,Hoja1!$B$1:$C$6191,2,0)),"No esta en Infor")</f>
        <v>NAC1512</v>
      </c>
      <c r="C1558" s="11" t="s">
        <v>56</v>
      </c>
      <c r="D1558" s="8">
        <v>0</v>
      </c>
      <c r="E1558" s="8">
        <v>0</v>
      </c>
      <c r="F1558" s="8">
        <v>0</v>
      </c>
      <c r="G1558" s="8">
        <v>4470</v>
      </c>
      <c r="H1558" s="8">
        <v>14020</v>
      </c>
      <c r="I1558" s="8">
        <v>0</v>
      </c>
      <c r="J1558" s="8">
        <v>18490</v>
      </c>
    </row>
    <row r="1559" spans="1:10" ht="15.75" x14ac:dyDescent="0.25">
      <c r="A1559" s="21">
        <v>45443</v>
      </c>
      <c r="B1559" t="str">
        <f>IFERROR(IF(VLOOKUP(C1559,Hoja1!$B$1:$C$6191,2,0)="",_xlfn.XLOOKUP(C1559,Hoja1!$B$2:$B$6191,Hoja1!$A$2:$A$6191),VLOOKUP(C1559,Hoja1!$B$1:$C$6191,2,0)),"No esta en Infor")</f>
        <v>NAC1522</v>
      </c>
      <c r="C1559" s="11" t="s">
        <v>366</v>
      </c>
      <c r="D1559" s="8">
        <v>0</v>
      </c>
      <c r="E1559" s="8">
        <v>0</v>
      </c>
      <c r="F1559" s="8">
        <v>0</v>
      </c>
      <c r="G1559" s="8">
        <v>421.58</v>
      </c>
      <c r="H1559" s="8">
        <v>0</v>
      </c>
      <c r="I1559" s="8">
        <v>0</v>
      </c>
      <c r="J1559" s="8">
        <v>421.58</v>
      </c>
    </row>
    <row r="1560" spans="1:10" ht="15.75" x14ac:dyDescent="0.25">
      <c r="A1560" s="21">
        <v>45443</v>
      </c>
      <c r="B1560" t="str">
        <f>IFERROR(IF(VLOOKUP(C1560,Hoja1!$B$1:$C$6191,2,0)="",_xlfn.XLOOKUP(C1560,Hoja1!$B$2:$B$6191,Hoja1!$A$2:$A$6191),VLOOKUP(C1560,Hoja1!$B$1:$C$6191,2,0)),"No esta en Infor")</f>
        <v>NAC1529</v>
      </c>
      <c r="C1560" s="11" t="s">
        <v>368</v>
      </c>
      <c r="D1560" s="8">
        <v>0</v>
      </c>
      <c r="E1560" s="8">
        <v>0</v>
      </c>
      <c r="F1560" s="8">
        <v>111.75</v>
      </c>
      <c r="G1560" s="8">
        <v>0</v>
      </c>
      <c r="H1560" s="8">
        <v>0</v>
      </c>
      <c r="I1560" s="8">
        <v>0</v>
      </c>
      <c r="J1560" s="8">
        <v>111.75</v>
      </c>
    </row>
    <row r="1561" spans="1:10" ht="15.75" x14ac:dyDescent="0.25">
      <c r="A1561" s="21">
        <v>45443</v>
      </c>
      <c r="B1561" t="str">
        <f>IFERROR(IF(VLOOKUP(C1561,Hoja1!$B$1:$C$6191,2,0)="",_xlfn.XLOOKUP(C1561,Hoja1!$B$2:$B$6191,Hoja1!$A$2:$A$6191),VLOOKUP(C1561,Hoja1!$B$1:$C$6191,2,0)),"No esta en Infor")</f>
        <v>NAC0468</v>
      </c>
      <c r="C1561" s="19" t="s">
        <v>61</v>
      </c>
      <c r="D1561" s="9">
        <v>0</v>
      </c>
      <c r="E1561" s="9">
        <v>0</v>
      </c>
      <c r="F1561" s="9">
        <v>0</v>
      </c>
      <c r="G1561" s="9">
        <v>-123.75</v>
      </c>
      <c r="H1561" s="9">
        <v>0</v>
      </c>
      <c r="I1561" s="9">
        <v>0</v>
      </c>
      <c r="J1561" s="9">
        <v>-123.75</v>
      </c>
    </row>
    <row r="1562" spans="1:10" ht="15.75" x14ac:dyDescent="0.25">
      <c r="A1562" s="21">
        <v>45443</v>
      </c>
      <c r="B1562" t="str">
        <f>IFERROR(IF(VLOOKUP(C1562,Hoja1!$B$1:$C$6191,2,0)="",_xlfn.XLOOKUP(C1562,Hoja1!$B$2:$B$6191,Hoja1!$A$2:$A$6191),VLOOKUP(C1562,Hoja1!$B$1:$C$6191,2,0)),"No esta en Infor")</f>
        <v>NAC0470</v>
      </c>
      <c r="C1562" s="19" t="s">
        <v>62</v>
      </c>
      <c r="D1562" s="9">
        <v>0</v>
      </c>
      <c r="E1562" s="9">
        <v>0</v>
      </c>
      <c r="F1562" s="9">
        <v>0</v>
      </c>
      <c r="G1562" s="9">
        <v>-31</v>
      </c>
      <c r="H1562" s="9">
        <v>0</v>
      </c>
      <c r="I1562" s="9">
        <v>0</v>
      </c>
      <c r="J1562" s="9">
        <v>-31</v>
      </c>
    </row>
    <row r="1563" spans="1:10" ht="15.75" x14ac:dyDescent="0.25">
      <c r="A1563" s="21">
        <v>45443</v>
      </c>
      <c r="B1563" t="str">
        <f>IFERROR(IF(VLOOKUP(C1563,Hoja1!$B$1:$C$6191,2,0)="",_xlfn.XLOOKUP(C1563,Hoja1!$B$2:$B$6191,Hoja1!$A$2:$A$6191),VLOOKUP(C1563,Hoja1!$B$1:$C$6191,2,0)),"No esta en Infor")</f>
        <v>NAC0474</v>
      </c>
      <c r="C1563" s="19" t="s">
        <v>375</v>
      </c>
      <c r="D1563" s="9">
        <v>0</v>
      </c>
      <c r="E1563" s="9">
        <v>195.46</v>
      </c>
      <c r="F1563" s="9">
        <v>0</v>
      </c>
      <c r="G1563" s="9">
        <v>0</v>
      </c>
      <c r="H1563" s="9">
        <v>0</v>
      </c>
      <c r="I1563" s="9">
        <v>0</v>
      </c>
      <c r="J1563" s="9">
        <v>195.46</v>
      </c>
    </row>
    <row r="1564" spans="1:10" ht="15.75" x14ac:dyDescent="0.25">
      <c r="A1564" s="21">
        <v>45443</v>
      </c>
      <c r="B1564" t="str">
        <f>IFERROR(IF(VLOOKUP(C1564,Hoja1!$B$1:$C$6191,2,0)="",_xlfn.XLOOKUP(C1564,Hoja1!$B$2:$B$6191,Hoja1!$A$2:$A$6191),VLOOKUP(C1564,Hoja1!$B$1:$C$6191,2,0)),"No esta en Infor")</f>
        <v>NAC0476</v>
      </c>
      <c r="C1564" s="19" t="s">
        <v>11</v>
      </c>
      <c r="D1564" s="9">
        <v>73508.259999999995</v>
      </c>
      <c r="E1564" s="9">
        <v>63181.15</v>
      </c>
      <c r="F1564" s="9">
        <v>-324.42</v>
      </c>
      <c r="G1564" s="9">
        <v>0</v>
      </c>
      <c r="H1564" s="9">
        <v>-212</v>
      </c>
      <c r="I1564" s="9">
        <v>0</v>
      </c>
      <c r="J1564" s="9">
        <v>136152.99</v>
      </c>
    </row>
    <row r="1565" spans="1:10" ht="15.75" x14ac:dyDescent="0.25">
      <c r="A1565" s="21">
        <v>45443</v>
      </c>
      <c r="B1565" t="str">
        <f>IFERROR(IF(VLOOKUP(C1565,Hoja1!$B$1:$C$6191,2,0)="",_xlfn.XLOOKUP(C1565,Hoja1!$B$2:$B$6191,Hoja1!$A$2:$A$6191),VLOOKUP(C1565,Hoja1!$B$1:$C$6191,2,0)),"No esta en Infor")</f>
        <v>CAN0001</v>
      </c>
      <c r="C1565" s="19" t="s">
        <v>64</v>
      </c>
      <c r="D1565" s="9">
        <v>11597.87</v>
      </c>
      <c r="E1565" s="9">
        <v>0</v>
      </c>
      <c r="F1565" s="9">
        <v>0</v>
      </c>
      <c r="G1565" s="9">
        <v>0</v>
      </c>
      <c r="H1565" s="9">
        <v>0</v>
      </c>
      <c r="I1565" s="9">
        <v>0</v>
      </c>
      <c r="J1565" s="9">
        <v>11597.87</v>
      </c>
    </row>
    <row r="1566" spans="1:10" ht="15.75" x14ac:dyDescent="0.25">
      <c r="A1566" s="21">
        <v>45443</v>
      </c>
      <c r="B1566" t="str">
        <f>IFERROR(IF(VLOOKUP(C1566,Hoja1!$B$1:$C$6191,2,0)="",_xlfn.XLOOKUP(C1566,Hoja1!$B$2:$B$6191,Hoja1!$A$2:$A$6191),VLOOKUP(C1566,Hoja1!$B$1:$C$6191,2,0)),"No esta en Infor")</f>
        <v>NAC0513</v>
      </c>
      <c r="C1566" s="19" t="s">
        <v>377</v>
      </c>
      <c r="D1566" s="9">
        <v>0</v>
      </c>
      <c r="E1566" s="9">
        <v>0</v>
      </c>
      <c r="F1566" s="9">
        <v>-220.24</v>
      </c>
      <c r="G1566" s="9">
        <v>0</v>
      </c>
      <c r="H1566" s="9">
        <v>0</v>
      </c>
      <c r="I1566" s="9">
        <v>0</v>
      </c>
      <c r="J1566" s="9">
        <v>-220.24</v>
      </c>
    </row>
    <row r="1567" spans="1:10" ht="15.75" x14ac:dyDescent="0.25">
      <c r="A1567" s="21">
        <v>45443</v>
      </c>
      <c r="B1567" t="str">
        <f>IFERROR(IF(VLOOKUP(C1567,Hoja1!$B$1:$C$6191,2,0)="",_xlfn.XLOOKUP(C1567,Hoja1!$B$2:$B$6191,Hoja1!$A$2:$A$6191),VLOOKUP(C1567,Hoja1!$B$1:$C$6191,2,0)),"No esta en Infor")</f>
        <v>NAC0515</v>
      </c>
      <c r="C1567" s="19" t="s">
        <v>66</v>
      </c>
      <c r="D1567" s="9">
        <v>0</v>
      </c>
      <c r="E1567" s="9">
        <v>0</v>
      </c>
      <c r="F1567" s="9">
        <v>0</v>
      </c>
      <c r="G1567" s="9">
        <v>0</v>
      </c>
      <c r="H1567" s="9">
        <v>-5.93</v>
      </c>
      <c r="I1567" s="9">
        <v>0</v>
      </c>
      <c r="J1567" s="9">
        <v>-5.93</v>
      </c>
    </row>
    <row r="1568" spans="1:10" ht="15.75" x14ac:dyDescent="0.25">
      <c r="A1568" s="21">
        <v>45443</v>
      </c>
      <c r="B1568" t="str">
        <f>IFERROR(IF(VLOOKUP(C1568,Hoja1!$B$1:$C$6191,2,0)="",_xlfn.XLOOKUP(C1568,Hoja1!$B$2:$B$6191,Hoja1!$A$2:$A$6191),VLOOKUP(C1568,Hoja1!$B$1:$C$6191,2,0)),"No esta en Infor")</f>
        <v>NAC0516</v>
      </c>
      <c r="C1568" s="19" t="s">
        <v>67</v>
      </c>
      <c r="D1568" s="9">
        <v>0</v>
      </c>
      <c r="E1568" s="9">
        <v>0</v>
      </c>
      <c r="F1568" s="9">
        <v>0</v>
      </c>
      <c r="G1568" s="9">
        <v>0</v>
      </c>
      <c r="H1568" s="9">
        <v>0</v>
      </c>
      <c r="I1568" s="9">
        <v>-26.1</v>
      </c>
      <c r="J1568" s="9">
        <v>-26.1</v>
      </c>
    </row>
    <row r="1569" spans="1:10" ht="15.75" x14ac:dyDescent="0.25">
      <c r="A1569" s="21">
        <v>45443</v>
      </c>
      <c r="B1569" t="str">
        <f>IFERROR(IF(VLOOKUP(C1569,Hoja1!$B$1:$C$6191,2,0)="",_xlfn.XLOOKUP(C1569,Hoja1!$B$2:$B$6191,Hoja1!$A$2:$A$6191),VLOOKUP(C1569,Hoja1!$B$1:$C$6191,2,0)),"No esta en Infor")</f>
        <v>NAC0521</v>
      </c>
      <c r="C1569" s="19" t="s">
        <v>69</v>
      </c>
      <c r="D1569" s="9">
        <v>0</v>
      </c>
      <c r="E1569" s="9">
        <v>0</v>
      </c>
      <c r="F1569" s="9">
        <v>-0.03</v>
      </c>
      <c r="G1569" s="9">
        <v>0</v>
      </c>
      <c r="H1569" s="9">
        <v>0</v>
      </c>
      <c r="I1569" s="9">
        <v>0</v>
      </c>
      <c r="J1569" s="9">
        <v>-0.03</v>
      </c>
    </row>
    <row r="1570" spans="1:10" ht="15.75" x14ac:dyDescent="0.25">
      <c r="A1570" s="21">
        <v>45443</v>
      </c>
      <c r="B1570" t="str">
        <f>IFERROR(IF(VLOOKUP(C1570,Hoja1!$B$1:$C$6191,2,0)="",_xlfn.XLOOKUP(C1570,Hoja1!$B$2:$B$6191,Hoja1!$A$2:$A$6191),VLOOKUP(C1570,Hoja1!$B$1:$C$6191,2,0)),"No esta en Infor")</f>
        <v>NAC1617</v>
      </c>
      <c r="C1570" s="19" t="s">
        <v>70</v>
      </c>
      <c r="D1570" s="9">
        <v>0</v>
      </c>
      <c r="E1570" s="9">
        <v>0</v>
      </c>
      <c r="F1570" s="9">
        <v>0</v>
      </c>
      <c r="G1570" s="9">
        <v>0</v>
      </c>
      <c r="H1570" s="9">
        <v>0</v>
      </c>
      <c r="I1570" s="9">
        <v>8803.11</v>
      </c>
      <c r="J1570" s="9">
        <v>8803.11</v>
      </c>
    </row>
    <row r="1571" spans="1:10" ht="15.75" x14ac:dyDescent="0.25">
      <c r="A1571" s="21">
        <v>45443</v>
      </c>
      <c r="B1571" t="str">
        <f>IFERROR(IF(VLOOKUP(C1571,Hoja1!$B$1:$C$6191,2,0)="",_xlfn.XLOOKUP(C1571,Hoja1!$B$2:$B$6191,Hoja1!$A$2:$A$6191),VLOOKUP(C1571,Hoja1!$B$1:$C$6191,2,0)),"No esta en Infor")</f>
        <v>NAC0525</v>
      </c>
      <c r="C1571" s="19" t="s">
        <v>71</v>
      </c>
      <c r="D1571" s="9">
        <v>0</v>
      </c>
      <c r="E1571" s="9">
        <v>636</v>
      </c>
      <c r="F1571" s="9">
        <v>0</v>
      </c>
      <c r="G1571" s="9">
        <v>0</v>
      </c>
      <c r="H1571" s="9">
        <v>0</v>
      </c>
      <c r="I1571" s="9">
        <v>0</v>
      </c>
      <c r="J1571" s="9">
        <v>636</v>
      </c>
    </row>
    <row r="1572" spans="1:10" ht="15.75" x14ac:dyDescent="0.25">
      <c r="A1572" s="21">
        <v>45443</v>
      </c>
      <c r="B1572" t="str">
        <f>IFERROR(IF(VLOOKUP(C1572,Hoja1!$B$1:$C$6191,2,0)="",_xlfn.XLOOKUP(C1572,Hoja1!$B$2:$B$6191,Hoja1!$A$2:$A$6191),VLOOKUP(C1572,Hoja1!$B$1:$C$6191,2,0)),"No esta en Infor")</f>
        <v>SH00092</v>
      </c>
      <c r="C1572" s="19" t="s">
        <v>72</v>
      </c>
      <c r="D1572" s="9">
        <v>0</v>
      </c>
      <c r="E1572" s="9">
        <v>0</v>
      </c>
      <c r="F1572" s="9">
        <v>0</v>
      </c>
      <c r="G1572" s="9">
        <v>0</v>
      </c>
      <c r="H1572" s="9">
        <v>0</v>
      </c>
      <c r="I1572" s="9">
        <v>-945.86</v>
      </c>
      <c r="J1572" s="9">
        <v>-945.86</v>
      </c>
    </row>
    <row r="1573" spans="1:10" ht="15.75" x14ac:dyDescent="0.25">
      <c r="A1573" s="21">
        <v>45443</v>
      </c>
      <c r="B1573" t="str">
        <f>IFERROR(IF(VLOOKUP(C1573,Hoja1!$B$1:$C$6191,2,0)="",_xlfn.XLOOKUP(C1573,Hoja1!$B$2:$B$6191,Hoja1!$A$2:$A$6191),VLOOKUP(C1573,Hoja1!$B$1:$C$6191,2,0)),"No esta en Infor")</f>
        <v>NAC0528</v>
      </c>
      <c r="C1573" s="19" t="s">
        <v>76</v>
      </c>
      <c r="D1573" s="9">
        <v>48101.4</v>
      </c>
      <c r="E1573" s="9">
        <v>0</v>
      </c>
      <c r="F1573" s="9">
        <v>0</v>
      </c>
      <c r="G1573" s="9">
        <v>0</v>
      </c>
      <c r="H1573" s="9">
        <v>0</v>
      </c>
      <c r="I1573" s="9">
        <v>0</v>
      </c>
      <c r="J1573" s="9">
        <v>48101.4</v>
      </c>
    </row>
    <row r="1574" spans="1:10" ht="15.75" x14ac:dyDescent="0.25">
      <c r="A1574" s="21">
        <v>45443</v>
      </c>
      <c r="B1574" t="str">
        <f>IFERROR(IF(VLOOKUP(C1574,Hoja1!$B$1:$C$6191,2,0)="",_xlfn.XLOOKUP(C1574,Hoja1!$B$2:$B$6191,Hoja1!$A$2:$A$6191),VLOOKUP(C1574,Hoja1!$B$1:$C$6191,2,0)),"No esta en Infor")</f>
        <v>NAC0533</v>
      </c>
      <c r="C1574" s="19" t="s">
        <v>381</v>
      </c>
      <c r="D1574" s="9">
        <v>0</v>
      </c>
      <c r="E1574" s="9">
        <v>358</v>
      </c>
      <c r="F1574" s="9">
        <v>0</v>
      </c>
      <c r="G1574" s="9">
        <v>0</v>
      </c>
      <c r="H1574" s="9">
        <v>0</v>
      </c>
      <c r="I1574" s="9">
        <v>0</v>
      </c>
      <c r="J1574" s="9">
        <v>358</v>
      </c>
    </row>
    <row r="1575" spans="1:10" ht="15.75" x14ac:dyDescent="0.25">
      <c r="A1575" s="21">
        <v>45443</v>
      </c>
      <c r="B1575" t="str">
        <f>IFERROR(IF(VLOOKUP(C1575,Hoja1!$B$1:$C$6191,2,0)="",_xlfn.XLOOKUP(C1575,Hoja1!$B$2:$B$6191,Hoja1!$A$2:$A$6191),VLOOKUP(C1575,Hoja1!$B$1:$C$6191,2,0)),"No esta en Infor")</f>
        <v>NAC0537</v>
      </c>
      <c r="C1575" s="19" t="s">
        <v>13</v>
      </c>
      <c r="D1575" s="9">
        <v>1474.05</v>
      </c>
      <c r="E1575" s="9">
        <v>0</v>
      </c>
      <c r="F1575" s="9">
        <v>0</v>
      </c>
      <c r="G1575" s="9">
        <v>0</v>
      </c>
      <c r="H1575" s="9">
        <v>0</v>
      </c>
      <c r="I1575" s="9">
        <v>0</v>
      </c>
      <c r="J1575" s="9">
        <v>1474.05</v>
      </c>
    </row>
    <row r="1576" spans="1:10" ht="15.75" x14ac:dyDescent="0.25">
      <c r="A1576" s="21">
        <v>45443</v>
      </c>
      <c r="B1576" t="str">
        <f>IFERROR(IF(VLOOKUP(C1576,Hoja1!$B$1:$C$6191,2,0)="",_xlfn.XLOOKUP(C1576,Hoja1!$B$2:$B$6191,Hoja1!$A$2:$A$6191),VLOOKUP(C1576,Hoja1!$B$1:$C$6191,2,0)),"No esta en Infor")</f>
        <v>NAC0546</v>
      </c>
      <c r="C1576" s="19" t="s">
        <v>83</v>
      </c>
      <c r="D1576" s="9">
        <v>2670</v>
      </c>
      <c r="E1576" s="9">
        <v>0</v>
      </c>
      <c r="F1576" s="9">
        <v>0</v>
      </c>
      <c r="G1576" s="9">
        <v>0</v>
      </c>
      <c r="H1576" s="9">
        <v>0</v>
      </c>
      <c r="I1576" s="9">
        <v>0</v>
      </c>
      <c r="J1576" s="9">
        <v>2670</v>
      </c>
    </row>
    <row r="1577" spans="1:10" ht="15.75" x14ac:dyDescent="0.25">
      <c r="A1577" s="21">
        <v>45443</v>
      </c>
      <c r="B1577" t="str">
        <f>IFERROR(IF(VLOOKUP(C1577,Hoja1!$B$1:$C$6191,2,0)="",_xlfn.XLOOKUP(C1577,Hoja1!$B$2:$B$6191,Hoja1!$A$2:$A$6191),VLOOKUP(C1577,Hoja1!$B$1:$C$6191,2,0)),"No esta en Infor")</f>
        <v>NAC0550</v>
      </c>
      <c r="C1577" s="19" t="s">
        <v>84</v>
      </c>
      <c r="D1577" s="9">
        <v>25705</v>
      </c>
      <c r="E1577" s="9">
        <v>56925</v>
      </c>
      <c r="F1577" s="9">
        <v>0</v>
      </c>
      <c r="G1577" s="9">
        <v>0</v>
      </c>
      <c r="H1577" s="9">
        <v>0</v>
      </c>
      <c r="I1577" s="9">
        <v>0</v>
      </c>
      <c r="J1577" s="9">
        <v>82630</v>
      </c>
    </row>
    <row r="1578" spans="1:10" ht="15.75" x14ac:dyDescent="0.25">
      <c r="A1578" s="21">
        <v>45443</v>
      </c>
      <c r="B1578" t="str">
        <f>IFERROR(IF(VLOOKUP(C1578,Hoja1!$B$1:$C$6191,2,0)="",_xlfn.XLOOKUP(C1578,Hoja1!$B$2:$B$6191,Hoja1!$A$2:$A$6191),VLOOKUP(C1578,Hoja1!$B$1:$C$6191,2,0)),"No esta en Infor")</f>
        <v>NAC0551</v>
      </c>
      <c r="C1578" s="19" t="s">
        <v>85</v>
      </c>
      <c r="D1578" s="9">
        <v>2628.75</v>
      </c>
      <c r="E1578" s="9">
        <v>0</v>
      </c>
      <c r="F1578" s="9">
        <v>0</v>
      </c>
      <c r="G1578" s="9">
        <v>0</v>
      </c>
      <c r="H1578" s="9">
        <v>0</v>
      </c>
      <c r="I1578" s="9">
        <v>0</v>
      </c>
      <c r="J1578" s="9">
        <v>2628.75</v>
      </c>
    </row>
    <row r="1579" spans="1:10" ht="15.75" x14ac:dyDescent="0.25">
      <c r="A1579" s="21">
        <v>45443</v>
      </c>
      <c r="B1579" t="str">
        <f>IFERROR(IF(VLOOKUP(C1579,Hoja1!$B$1:$C$6191,2,0)="",_xlfn.XLOOKUP(C1579,Hoja1!$B$2:$B$6191,Hoja1!$A$2:$A$6191),VLOOKUP(C1579,Hoja1!$B$1:$C$6191,2,0)),"No esta en Infor")</f>
        <v>NAC0558</v>
      </c>
      <c r="C1579" s="19" t="s">
        <v>86</v>
      </c>
      <c r="D1579" s="9">
        <v>16368</v>
      </c>
      <c r="E1579" s="9">
        <v>355</v>
      </c>
      <c r="F1579" s="9">
        <v>0</v>
      </c>
      <c r="G1579" s="9">
        <v>0</v>
      </c>
      <c r="H1579" s="9">
        <v>0</v>
      </c>
      <c r="I1579" s="9">
        <v>0</v>
      </c>
      <c r="J1579" s="9">
        <v>16723</v>
      </c>
    </row>
    <row r="1580" spans="1:10" ht="15.75" x14ac:dyDescent="0.25">
      <c r="A1580" s="21">
        <v>45443</v>
      </c>
      <c r="B1580" t="str">
        <f>IFERROR(IF(VLOOKUP(C1580,Hoja1!$B$1:$C$6191,2,0)="",_xlfn.XLOOKUP(C1580,Hoja1!$B$2:$B$6191,Hoja1!$A$2:$A$6191),VLOOKUP(C1580,Hoja1!$B$1:$C$6191,2,0)),"No esta en Infor")</f>
        <v>SH00218</v>
      </c>
      <c r="C1580" s="19" t="s">
        <v>88</v>
      </c>
      <c r="D1580" s="9">
        <v>0</v>
      </c>
      <c r="E1580" s="9">
        <v>0</v>
      </c>
      <c r="F1580" s="9">
        <v>0</v>
      </c>
      <c r="G1580" s="9">
        <v>84.55</v>
      </c>
      <c r="H1580" s="9">
        <v>0</v>
      </c>
      <c r="I1580" s="9">
        <v>0</v>
      </c>
      <c r="J1580" s="9">
        <v>84.55</v>
      </c>
    </row>
    <row r="1581" spans="1:10" ht="15.75" x14ac:dyDescent="0.25">
      <c r="A1581" s="21">
        <v>45443</v>
      </c>
      <c r="B1581" t="str">
        <f>IFERROR(IF(VLOOKUP(C1581,Hoja1!$B$1:$C$6191,2,0)="",_xlfn.XLOOKUP(C1581,Hoja1!$B$2:$B$6191,Hoja1!$A$2:$A$6191),VLOOKUP(C1581,Hoja1!$B$1:$C$6191,2,0)),"No esta en Infor")</f>
        <v>NAC0567</v>
      </c>
      <c r="C1581" s="19" t="s">
        <v>541</v>
      </c>
      <c r="D1581" s="9">
        <v>608.84</v>
      </c>
      <c r="E1581" s="9">
        <v>0</v>
      </c>
      <c r="F1581" s="9">
        <v>0</v>
      </c>
      <c r="G1581" s="9">
        <v>0</v>
      </c>
      <c r="H1581" s="9">
        <v>0</v>
      </c>
      <c r="I1581" s="9">
        <v>0</v>
      </c>
      <c r="J1581" s="9">
        <v>608.84</v>
      </c>
    </row>
    <row r="1582" spans="1:10" ht="15.75" x14ac:dyDescent="0.25">
      <c r="A1582" s="21">
        <v>45443</v>
      </c>
      <c r="B1582" t="str">
        <f>IFERROR(IF(VLOOKUP(C1582,Hoja1!$B$1:$C$6191,2,0)="",_xlfn.XLOOKUP(C1582,Hoja1!$B$2:$B$6191,Hoja1!$A$2:$A$6191),VLOOKUP(C1582,Hoja1!$B$1:$C$6191,2,0)),"No esta en Infor")</f>
        <v>NAC0571</v>
      </c>
      <c r="C1582" s="19" t="s">
        <v>440</v>
      </c>
      <c r="D1582" s="9">
        <v>0</v>
      </c>
      <c r="E1582" s="9">
        <v>3347.19</v>
      </c>
      <c r="F1582" s="9">
        <v>0</v>
      </c>
      <c r="G1582" s="9">
        <v>0</v>
      </c>
      <c r="H1582" s="9">
        <v>0</v>
      </c>
      <c r="I1582" s="9">
        <v>0</v>
      </c>
      <c r="J1582" s="9">
        <v>3347.19</v>
      </c>
    </row>
    <row r="1583" spans="1:10" ht="15.75" x14ac:dyDescent="0.25">
      <c r="A1583" s="21">
        <v>45443</v>
      </c>
      <c r="B1583" t="str">
        <f>IFERROR(IF(VLOOKUP(C1583,Hoja1!$B$1:$C$6191,2,0)="",_xlfn.XLOOKUP(C1583,Hoja1!$B$2:$B$6191,Hoja1!$A$2:$A$6191),VLOOKUP(C1583,Hoja1!$B$1:$C$6191,2,0)),"No esta en Infor")</f>
        <v>CAN0003</v>
      </c>
      <c r="C1583" s="19" t="s">
        <v>441</v>
      </c>
      <c r="D1583" s="9">
        <v>0</v>
      </c>
      <c r="E1583" s="9">
        <v>2651.78</v>
      </c>
      <c r="F1583" s="9">
        <v>0</v>
      </c>
      <c r="G1583" s="9">
        <v>0</v>
      </c>
      <c r="H1583" s="9">
        <v>0</v>
      </c>
      <c r="I1583" s="9">
        <v>0</v>
      </c>
      <c r="J1583" s="9">
        <v>2651.78</v>
      </c>
    </row>
    <row r="1584" spans="1:10" ht="15.75" x14ac:dyDescent="0.25">
      <c r="A1584" s="21">
        <v>45443</v>
      </c>
      <c r="B1584" t="str">
        <f>IFERROR(IF(VLOOKUP(C1584,Hoja1!$B$1:$C$6191,2,0)="",_xlfn.XLOOKUP(C1584,Hoja1!$B$2:$B$6191,Hoja1!$A$2:$A$6191),VLOOKUP(C1584,Hoja1!$B$1:$C$6191,2,0)),"No esta en Infor")</f>
        <v>NAC0581</v>
      </c>
      <c r="C1584" s="19" t="s">
        <v>384</v>
      </c>
      <c r="D1584" s="9">
        <v>0</v>
      </c>
      <c r="E1584" s="9">
        <v>623.27</v>
      </c>
      <c r="F1584" s="9">
        <v>0</v>
      </c>
      <c r="G1584" s="9">
        <v>0</v>
      </c>
      <c r="H1584" s="9">
        <v>0</v>
      </c>
      <c r="I1584" s="9">
        <v>0</v>
      </c>
      <c r="J1584" s="9">
        <v>623.27</v>
      </c>
    </row>
    <row r="1585" spans="1:10" ht="15.75" x14ac:dyDescent="0.25">
      <c r="A1585" s="21">
        <v>45443</v>
      </c>
      <c r="B1585" t="str">
        <f>IFERROR(IF(VLOOKUP(C1585,Hoja1!$B$1:$C$6191,2,0)="",_xlfn.XLOOKUP(C1585,Hoja1!$B$2:$B$6191,Hoja1!$A$2:$A$6191),VLOOKUP(C1585,Hoja1!$B$1:$C$6191,2,0)),"No esta en Infor")</f>
        <v>NAC0589</v>
      </c>
      <c r="C1585" s="19" t="s">
        <v>92</v>
      </c>
      <c r="D1585" s="9">
        <v>3141.5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3141.5</v>
      </c>
    </row>
    <row r="1586" spans="1:10" ht="15.75" x14ac:dyDescent="0.25">
      <c r="A1586" s="21">
        <v>45443</v>
      </c>
      <c r="B1586" t="str">
        <f>IFERROR(IF(VLOOKUP(C1586,Hoja1!$B$1:$C$6191,2,0)="",_xlfn.XLOOKUP(C1586,Hoja1!$B$2:$B$6191,Hoja1!$A$2:$A$6191),VLOOKUP(C1586,Hoja1!$B$1:$C$6191,2,0)),"No esta en Infor")</f>
        <v>NAC0592</v>
      </c>
      <c r="C1586" s="19" t="s">
        <v>93</v>
      </c>
      <c r="D1586" s="9">
        <v>0</v>
      </c>
      <c r="E1586" s="9">
        <v>0</v>
      </c>
      <c r="F1586" s="9">
        <v>-2547.65</v>
      </c>
      <c r="G1586" s="9">
        <v>0</v>
      </c>
      <c r="H1586" s="9">
        <v>0</v>
      </c>
      <c r="I1586" s="9">
        <v>0</v>
      </c>
      <c r="J1586" s="9">
        <v>-2547.65</v>
      </c>
    </row>
    <row r="1587" spans="1:10" ht="15.75" x14ac:dyDescent="0.25">
      <c r="A1587" s="21">
        <v>45443</v>
      </c>
      <c r="B1587" t="str">
        <f>IFERROR(IF(VLOOKUP(C1587,Hoja1!$B$1:$C$6191,2,0)="",_xlfn.XLOOKUP(C1587,Hoja1!$B$2:$B$6191,Hoja1!$A$2:$A$6191),VLOOKUP(C1587,Hoja1!$B$1:$C$6191,2,0)),"No esta en Infor")</f>
        <v>NAC0594</v>
      </c>
      <c r="C1587" s="19" t="s">
        <v>94</v>
      </c>
      <c r="D1587" s="9">
        <v>86734.59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86734.59</v>
      </c>
    </row>
    <row r="1588" spans="1:10" ht="15.75" x14ac:dyDescent="0.25">
      <c r="A1588" s="21">
        <v>45443</v>
      </c>
      <c r="B1588" t="str">
        <f>IFERROR(IF(VLOOKUP(C1588,Hoja1!$B$1:$C$6191,2,0)="",_xlfn.XLOOKUP(C1588,Hoja1!$B$2:$B$6191,Hoja1!$A$2:$A$6191),VLOOKUP(C1588,Hoja1!$B$1:$C$6191,2,0)),"No esta en Infor")</f>
        <v>NAC0600</v>
      </c>
      <c r="C1588" s="19" t="s">
        <v>96</v>
      </c>
      <c r="D1588" s="9">
        <v>7843.88</v>
      </c>
      <c r="E1588" s="9">
        <v>0</v>
      </c>
      <c r="F1588" s="9">
        <v>0</v>
      </c>
      <c r="G1588" s="9">
        <v>0</v>
      </c>
      <c r="H1588" s="9">
        <v>0</v>
      </c>
      <c r="I1588" s="9">
        <v>0</v>
      </c>
      <c r="J1588" s="9">
        <v>7843.88</v>
      </c>
    </row>
    <row r="1589" spans="1:10" ht="15.75" x14ac:dyDescent="0.25">
      <c r="A1589" s="21">
        <v>45443</v>
      </c>
      <c r="B1589" t="str">
        <f>IFERROR(IF(VLOOKUP(C1589,Hoja1!$B$1:$C$6191,2,0)="",_xlfn.XLOOKUP(C1589,Hoja1!$B$2:$B$6191,Hoja1!$A$2:$A$6191),VLOOKUP(C1589,Hoja1!$B$1:$C$6191,2,0)),"No esta en Infor")</f>
        <v>NAC0604</v>
      </c>
      <c r="C1589" s="19" t="s">
        <v>97</v>
      </c>
      <c r="D1589" s="9">
        <v>0</v>
      </c>
      <c r="E1589" s="9">
        <v>844.09</v>
      </c>
      <c r="F1589" s="9">
        <v>0</v>
      </c>
      <c r="G1589" s="9">
        <v>0</v>
      </c>
      <c r="H1589" s="9">
        <v>0</v>
      </c>
      <c r="I1589" s="9">
        <v>0</v>
      </c>
      <c r="J1589" s="9">
        <v>844.09</v>
      </c>
    </row>
    <row r="1590" spans="1:10" ht="15.75" x14ac:dyDescent="0.25">
      <c r="A1590" s="21">
        <v>45443</v>
      </c>
      <c r="B1590" t="str">
        <f>IFERROR(IF(VLOOKUP(C1590,Hoja1!$B$1:$C$6191,2,0)="",_xlfn.XLOOKUP(C1590,Hoja1!$B$2:$B$6191,Hoja1!$A$2:$A$6191),VLOOKUP(C1590,Hoja1!$B$1:$C$6191,2,0)),"No esta en Infor")</f>
        <v>NAC0612</v>
      </c>
      <c r="C1590" s="19" t="s">
        <v>100</v>
      </c>
      <c r="D1590" s="9">
        <v>13054.01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13054.01</v>
      </c>
    </row>
    <row r="1591" spans="1:10" ht="15.75" x14ac:dyDescent="0.25">
      <c r="A1591" s="21">
        <v>45443</v>
      </c>
      <c r="B1591" t="str">
        <f>IFERROR(IF(VLOOKUP(C1591,Hoja1!$B$1:$C$6191,2,0)="",_xlfn.XLOOKUP(C1591,Hoja1!$B$2:$B$6191,Hoja1!$A$2:$A$6191),VLOOKUP(C1591,Hoja1!$B$1:$C$6191,2,0)),"No esta en Infor")</f>
        <v>NAC0613</v>
      </c>
      <c r="C1591" s="19" t="s">
        <v>101</v>
      </c>
      <c r="D1591" s="9">
        <v>0</v>
      </c>
      <c r="E1591" s="9">
        <v>44.38</v>
      </c>
      <c r="F1591" s="9">
        <v>-79.08</v>
      </c>
      <c r="G1591" s="9">
        <v>0</v>
      </c>
      <c r="H1591" s="9">
        <v>0</v>
      </c>
      <c r="I1591" s="9">
        <v>0</v>
      </c>
      <c r="J1591" s="9">
        <v>-34.700000000000003</v>
      </c>
    </row>
    <row r="1592" spans="1:10" ht="15.75" x14ac:dyDescent="0.25">
      <c r="A1592" s="21">
        <v>45443</v>
      </c>
      <c r="B1592" t="str">
        <f>IFERROR(IF(VLOOKUP(C1592,Hoja1!$B$1:$C$6191,2,0)="",_xlfn.XLOOKUP(C1592,Hoja1!$B$2:$B$6191,Hoja1!$A$2:$A$6191),VLOOKUP(C1592,Hoja1!$B$1:$C$6191,2,0)),"No esta en Infor")</f>
        <v>NAC0618</v>
      </c>
      <c r="C1592" s="19" t="s">
        <v>488</v>
      </c>
      <c r="D1592" s="9">
        <v>0</v>
      </c>
      <c r="E1592" s="9">
        <v>120.02</v>
      </c>
      <c r="F1592" s="9">
        <v>0</v>
      </c>
      <c r="G1592" s="9">
        <v>0</v>
      </c>
      <c r="H1592" s="9">
        <v>0</v>
      </c>
      <c r="I1592" s="9">
        <v>0</v>
      </c>
      <c r="J1592" s="9">
        <v>120.02</v>
      </c>
    </row>
    <row r="1593" spans="1:10" ht="15.75" x14ac:dyDescent="0.25">
      <c r="A1593" s="21">
        <v>45443</v>
      </c>
      <c r="B1593" t="str">
        <f>IFERROR(IF(VLOOKUP(C1593,Hoja1!$B$1:$C$6191,2,0)="",_xlfn.XLOOKUP(C1593,Hoja1!$B$2:$B$6191,Hoja1!$A$2:$A$6191),VLOOKUP(C1593,Hoja1!$B$1:$C$6191,2,0)),"No esta en Infor")</f>
        <v>NAC0620</v>
      </c>
      <c r="C1593" s="19" t="s">
        <v>388</v>
      </c>
      <c r="D1593" s="9">
        <v>0</v>
      </c>
      <c r="E1593" s="9">
        <v>8556</v>
      </c>
      <c r="F1593" s="9">
        <v>0</v>
      </c>
      <c r="G1593" s="9">
        <v>0</v>
      </c>
      <c r="H1593" s="9">
        <v>0</v>
      </c>
      <c r="I1593" s="9">
        <v>0</v>
      </c>
      <c r="J1593" s="9">
        <v>8556</v>
      </c>
    </row>
    <row r="1594" spans="1:10" ht="15.75" x14ac:dyDescent="0.25">
      <c r="A1594" s="21">
        <v>45443</v>
      </c>
      <c r="B1594" t="str">
        <f>IFERROR(IF(VLOOKUP(C1594,Hoja1!$B$1:$C$6191,2,0)="",_xlfn.XLOOKUP(C1594,Hoja1!$B$2:$B$6191,Hoja1!$A$2:$A$6191),VLOOKUP(C1594,Hoja1!$B$1:$C$6191,2,0)),"No esta en Infor")</f>
        <v>NAC0624</v>
      </c>
      <c r="C1594" s="19" t="s">
        <v>105</v>
      </c>
      <c r="D1594" s="9">
        <v>0</v>
      </c>
      <c r="E1594" s="9">
        <v>0</v>
      </c>
      <c r="F1594" s="9">
        <v>-178.12</v>
      </c>
      <c r="G1594" s="9">
        <v>0</v>
      </c>
      <c r="H1594" s="9">
        <v>0</v>
      </c>
      <c r="I1594" s="9">
        <v>0</v>
      </c>
      <c r="J1594" s="9">
        <v>-178.12</v>
      </c>
    </row>
    <row r="1595" spans="1:10" ht="15.75" x14ac:dyDescent="0.25">
      <c r="A1595" s="21">
        <v>45443</v>
      </c>
      <c r="B1595" t="str">
        <f>IFERROR(IF(VLOOKUP(C1595,Hoja1!$B$1:$C$6191,2,0)="",_xlfn.XLOOKUP(C1595,Hoja1!$B$2:$B$6191,Hoja1!$A$2:$A$6191),VLOOKUP(C1595,Hoja1!$B$1:$C$6191,2,0)),"No esta en Infor")</f>
        <v>CAN0007</v>
      </c>
      <c r="C1595" s="19" t="s">
        <v>107</v>
      </c>
      <c r="D1595" s="9">
        <v>0</v>
      </c>
      <c r="E1595" s="9">
        <v>0</v>
      </c>
      <c r="F1595" s="9">
        <v>-15.48</v>
      </c>
      <c r="G1595" s="9">
        <v>0</v>
      </c>
      <c r="H1595" s="9">
        <v>0</v>
      </c>
      <c r="I1595" s="9">
        <v>0</v>
      </c>
      <c r="J1595" s="9">
        <v>-15.48</v>
      </c>
    </row>
    <row r="1596" spans="1:10" ht="15.75" x14ac:dyDescent="0.25">
      <c r="A1596" s="21">
        <v>45443</v>
      </c>
      <c r="B1596" t="str">
        <f>IFERROR(IF(VLOOKUP(C1596,Hoja1!$B$1:$C$6191,2,0)="",_xlfn.XLOOKUP(C1596,Hoja1!$B$2:$B$6191,Hoja1!$A$2:$A$6191),VLOOKUP(C1596,Hoja1!$B$1:$C$6191,2,0)),"No esta en Infor")</f>
        <v>SH00429</v>
      </c>
      <c r="C1596" s="19" t="s">
        <v>542</v>
      </c>
      <c r="D1596" s="9">
        <v>67.37</v>
      </c>
      <c r="E1596" s="9">
        <v>0</v>
      </c>
      <c r="F1596" s="9">
        <v>0</v>
      </c>
      <c r="G1596" s="9">
        <v>0</v>
      </c>
      <c r="H1596" s="9">
        <v>0</v>
      </c>
      <c r="I1596" s="9">
        <v>0</v>
      </c>
      <c r="J1596" s="9">
        <v>67.37</v>
      </c>
    </row>
    <row r="1597" spans="1:10" ht="15.75" x14ac:dyDescent="0.25">
      <c r="A1597" s="21">
        <v>45443</v>
      </c>
      <c r="B1597" t="str">
        <f>IFERROR(IF(VLOOKUP(C1597,Hoja1!$B$1:$C$6191,2,0)="",_xlfn.XLOOKUP(C1597,Hoja1!$B$2:$B$6191,Hoja1!$A$2:$A$6191),VLOOKUP(C1597,Hoja1!$B$1:$C$6191,2,0)),"No esta en Infor")</f>
        <v>NAC0646</v>
      </c>
      <c r="C1597" s="19" t="s">
        <v>112</v>
      </c>
      <c r="D1597" s="9">
        <v>344</v>
      </c>
      <c r="E1597" s="9">
        <v>0</v>
      </c>
      <c r="F1597" s="9">
        <v>-0.8</v>
      </c>
      <c r="G1597" s="9">
        <v>0</v>
      </c>
      <c r="H1597" s="9">
        <v>0</v>
      </c>
      <c r="I1597" s="9">
        <v>0</v>
      </c>
      <c r="J1597" s="9">
        <v>343.2</v>
      </c>
    </row>
    <row r="1598" spans="1:10" ht="15.75" x14ac:dyDescent="0.25">
      <c r="A1598" s="21">
        <v>45443</v>
      </c>
      <c r="B1598" t="str">
        <f>IFERROR(IF(VLOOKUP(C1598,Hoja1!$B$1:$C$6191,2,0)="",_xlfn.XLOOKUP(C1598,Hoja1!$B$2:$B$6191,Hoja1!$A$2:$A$6191),VLOOKUP(C1598,Hoja1!$B$1:$C$6191,2,0)),"No esta en Infor")</f>
        <v>NAC0651</v>
      </c>
      <c r="C1598" s="19" t="s">
        <v>543</v>
      </c>
      <c r="D1598" s="9">
        <v>180.48</v>
      </c>
      <c r="E1598" s="9">
        <v>0</v>
      </c>
      <c r="F1598" s="9">
        <v>0</v>
      </c>
      <c r="G1598" s="9">
        <v>0</v>
      </c>
      <c r="H1598" s="9">
        <v>0</v>
      </c>
      <c r="I1598" s="9">
        <v>0</v>
      </c>
      <c r="J1598" s="9">
        <v>180.48</v>
      </c>
    </row>
    <row r="1599" spans="1:10" ht="15.75" x14ac:dyDescent="0.25">
      <c r="A1599" s="21">
        <v>45443</v>
      </c>
      <c r="B1599" t="str">
        <f>IFERROR(IF(VLOOKUP(C1599,Hoja1!$B$1:$C$6191,2,0)="",_xlfn.XLOOKUP(C1599,Hoja1!$B$2:$B$6191,Hoja1!$A$2:$A$6191),VLOOKUP(C1599,Hoja1!$B$1:$C$6191,2,0)),"No esta en Infor")</f>
        <v>NAC0657</v>
      </c>
      <c r="C1599" s="19" t="s">
        <v>114</v>
      </c>
      <c r="D1599" s="9">
        <v>956</v>
      </c>
      <c r="E1599" s="9">
        <v>1120</v>
      </c>
      <c r="F1599" s="9">
        <v>0</v>
      </c>
      <c r="G1599" s="9">
        <v>0</v>
      </c>
      <c r="H1599" s="9">
        <v>0</v>
      </c>
      <c r="I1599" s="9">
        <v>0</v>
      </c>
      <c r="J1599" s="9">
        <v>2076</v>
      </c>
    </row>
    <row r="1600" spans="1:10" ht="15.75" x14ac:dyDescent="0.25">
      <c r="A1600" s="21">
        <v>45443</v>
      </c>
      <c r="B1600" t="str">
        <f>IFERROR(IF(VLOOKUP(C1600,Hoja1!$B$1:$C$6191,2,0)="",_xlfn.XLOOKUP(C1600,Hoja1!$B$2:$B$6191,Hoja1!$A$2:$A$6191),VLOOKUP(C1600,Hoja1!$B$1:$C$6191,2,0)),"No esta en Infor")</f>
        <v>CAN0008</v>
      </c>
      <c r="C1600" s="19" t="s">
        <v>115</v>
      </c>
      <c r="D1600" s="9">
        <v>0</v>
      </c>
      <c r="E1600" s="9">
        <v>480</v>
      </c>
      <c r="F1600" s="9">
        <v>0</v>
      </c>
      <c r="G1600" s="9">
        <v>0</v>
      </c>
      <c r="H1600" s="9">
        <v>0</v>
      </c>
      <c r="I1600" s="9">
        <v>0</v>
      </c>
      <c r="J1600" s="9">
        <v>480</v>
      </c>
    </row>
    <row r="1601" spans="1:10" ht="15.75" x14ac:dyDescent="0.25">
      <c r="A1601" s="21">
        <v>45443</v>
      </c>
      <c r="B1601" t="str">
        <f>IFERROR(IF(VLOOKUP(C1601,Hoja1!$B$1:$C$6191,2,0)="",_xlfn.XLOOKUP(C1601,Hoja1!$B$2:$B$6191,Hoja1!$A$2:$A$6191),VLOOKUP(C1601,Hoja1!$B$1:$C$6191,2,0)),"No esta en Infor")</f>
        <v>CAN0009</v>
      </c>
      <c r="C1601" s="19" t="s">
        <v>116</v>
      </c>
      <c r="D1601" s="9">
        <v>0</v>
      </c>
      <c r="E1601" s="9">
        <v>-33.630000000000003</v>
      </c>
      <c r="F1601" s="9">
        <v>0</v>
      </c>
      <c r="G1601" s="9">
        <v>0</v>
      </c>
      <c r="H1601" s="9">
        <v>0</v>
      </c>
      <c r="I1601" s="9">
        <v>0</v>
      </c>
      <c r="J1601" s="9">
        <v>-33.630000000000003</v>
      </c>
    </row>
    <row r="1602" spans="1:10" ht="15.75" x14ac:dyDescent="0.25">
      <c r="A1602" s="21">
        <v>45443</v>
      </c>
      <c r="B1602" t="str">
        <f>IFERROR(IF(VLOOKUP(C1602,Hoja1!$B$1:$C$6191,2,0)="",_xlfn.XLOOKUP(C1602,Hoja1!$B$2:$B$6191,Hoja1!$A$2:$A$6191),VLOOKUP(C1602,Hoja1!$B$1:$C$6191,2,0)),"No esta en Infor")</f>
        <v>NAC0666</v>
      </c>
      <c r="C1602" s="19" t="s">
        <v>118</v>
      </c>
      <c r="D1602" s="9">
        <v>15547</v>
      </c>
      <c r="E1602" s="9">
        <v>33605.800000000003</v>
      </c>
      <c r="F1602" s="9">
        <v>0</v>
      </c>
      <c r="G1602" s="9">
        <v>0</v>
      </c>
      <c r="H1602" s="9">
        <v>0</v>
      </c>
      <c r="I1602" s="9">
        <v>0</v>
      </c>
      <c r="J1602" s="9">
        <v>49152.800000000003</v>
      </c>
    </row>
    <row r="1603" spans="1:10" ht="15.75" x14ac:dyDescent="0.25">
      <c r="A1603" s="21">
        <v>45443</v>
      </c>
      <c r="B1603" t="str">
        <f>IFERROR(IF(VLOOKUP(C1603,Hoja1!$B$1:$C$6191,2,0)="",_xlfn.XLOOKUP(C1603,Hoja1!$B$2:$B$6191,Hoja1!$A$2:$A$6191),VLOOKUP(C1603,Hoja1!$B$1:$C$6191,2,0)),"No esta en Infor")</f>
        <v>NAC0669</v>
      </c>
      <c r="C1603" s="19" t="s">
        <v>119</v>
      </c>
      <c r="D1603" s="9">
        <v>1838.39</v>
      </c>
      <c r="E1603" s="9">
        <v>1043.04</v>
      </c>
      <c r="F1603" s="9">
        <v>-0.01</v>
      </c>
      <c r="G1603" s="9">
        <v>-0.01</v>
      </c>
      <c r="H1603" s="9">
        <v>0</v>
      </c>
      <c r="I1603" s="9">
        <v>-0.01</v>
      </c>
      <c r="J1603" s="9">
        <v>2881.4</v>
      </c>
    </row>
    <row r="1604" spans="1:10" ht="15.75" x14ac:dyDescent="0.25">
      <c r="A1604" s="21">
        <v>45443</v>
      </c>
      <c r="B1604" t="str">
        <f>IFERROR(IF(VLOOKUP(C1604,Hoja1!$B$1:$C$6191,2,0)="",_xlfn.XLOOKUP(C1604,Hoja1!$B$2:$B$6191,Hoja1!$A$2:$A$6191),VLOOKUP(C1604,Hoja1!$B$1:$C$6191,2,0)),"No esta en Infor")</f>
        <v>NAC0673</v>
      </c>
      <c r="C1604" s="19" t="s">
        <v>390</v>
      </c>
      <c r="D1604" s="9">
        <v>0</v>
      </c>
      <c r="E1604" s="9">
        <v>672.85</v>
      </c>
      <c r="F1604" s="9">
        <v>0</v>
      </c>
      <c r="G1604" s="9">
        <v>0</v>
      </c>
      <c r="H1604" s="9">
        <v>0</v>
      </c>
      <c r="I1604" s="9">
        <v>0</v>
      </c>
      <c r="J1604" s="9">
        <v>672.85</v>
      </c>
    </row>
    <row r="1605" spans="1:10" ht="15.75" x14ac:dyDescent="0.25">
      <c r="A1605" s="21">
        <v>45443</v>
      </c>
      <c r="B1605" t="str">
        <f>IFERROR(IF(VLOOKUP(C1605,Hoja1!$B$1:$C$6191,2,0)="",_xlfn.XLOOKUP(C1605,Hoja1!$B$2:$B$6191,Hoja1!$A$2:$A$6191),VLOOKUP(C1605,Hoja1!$B$1:$C$6191,2,0)),"No esta en Infor")</f>
        <v>SH00498</v>
      </c>
      <c r="C1605" s="19" t="s">
        <v>123</v>
      </c>
      <c r="D1605" s="9">
        <v>0</v>
      </c>
      <c r="E1605" s="9">
        <v>0</v>
      </c>
      <c r="F1605" s="9">
        <v>0</v>
      </c>
      <c r="G1605" s="9">
        <v>78.38</v>
      </c>
      <c r="H1605" s="9">
        <v>0</v>
      </c>
      <c r="I1605" s="9">
        <v>0</v>
      </c>
      <c r="J1605" s="9">
        <v>78.38</v>
      </c>
    </row>
    <row r="1606" spans="1:10" ht="15.75" x14ac:dyDescent="0.25">
      <c r="A1606" s="21">
        <v>45443</v>
      </c>
      <c r="B1606" t="str">
        <f>IFERROR(IF(VLOOKUP(C1606,Hoja1!$B$1:$C$6191,2,0)="",_xlfn.XLOOKUP(C1606,Hoja1!$B$2:$B$6191,Hoja1!$A$2:$A$6191),VLOOKUP(C1606,Hoja1!$B$1:$C$6191,2,0)),"No esta en Infor")</f>
        <v>NAC0675</v>
      </c>
      <c r="C1606" s="19" t="s">
        <v>124</v>
      </c>
      <c r="D1606" s="9">
        <v>0</v>
      </c>
      <c r="E1606" s="9">
        <v>0</v>
      </c>
      <c r="F1606" s="9">
        <v>-787.89</v>
      </c>
      <c r="G1606" s="9">
        <v>0</v>
      </c>
      <c r="H1606" s="9">
        <v>0</v>
      </c>
      <c r="I1606" s="9">
        <v>0</v>
      </c>
      <c r="J1606" s="9">
        <v>-787.89</v>
      </c>
    </row>
    <row r="1607" spans="1:10" ht="15.75" x14ac:dyDescent="0.25">
      <c r="A1607" s="21">
        <v>45443</v>
      </c>
      <c r="B1607" t="str">
        <f>IFERROR(IF(VLOOKUP(C1607,Hoja1!$B$1:$C$6191,2,0)="",_xlfn.XLOOKUP(C1607,Hoja1!$B$2:$B$6191,Hoja1!$A$2:$A$6191),VLOOKUP(C1607,Hoja1!$B$1:$C$6191,2,0)),"No esta en Infor")</f>
        <v>NAC0682</v>
      </c>
      <c r="C1607" s="19" t="s">
        <v>127</v>
      </c>
      <c r="D1607" s="9">
        <v>734</v>
      </c>
      <c r="E1607" s="9">
        <v>0</v>
      </c>
      <c r="F1607" s="9">
        <v>0</v>
      </c>
      <c r="G1607" s="9">
        <v>0</v>
      </c>
      <c r="H1607" s="9">
        <v>0</v>
      </c>
      <c r="I1607" s="9">
        <v>0</v>
      </c>
      <c r="J1607" s="9">
        <v>734</v>
      </c>
    </row>
    <row r="1608" spans="1:10" ht="15.75" x14ac:dyDescent="0.25">
      <c r="A1608" s="21">
        <v>45443</v>
      </c>
      <c r="B1608" t="str">
        <f>IFERROR(IF(VLOOKUP(C1608,Hoja1!$B$1:$C$6191,2,0)="",_xlfn.XLOOKUP(C1608,Hoja1!$B$2:$B$6191,Hoja1!$A$2:$A$6191),VLOOKUP(C1608,Hoja1!$B$1:$C$6191,2,0)),"No esta en Infor")</f>
        <v>NAC0685</v>
      </c>
      <c r="C1608" s="19" t="s">
        <v>544</v>
      </c>
      <c r="D1608" s="9">
        <v>441</v>
      </c>
      <c r="E1608" s="9">
        <v>0</v>
      </c>
      <c r="F1608" s="9">
        <v>0</v>
      </c>
      <c r="G1608" s="9">
        <v>0</v>
      </c>
      <c r="H1608" s="9">
        <v>0</v>
      </c>
      <c r="I1608" s="9">
        <v>0</v>
      </c>
      <c r="J1608" s="9">
        <v>441</v>
      </c>
    </row>
    <row r="1609" spans="1:10" ht="15.75" x14ac:dyDescent="0.25">
      <c r="A1609" s="21">
        <v>45443</v>
      </c>
      <c r="B1609" t="str">
        <f>IFERROR(IF(VLOOKUP(C1609,Hoja1!$B$1:$C$6191,2,0)="",_xlfn.XLOOKUP(C1609,Hoja1!$B$2:$B$6191,Hoja1!$A$2:$A$6191),VLOOKUP(C1609,Hoja1!$B$1:$C$6191,2,0)),"No esta en Infor")</f>
        <v>NAC0687</v>
      </c>
      <c r="C1609" s="19" t="s">
        <v>128</v>
      </c>
      <c r="D1609" s="9">
        <v>0</v>
      </c>
      <c r="E1609" s="9">
        <v>0</v>
      </c>
      <c r="F1609" s="9">
        <v>0</v>
      </c>
      <c r="G1609" s="9">
        <v>-4768.2</v>
      </c>
      <c r="H1609" s="9">
        <v>0</v>
      </c>
      <c r="I1609" s="9">
        <v>0</v>
      </c>
      <c r="J1609" s="9">
        <v>-4768.2</v>
      </c>
    </row>
    <row r="1610" spans="1:10" ht="15.75" x14ac:dyDescent="0.25">
      <c r="A1610" s="21">
        <v>45443</v>
      </c>
      <c r="B1610" t="str">
        <f>IFERROR(IF(VLOOKUP(C1610,Hoja1!$B$1:$C$6191,2,0)="",_xlfn.XLOOKUP(C1610,Hoja1!$B$2:$B$6191,Hoja1!$A$2:$A$6191),VLOOKUP(C1610,Hoja1!$B$1:$C$6191,2,0)),"No esta en Infor")</f>
        <v>NAC0693</v>
      </c>
      <c r="C1610" s="19" t="s">
        <v>545</v>
      </c>
      <c r="D1610" s="9">
        <v>1117</v>
      </c>
      <c r="E1610" s="9">
        <v>0</v>
      </c>
      <c r="F1610" s="9">
        <v>0</v>
      </c>
      <c r="G1610" s="9">
        <v>0</v>
      </c>
      <c r="H1610" s="9">
        <v>0</v>
      </c>
      <c r="I1610" s="9">
        <v>0</v>
      </c>
      <c r="J1610" s="9">
        <v>1117</v>
      </c>
    </row>
    <row r="1611" spans="1:10" ht="15.75" x14ac:dyDescent="0.25">
      <c r="A1611" s="21">
        <v>45443</v>
      </c>
      <c r="B1611" t="str">
        <f>IFERROR(IF(VLOOKUP(C1611,Hoja1!$B$1:$C$6191,2,0)="",_xlfn.XLOOKUP(C1611,Hoja1!$B$2:$B$6191,Hoja1!$A$2:$A$6191),VLOOKUP(C1611,Hoja1!$B$1:$C$6191,2,0)),"No esta en Infor")</f>
        <v>SH00585</v>
      </c>
      <c r="C1611" s="19" t="s">
        <v>546</v>
      </c>
      <c r="D1611" s="9">
        <v>0</v>
      </c>
      <c r="E1611" s="9">
        <v>86.72</v>
      </c>
      <c r="F1611" s="9">
        <v>0</v>
      </c>
      <c r="G1611" s="9">
        <v>0</v>
      </c>
      <c r="H1611" s="9">
        <v>0</v>
      </c>
      <c r="I1611" s="9">
        <v>0</v>
      </c>
      <c r="J1611" s="9">
        <v>86.72</v>
      </c>
    </row>
    <row r="1612" spans="1:10" ht="15.75" x14ac:dyDescent="0.25">
      <c r="A1612" s="21">
        <v>45443</v>
      </c>
      <c r="B1612" t="str">
        <f>IFERROR(IF(VLOOKUP(C1612,Hoja1!$B$1:$C$6191,2,0)="",_xlfn.XLOOKUP(C1612,Hoja1!$B$2:$B$6191,Hoja1!$A$2:$A$6191),VLOOKUP(C1612,Hoja1!$B$1:$C$6191,2,0)),"No esta en Infor")</f>
        <v>SH00596</v>
      </c>
      <c r="C1612" s="19" t="s">
        <v>547</v>
      </c>
      <c r="D1612" s="9">
        <v>0</v>
      </c>
      <c r="E1612" s="9">
        <v>222.56</v>
      </c>
      <c r="F1612" s="9">
        <v>0</v>
      </c>
      <c r="G1612" s="9">
        <v>0</v>
      </c>
      <c r="H1612" s="9">
        <v>0</v>
      </c>
      <c r="I1612" s="9">
        <v>0</v>
      </c>
      <c r="J1612" s="9">
        <v>222.56</v>
      </c>
    </row>
    <row r="1613" spans="1:10" ht="15.75" x14ac:dyDescent="0.25">
      <c r="A1613" s="21">
        <v>45443</v>
      </c>
      <c r="B1613" t="str">
        <f>IFERROR(IF(VLOOKUP(C1613,Hoja1!$B$1:$C$6191,2,0)="",_xlfn.XLOOKUP(C1613,Hoja1!$B$2:$B$6191,Hoja1!$A$2:$A$6191),VLOOKUP(C1613,Hoja1!$B$1:$C$6191,2,0)),"No esta en Infor")</f>
        <v>SH00604</v>
      </c>
      <c r="C1613" s="19" t="s">
        <v>548</v>
      </c>
      <c r="D1613" s="9">
        <v>-35.380000000000003</v>
      </c>
      <c r="E1613" s="9">
        <v>0</v>
      </c>
      <c r="F1613" s="9">
        <v>0</v>
      </c>
      <c r="G1613" s="9">
        <v>0</v>
      </c>
      <c r="H1613" s="9">
        <v>0</v>
      </c>
      <c r="I1613" s="9">
        <v>0</v>
      </c>
      <c r="J1613" s="9">
        <v>-35.380000000000003</v>
      </c>
    </row>
    <row r="1614" spans="1:10" ht="15.75" x14ac:dyDescent="0.25">
      <c r="A1614" s="21">
        <v>45443</v>
      </c>
      <c r="B1614" t="str">
        <f>IFERROR(IF(VLOOKUP(C1614,Hoja1!$B$1:$C$6191,2,0)="",_xlfn.XLOOKUP(C1614,Hoja1!$B$2:$B$6191,Hoja1!$A$2:$A$6191),VLOOKUP(C1614,Hoja1!$B$1:$C$6191,2,0)),"No esta en Infor")</f>
        <v>SH00610</v>
      </c>
      <c r="C1614" s="19" t="s">
        <v>129</v>
      </c>
      <c r="D1614" s="9">
        <v>0</v>
      </c>
      <c r="E1614" s="9">
        <v>0</v>
      </c>
      <c r="F1614" s="9">
        <v>53.53</v>
      </c>
      <c r="G1614" s="9">
        <v>0</v>
      </c>
      <c r="H1614" s="9">
        <v>0</v>
      </c>
      <c r="I1614" s="9">
        <v>0</v>
      </c>
      <c r="J1614" s="9">
        <v>53.53</v>
      </c>
    </row>
    <row r="1615" spans="1:10" ht="15.75" x14ac:dyDescent="0.25">
      <c r="A1615" s="21">
        <v>45443</v>
      </c>
      <c r="B1615" t="str">
        <f>IFERROR(IF(VLOOKUP(C1615,Hoja1!$B$1:$C$6191,2,0)="",_xlfn.XLOOKUP(C1615,Hoja1!$B$2:$B$6191,Hoja1!$A$2:$A$6191),VLOOKUP(C1615,Hoja1!$B$1:$C$6191,2,0)),"No esta en Infor")</f>
        <v>INT0052</v>
      </c>
      <c r="C1615" s="19" t="s">
        <v>130</v>
      </c>
      <c r="D1615" s="9">
        <v>131.97</v>
      </c>
      <c r="E1615" s="9">
        <v>6665.87</v>
      </c>
      <c r="F1615" s="9">
        <v>7458.18</v>
      </c>
      <c r="G1615" s="9">
        <v>11486.15</v>
      </c>
      <c r="H1615" s="9">
        <v>60.19</v>
      </c>
      <c r="I1615" s="9">
        <v>1.1000000000000001</v>
      </c>
      <c r="J1615" s="9">
        <v>25803.46</v>
      </c>
    </row>
    <row r="1616" spans="1:10" ht="15.75" x14ac:dyDescent="0.25">
      <c r="A1616" s="21">
        <v>45443</v>
      </c>
      <c r="B1616" t="str">
        <f>IFERROR(IF(VLOOKUP(C1616,Hoja1!$B$1:$C$6191,2,0)="",_xlfn.XLOOKUP(C1616,Hoja1!$B$2:$B$6191,Hoja1!$A$2:$A$6191),VLOOKUP(C1616,Hoja1!$B$1:$C$6191,2,0)),"No esta en Infor")</f>
        <v>INT0007</v>
      </c>
      <c r="C1616" s="19" t="s">
        <v>131</v>
      </c>
      <c r="D1616" s="9">
        <v>664740.06999999995</v>
      </c>
      <c r="E1616" s="9">
        <v>1707736.48</v>
      </c>
      <c r="F1616" s="9">
        <v>-212435.4</v>
      </c>
      <c r="G1616" s="9">
        <v>9613.3700000000008</v>
      </c>
      <c r="H1616" s="9">
        <v>-5986.81</v>
      </c>
      <c r="I1616" s="9">
        <v>606905.4</v>
      </c>
      <c r="J1616" s="9">
        <v>2770573.11</v>
      </c>
    </row>
    <row r="1617" spans="1:10" ht="15.75" x14ac:dyDescent="0.25">
      <c r="A1617" s="21">
        <v>45443</v>
      </c>
      <c r="B1617" t="str">
        <f>IFERROR(IF(VLOOKUP(C1617,Hoja1!$B$1:$C$6191,2,0)="",_xlfn.XLOOKUP(C1617,Hoja1!$B$2:$B$6191,Hoja1!$A$2:$A$6191),VLOOKUP(C1617,Hoja1!$B$1:$C$6191,2,0)),"No esta en Infor")</f>
        <v>INT0006</v>
      </c>
      <c r="C1617" s="19" t="s">
        <v>132</v>
      </c>
      <c r="D1617" s="9">
        <v>127557.26</v>
      </c>
      <c r="E1617" s="9">
        <v>134893.79</v>
      </c>
      <c r="F1617" s="9">
        <v>27494.03</v>
      </c>
      <c r="G1617" s="9">
        <v>21328.16</v>
      </c>
      <c r="H1617" s="9">
        <v>0</v>
      </c>
      <c r="I1617" s="9">
        <v>97148</v>
      </c>
      <c r="J1617" s="9">
        <v>408421.24</v>
      </c>
    </row>
    <row r="1618" spans="1:10" ht="15.75" x14ac:dyDescent="0.25">
      <c r="A1618" s="21">
        <v>45443</v>
      </c>
      <c r="B1618" t="str">
        <f>IFERROR(IF(VLOOKUP(C1618,Hoja1!$B$1:$C$6191,2,0)="",_xlfn.XLOOKUP(C1618,Hoja1!$B$2:$B$6191,Hoja1!$A$2:$A$6191),VLOOKUP(C1618,Hoja1!$B$1:$C$6191,2,0)),"No esta en Infor")</f>
        <v>INT0002</v>
      </c>
      <c r="C1618" s="19" t="s">
        <v>133</v>
      </c>
      <c r="D1618" s="9">
        <v>36019.11</v>
      </c>
      <c r="E1618" s="9">
        <v>76.17</v>
      </c>
      <c r="F1618" s="9">
        <v>0</v>
      </c>
      <c r="G1618" s="9">
        <v>0</v>
      </c>
      <c r="H1618" s="9">
        <v>0</v>
      </c>
      <c r="I1618" s="9">
        <v>0</v>
      </c>
      <c r="J1618" s="9">
        <v>36095.279999999999</v>
      </c>
    </row>
    <row r="1619" spans="1:10" ht="15.75" x14ac:dyDescent="0.25">
      <c r="A1619" s="21">
        <v>45443</v>
      </c>
      <c r="B1619" t="str">
        <f>IFERROR(IF(VLOOKUP(C1619,Hoja1!$B$1:$C$6191,2,0)="",_xlfn.XLOOKUP(C1619,Hoja1!$B$2:$B$6191,Hoja1!$A$2:$A$6191),VLOOKUP(C1619,Hoja1!$B$1:$C$6191,2,0)),"No esta en Infor")</f>
        <v>INT0001</v>
      </c>
      <c r="C1619" s="19" t="s">
        <v>134</v>
      </c>
      <c r="D1619" s="9">
        <v>59869.27</v>
      </c>
      <c r="E1619" s="9">
        <v>171.98</v>
      </c>
      <c r="F1619" s="9">
        <v>0</v>
      </c>
      <c r="G1619" s="9">
        <v>0</v>
      </c>
      <c r="H1619" s="9">
        <v>-531.94000000000005</v>
      </c>
      <c r="I1619" s="9">
        <v>0</v>
      </c>
      <c r="J1619" s="9">
        <v>59509.31</v>
      </c>
    </row>
    <row r="1620" spans="1:10" ht="15.75" x14ac:dyDescent="0.25">
      <c r="A1620" s="21">
        <v>45443</v>
      </c>
      <c r="B1620" t="str">
        <f>IFERROR(IF(VLOOKUP(C1620,Hoja1!$B$1:$C$6191,2,0)="",_xlfn.XLOOKUP(C1620,Hoja1!$B$2:$B$6191,Hoja1!$A$2:$A$6191),VLOOKUP(C1620,Hoja1!$B$1:$C$6191,2,0)),"No esta en Infor")</f>
        <v>INT0065</v>
      </c>
      <c r="C1620" s="19" t="s">
        <v>135</v>
      </c>
      <c r="D1620" s="9">
        <v>21562.17</v>
      </c>
      <c r="E1620" s="9">
        <v>0</v>
      </c>
      <c r="F1620" s="9">
        <v>-3019.42</v>
      </c>
      <c r="G1620" s="9">
        <v>0</v>
      </c>
      <c r="H1620" s="9">
        <v>0</v>
      </c>
      <c r="I1620" s="9">
        <v>-14950</v>
      </c>
      <c r="J1620" s="9">
        <v>3592.75</v>
      </c>
    </row>
    <row r="1621" spans="1:10" ht="15.75" x14ac:dyDescent="0.25">
      <c r="A1621" s="21">
        <v>45443</v>
      </c>
      <c r="B1621" t="str">
        <f>IFERROR(IF(VLOOKUP(C1621,Hoja1!$B$1:$C$6191,2,0)="",_xlfn.XLOOKUP(C1621,Hoja1!$B$2:$B$6191,Hoja1!$A$2:$A$6191),VLOOKUP(C1621,Hoja1!$B$1:$C$6191,2,0)),"No esta en Infor")</f>
        <v>INT0009</v>
      </c>
      <c r="C1621" t="s">
        <v>658</v>
      </c>
      <c r="D1621" s="9">
        <v>22354.97</v>
      </c>
      <c r="E1621" s="9">
        <v>23968.49</v>
      </c>
      <c r="F1621" s="9">
        <v>1651.83</v>
      </c>
      <c r="G1621" s="9">
        <v>0</v>
      </c>
      <c r="H1621" s="9">
        <v>0</v>
      </c>
      <c r="I1621" s="9">
        <v>-14950</v>
      </c>
      <c r="J1621" s="9">
        <v>33025.29</v>
      </c>
    </row>
    <row r="1622" spans="1:10" ht="15.75" x14ac:dyDescent="0.25">
      <c r="A1622" s="21">
        <v>45443</v>
      </c>
      <c r="B1622" t="str">
        <f>IFERROR(IF(VLOOKUP(C1622,Hoja1!$B$1:$C$6191,2,0)="",_xlfn.XLOOKUP(C1622,Hoja1!$B$2:$B$6191,Hoja1!$A$2:$A$6191),VLOOKUP(C1622,Hoja1!$B$1:$C$6191,2,0)),"No esta en Infor")</f>
        <v>INT0060</v>
      </c>
      <c r="C1622" s="19" t="s">
        <v>136</v>
      </c>
      <c r="D1622" s="9">
        <v>147</v>
      </c>
      <c r="E1622" s="9">
        <v>15869.74</v>
      </c>
      <c r="F1622" s="9">
        <v>6341.76</v>
      </c>
      <c r="G1622" s="9">
        <v>1224</v>
      </c>
      <c r="H1622" s="9">
        <v>3762.5</v>
      </c>
      <c r="I1622" s="9">
        <v>15465.43</v>
      </c>
      <c r="J1622" s="9">
        <v>42810.43</v>
      </c>
    </row>
    <row r="1623" spans="1:10" ht="15.75" x14ac:dyDescent="0.25">
      <c r="A1623" s="21">
        <v>45443</v>
      </c>
      <c r="B1623" t="str">
        <f>IFERROR(IF(VLOOKUP(C1623,Hoja1!$B$1:$C$6191,2,0)="",_xlfn.XLOOKUP(C1623,Hoja1!$B$2:$B$6191,Hoja1!$A$2:$A$6191),VLOOKUP(C1623,Hoja1!$B$1:$C$6191,2,0)),"No esta en Infor")</f>
        <v>NAC0700</v>
      </c>
      <c r="C1623" s="19" t="s">
        <v>137</v>
      </c>
      <c r="D1623" s="9">
        <v>0</v>
      </c>
      <c r="E1623" s="9">
        <v>206</v>
      </c>
      <c r="F1623" s="9">
        <v>0</v>
      </c>
      <c r="G1623" s="9">
        <v>0</v>
      </c>
      <c r="H1623" s="9">
        <v>0</v>
      </c>
      <c r="I1623" s="9">
        <v>0</v>
      </c>
      <c r="J1623" s="9">
        <v>206</v>
      </c>
    </row>
    <row r="1624" spans="1:10" ht="15.75" x14ac:dyDescent="0.25">
      <c r="A1624" s="21">
        <v>45443</v>
      </c>
      <c r="B1624" t="str">
        <f>IFERROR(IF(VLOOKUP(C1624,Hoja1!$B$1:$C$6191,2,0)="",_xlfn.XLOOKUP(C1624,Hoja1!$B$2:$B$6191,Hoja1!$A$2:$A$6191),VLOOKUP(C1624,Hoja1!$B$1:$C$6191,2,0)),"No esta en Infor")</f>
        <v>NAC0708</v>
      </c>
      <c r="C1624" s="19" t="s">
        <v>549</v>
      </c>
      <c r="D1624" s="9">
        <v>0</v>
      </c>
      <c r="E1624" s="9">
        <v>-1015</v>
      </c>
      <c r="F1624" s="9">
        <v>0</v>
      </c>
      <c r="G1624" s="9">
        <v>0</v>
      </c>
      <c r="H1624" s="9">
        <v>0</v>
      </c>
      <c r="I1624" s="9">
        <v>0</v>
      </c>
      <c r="J1624" s="9">
        <v>-1015</v>
      </c>
    </row>
    <row r="1625" spans="1:10" ht="15.75" x14ac:dyDescent="0.25">
      <c r="A1625" s="21">
        <v>45443</v>
      </c>
      <c r="B1625" t="str">
        <f>IFERROR(IF(VLOOKUP(C1625,Hoja1!$B$1:$C$6191,2,0)="",_xlfn.XLOOKUP(C1625,Hoja1!$B$2:$B$6191,Hoja1!$A$2:$A$6191),VLOOKUP(C1625,Hoja1!$B$1:$C$6191,2,0)),"No esta en Infor")</f>
        <v>NAC0710</v>
      </c>
      <c r="C1625" s="19" t="s">
        <v>140</v>
      </c>
      <c r="D1625" s="9">
        <v>1398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1398</v>
      </c>
    </row>
    <row r="1626" spans="1:10" ht="15.75" x14ac:dyDescent="0.25">
      <c r="A1626" s="21">
        <v>45443</v>
      </c>
      <c r="B1626" t="str">
        <f>IFERROR(IF(VLOOKUP(C1626,Hoja1!$B$1:$C$6191,2,0)="",_xlfn.XLOOKUP(C1626,Hoja1!$B$2:$B$6191,Hoja1!$A$2:$A$6191),VLOOKUP(C1626,Hoja1!$B$1:$C$6191,2,0)),"No esta en Infor")</f>
        <v>CAN0014</v>
      </c>
      <c r="C1626" s="19" t="s">
        <v>141</v>
      </c>
      <c r="D1626" s="9">
        <v>0</v>
      </c>
      <c r="E1626" s="9">
        <v>0</v>
      </c>
      <c r="F1626" s="9">
        <v>0</v>
      </c>
      <c r="G1626" s="9">
        <v>-119.88</v>
      </c>
      <c r="H1626" s="9">
        <v>0</v>
      </c>
      <c r="I1626" s="9">
        <v>0</v>
      </c>
      <c r="J1626" s="9">
        <v>-119.88</v>
      </c>
    </row>
    <row r="1627" spans="1:10" ht="15.75" x14ac:dyDescent="0.25">
      <c r="A1627" s="21">
        <v>45443</v>
      </c>
      <c r="B1627" t="str">
        <f>IFERROR(IF(VLOOKUP(C1627,Hoja1!$B$1:$C$6191,2,0)="",_xlfn.XLOOKUP(C1627,Hoja1!$B$2:$B$6191,Hoja1!$A$2:$A$6191),VLOOKUP(C1627,Hoja1!$B$1:$C$6191,2,0)),"No esta en Infor")</f>
        <v>NAC0712</v>
      </c>
      <c r="C1627" s="19" t="s">
        <v>142</v>
      </c>
      <c r="D1627" s="9">
        <v>0</v>
      </c>
      <c r="E1627" s="9">
        <v>17234.5</v>
      </c>
      <c r="F1627" s="9">
        <v>0</v>
      </c>
      <c r="G1627" s="9">
        <v>0</v>
      </c>
      <c r="H1627" s="9">
        <v>0</v>
      </c>
      <c r="I1627" s="9">
        <v>0</v>
      </c>
      <c r="J1627" s="9">
        <v>17234.5</v>
      </c>
    </row>
    <row r="1628" spans="1:10" ht="15.75" x14ac:dyDescent="0.25">
      <c r="A1628" s="21">
        <v>45443</v>
      </c>
      <c r="B1628" t="str">
        <f>IFERROR(IF(VLOOKUP(C1628,Hoja1!$B$1:$C$6191,2,0)="",_xlfn.XLOOKUP(C1628,Hoja1!$B$2:$B$6191,Hoja1!$A$2:$A$6191),VLOOKUP(C1628,Hoja1!$B$1:$C$6191,2,0)),"No esta en Infor")</f>
        <v>FOC0023</v>
      </c>
      <c r="C1628" s="19" t="s">
        <v>143</v>
      </c>
      <c r="D1628" s="9">
        <v>2936.25</v>
      </c>
      <c r="E1628" s="9">
        <v>0</v>
      </c>
      <c r="F1628" s="9">
        <v>18788.189999999999</v>
      </c>
      <c r="G1628" s="9">
        <v>-17126.03</v>
      </c>
      <c r="H1628" s="9">
        <v>0</v>
      </c>
      <c r="I1628" s="9">
        <v>20523.25</v>
      </c>
      <c r="J1628" s="9">
        <v>25121.66</v>
      </c>
    </row>
    <row r="1629" spans="1:10" ht="15.75" x14ac:dyDescent="0.25">
      <c r="A1629" s="21">
        <v>45443</v>
      </c>
      <c r="B1629" t="str">
        <f>IFERROR(IF(VLOOKUP(C1629,Hoja1!$B$1:$C$6191,2,0)="",_xlfn.XLOOKUP(C1629,Hoja1!$B$2:$B$6191,Hoja1!$A$2:$A$6191),VLOOKUP(C1629,Hoja1!$B$1:$C$6191,2,0)),"No esta en Infor")</f>
        <v>SH00642</v>
      </c>
      <c r="C1629" s="19" t="s">
        <v>144</v>
      </c>
      <c r="D1629" s="9">
        <v>0</v>
      </c>
      <c r="E1629" s="9">
        <v>0</v>
      </c>
      <c r="F1629" s="9">
        <v>323.89</v>
      </c>
      <c r="G1629" s="9">
        <v>0</v>
      </c>
      <c r="H1629" s="9">
        <v>0</v>
      </c>
      <c r="I1629" s="9">
        <v>0</v>
      </c>
      <c r="J1629" s="9">
        <v>323.89</v>
      </c>
    </row>
    <row r="1630" spans="1:10" ht="15.75" x14ac:dyDescent="0.25">
      <c r="A1630" s="21">
        <v>45443</v>
      </c>
      <c r="B1630" t="str">
        <f>IFERROR(IF(VLOOKUP(C1630,Hoja1!$B$1:$C$6191,2,0)="",_xlfn.XLOOKUP(C1630,Hoja1!$B$2:$B$6191,Hoja1!$A$2:$A$6191),VLOOKUP(C1630,Hoja1!$B$1:$C$6191,2,0)),"No esta en Infor")</f>
        <v>NAC0726</v>
      </c>
      <c r="C1630" s="19" t="s">
        <v>147</v>
      </c>
      <c r="D1630" s="9">
        <v>0</v>
      </c>
      <c r="E1630" s="9">
        <v>15247.8</v>
      </c>
      <c r="F1630" s="9">
        <v>0</v>
      </c>
      <c r="G1630" s="9">
        <v>0</v>
      </c>
      <c r="H1630" s="9">
        <v>0</v>
      </c>
      <c r="I1630" s="9">
        <v>0</v>
      </c>
      <c r="J1630" s="9">
        <v>15247.8</v>
      </c>
    </row>
    <row r="1631" spans="1:10" ht="15.75" x14ac:dyDescent="0.25">
      <c r="A1631" s="21">
        <v>45443</v>
      </c>
      <c r="B1631" t="str">
        <f>IFERROR(IF(VLOOKUP(C1631,Hoja1!$B$1:$C$6191,2,0)="",_xlfn.XLOOKUP(C1631,Hoja1!$B$2:$B$6191,Hoja1!$A$2:$A$6191),VLOOKUP(C1631,Hoja1!$B$1:$C$6191,2,0)),"No esta en Infor")</f>
        <v>SH00674</v>
      </c>
      <c r="C1631" s="19" t="s">
        <v>550</v>
      </c>
      <c r="D1631" s="9">
        <v>0</v>
      </c>
      <c r="E1631" s="9">
        <v>53.69</v>
      </c>
      <c r="F1631" s="9">
        <v>0</v>
      </c>
      <c r="G1631" s="9">
        <v>0</v>
      </c>
      <c r="H1631" s="9">
        <v>0</v>
      </c>
      <c r="I1631" s="9">
        <v>0</v>
      </c>
      <c r="J1631" s="9">
        <v>53.69</v>
      </c>
    </row>
    <row r="1632" spans="1:10" ht="15.75" x14ac:dyDescent="0.25">
      <c r="A1632" s="21">
        <v>45443</v>
      </c>
      <c r="B1632" t="str">
        <f>IFERROR(IF(VLOOKUP(C1632,Hoja1!$B$1:$C$6191,2,0)="",_xlfn.XLOOKUP(C1632,Hoja1!$B$2:$B$6191,Hoja1!$A$2:$A$6191),VLOOKUP(C1632,Hoja1!$B$1:$C$6191,2,0)),"No esta en Infor")</f>
        <v>NAC0734</v>
      </c>
      <c r="C1632" s="19" t="s">
        <v>149</v>
      </c>
      <c r="D1632" s="9">
        <v>235.64</v>
      </c>
      <c r="E1632" s="9">
        <v>116.7</v>
      </c>
      <c r="F1632" s="9">
        <v>0</v>
      </c>
      <c r="G1632" s="9">
        <v>0</v>
      </c>
      <c r="H1632" s="9">
        <v>0</v>
      </c>
      <c r="I1632" s="9">
        <v>0</v>
      </c>
      <c r="J1632" s="9">
        <v>352.34</v>
      </c>
    </row>
    <row r="1633" spans="1:10" ht="15.75" x14ac:dyDescent="0.25">
      <c r="A1633" s="21">
        <v>45443</v>
      </c>
      <c r="B1633" t="str">
        <f>IFERROR(IF(VLOOKUP(C1633,Hoja1!$B$1:$C$6191,2,0)="",_xlfn.XLOOKUP(C1633,Hoja1!$B$2:$B$6191,Hoja1!$A$2:$A$6191),VLOOKUP(C1633,Hoja1!$B$1:$C$6191,2,0)),"No esta en Infor")</f>
        <v>NAC0738</v>
      </c>
      <c r="C1633" s="19" t="s">
        <v>150</v>
      </c>
      <c r="D1633" s="9">
        <v>485</v>
      </c>
      <c r="E1633" s="9">
        <v>15.64</v>
      </c>
      <c r="F1633" s="9">
        <v>-15.64</v>
      </c>
      <c r="G1633" s="9">
        <v>0</v>
      </c>
      <c r="H1633" s="9">
        <v>0</v>
      </c>
      <c r="I1633" s="9">
        <v>0</v>
      </c>
      <c r="J1633" s="9">
        <v>485</v>
      </c>
    </row>
    <row r="1634" spans="1:10" ht="15.75" x14ac:dyDescent="0.25">
      <c r="A1634" s="21">
        <v>45443</v>
      </c>
      <c r="B1634" t="str">
        <f>IFERROR(IF(VLOOKUP(C1634,Hoja1!$B$1:$C$6191,2,0)="",_xlfn.XLOOKUP(C1634,Hoja1!$B$2:$B$6191,Hoja1!$A$2:$A$6191),VLOOKUP(C1634,Hoja1!$B$1:$C$6191,2,0)),"No esta en Infor")</f>
        <v>NAC0740</v>
      </c>
      <c r="C1634" s="19" t="s">
        <v>151</v>
      </c>
      <c r="D1634" s="9">
        <v>0</v>
      </c>
      <c r="E1634" s="9">
        <v>60</v>
      </c>
      <c r="F1634" s="9">
        <v>0</v>
      </c>
      <c r="G1634" s="9">
        <v>0</v>
      </c>
      <c r="H1634" s="9">
        <v>96.38</v>
      </c>
      <c r="I1634" s="9">
        <v>0</v>
      </c>
      <c r="J1634" s="9">
        <v>156.38</v>
      </c>
    </row>
    <row r="1635" spans="1:10" ht="15.75" x14ac:dyDescent="0.25">
      <c r="A1635" s="21">
        <v>45443</v>
      </c>
      <c r="B1635" t="str">
        <f>IFERROR(IF(VLOOKUP(C1635,Hoja1!$B$1:$C$6191,2,0)="",_xlfn.XLOOKUP(C1635,Hoja1!$B$2:$B$6191,Hoja1!$A$2:$A$6191),VLOOKUP(C1635,Hoja1!$B$1:$C$6191,2,0)),"No esta en Infor")</f>
        <v>NAC0756</v>
      </c>
      <c r="C1635" s="19" t="s">
        <v>154</v>
      </c>
      <c r="D1635" s="9">
        <v>0</v>
      </c>
      <c r="E1635" s="9">
        <v>0</v>
      </c>
      <c r="F1635" s="9">
        <v>0</v>
      </c>
      <c r="G1635" s="9">
        <v>-3.79</v>
      </c>
      <c r="H1635" s="9">
        <v>0</v>
      </c>
      <c r="I1635" s="9">
        <v>0</v>
      </c>
      <c r="J1635" s="9">
        <v>-3.79</v>
      </c>
    </row>
    <row r="1636" spans="1:10" ht="15.75" x14ac:dyDescent="0.25">
      <c r="A1636" s="21">
        <v>45443</v>
      </c>
      <c r="B1636" t="str">
        <f>IFERROR(IF(VLOOKUP(C1636,Hoja1!$B$1:$C$6191,2,0)="",_xlfn.XLOOKUP(C1636,Hoja1!$B$2:$B$6191,Hoja1!$A$2:$A$6191),VLOOKUP(C1636,Hoja1!$B$1:$C$6191,2,0)),"No esta en Infor")</f>
        <v>NAC0767</v>
      </c>
      <c r="C1636" s="19" t="s">
        <v>155</v>
      </c>
      <c r="D1636" s="9">
        <v>10293</v>
      </c>
      <c r="E1636" s="9">
        <v>1452695.57</v>
      </c>
      <c r="F1636" s="9">
        <v>0</v>
      </c>
      <c r="G1636" s="9">
        <v>0</v>
      </c>
      <c r="H1636" s="9">
        <v>-20987.9</v>
      </c>
      <c r="I1636" s="9">
        <v>0</v>
      </c>
      <c r="J1636" s="9">
        <v>1442000.67</v>
      </c>
    </row>
    <row r="1637" spans="1:10" ht="15.75" x14ac:dyDescent="0.25">
      <c r="A1637" s="21">
        <v>45443</v>
      </c>
      <c r="B1637" t="str">
        <f>IFERROR(IF(VLOOKUP(C1637,Hoja1!$B$1:$C$6191,2,0)="",_xlfn.XLOOKUP(C1637,Hoja1!$B$2:$B$6191,Hoja1!$A$2:$A$6191),VLOOKUP(C1637,Hoja1!$B$1:$C$6191,2,0)),"No esta en Infor")</f>
        <v>NAC0769</v>
      </c>
      <c r="C1637" s="19" t="s">
        <v>156</v>
      </c>
      <c r="D1637" s="9">
        <v>8333.9500000000007</v>
      </c>
      <c r="E1637" s="9">
        <v>4220.8999999999996</v>
      </c>
      <c r="F1637" s="9">
        <v>0</v>
      </c>
      <c r="G1637" s="9">
        <v>0</v>
      </c>
      <c r="H1637" s="9">
        <v>0</v>
      </c>
      <c r="I1637" s="9">
        <v>0</v>
      </c>
      <c r="J1637" s="9">
        <v>12554.85</v>
      </c>
    </row>
    <row r="1638" spans="1:10" ht="15.75" x14ac:dyDescent="0.25">
      <c r="A1638" s="21">
        <v>45443</v>
      </c>
      <c r="B1638" t="str">
        <f>IFERROR(IF(VLOOKUP(C1638,Hoja1!$B$1:$C$6191,2,0)="",_xlfn.XLOOKUP(C1638,Hoja1!$B$2:$B$6191,Hoja1!$A$2:$A$6191),VLOOKUP(C1638,Hoja1!$B$1:$C$6191,2,0)),"No esta en Infor")</f>
        <v>NAC0773</v>
      </c>
      <c r="C1638" s="19" t="s">
        <v>157</v>
      </c>
      <c r="D1638" s="9">
        <v>202.63</v>
      </c>
      <c r="E1638" s="9">
        <v>0</v>
      </c>
      <c r="F1638" s="9">
        <v>0</v>
      </c>
      <c r="G1638" s="9">
        <v>0</v>
      </c>
      <c r="H1638" s="9">
        <v>0</v>
      </c>
      <c r="I1638" s="9">
        <v>0</v>
      </c>
      <c r="J1638" s="9">
        <v>202.63</v>
      </c>
    </row>
    <row r="1639" spans="1:10" ht="15.75" x14ac:dyDescent="0.25">
      <c r="A1639" s="21">
        <v>45443</v>
      </c>
      <c r="B1639" t="str">
        <f>IFERROR(IF(VLOOKUP(C1639,Hoja1!$B$1:$C$6191,2,0)="",_xlfn.XLOOKUP(C1639,Hoja1!$B$2:$B$6191,Hoja1!$A$2:$A$6191),VLOOKUP(C1639,Hoja1!$B$1:$C$6191,2,0)),"No esta en Infor")</f>
        <v>NAC0775</v>
      </c>
      <c r="C1639" s="19" t="s">
        <v>158</v>
      </c>
      <c r="D1639" s="9">
        <v>0</v>
      </c>
      <c r="E1639" s="9">
        <v>0</v>
      </c>
      <c r="F1639" s="9">
        <v>-29.24</v>
      </c>
      <c r="G1639" s="9">
        <v>0</v>
      </c>
      <c r="H1639" s="9">
        <v>0</v>
      </c>
      <c r="I1639" s="9">
        <v>0</v>
      </c>
      <c r="J1639" s="9">
        <v>-29.24</v>
      </c>
    </row>
    <row r="1640" spans="1:10" ht="15.75" x14ac:dyDescent="0.25">
      <c r="A1640" s="21">
        <v>45443</v>
      </c>
      <c r="B1640" t="str">
        <f>IFERROR(IF(VLOOKUP(C1640,Hoja1!$B$1:$C$6191,2,0)="",_xlfn.XLOOKUP(C1640,Hoja1!$B$2:$B$6191,Hoja1!$A$2:$A$6191),VLOOKUP(C1640,Hoja1!$B$1:$C$6191,2,0)),"No esta en Infor")</f>
        <v>NAC0778</v>
      </c>
      <c r="C1640" s="19" t="s">
        <v>159</v>
      </c>
      <c r="D1640" s="9">
        <v>0</v>
      </c>
      <c r="E1640" s="9">
        <v>0</v>
      </c>
      <c r="F1640" s="9">
        <v>-781.38</v>
      </c>
      <c r="G1640" s="9">
        <v>0</v>
      </c>
      <c r="H1640" s="9">
        <v>0</v>
      </c>
      <c r="I1640" s="9">
        <v>0</v>
      </c>
      <c r="J1640" s="9">
        <v>-781.38</v>
      </c>
    </row>
    <row r="1641" spans="1:10" ht="15.75" x14ac:dyDescent="0.25">
      <c r="A1641" s="21">
        <v>45443</v>
      </c>
      <c r="B1641" t="str">
        <f>IFERROR(IF(VLOOKUP(C1641,Hoja1!$B$1:$C$6191,2,0)="",_xlfn.XLOOKUP(C1641,Hoja1!$B$2:$B$6191,Hoja1!$A$2:$A$6191),VLOOKUP(C1641,Hoja1!$B$1:$C$6191,2,0)),"No esta en Infor")</f>
        <v>NAC0781</v>
      </c>
      <c r="C1641" s="19" t="s">
        <v>162</v>
      </c>
      <c r="D1641" s="9">
        <v>0</v>
      </c>
      <c r="E1641" s="9">
        <v>0</v>
      </c>
      <c r="F1641" s="9">
        <v>-340</v>
      </c>
      <c r="G1641" s="9">
        <v>0</v>
      </c>
      <c r="H1641" s="9">
        <v>0</v>
      </c>
      <c r="I1641" s="9">
        <v>-390</v>
      </c>
      <c r="J1641" s="9">
        <v>-730</v>
      </c>
    </row>
    <row r="1642" spans="1:10" ht="15.75" x14ac:dyDescent="0.25">
      <c r="A1642" s="21">
        <v>45443</v>
      </c>
      <c r="B1642" t="str">
        <f>IFERROR(IF(VLOOKUP(C1642,Hoja1!$B$1:$C$6191,2,0)="",_xlfn.XLOOKUP(C1642,Hoja1!$B$2:$B$6191,Hoja1!$A$2:$A$6191),VLOOKUP(C1642,Hoja1!$B$1:$C$6191,2,0)),"No esta en Infor")</f>
        <v>NAC0782</v>
      </c>
      <c r="C1642" s="19" t="s">
        <v>496</v>
      </c>
      <c r="D1642" s="9">
        <v>0</v>
      </c>
      <c r="E1642" s="9">
        <v>154</v>
      </c>
      <c r="F1642" s="9">
        <v>0</v>
      </c>
      <c r="G1642" s="9">
        <v>0</v>
      </c>
      <c r="H1642" s="9">
        <v>0</v>
      </c>
      <c r="I1642" s="9">
        <v>0</v>
      </c>
      <c r="J1642" s="9">
        <v>154</v>
      </c>
    </row>
    <row r="1643" spans="1:10" ht="15.75" x14ac:dyDescent="0.25">
      <c r="A1643" s="21">
        <v>45443</v>
      </c>
      <c r="B1643" t="str">
        <f>IFERROR(IF(VLOOKUP(C1643,Hoja1!$B$1:$C$6191,2,0)="",_xlfn.XLOOKUP(C1643,Hoja1!$B$2:$B$6191,Hoja1!$A$2:$A$6191),VLOOKUP(C1643,Hoja1!$B$1:$C$6191,2,0)),"No esta en Infor")</f>
        <v>NAC0788</v>
      </c>
      <c r="C1643" s="19" t="s">
        <v>163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  <c r="I1643" s="9">
        <v>-366</v>
      </c>
      <c r="J1643" s="9">
        <v>-366</v>
      </c>
    </row>
    <row r="1644" spans="1:10" ht="15.75" x14ac:dyDescent="0.25">
      <c r="A1644" s="21">
        <v>45443</v>
      </c>
      <c r="B1644" t="str">
        <f>IFERROR(IF(VLOOKUP(C1644,Hoja1!$B$1:$C$6191,2,0)="",_xlfn.XLOOKUP(C1644,Hoja1!$B$2:$B$6191,Hoja1!$A$2:$A$6191),VLOOKUP(C1644,Hoja1!$B$1:$C$6191,2,0)),"No esta en Infor")</f>
        <v>NAC0792</v>
      </c>
      <c r="C1644" s="19" t="s">
        <v>164</v>
      </c>
      <c r="D1644" s="9">
        <v>92027.06</v>
      </c>
      <c r="E1644" s="9">
        <v>37790.720000000001</v>
      </c>
      <c r="F1644" s="9">
        <v>0</v>
      </c>
      <c r="G1644" s="9">
        <v>0</v>
      </c>
      <c r="H1644" s="9">
        <v>-0.01</v>
      </c>
      <c r="I1644" s="9">
        <v>-0.01</v>
      </c>
      <c r="J1644" s="9">
        <v>129817.76</v>
      </c>
    </row>
    <row r="1645" spans="1:10" ht="15.75" x14ac:dyDescent="0.25">
      <c r="A1645" s="21">
        <v>45443</v>
      </c>
      <c r="B1645" t="str">
        <f>IFERROR(IF(VLOOKUP(C1645,Hoja1!$B$1:$C$6191,2,0)="",_xlfn.XLOOKUP(C1645,Hoja1!$B$2:$B$6191,Hoja1!$A$2:$A$6191),VLOOKUP(C1645,Hoja1!$B$1:$C$6191,2,0)),"No esta en Infor")</f>
        <v>NAC1612</v>
      </c>
      <c r="C1645" s="19" t="s">
        <v>551</v>
      </c>
      <c r="D1645" s="9">
        <v>0</v>
      </c>
      <c r="E1645" s="9">
        <v>0</v>
      </c>
      <c r="F1645" s="9">
        <v>-0.02</v>
      </c>
      <c r="G1645" s="9">
        <v>0</v>
      </c>
      <c r="H1645" s="9">
        <v>0</v>
      </c>
      <c r="I1645" s="9">
        <v>0</v>
      </c>
      <c r="J1645" s="9">
        <v>-0.02</v>
      </c>
    </row>
    <row r="1646" spans="1:10" ht="15.75" x14ac:dyDescent="0.25">
      <c r="A1646" s="21">
        <v>45443</v>
      </c>
      <c r="B1646" t="str">
        <f>IFERROR(IF(VLOOKUP(C1646,Hoja1!$B$1:$C$6191,2,0)="",_xlfn.XLOOKUP(C1646,Hoja1!$B$2:$B$6191,Hoja1!$A$2:$A$6191),VLOOKUP(C1646,Hoja1!$B$1:$C$6191,2,0)),"No esta en Infor")</f>
        <v>NAC0801</v>
      </c>
      <c r="C1646" s="19" t="s">
        <v>168</v>
      </c>
      <c r="D1646" s="9">
        <v>639</v>
      </c>
      <c r="E1646" s="9">
        <v>479</v>
      </c>
      <c r="F1646" s="9">
        <v>0</v>
      </c>
      <c r="G1646" s="9">
        <v>0</v>
      </c>
      <c r="H1646" s="9">
        <v>0</v>
      </c>
      <c r="I1646" s="9">
        <v>0</v>
      </c>
      <c r="J1646" s="9">
        <v>1118</v>
      </c>
    </row>
    <row r="1647" spans="1:10" ht="15.75" x14ac:dyDescent="0.25">
      <c r="A1647" s="21">
        <v>45443</v>
      </c>
      <c r="B1647" t="str">
        <f>IFERROR(IF(VLOOKUP(C1647,Hoja1!$B$1:$C$6191,2,0)="",_xlfn.XLOOKUP(C1647,Hoja1!$B$2:$B$6191,Hoja1!$A$2:$A$6191),VLOOKUP(C1647,Hoja1!$B$1:$C$6191,2,0)),"No esta en Infor")</f>
        <v>NAC0804</v>
      </c>
      <c r="C1647" s="19" t="s">
        <v>169</v>
      </c>
      <c r="D1647" s="9">
        <v>2478.59</v>
      </c>
      <c r="E1647" s="9">
        <v>0</v>
      </c>
      <c r="F1647" s="9">
        <v>0</v>
      </c>
      <c r="G1647" s="9">
        <v>0</v>
      </c>
      <c r="H1647" s="9">
        <v>0</v>
      </c>
      <c r="I1647" s="9">
        <v>0</v>
      </c>
      <c r="J1647" s="9">
        <v>2478.59</v>
      </c>
    </row>
    <row r="1648" spans="1:10" ht="15.75" x14ac:dyDescent="0.25">
      <c r="A1648" s="21">
        <v>45443</v>
      </c>
      <c r="B1648" t="str">
        <f>IFERROR(IF(VLOOKUP(C1648,Hoja1!$B$1:$C$6191,2,0)="",_xlfn.XLOOKUP(C1648,Hoja1!$B$2:$B$6191,Hoja1!$A$2:$A$6191),VLOOKUP(C1648,Hoja1!$B$1:$C$6191,2,0)),"No esta en Infor")</f>
        <v>NAC0805</v>
      </c>
      <c r="C1648" s="19" t="s">
        <v>170</v>
      </c>
      <c r="D1648" s="9">
        <v>0</v>
      </c>
      <c r="E1648" s="9">
        <v>0</v>
      </c>
      <c r="F1648" s="9">
        <v>0</v>
      </c>
      <c r="G1648" s="9">
        <v>0</v>
      </c>
      <c r="H1648" s="9">
        <v>0</v>
      </c>
      <c r="I1648" s="9">
        <v>-0.03</v>
      </c>
      <c r="J1648" s="9">
        <v>-0.03</v>
      </c>
    </row>
    <row r="1649" spans="1:10" ht="15.75" x14ac:dyDescent="0.25">
      <c r="A1649" s="21">
        <v>45443</v>
      </c>
      <c r="B1649" t="str">
        <f>IFERROR(IF(VLOOKUP(C1649,Hoja1!$B$1:$C$6191,2,0)="",_xlfn.XLOOKUP(C1649,Hoja1!$B$2:$B$6191,Hoja1!$A$2:$A$6191),VLOOKUP(C1649,Hoja1!$B$1:$C$6191,2,0)),"No esta en Infor")</f>
        <v>NAC0809</v>
      </c>
      <c r="C1649" s="19" t="s">
        <v>171</v>
      </c>
      <c r="D1649" s="9">
        <v>485.01</v>
      </c>
      <c r="E1649" s="9">
        <v>0</v>
      </c>
      <c r="F1649" s="9">
        <v>0</v>
      </c>
      <c r="G1649" s="9">
        <v>0</v>
      </c>
      <c r="H1649" s="9">
        <v>0</v>
      </c>
      <c r="I1649" s="9">
        <v>0</v>
      </c>
      <c r="J1649" s="9">
        <v>485.01</v>
      </c>
    </row>
    <row r="1650" spans="1:10" ht="15.75" x14ac:dyDescent="0.25">
      <c r="A1650" s="21">
        <v>45443</v>
      </c>
      <c r="B1650" t="str">
        <f>IFERROR(IF(VLOOKUP(C1650,Hoja1!$B$1:$C$6191,2,0)="",_xlfn.XLOOKUP(C1650,Hoja1!$B$2:$B$6191,Hoja1!$A$2:$A$6191),VLOOKUP(C1650,Hoja1!$B$1:$C$6191,2,0)),"No esta en Infor")</f>
        <v>CAN0019</v>
      </c>
      <c r="C1650" s="19" t="s">
        <v>172</v>
      </c>
      <c r="D1650" s="9">
        <v>10866.08</v>
      </c>
      <c r="E1650" s="9">
        <v>10113.049999999999</v>
      </c>
      <c r="F1650" s="9">
        <v>0</v>
      </c>
      <c r="G1650" s="9">
        <v>0</v>
      </c>
      <c r="H1650" s="9">
        <v>0</v>
      </c>
      <c r="I1650" s="9">
        <v>0</v>
      </c>
      <c r="J1650" s="9">
        <v>20979.13</v>
      </c>
    </row>
    <row r="1651" spans="1:10" ht="15.75" x14ac:dyDescent="0.25">
      <c r="A1651" s="21">
        <v>45443</v>
      </c>
      <c r="B1651" t="str">
        <f>IFERROR(IF(VLOOKUP(C1651,Hoja1!$B$1:$C$6191,2,0)="",_xlfn.XLOOKUP(C1651,Hoja1!$B$2:$B$6191,Hoja1!$A$2:$A$6191),VLOOKUP(C1651,Hoja1!$B$1:$C$6191,2,0)),"No esta en Infor")</f>
        <v>No esta en Infor</v>
      </c>
      <c r="C1651" s="19" t="s">
        <v>552</v>
      </c>
      <c r="D1651" s="9">
        <v>211.21</v>
      </c>
      <c r="E1651" s="9">
        <v>0</v>
      </c>
      <c r="F1651" s="9">
        <v>0</v>
      </c>
      <c r="G1651" s="9">
        <v>0</v>
      </c>
      <c r="H1651" s="9">
        <v>0</v>
      </c>
      <c r="I1651" s="9">
        <v>0</v>
      </c>
      <c r="J1651" s="9">
        <v>211.21</v>
      </c>
    </row>
    <row r="1652" spans="1:10" ht="15.75" x14ac:dyDescent="0.25">
      <c r="A1652" s="21">
        <v>45443</v>
      </c>
      <c r="B1652" t="str">
        <f>IFERROR(IF(VLOOKUP(C1652,Hoja1!$B$1:$C$6191,2,0)="",_xlfn.XLOOKUP(C1652,Hoja1!$B$2:$B$6191,Hoja1!$A$2:$A$6191),VLOOKUP(C1652,Hoja1!$B$1:$C$6191,2,0)),"No esta en Infor")</f>
        <v>CAN0020</v>
      </c>
      <c r="C1652" s="19" t="s">
        <v>174</v>
      </c>
      <c r="D1652" s="9">
        <v>6488.4</v>
      </c>
      <c r="E1652" s="9">
        <v>0</v>
      </c>
      <c r="F1652" s="9">
        <v>-36.4</v>
      </c>
      <c r="G1652" s="9">
        <v>0</v>
      </c>
      <c r="H1652" s="9">
        <v>0</v>
      </c>
      <c r="I1652" s="9">
        <v>0</v>
      </c>
      <c r="J1652" s="9">
        <v>6452</v>
      </c>
    </row>
    <row r="1653" spans="1:10" ht="15.75" x14ac:dyDescent="0.25">
      <c r="A1653" s="21">
        <v>45443</v>
      </c>
      <c r="B1653" t="str">
        <f>IFERROR(IF(VLOOKUP(C1653,Hoja1!$B$1:$C$6191,2,0)="",_xlfn.XLOOKUP(C1653,Hoja1!$B$2:$B$6191,Hoja1!$A$2:$A$6191),VLOOKUP(C1653,Hoja1!$B$1:$C$6191,2,0)),"No esta en Infor")</f>
        <v>NAC0818</v>
      </c>
      <c r="C1653" s="19" t="s">
        <v>177</v>
      </c>
      <c r="D1653" s="9">
        <v>0</v>
      </c>
      <c r="E1653" s="9">
        <v>0</v>
      </c>
      <c r="F1653" s="9">
        <v>0</v>
      </c>
      <c r="G1653" s="9">
        <v>0</v>
      </c>
      <c r="H1653" s="9">
        <v>0</v>
      </c>
      <c r="I1653" s="9">
        <v>-26</v>
      </c>
      <c r="J1653" s="9">
        <v>-26</v>
      </c>
    </row>
    <row r="1654" spans="1:10" ht="15.75" x14ac:dyDescent="0.25">
      <c r="A1654" s="21">
        <v>45443</v>
      </c>
      <c r="B1654" t="str">
        <f>IFERROR(IF(VLOOKUP(C1654,Hoja1!$B$1:$C$6191,2,0)="",_xlfn.XLOOKUP(C1654,Hoja1!$B$2:$B$6191,Hoja1!$A$2:$A$6191),VLOOKUP(C1654,Hoja1!$B$1:$C$6191,2,0)),"No esta en Infor")</f>
        <v>NAC0823</v>
      </c>
      <c r="C1654" s="19" t="s">
        <v>497</v>
      </c>
      <c r="D1654" s="9">
        <v>0</v>
      </c>
      <c r="E1654" s="9">
        <v>64.489999999999995</v>
      </c>
      <c r="F1654" s="9">
        <v>0</v>
      </c>
      <c r="G1654" s="9">
        <v>0</v>
      </c>
      <c r="H1654" s="9">
        <v>0</v>
      </c>
      <c r="I1654" s="9">
        <v>0</v>
      </c>
      <c r="J1654" s="9">
        <v>64.489999999999995</v>
      </c>
    </row>
    <row r="1655" spans="1:10" ht="15.75" x14ac:dyDescent="0.25">
      <c r="A1655" s="21">
        <v>45443</v>
      </c>
      <c r="B1655" t="str">
        <f>IFERROR(IF(VLOOKUP(C1655,Hoja1!$B$1:$C$6191,2,0)="",_xlfn.XLOOKUP(C1655,Hoja1!$B$2:$B$6191,Hoja1!$A$2:$A$6191),VLOOKUP(C1655,Hoja1!$B$1:$C$6191,2,0)),"No esta en Infor")</f>
        <v>NAC0824</v>
      </c>
      <c r="C1655" s="19" t="s">
        <v>178</v>
      </c>
      <c r="D1655" s="9">
        <v>0</v>
      </c>
      <c r="E1655" s="9">
        <v>1672</v>
      </c>
      <c r="F1655" s="9">
        <v>0</v>
      </c>
      <c r="G1655" s="9">
        <v>0</v>
      </c>
      <c r="H1655" s="9">
        <v>0</v>
      </c>
      <c r="I1655" s="9">
        <v>0</v>
      </c>
      <c r="J1655" s="9">
        <v>1672</v>
      </c>
    </row>
    <row r="1656" spans="1:10" ht="15.75" x14ac:dyDescent="0.25">
      <c r="A1656" s="21">
        <v>45443</v>
      </c>
      <c r="B1656" t="str">
        <f>IFERROR(IF(VLOOKUP(C1656,Hoja1!$B$1:$C$6191,2,0)="",_xlfn.XLOOKUP(C1656,Hoja1!$B$2:$B$6191,Hoja1!$A$2:$A$6191),VLOOKUP(C1656,Hoja1!$B$1:$C$6191,2,0)),"No esta en Infor")</f>
        <v>NAC0825</v>
      </c>
      <c r="C1656" s="19" t="s">
        <v>179</v>
      </c>
      <c r="D1656" s="9">
        <v>0</v>
      </c>
      <c r="E1656" s="9">
        <v>44400</v>
      </c>
      <c r="F1656" s="9">
        <v>0</v>
      </c>
      <c r="G1656" s="9">
        <v>0</v>
      </c>
      <c r="H1656" s="9">
        <v>0</v>
      </c>
      <c r="I1656" s="9">
        <v>0</v>
      </c>
      <c r="J1656" s="9">
        <v>44400</v>
      </c>
    </row>
    <row r="1657" spans="1:10" ht="15.75" x14ac:dyDescent="0.25">
      <c r="A1657" s="21">
        <v>45443</v>
      </c>
      <c r="B1657" t="str">
        <f>IFERROR(IF(VLOOKUP(C1657,Hoja1!$B$1:$C$6191,2,0)="",_xlfn.XLOOKUP(C1657,Hoja1!$B$2:$B$6191,Hoja1!$A$2:$A$6191),VLOOKUP(C1657,Hoja1!$B$1:$C$6191,2,0)),"No esta en Infor")</f>
        <v>NAC0835</v>
      </c>
      <c r="C1657" s="19" t="s">
        <v>182</v>
      </c>
      <c r="D1657" s="9">
        <v>0</v>
      </c>
      <c r="E1657" s="9">
        <v>0</v>
      </c>
      <c r="F1657" s="9">
        <v>0</v>
      </c>
      <c r="G1657" s="9">
        <v>0</v>
      </c>
      <c r="H1657" s="9">
        <v>0</v>
      </c>
      <c r="I1657" s="9">
        <v>-188.04</v>
      </c>
      <c r="J1657" s="9">
        <v>-188.04</v>
      </c>
    </row>
    <row r="1658" spans="1:10" ht="15.75" x14ac:dyDescent="0.25">
      <c r="A1658" s="21">
        <v>45443</v>
      </c>
      <c r="B1658" t="str">
        <f>IFERROR(IF(VLOOKUP(C1658,Hoja1!$B$1:$C$6191,2,0)="",_xlfn.XLOOKUP(C1658,Hoja1!$B$2:$B$6191,Hoja1!$A$2:$A$6191),VLOOKUP(C1658,Hoja1!$B$1:$C$6191,2,0)),"No esta en Infor")</f>
        <v>NAC0844</v>
      </c>
      <c r="C1658" s="15" t="s">
        <v>22</v>
      </c>
      <c r="D1658" s="16">
        <v>0</v>
      </c>
      <c r="E1658" s="16">
        <v>0</v>
      </c>
      <c r="F1658" s="16">
        <v>0</v>
      </c>
      <c r="G1658" s="16">
        <v>0</v>
      </c>
      <c r="H1658" s="16">
        <v>63</v>
      </c>
      <c r="I1658" s="16">
        <v>0</v>
      </c>
      <c r="J1658" s="16">
        <v>63</v>
      </c>
    </row>
    <row r="1659" spans="1:10" ht="15.75" x14ac:dyDescent="0.25">
      <c r="A1659" s="21">
        <v>45443</v>
      </c>
      <c r="B1659" t="str">
        <f>IFERROR(IF(VLOOKUP(C1659,Hoja1!$B$1:$C$6191,2,0)="",_xlfn.XLOOKUP(C1659,Hoja1!$B$2:$B$6191,Hoja1!$A$2:$A$6191),VLOOKUP(C1659,Hoja1!$B$1:$C$6191,2,0)),"No esta en Infor")</f>
        <v>NAC0847</v>
      </c>
      <c r="C1659" s="19" t="s">
        <v>184</v>
      </c>
      <c r="D1659" s="9">
        <v>0</v>
      </c>
      <c r="E1659" s="9">
        <v>0</v>
      </c>
      <c r="F1659" s="9">
        <v>0</v>
      </c>
      <c r="G1659" s="9">
        <v>0</v>
      </c>
      <c r="H1659" s="9">
        <v>-1</v>
      </c>
      <c r="I1659" s="9">
        <v>0</v>
      </c>
      <c r="J1659" s="9">
        <v>-1</v>
      </c>
    </row>
    <row r="1660" spans="1:10" ht="15.75" x14ac:dyDescent="0.25">
      <c r="A1660" s="21">
        <v>45443</v>
      </c>
      <c r="B1660" t="str">
        <f>IFERROR(IF(VLOOKUP(C1660,Hoja1!$B$1:$C$6191,2,0)="",_xlfn.XLOOKUP(C1660,Hoja1!$B$2:$B$6191,Hoja1!$A$2:$A$6191),VLOOKUP(C1660,Hoja1!$B$1:$C$6191,2,0)),"No esta en Infor")</f>
        <v>SH00786</v>
      </c>
      <c r="C1660" s="19" t="s">
        <v>553</v>
      </c>
      <c r="D1660" s="9">
        <v>0</v>
      </c>
      <c r="E1660" s="9">
        <v>103.09</v>
      </c>
      <c r="F1660" s="9">
        <v>0</v>
      </c>
      <c r="G1660" s="9">
        <v>0</v>
      </c>
      <c r="H1660" s="9">
        <v>0</v>
      </c>
      <c r="I1660" s="9">
        <v>0</v>
      </c>
      <c r="J1660" s="9">
        <v>103.09</v>
      </c>
    </row>
    <row r="1661" spans="1:10" ht="15.75" x14ac:dyDescent="0.25">
      <c r="A1661" s="21">
        <v>45443</v>
      </c>
      <c r="B1661" t="str">
        <f>IFERROR(IF(VLOOKUP(C1661,Hoja1!$B$1:$C$6191,2,0)="",_xlfn.XLOOKUP(C1661,Hoja1!$B$2:$B$6191,Hoja1!$A$2:$A$6191),VLOOKUP(C1661,Hoja1!$B$1:$C$6191,2,0)),"No esta en Infor")</f>
        <v>NAC0851</v>
      </c>
      <c r="C1661" s="19" t="s">
        <v>185</v>
      </c>
      <c r="D1661" s="9">
        <v>0</v>
      </c>
      <c r="E1661" s="9">
        <v>-75.599999999999994</v>
      </c>
      <c r="F1661" s="9">
        <v>-75.599999999999994</v>
      </c>
      <c r="G1661" s="9">
        <v>-680.4</v>
      </c>
      <c r="H1661" s="9">
        <v>0</v>
      </c>
      <c r="I1661" s="9">
        <v>0</v>
      </c>
      <c r="J1661" s="9">
        <v>-831.6</v>
      </c>
    </row>
    <row r="1662" spans="1:10" ht="15.75" x14ac:dyDescent="0.25">
      <c r="A1662" s="21">
        <v>45443</v>
      </c>
      <c r="B1662" t="str">
        <f>IFERROR(IF(VLOOKUP(C1662,Hoja1!$B$1:$C$6191,2,0)="",_xlfn.XLOOKUP(C1662,Hoja1!$B$2:$B$6191,Hoja1!$A$2:$A$6191),VLOOKUP(C1662,Hoja1!$B$1:$C$6191,2,0)),"No esta en Infor")</f>
        <v>SH00787</v>
      </c>
      <c r="C1662" s="19" t="s">
        <v>186</v>
      </c>
      <c r="D1662" s="9">
        <v>0</v>
      </c>
      <c r="E1662" s="9">
        <v>0</v>
      </c>
      <c r="F1662" s="9">
        <v>174.63</v>
      </c>
      <c r="G1662" s="9">
        <v>0</v>
      </c>
      <c r="H1662" s="9">
        <v>0</v>
      </c>
      <c r="I1662" s="9">
        <v>0</v>
      </c>
      <c r="J1662" s="9">
        <v>174.63</v>
      </c>
    </row>
    <row r="1663" spans="1:10" ht="15.75" x14ac:dyDescent="0.25">
      <c r="A1663" s="21">
        <v>45443</v>
      </c>
      <c r="B1663" t="str">
        <f>IFERROR(IF(VLOOKUP(C1663,Hoja1!$B$1:$C$6191,2,0)="",_xlfn.XLOOKUP(C1663,Hoja1!$B$2:$B$6191,Hoja1!$A$2:$A$6191),VLOOKUP(C1663,Hoja1!$B$1:$C$6191,2,0)),"No esta en Infor")</f>
        <v>No esta en Infor</v>
      </c>
      <c r="C1663" s="19" t="s">
        <v>187</v>
      </c>
      <c r="D1663" s="9">
        <v>358</v>
      </c>
      <c r="E1663" s="9">
        <v>0</v>
      </c>
      <c r="F1663" s="9">
        <v>-4.6500000000000004</v>
      </c>
      <c r="G1663" s="9">
        <v>0</v>
      </c>
      <c r="H1663" s="9">
        <v>0</v>
      </c>
      <c r="I1663" s="9">
        <v>0</v>
      </c>
      <c r="J1663" s="9">
        <v>353.35</v>
      </c>
    </row>
    <row r="1664" spans="1:10" ht="15.75" x14ac:dyDescent="0.25">
      <c r="A1664" s="21">
        <v>45443</v>
      </c>
      <c r="B1664" t="str">
        <f>IFERROR(IF(VLOOKUP(C1664,Hoja1!$B$1:$C$6191,2,0)="",_xlfn.XLOOKUP(C1664,Hoja1!$B$2:$B$6191,Hoja1!$A$2:$A$6191),VLOOKUP(C1664,Hoja1!$B$1:$C$6191,2,0)),"No esta en Infor")</f>
        <v>NAC0862</v>
      </c>
      <c r="C1664" s="19" t="s">
        <v>190</v>
      </c>
      <c r="D1664" s="9">
        <v>62.1</v>
      </c>
      <c r="E1664" s="9">
        <v>96.3</v>
      </c>
      <c r="F1664" s="9">
        <v>0</v>
      </c>
      <c r="G1664" s="9">
        <v>0</v>
      </c>
      <c r="H1664" s="9">
        <v>0</v>
      </c>
      <c r="I1664" s="9">
        <v>0</v>
      </c>
      <c r="J1664" s="9">
        <v>158.4</v>
      </c>
    </row>
    <row r="1665" spans="1:10" ht="15.75" x14ac:dyDescent="0.25">
      <c r="A1665" s="21">
        <v>45443</v>
      </c>
      <c r="B1665" t="str">
        <f>IFERROR(IF(VLOOKUP(C1665,Hoja1!$B$1:$C$6191,2,0)="",_xlfn.XLOOKUP(C1665,Hoja1!$B$2:$B$6191,Hoja1!$A$2:$A$6191),VLOOKUP(C1665,Hoja1!$B$1:$C$6191,2,0)),"No esta en Infor")</f>
        <v>NAC0863</v>
      </c>
      <c r="C1665" s="19" t="s">
        <v>398</v>
      </c>
      <c r="D1665" s="9">
        <v>0</v>
      </c>
      <c r="E1665" s="9">
        <v>0</v>
      </c>
      <c r="F1665" s="9">
        <v>-49.92</v>
      </c>
      <c r="G1665" s="9">
        <v>0</v>
      </c>
      <c r="H1665" s="9">
        <v>0</v>
      </c>
      <c r="I1665" s="9">
        <v>0</v>
      </c>
      <c r="J1665" s="9">
        <v>-49.92</v>
      </c>
    </row>
    <row r="1666" spans="1:10" ht="15.75" x14ac:dyDescent="0.25">
      <c r="A1666" s="21">
        <v>45443</v>
      </c>
      <c r="B1666" t="str">
        <f>IFERROR(IF(VLOOKUP(C1666,Hoja1!$B$1:$C$6191,2,0)="",_xlfn.XLOOKUP(C1666,Hoja1!$B$2:$B$6191,Hoja1!$A$2:$A$6191),VLOOKUP(C1666,Hoja1!$B$1:$C$6191,2,0)),"No esta en Infor")</f>
        <v>NAC0865</v>
      </c>
      <c r="C1666" s="19" t="s">
        <v>23</v>
      </c>
      <c r="D1666" s="9">
        <v>-189</v>
      </c>
      <c r="E1666" s="9">
        <v>7181.4</v>
      </c>
      <c r="F1666" s="9">
        <v>0</v>
      </c>
      <c r="G1666" s="9">
        <v>0</v>
      </c>
      <c r="H1666" s="9">
        <v>0</v>
      </c>
      <c r="I1666" s="9">
        <v>0</v>
      </c>
      <c r="J1666" s="9">
        <v>6992.4</v>
      </c>
    </row>
    <row r="1667" spans="1:10" ht="15.75" x14ac:dyDescent="0.25">
      <c r="A1667" s="21">
        <v>45443</v>
      </c>
      <c r="B1667" t="str">
        <f>IFERROR(IF(VLOOKUP(C1667,Hoja1!$B$1:$C$6191,2,0)="",_xlfn.XLOOKUP(C1667,Hoja1!$B$2:$B$6191,Hoja1!$A$2:$A$6191),VLOOKUP(C1667,Hoja1!$B$1:$C$6191,2,0)),"No esta en Infor")</f>
        <v>NAC0866</v>
      </c>
      <c r="C1667" s="19" t="s">
        <v>191</v>
      </c>
      <c r="D1667" s="9">
        <v>0</v>
      </c>
      <c r="E1667" s="9">
        <v>0</v>
      </c>
      <c r="F1667" s="9">
        <v>0</v>
      </c>
      <c r="G1667" s="9">
        <v>0</v>
      </c>
      <c r="H1667" s="9">
        <v>0</v>
      </c>
      <c r="I1667" s="9">
        <v>-622</v>
      </c>
      <c r="J1667" s="9">
        <v>-622</v>
      </c>
    </row>
    <row r="1668" spans="1:10" ht="15.75" x14ac:dyDescent="0.25">
      <c r="A1668" s="21">
        <v>45443</v>
      </c>
      <c r="B1668" t="str">
        <f>IFERROR(IF(VLOOKUP(C1668,Hoja1!$B$1:$C$6191,2,0)="",_xlfn.XLOOKUP(C1668,Hoja1!$B$2:$B$6191,Hoja1!$A$2:$A$6191),VLOOKUP(C1668,Hoja1!$B$1:$C$6191,2,0)),"No esta en Infor")</f>
        <v>NAC0871</v>
      </c>
      <c r="C1668" s="19" t="s">
        <v>193</v>
      </c>
      <c r="D1668" s="9">
        <v>3104</v>
      </c>
      <c r="E1668" s="9">
        <v>1525</v>
      </c>
      <c r="F1668" s="9">
        <v>0</v>
      </c>
      <c r="G1668" s="9">
        <v>0</v>
      </c>
      <c r="H1668" s="9">
        <v>0</v>
      </c>
      <c r="I1668" s="9">
        <v>0</v>
      </c>
      <c r="J1668" s="9">
        <v>4629</v>
      </c>
    </row>
    <row r="1669" spans="1:10" ht="15.75" x14ac:dyDescent="0.25">
      <c r="A1669" s="21">
        <v>45443</v>
      </c>
      <c r="B1669" t="str">
        <f>IFERROR(IF(VLOOKUP(C1669,Hoja1!$B$1:$C$6191,2,0)="",_xlfn.XLOOKUP(C1669,Hoja1!$B$2:$B$6191,Hoja1!$A$2:$A$6191),VLOOKUP(C1669,Hoja1!$B$1:$C$6191,2,0)),"No esta en Infor")</f>
        <v>NAC0879</v>
      </c>
      <c r="C1669" s="19" t="s">
        <v>194</v>
      </c>
      <c r="D1669" s="9">
        <v>0</v>
      </c>
      <c r="E1669" s="9">
        <v>0</v>
      </c>
      <c r="F1669" s="9">
        <v>-117.9</v>
      </c>
      <c r="G1669" s="9">
        <v>0</v>
      </c>
      <c r="H1669" s="9">
        <v>0</v>
      </c>
      <c r="I1669" s="9">
        <v>0</v>
      </c>
      <c r="J1669" s="9">
        <v>-117.9</v>
      </c>
    </row>
    <row r="1670" spans="1:10" ht="15.75" x14ac:dyDescent="0.25">
      <c r="A1670" s="21">
        <v>45443</v>
      </c>
      <c r="B1670" t="str">
        <f>IFERROR(IF(VLOOKUP(C1670,Hoja1!$B$1:$C$6191,2,0)="",_xlfn.XLOOKUP(C1670,Hoja1!$B$2:$B$6191,Hoja1!$A$2:$A$6191),VLOOKUP(C1670,Hoja1!$B$1:$C$6191,2,0)),"No esta en Infor")</f>
        <v>NAC0881</v>
      </c>
      <c r="C1670" s="19" t="s">
        <v>195</v>
      </c>
      <c r="D1670" s="9">
        <v>12670.56</v>
      </c>
      <c r="E1670" s="9">
        <v>7863.75</v>
      </c>
      <c r="F1670" s="9">
        <v>0</v>
      </c>
      <c r="G1670" s="9">
        <v>0</v>
      </c>
      <c r="H1670" s="9">
        <v>0</v>
      </c>
      <c r="I1670" s="9">
        <v>0</v>
      </c>
      <c r="J1670" s="9">
        <v>20534.310000000001</v>
      </c>
    </row>
    <row r="1671" spans="1:10" ht="15.75" x14ac:dyDescent="0.25">
      <c r="A1671" s="21">
        <v>45443</v>
      </c>
      <c r="B1671" t="str">
        <f>IFERROR(IF(VLOOKUP(C1671,Hoja1!$B$1:$C$6191,2,0)="",_xlfn.XLOOKUP(C1671,Hoja1!$B$2:$B$6191,Hoja1!$A$2:$A$6191),VLOOKUP(C1671,Hoja1!$B$1:$C$6191,2,0)),"No esta en Infor")</f>
        <v>NAC0886</v>
      </c>
      <c r="C1671" s="19" t="s">
        <v>196</v>
      </c>
      <c r="D1671" s="9">
        <v>0</v>
      </c>
      <c r="E1671" s="9">
        <v>25460.53</v>
      </c>
      <c r="F1671" s="9">
        <v>0</v>
      </c>
      <c r="G1671" s="9">
        <v>0</v>
      </c>
      <c r="H1671" s="9">
        <v>0</v>
      </c>
      <c r="I1671" s="9">
        <v>0</v>
      </c>
      <c r="J1671" s="9">
        <v>25460.53</v>
      </c>
    </row>
    <row r="1672" spans="1:10" ht="15.75" x14ac:dyDescent="0.25">
      <c r="A1672" s="21">
        <v>45443</v>
      </c>
      <c r="B1672" t="str">
        <f>IFERROR(IF(VLOOKUP(C1672,Hoja1!$B$1:$C$6191,2,0)="",_xlfn.XLOOKUP(C1672,Hoja1!$B$2:$B$6191,Hoja1!$A$2:$A$6191),VLOOKUP(C1672,Hoja1!$B$1:$C$6191,2,0)),"No esta en Infor")</f>
        <v>NAC0897</v>
      </c>
      <c r="C1672" s="19" t="s">
        <v>25</v>
      </c>
      <c r="D1672" s="9">
        <v>-1500</v>
      </c>
      <c r="E1672" s="9">
        <v>2454.23</v>
      </c>
      <c r="F1672" s="9">
        <v>-56</v>
      </c>
      <c r="G1672" s="9">
        <v>0</v>
      </c>
      <c r="H1672" s="9">
        <v>0</v>
      </c>
      <c r="I1672" s="9">
        <v>0</v>
      </c>
      <c r="J1672" s="9">
        <v>898.23</v>
      </c>
    </row>
    <row r="1673" spans="1:10" ht="15.75" x14ac:dyDescent="0.25">
      <c r="A1673" s="21">
        <v>45443</v>
      </c>
      <c r="B1673" t="str">
        <f>IFERROR(IF(VLOOKUP(C1673,Hoja1!$B$1:$C$6191,2,0)="",_xlfn.XLOOKUP(C1673,Hoja1!$B$2:$B$6191,Hoja1!$A$2:$A$6191),VLOOKUP(C1673,Hoja1!$B$1:$C$6191,2,0)),"No esta en Infor")</f>
        <v>NAC0898</v>
      </c>
      <c r="C1673" s="19" t="s">
        <v>200</v>
      </c>
      <c r="D1673" s="9">
        <v>127.5</v>
      </c>
      <c r="E1673" s="9">
        <v>0</v>
      </c>
      <c r="F1673" s="9">
        <v>0</v>
      </c>
      <c r="G1673" s="9">
        <v>0</v>
      </c>
      <c r="H1673" s="9">
        <v>0</v>
      </c>
      <c r="I1673" s="9">
        <v>0</v>
      </c>
      <c r="J1673" s="9">
        <v>127.5</v>
      </c>
    </row>
    <row r="1674" spans="1:10" ht="15.75" x14ac:dyDescent="0.25">
      <c r="A1674" s="21">
        <v>45443</v>
      </c>
      <c r="B1674" t="str">
        <f>IFERROR(IF(VLOOKUP(C1674,Hoja1!$B$1:$C$6191,2,0)="",_xlfn.XLOOKUP(C1674,Hoja1!$B$2:$B$6191,Hoja1!$A$2:$A$6191),VLOOKUP(C1674,Hoja1!$B$1:$C$6191,2,0)),"No esta en Infor")</f>
        <v>NAC0906</v>
      </c>
      <c r="C1674" s="19" t="s">
        <v>456</v>
      </c>
      <c r="D1674" s="9">
        <v>0</v>
      </c>
      <c r="E1674" s="9">
        <v>-8.93</v>
      </c>
      <c r="F1674" s="9">
        <v>0</v>
      </c>
      <c r="G1674" s="9">
        <v>0</v>
      </c>
      <c r="H1674" s="9">
        <v>0</v>
      </c>
      <c r="I1674" s="9">
        <v>0</v>
      </c>
      <c r="J1674" s="9">
        <v>-8.93</v>
      </c>
    </row>
    <row r="1675" spans="1:10" ht="15.75" x14ac:dyDescent="0.25">
      <c r="A1675" s="21">
        <v>45443</v>
      </c>
      <c r="B1675" t="str">
        <f>IFERROR(IF(VLOOKUP(C1675,Hoja1!$B$1:$C$6191,2,0)="",_xlfn.XLOOKUP(C1675,Hoja1!$B$2:$B$6191,Hoja1!$A$2:$A$6191),VLOOKUP(C1675,Hoja1!$B$1:$C$6191,2,0)),"No esta en Infor")</f>
        <v>CAN0023</v>
      </c>
      <c r="C1675" s="19" t="s">
        <v>554</v>
      </c>
      <c r="D1675" s="9">
        <v>0</v>
      </c>
      <c r="E1675" s="9">
        <v>508.5</v>
      </c>
      <c r="F1675" s="9">
        <v>0</v>
      </c>
      <c r="G1675" s="9">
        <v>0</v>
      </c>
      <c r="H1675" s="9">
        <v>0</v>
      </c>
      <c r="I1675" s="9">
        <v>0</v>
      </c>
      <c r="J1675" s="9">
        <v>508.5</v>
      </c>
    </row>
    <row r="1676" spans="1:10" ht="15.75" x14ac:dyDescent="0.25">
      <c r="A1676" s="21">
        <v>45443</v>
      </c>
      <c r="B1676" t="str">
        <f>IFERROR(IF(VLOOKUP(C1676,Hoja1!$B$1:$C$6191,2,0)="",_xlfn.XLOOKUP(C1676,Hoja1!$B$2:$B$6191,Hoja1!$A$2:$A$6191),VLOOKUP(C1676,Hoja1!$B$1:$C$6191,2,0)),"No esta en Infor")</f>
        <v>CAN0092</v>
      </c>
      <c r="C1676" s="19" t="s">
        <v>555</v>
      </c>
      <c r="D1676" s="9">
        <v>0</v>
      </c>
      <c r="E1676" s="9">
        <v>-508.5</v>
      </c>
      <c r="F1676" s="9">
        <v>0</v>
      </c>
      <c r="G1676" s="9">
        <v>0</v>
      </c>
      <c r="H1676" s="9">
        <v>0</v>
      </c>
      <c r="I1676" s="9">
        <v>0</v>
      </c>
      <c r="J1676" s="9">
        <v>-508.5</v>
      </c>
    </row>
    <row r="1677" spans="1:10" ht="15.75" x14ac:dyDescent="0.25">
      <c r="A1677" s="21">
        <v>45443</v>
      </c>
      <c r="B1677" t="str">
        <f>IFERROR(IF(VLOOKUP(C1677,Hoja1!$B$1:$C$6191,2,0)="",_xlfn.XLOOKUP(C1677,Hoja1!$B$2:$B$6191,Hoja1!$A$2:$A$6191),VLOOKUP(C1677,Hoja1!$B$1:$C$6191,2,0)),"No esta en Infor")</f>
        <v>NAC0914</v>
      </c>
      <c r="C1677" s="19" t="s">
        <v>202</v>
      </c>
      <c r="D1677" s="9">
        <v>0</v>
      </c>
      <c r="E1677" s="9">
        <v>455</v>
      </c>
      <c r="F1677" s="9">
        <v>-100.21</v>
      </c>
      <c r="G1677" s="9">
        <v>0</v>
      </c>
      <c r="H1677" s="9">
        <v>0</v>
      </c>
      <c r="I1677" s="9">
        <v>0</v>
      </c>
      <c r="J1677" s="9">
        <v>354.79</v>
      </c>
    </row>
    <row r="1678" spans="1:10" ht="15.75" x14ac:dyDescent="0.25">
      <c r="A1678" s="21">
        <v>45443</v>
      </c>
      <c r="B1678" t="str">
        <f>IFERROR(IF(VLOOKUP(C1678,Hoja1!$B$1:$C$6191,2,0)="",_xlfn.XLOOKUP(C1678,Hoja1!$B$2:$B$6191,Hoja1!$A$2:$A$6191),VLOOKUP(C1678,Hoja1!$B$1:$C$6191,2,0)),"No esta en Infor")</f>
        <v>NAC0924</v>
      </c>
      <c r="C1678" s="19" t="s">
        <v>205</v>
      </c>
      <c r="D1678" s="9">
        <v>28890</v>
      </c>
      <c r="E1678" s="9">
        <v>336.28</v>
      </c>
      <c r="F1678" s="9">
        <v>0</v>
      </c>
      <c r="G1678" s="9">
        <v>0</v>
      </c>
      <c r="H1678" s="9">
        <v>0</v>
      </c>
      <c r="I1678" s="9">
        <v>0</v>
      </c>
      <c r="J1678" s="9">
        <v>29226.28</v>
      </c>
    </row>
    <row r="1679" spans="1:10" ht="15.75" x14ac:dyDescent="0.25">
      <c r="A1679" s="21">
        <v>45443</v>
      </c>
      <c r="B1679" t="str">
        <f>IFERROR(IF(VLOOKUP(C1679,Hoja1!$B$1:$C$6191,2,0)="",_xlfn.XLOOKUP(C1679,Hoja1!$B$2:$B$6191,Hoja1!$A$2:$A$6191),VLOOKUP(C1679,Hoja1!$B$1:$C$6191,2,0)),"No esta en Infor")</f>
        <v>NAC0929</v>
      </c>
      <c r="C1679" s="19" t="s">
        <v>207</v>
      </c>
      <c r="D1679" s="9">
        <v>0</v>
      </c>
      <c r="E1679" s="9">
        <v>-120</v>
      </c>
      <c r="F1679" s="9">
        <v>0</v>
      </c>
      <c r="G1679" s="9">
        <v>0</v>
      </c>
      <c r="H1679" s="9">
        <v>0</v>
      </c>
      <c r="I1679" s="9">
        <v>0</v>
      </c>
      <c r="J1679" s="9">
        <v>-120</v>
      </c>
    </row>
    <row r="1680" spans="1:10" ht="15.75" x14ac:dyDescent="0.25">
      <c r="A1680" s="21">
        <v>45443</v>
      </c>
      <c r="B1680" t="str">
        <f>IFERROR(IF(VLOOKUP(C1680,Hoja1!$B$1:$C$6191,2,0)="",_xlfn.XLOOKUP(C1680,Hoja1!$B$2:$B$6191,Hoja1!$A$2:$A$6191),VLOOKUP(C1680,Hoja1!$B$1:$C$6191,2,0)),"No esta en Infor")</f>
        <v>SH00901</v>
      </c>
      <c r="C1680" s="19" t="s">
        <v>556</v>
      </c>
      <c r="D1680" s="9">
        <v>62.19</v>
      </c>
      <c r="E1680" s="9">
        <v>0</v>
      </c>
      <c r="F1680" s="9">
        <v>0</v>
      </c>
      <c r="G1680" s="9">
        <v>0</v>
      </c>
      <c r="H1680" s="9">
        <v>0</v>
      </c>
      <c r="I1680" s="9">
        <v>0</v>
      </c>
      <c r="J1680" s="9">
        <v>62.19</v>
      </c>
    </row>
    <row r="1681" spans="1:10" ht="15.75" x14ac:dyDescent="0.25">
      <c r="A1681" s="21">
        <v>45443</v>
      </c>
      <c r="B1681" t="str">
        <f>IFERROR(IF(VLOOKUP(C1681,Hoja1!$B$1:$C$6191,2,0)="",_xlfn.XLOOKUP(C1681,Hoja1!$B$2:$B$6191,Hoja1!$A$2:$A$6191),VLOOKUP(C1681,Hoja1!$B$1:$C$6191,2,0)),"No esta en Infor")</f>
        <v>CAN0028</v>
      </c>
      <c r="C1681" s="19" t="s">
        <v>208</v>
      </c>
      <c r="D1681" s="9">
        <v>0</v>
      </c>
      <c r="E1681" s="9">
        <v>0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</row>
    <row r="1682" spans="1:10" ht="15.75" x14ac:dyDescent="0.25">
      <c r="A1682" s="21">
        <v>45443</v>
      </c>
      <c r="B1682" t="str">
        <f>IFERROR(IF(VLOOKUP(C1682,Hoja1!$B$1:$C$6191,2,0)="",_xlfn.XLOOKUP(C1682,Hoja1!$B$2:$B$6191,Hoja1!$A$2:$A$6191),VLOOKUP(C1682,Hoja1!$B$1:$C$6191,2,0)),"No esta en Infor")</f>
        <v>NAC0934</v>
      </c>
      <c r="C1682" s="19" t="s">
        <v>209</v>
      </c>
      <c r="D1682" s="9">
        <v>0</v>
      </c>
      <c r="E1682" s="9">
        <v>0</v>
      </c>
      <c r="F1682" s="9">
        <v>0</v>
      </c>
      <c r="G1682" s="9">
        <v>0</v>
      </c>
      <c r="H1682" s="9">
        <v>0</v>
      </c>
      <c r="I1682" s="9">
        <v>-154</v>
      </c>
      <c r="J1682" s="9">
        <v>-154</v>
      </c>
    </row>
    <row r="1683" spans="1:10" ht="15.75" x14ac:dyDescent="0.25">
      <c r="A1683" s="21">
        <v>45443</v>
      </c>
      <c r="B1683" t="str">
        <f>IFERROR(IF(VLOOKUP(C1683,Hoja1!$B$1:$C$6191,2,0)="",_xlfn.XLOOKUP(C1683,Hoja1!$B$2:$B$6191,Hoja1!$A$2:$A$6191),VLOOKUP(C1683,Hoja1!$B$1:$C$6191,2,0)),"No esta en Infor")</f>
        <v>NAC0958</v>
      </c>
      <c r="C1683" s="19" t="s">
        <v>214</v>
      </c>
      <c r="D1683" s="9">
        <v>0</v>
      </c>
      <c r="E1683" s="9">
        <v>0</v>
      </c>
      <c r="F1683" s="9">
        <v>0</v>
      </c>
      <c r="G1683" s="9">
        <v>0</v>
      </c>
      <c r="H1683" s="9">
        <v>-674.94</v>
      </c>
      <c r="I1683" s="9">
        <v>0</v>
      </c>
      <c r="J1683" s="9">
        <v>-674.94</v>
      </c>
    </row>
    <row r="1684" spans="1:10" ht="15.75" x14ac:dyDescent="0.25">
      <c r="A1684" s="21">
        <v>45443</v>
      </c>
      <c r="B1684" t="str">
        <f>IFERROR(IF(VLOOKUP(C1684,Hoja1!$B$1:$C$6191,2,0)="",_xlfn.XLOOKUP(C1684,Hoja1!$B$2:$B$6191,Hoja1!$A$2:$A$6191),VLOOKUP(C1684,Hoja1!$B$1:$C$6191,2,0)),"No esta en Infor")</f>
        <v>NAC0963</v>
      </c>
      <c r="C1684" s="19" t="s">
        <v>217</v>
      </c>
      <c r="D1684" s="9">
        <v>0</v>
      </c>
      <c r="E1684" s="9">
        <v>0</v>
      </c>
      <c r="F1684" s="9">
        <v>0</v>
      </c>
      <c r="G1684" s="9">
        <v>0</v>
      </c>
      <c r="H1684" s="9">
        <v>-595.57000000000005</v>
      </c>
      <c r="I1684" s="9">
        <v>0</v>
      </c>
      <c r="J1684" s="9">
        <v>-595.57000000000005</v>
      </c>
    </row>
    <row r="1685" spans="1:10" ht="15.75" x14ac:dyDescent="0.25">
      <c r="A1685" s="21">
        <v>45443</v>
      </c>
      <c r="B1685" t="str">
        <f>IFERROR(IF(VLOOKUP(C1685,Hoja1!$B$1:$C$6191,2,0)="",_xlfn.XLOOKUP(C1685,Hoja1!$B$2:$B$6191,Hoja1!$A$2:$A$6191),VLOOKUP(C1685,Hoja1!$B$1:$C$6191,2,0)),"No esta en Infor")</f>
        <v>NAC0979</v>
      </c>
      <c r="C1685" s="19" t="s">
        <v>222</v>
      </c>
      <c r="D1685" s="9">
        <v>0</v>
      </c>
      <c r="E1685" s="9">
        <v>0</v>
      </c>
      <c r="F1685" s="9">
        <v>-110</v>
      </c>
      <c r="G1685" s="9">
        <v>0</v>
      </c>
      <c r="H1685" s="9">
        <v>0</v>
      </c>
      <c r="I1685" s="9">
        <v>0</v>
      </c>
      <c r="J1685" s="9">
        <v>-110</v>
      </c>
    </row>
    <row r="1686" spans="1:10" ht="15.75" x14ac:dyDescent="0.25">
      <c r="A1686" s="21">
        <v>45443</v>
      </c>
      <c r="B1686" t="str">
        <f>IFERROR(IF(VLOOKUP(C1686,Hoja1!$B$1:$C$6191,2,0)="",_xlfn.XLOOKUP(C1686,Hoja1!$B$2:$B$6191,Hoja1!$A$2:$A$6191),VLOOKUP(C1686,Hoja1!$B$1:$C$6191,2,0)),"No esta en Infor")</f>
        <v>SH00957</v>
      </c>
      <c r="C1686" s="19" t="s">
        <v>557</v>
      </c>
      <c r="D1686" s="9">
        <v>129.41</v>
      </c>
      <c r="E1686" s="9">
        <v>0</v>
      </c>
      <c r="F1686" s="9">
        <v>0</v>
      </c>
      <c r="G1686" s="9">
        <v>0</v>
      </c>
      <c r="H1686" s="9">
        <v>0</v>
      </c>
      <c r="I1686" s="9">
        <v>0</v>
      </c>
      <c r="J1686" s="9">
        <v>129.41</v>
      </c>
    </row>
    <row r="1687" spans="1:10" ht="15.75" x14ac:dyDescent="0.25">
      <c r="A1687" s="21">
        <v>45443</v>
      </c>
      <c r="B1687" t="str">
        <f>IFERROR(IF(VLOOKUP(C1687,Hoja1!$B$1:$C$6191,2,0)="",_xlfn.XLOOKUP(C1687,Hoja1!$B$2:$B$6191,Hoja1!$A$2:$A$6191),VLOOKUP(C1687,Hoja1!$B$1:$C$6191,2,0)),"No esta en Infor")</f>
        <v>SH00993</v>
      </c>
      <c r="C1687" s="19" t="s">
        <v>558</v>
      </c>
      <c r="D1687" s="9">
        <v>0</v>
      </c>
      <c r="E1687" s="9">
        <v>116.84</v>
      </c>
      <c r="F1687" s="9">
        <v>0</v>
      </c>
      <c r="G1687" s="9">
        <v>0</v>
      </c>
      <c r="H1687" s="9">
        <v>0</v>
      </c>
      <c r="I1687" s="9">
        <v>0</v>
      </c>
      <c r="J1687" s="9">
        <v>116.84</v>
      </c>
    </row>
    <row r="1688" spans="1:10" ht="15.75" x14ac:dyDescent="0.25">
      <c r="A1688" s="21">
        <v>45443</v>
      </c>
      <c r="B1688" t="str">
        <f>IFERROR(IF(VLOOKUP(C1688,Hoja1!$B$1:$C$6191,2,0)="",_xlfn.XLOOKUP(C1688,Hoja1!$B$2:$B$6191,Hoja1!$A$2:$A$6191),VLOOKUP(C1688,Hoja1!$B$1:$C$6191,2,0)),"No esta en Infor")</f>
        <v>CAN0031</v>
      </c>
      <c r="C1688" s="19" t="s">
        <v>460</v>
      </c>
      <c r="D1688" s="9">
        <v>0</v>
      </c>
      <c r="E1688" s="9">
        <v>372.9</v>
      </c>
      <c r="F1688" s="9">
        <v>0</v>
      </c>
      <c r="G1688" s="9">
        <v>0</v>
      </c>
      <c r="H1688" s="9">
        <v>0</v>
      </c>
      <c r="I1688" s="9">
        <v>0</v>
      </c>
      <c r="J1688" s="9">
        <v>372.9</v>
      </c>
    </row>
    <row r="1689" spans="1:10" ht="15.75" x14ac:dyDescent="0.25">
      <c r="A1689" s="21">
        <v>45443</v>
      </c>
      <c r="B1689" t="str">
        <f>IFERROR(IF(VLOOKUP(C1689,Hoja1!$B$1:$C$6191,2,0)="",_xlfn.XLOOKUP(C1689,Hoja1!$B$2:$B$6191,Hoja1!$A$2:$A$6191),VLOOKUP(C1689,Hoja1!$B$1:$C$6191,2,0)),"No esta en Infor")</f>
        <v>CAN0032</v>
      </c>
      <c r="C1689" s="19" t="s">
        <v>461</v>
      </c>
      <c r="D1689" s="9">
        <v>0</v>
      </c>
      <c r="E1689" s="9">
        <v>1267.8599999999999</v>
      </c>
      <c r="F1689" s="9">
        <v>0</v>
      </c>
      <c r="G1689" s="9">
        <v>0</v>
      </c>
      <c r="H1689" s="9">
        <v>0</v>
      </c>
      <c r="I1689" s="9">
        <v>0</v>
      </c>
      <c r="J1689" s="9">
        <v>1267.8599999999999</v>
      </c>
    </row>
    <row r="1690" spans="1:10" ht="15.75" x14ac:dyDescent="0.25">
      <c r="A1690" s="21">
        <v>45443</v>
      </c>
      <c r="B1690" t="str">
        <f>IFERROR(IF(VLOOKUP(C1690,Hoja1!$B$1:$C$6191,2,0)="",_xlfn.XLOOKUP(C1690,Hoja1!$B$2:$B$6191,Hoja1!$A$2:$A$6191),VLOOKUP(C1690,Hoja1!$B$1:$C$6191,2,0)),"No esta en Infor")</f>
        <v>SH01038</v>
      </c>
      <c r="C1690" s="19" t="s">
        <v>559</v>
      </c>
      <c r="D1690" s="9">
        <v>0</v>
      </c>
      <c r="E1690" s="9">
        <v>237.1</v>
      </c>
      <c r="F1690" s="9">
        <v>0</v>
      </c>
      <c r="G1690" s="9">
        <v>0</v>
      </c>
      <c r="H1690" s="9">
        <v>0</v>
      </c>
      <c r="I1690" s="9">
        <v>0</v>
      </c>
      <c r="J1690" s="9">
        <v>237.1</v>
      </c>
    </row>
    <row r="1691" spans="1:10" ht="15.75" x14ac:dyDescent="0.25">
      <c r="A1691" s="21">
        <v>45443</v>
      </c>
      <c r="B1691" t="str">
        <f>IFERROR(IF(VLOOKUP(C1691,Hoja1!$B$1:$C$6191,2,0)="",_xlfn.XLOOKUP(C1691,Hoja1!$B$2:$B$6191,Hoja1!$A$2:$A$6191),VLOOKUP(C1691,Hoja1!$B$1:$C$6191,2,0)),"No esta en Infor")</f>
        <v>NAC0986</v>
      </c>
      <c r="C1691" s="19" t="s">
        <v>224</v>
      </c>
      <c r="D1691" s="9">
        <v>0</v>
      </c>
      <c r="E1691" s="9">
        <v>16248.29</v>
      </c>
      <c r="F1691" s="9">
        <v>19301.900000000001</v>
      </c>
      <c r="G1691" s="9">
        <v>9331.24</v>
      </c>
      <c r="H1691" s="9">
        <v>8.93</v>
      </c>
      <c r="I1691" s="9">
        <v>0</v>
      </c>
      <c r="J1691" s="9">
        <v>44890.36</v>
      </c>
    </row>
    <row r="1692" spans="1:10" ht="15.75" x14ac:dyDescent="0.25">
      <c r="A1692" s="21">
        <v>45443</v>
      </c>
      <c r="B1692" t="str">
        <f>IFERROR(IF(VLOOKUP(C1692,Hoja1!$B$1:$C$6191,2,0)="",_xlfn.XLOOKUP(C1692,Hoja1!$B$2:$B$6191,Hoja1!$A$2:$A$6191),VLOOKUP(C1692,Hoja1!$B$1:$C$6191,2,0)),"No esta en Infor")</f>
        <v>NAC0987</v>
      </c>
      <c r="C1692" s="19" t="s">
        <v>225</v>
      </c>
      <c r="D1692" s="9">
        <v>0</v>
      </c>
      <c r="E1692" s="9">
        <v>0</v>
      </c>
      <c r="F1692" s="9">
        <v>0</v>
      </c>
      <c r="G1692" s="9">
        <v>0</v>
      </c>
      <c r="H1692" s="9">
        <v>0</v>
      </c>
      <c r="I1692" s="9">
        <v>2040.5</v>
      </c>
      <c r="J1692" s="9">
        <v>2040.5</v>
      </c>
    </row>
    <row r="1693" spans="1:10" ht="15.75" x14ac:dyDescent="0.25">
      <c r="A1693" s="21">
        <v>45443</v>
      </c>
      <c r="B1693" t="str">
        <f>IFERROR(IF(VLOOKUP(C1693,Hoja1!$B$1:$C$6191,2,0)="",_xlfn.XLOOKUP(C1693,Hoja1!$B$2:$B$6191,Hoja1!$A$2:$A$6191),VLOOKUP(C1693,Hoja1!$B$1:$C$6191,2,0)),"No esta en Infor")</f>
        <v>NAC0994</v>
      </c>
      <c r="C1693" s="19" t="s">
        <v>226</v>
      </c>
      <c r="D1693" s="9">
        <v>363.5</v>
      </c>
      <c r="E1693" s="9">
        <v>0</v>
      </c>
      <c r="F1693" s="9">
        <v>0</v>
      </c>
      <c r="G1693" s="9">
        <v>0</v>
      </c>
      <c r="H1693" s="9">
        <v>0</v>
      </c>
      <c r="I1693" s="9">
        <v>0</v>
      </c>
      <c r="J1693" s="9">
        <v>363.5</v>
      </c>
    </row>
    <row r="1694" spans="1:10" ht="15.75" x14ac:dyDescent="0.25">
      <c r="A1694" s="21">
        <v>45443</v>
      </c>
      <c r="B1694" t="str">
        <f>IFERROR(IF(VLOOKUP(C1694,Hoja1!$B$1:$C$6191,2,0)="",_xlfn.XLOOKUP(C1694,Hoja1!$B$2:$B$6191,Hoja1!$A$2:$A$6191),VLOOKUP(C1694,Hoja1!$B$1:$C$6191,2,0)),"No esta en Infor")</f>
        <v>NAC0997</v>
      </c>
      <c r="C1694" s="19" t="s">
        <v>228</v>
      </c>
      <c r="D1694" s="9">
        <v>0</v>
      </c>
      <c r="E1694" s="9">
        <v>0</v>
      </c>
      <c r="F1694" s="9">
        <v>0</v>
      </c>
      <c r="G1694" s="9">
        <v>0</v>
      </c>
      <c r="H1694" s="9">
        <v>0</v>
      </c>
      <c r="I1694" s="9">
        <v>-148</v>
      </c>
      <c r="J1694" s="9">
        <v>-148</v>
      </c>
    </row>
    <row r="1695" spans="1:10" ht="15.75" x14ac:dyDescent="0.25">
      <c r="A1695" s="21">
        <v>45443</v>
      </c>
      <c r="B1695" t="str">
        <f>IFERROR(IF(VLOOKUP(C1695,Hoja1!$B$1:$C$6191,2,0)="",_xlfn.XLOOKUP(C1695,Hoja1!$B$2:$B$6191,Hoja1!$A$2:$A$6191),VLOOKUP(C1695,Hoja1!$B$1:$C$6191,2,0)),"No esta en Infor")</f>
        <v>NAC1005</v>
      </c>
      <c r="C1695" s="19" t="s">
        <v>231</v>
      </c>
      <c r="D1695" s="9">
        <v>0</v>
      </c>
      <c r="E1695" s="9">
        <v>0</v>
      </c>
      <c r="F1695" s="9">
        <v>0</v>
      </c>
      <c r="G1695" s="9">
        <v>0</v>
      </c>
      <c r="H1695" s="9">
        <v>0</v>
      </c>
      <c r="I1695" s="9">
        <v>-35.14</v>
      </c>
      <c r="J1695" s="9">
        <v>-35.14</v>
      </c>
    </row>
    <row r="1696" spans="1:10" ht="15.75" x14ac:dyDescent="0.25">
      <c r="A1696" s="21">
        <v>45443</v>
      </c>
      <c r="B1696" t="str">
        <f>IFERROR(IF(VLOOKUP(C1696,Hoja1!$B$1:$C$6191,2,0)="",_xlfn.XLOOKUP(C1696,Hoja1!$B$2:$B$6191,Hoja1!$A$2:$A$6191),VLOOKUP(C1696,Hoja1!$B$1:$C$6191,2,0)),"No esta en Infor")</f>
        <v>NAC1007</v>
      </c>
      <c r="C1696" s="19" t="s">
        <v>233</v>
      </c>
      <c r="D1696" s="9">
        <v>0</v>
      </c>
      <c r="E1696" s="9">
        <v>0</v>
      </c>
      <c r="F1696" s="9">
        <v>-1440</v>
      </c>
      <c r="G1696" s="9">
        <v>0</v>
      </c>
      <c r="H1696" s="9">
        <v>0</v>
      </c>
      <c r="I1696" s="9">
        <v>0</v>
      </c>
      <c r="J1696" s="9">
        <v>-1440</v>
      </c>
    </row>
    <row r="1697" spans="1:10" ht="15.75" x14ac:dyDescent="0.25">
      <c r="A1697" s="21">
        <v>45443</v>
      </c>
      <c r="B1697" t="str">
        <f>IFERROR(IF(VLOOKUP(C1697,Hoja1!$B$1:$C$6191,2,0)="",_xlfn.XLOOKUP(C1697,Hoja1!$B$2:$B$6191,Hoja1!$A$2:$A$6191),VLOOKUP(C1697,Hoja1!$B$1:$C$6191,2,0)),"No esta en Infor")</f>
        <v>NAC1011</v>
      </c>
      <c r="C1697" s="19" t="s">
        <v>560</v>
      </c>
      <c r="D1697" s="9">
        <v>17135.5</v>
      </c>
      <c r="E1697" s="9">
        <v>0</v>
      </c>
      <c r="F1697" s="9">
        <v>0</v>
      </c>
      <c r="G1697" s="9">
        <v>0</v>
      </c>
      <c r="H1697" s="9">
        <v>0</v>
      </c>
      <c r="I1697" s="9">
        <v>0</v>
      </c>
      <c r="J1697" s="9">
        <v>17135.5</v>
      </c>
    </row>
    <row r="1698" spans="1:10" ht="15.75" x14ac:dyDescent="0.25">
      <c r="A1698" s="21">
        <v>45443</v>
      </c>
      <c r="B1698" t="str">
        <f>IFERROR(IF(VLOOKUP(C1698,Hoja1!$B$1:$C$6191,2,0)="",_xlfn.XLOOKUP(C1698,Hoja1!$B$2:$B$6191,Hoja1!$A$2:$A$6191),VLOOKUP(C1698,Hoja1!$B$1:$C$6191,2,0)),"No esta en Infor")</f>
        <v>NAC1606</v>
      </c>
      <c r="C1698" s="19" t="s">
        <v>561</v>
      </c>
      <c r="D1698" s="9">
        <v>55061.68</v>
      </c>
      <c r="E1698" s="9">
        <v>5647.73</v>
      </c>
      <c r="F1698" s="9">
        <v>0</v>
      </c>
      <c r="G1698" s="9">
        <v>0</v>
      </c>
      <c r="H1698" s="9">
        <v>0</v>
      </c>
      <c r="I1698" s="9">
        <v>0</v>
      </c>
      <c r="J1698" s="9">
        <v>60709.41</v>
      </c>
    </row>
    <row r="1699" spans="1:10" ht="15.75" x14ac:dyDescent="0.25">
      <c r="A1699" s="21">
        <v>45443</v>
      </c>
      <c r="B1699" t="str">
        <f>IFERROR(IF(VLOOKUP(C1699,Hoja1!$B$1:$C$6191,2,0)="",_xlfn.XLOOKUP(C1699,Hoja1!$B$2:$B$6191,Hoja1!$A$2:$A$6191),VLOOKUP(C1699,Hoja1!$B$1:$C$6191,2,0)),"No esta en Infor")</f>
        <v>NAC1019</v>
      </c>
      <c r="C1699" s="19" t="s">
        <v>238</v>
      </c>
      <c r="D1699" s="9">
        <v>0</v>
      </c>
      <c r="E1699" s="9">
        <v>0</v>
      </c>
      <c r="F1699" s="9">
        <v>0</v>
      </c>
      <c r="G1699" s="9">
        <v>0</v>
      </c>
      <c r="H1699" s="9">
        <v>0</v>
      </c>
      <c r="I1699" s="9">
        <v>-1620</v>
      </c>
      <c r="J1699" s="9">
        <v>-1620</v>
      </c>
    </row>
    <row r="1700" spans="1:10" ht="15.75" x14ac:dyDescent="0.25">
      <c r="A1700" s="21">
        <v>45443</v>
      </c>
      <c r="B1700" t="str">
        <f>IFERROR(IF(VLOOKUP(C1700,Hoja1!$B$1:$C$6191,2,0)="",_xlfn.XLOOKUP(C1700,Hoja1!$B$2:$B$6191,Hoja1!$A$2:$A$6191),VLOOKUP(C1700,Hoja1!$B$1:$C$6191,2,0)),"No esta en Infor")</f>
        <v>NAC1021</v>
      </c>
      <c r="C1700" s="19" t="s">
        <v>239</v>
      </c>
      <c r="D1700" s="9">
        <v>0</v>
      </c>
      <c r="E1700" s="9">
        <v>0</v>
      </c>
      <c r="F1700" s="9">
        <v>0</v>
      </c>
      <c r="G1700" s="9">
        <v>-5</v>
      </c>
      <c r="H1700" s="9">
        <v>-8</v>
      </c>
      <c r="I1700" s="9">
        <v>-0.01</v>
      </c>
      <c r="J1700" s="9">
        <v>-13.01</v>
      </c>
    </row>
    <row r="1701" spans="1:10" ht="15.75" x14ac:dyDescent="0.25">
      <c r="A1701" s="21">
        <v>45443</v>
      </c>
      <c r="B1701" t="str">
        <f>IFERROR(IF(VLOOKUP(C1701,Hoja1!$B$1:$C$6191,2,0)="",_xlfn.XLOOKUP(C1701,Hoja1!$B$2:$B$6191,Hoja1!$A$2:$A$6191),VLOOKUP(C1701,Hoja1!$B$1:$C$6191,2,0)),"No esta en Infor")</f>
        <v>NAC1024</v>
      </c>
      <c r="C1701" s="19" t="s">
        <v>241</v>
      </c>
      <c r="D1701" s="9">
        <v>0</v>
      </c>
      <c r="E1701" s="9">
        <v>0</v>
      </c>
      <c r="F1701" s="9">
        <v>0</v>
      </c>
      <c r="G1701" s="9">
        <v>0</v>
      </c>
      <c r="H1701" s="9">
        <v>0</v>
      </c>
      <c r="I1701" s="9">
        <v>-16.41</v>
      </c>
      <c r="J1701" s="9">
        <v>-16.41</v>
      </c>
    </row>
    <row r="1702" spans="1:10" ht="15.75" x14ac:dyDescent="0.25">
      <c r="A1702" s="21">
        <v>45443</v>
      </c>
      <c r="B1702" t="str">
        <f>IFERROR(IF(VLOOKUP(C1702,Hoja1!$B$1:$C$6191,2,0)="",_xlfn.XLOOKUP(C1702,Hoja1!$B$2:$B$6191,Hoja1!$A$2:$A$6191),VLOOKUP(C1702,Hoja1!$B$1:$C$6191,2,0)),"No esta en Infor")</f>
        <v>NAC1027</v>
      </c>
      <c r="C1702" s="19" t="s">
        <v>243</v>
      </c>
      <c r="D1702" s="9">
        <v>0</v>
      </c>
      <c r="E1702" s="9">
        <v>0</v>
      </c>
      <c r="F1702" s="9">
        <v>0</v>
      </c>
      <c r="G1702" s="9">
        <v>0</v>
      </c>
      <c r="H1702" s="9">
        <v>0</v>
      </c>
      <c r="I1702" s="9">
        <v>-2408</v>
      </c>
      <c r="J1702" s="9">
        <v>-2408</v>
      </c>
    </row>
    <row r="1703" spans="1:10" ht="15.75" x14ac:dyDescent="0.25">
      <c r="A1703" s="21">
        <v>45443</v>
      </c>
      <c r="B1703" t="str">
        <f>IFERROR(IF(VLOOKUP(C1703,Hoja1!$B$1:$C$6191,2,0)="",_xlfn.XLOOKUP(C1703,Hoja1!$B$2:$B$6191,Hoja1!$A$2:$A$6191),VLOOKUP(C1703,Hoja1!$B$1:$C$6191,2,0)),"No esta en Infor")</f>
        <v>NAC1051</v>
      </c>
      <c r="C1703" s="19" t="s">
        <v>246</v>
      </c>
      <c r="D1703" s="9">
        <v>486.84</v>
      </c>
      <c r="E1703" s="9">
        <v>957.53</v>
      </c>
      <c r="F1703" s="9">
        <v>0</v>
      </c>
      <c r="G1703" s="9">
        <v>0</v>
      </c>
      <c r="H1703" s="9">
        <v>0</v>
      </c>
      <c r="I1703" s="9">
        <v>0</v>
      </c>
      <c r="J1703" s="9">
        <v>1444.37</v>
      </c>
    </row>
    <row r="1704" spans="1:10" ht="15.75" x14ac:dyDescent="0.25">
      <c r="A1704" s="21">
        <v>45443</v>
      </c>
      <c r="B1704" t="str">
        <f>IFERROR(IF(VLOOKUP(C1704,Hoja1!$B$1:$C$6191,2,0)="",_xlfn.XLOOKUP(C1704,Hoja1!$B$2:$B$6191,Hoja1!$A$2:$A$6191),VLOOKUP(C1704,Hoja1!$B$1:$C$6191,2,0)),"No esta en Infor")</f>
        <v>FOC0001</v>
      </c>
      <c r="C1704" s="19" t="s">
        <v>247</v>
      </c>
      <c r="D1704" s="9">
        <v>0</v>
      </c>
      <c r="E1704" s="9">
        <v>0</v>
      </c>
      <c r="F1704" s="9">
        <v>0</v>
      </c>
      <c r="G1704" s="9">
        <v>0</v>
      </c>
      <c r="H1704" s="9">
        <v>0</v>
      </c>
      <c r="I1704" s="9">
        <v>-88.81</v>
      </c>
      <c r="J1704" s="9">
        <v>-88.81</v>
      </c>
    </row>
    <row r="1705" spans="1:10" ht="15.75" x14ac:dyDescent="0.25">
      <c r="A1705" s="21">
        <v>45443</v>
      </c>
      <c r="B1705" t="str">
        <f>IFERROR(IF(VLOOKUP(C1705,Hoja1!$B$1:$C$6191,2,0)="",_xlfn.XLOOKUP(C1705,Hoja1!$B$2:$B$6191,Hoja1!$A$2:$A$6191),VLOOKUP(C1705,Hoja1!$B$1:$C$6191,2,0)),"No esta en Infor")</f>
        <v>NAC1054</v>
      </c>
      <c r="C1705" s="19" t="s">
        <v>248</v>
      </c>
      <c r="D1705" s="9">
        <v>2393.15</v>
      </c>
      <c r="E1705" s="9">
        <v>0</v>
      </c>
      <c r="F1705" s="9">
        <v>0</v>
      </c>
      <c r="G1705" s="9">
        <v>0</v>
      </c>
      <c r="H1705" s="9">
        <v>0</v>
      </c>
      <c r="I1705" s="9">
        <v>0</v>
      </c>
      <c r="J1705" s="9">
        <v>2393.15</v>
      </c>
    </row>
    <row r="1706" spans="1:10" ht="15.75" x14ac:dyDescent="0.25">
      <c r="A1706" s="21">
        <v>45443</v>
      </c>
      <c r="B1706" t="str">
        <f>IFERROR(IF(VLOOKUP(C1706,Hoja1!$B$1:$C$6191,2,0)="",_xlfn.XLOOKUP(C1706,Hoja1!$B$2:$B$6191,Hoja1!$A$2:$A$6191),VLOOKUP(C1706,Hoja1!$B$1:$C$6191,2,0)),"No esta en Infor")</f>
        <v>SH01540</v>
      </c>
      <c r="C1706" s="19" t="s">
        <v>562</v>
      </c>
      <c r="D1706" s="9">
        <v>73.459999999999994</v>
      </c>
      <c r="E1706" s="9">
        <v>139.74</v>
      </c>
      <c r="F1706" s="9">
        <v>0</v>
      </c>
      <c r="G1706" s="9">
        <v>0</v>
      </c>
      <c r="H1706" s="9">
        <v>0</v>
      </c>
      <c r="I1706" s="9">
        <v>0</v>
      </c>
      <c r="J1706" s="9">
        <v>213.2</v>
      </c>
    </row>
    <row r="1707" spans="1:10" ht="15.75" x14ac:dyDescent="0.25">
      <c r="A1707" s="21">
        <v>45443</v>
      </c>
      <c r="B1707" t="str">
        <f>IFERROR(IF(VLOOKUP(C1707,Hoja1!$B$1:$C$6191,2,0)="",_xlfn.XLOOKUP(C1707,Hoja1!$B$2:$B$6191,Hoja1!$A$2:$A$6191),VLOOKUP(C1707,Hoja1!$B$1:$C$6191,2,0)),"No esta en Infor")</f>
        <v>NAC1074</v>
      </c>
      <c r="C1707" s="19" t="s">
        <v>252</v>
      </c>
      <c r="D1707" s="9">
        <v>477.54</v>
      </c>
      <c r="E1707" s="9">
        <v>66.400000000000006</v>
      </c>
      <c r="F1707" s="9">
        <v>-66.400000000000006</v>
      </c>
      <c r="G1707" s="9">
        <v>0</v>
      </c>
      <c r="H1707" s="9">
        <v>0</v>
      </c>
      <c r="I1707" s="9">
        <v>0</v>
      </c>
      <c r="J1707" s="9">
        <v>477.54</v>
      </c>
    </row>
    <row r="1708" spans="1:10" ht="15.75" x14ac:dyDescent="0.25">
      <c r="A1708" s="21">
        <v>45443</v>
      </c>
      <c r="B1708" t="str">
        <f>IFERROR(IF(VLOOKUP(C1708,Hoja1!$B$1:$C$6191,2,0)="",_xlfn.XLOOKUP(C1708,Hoja1!$B$2:$B$6191,Hoja1!$A$2:$A$6191),VLOOKUP(C1708,Hoja1!$B$1:$C$6191,2,0)),"No esta en Infor")</f>
        <v>NAC1076</v>
      </c>
      <c r="C1708" s="19" t="s">
        <v>253</v>
      </c>
      <c r="D1708" s="9">
        <v>0</v>
      </c>
      <c r="E1708" s="9">
        <v>0</v>
      </c>
      <c r="F1708" s="9">
        <v>0</v>
      </c>
      <c r="G1708" s="9">
        <v>-47.19</v>
      </c>
      <c r="H1708" s="9">
        <v>0</v>
      </c>
      <c r="I1708" s="9">
        <v>0</v>
      </c>
      <c r="J1708" s="9">
        <v>-47.19</v>
      </c>
    </row>
    <row r="1709" spans="1:10" ht="15.75" x14ac:dyDescent="0.25">
      <c r="A1709" s="21">
        <v>45443</v>
      </c>
      <c r="B1709" t="str">
        <f>IFERROR(IF(VLOOKUP(C1709,Hoja1!$B$1:$C$6191,2,0)="",_xlfn.XLOOKUP(C1709,Hoja1!$B$2:$B$6191,Hoja1!$A$2:$A$6191),VLOOKUP(C1709,Hoja1!$B$1:$C$6191,2,0)),"No esta en Infor")</f>
        <v>NAC1077</v>
      </c>
      <c r="C1709" s="19" t="s">
        <v>254</v>
      </c>
      <c r="D1709" s="9">
        <v>2486.08</v>
      </c>
      <c r="E1709" s="9">
        <v>0</v>
      </c>
      <c r="F1709" s="9">
        <v>0</v>
      </c>
      <c r="G1709" s="9">
        <v>0</v>
      </c>
      <c r="H1709" s="9">
        <v>0</v>
      </c>
      <c r="I1709" s="9">
        <v>0</v>
      </c>
      <c r="J1709" s="9">
        <v>2486.08</v>
      </c>
    </row>
    <row r="1710" spans="1:10" ht="15.75" x14ac:dyDescent="0.25">
      <c r="A1710" s="21">
        <v>45443</v>
      </c>
      <c r="B1710" t="str">
        <f>IFERROR(IF(VLOOKUP(C1710,Hoja1!$B$1:$C$6191,2,0)="",_xlfn.XLOOKUP(C1710,Hoja1!$B$2:$B$6191,Hoja1!$A$2:$A$6191),VLOOKUP(C1710,Hoja1!$B$1:$C$6191,2,0)),"No esta en Infor")</f>
        <v>CAN0036</v>
      </c>
      <c r="C1710" s="19" t="s">
        <v>256</v>
      </c>
      <c r="D1710" s="9">
        <v>1105.8399999999999</v>
      </c>
      <c r="E1710" s="9">
        <v>20</v>
      </c>
      <c r="F1710" s="9">
        <v>0</v>
      </c>
      <c r="G1710" s="9">
        <v>0</v>
      </c>
      <c r="H1710" s="9">
        <v>0</v>
      </c>
      <c r="I1710" s="9">
        <v>0</v>
      </c>
      <c r="J1710" s="9">
        <v>1125.8399999999999</v>
      </c>
    </row>
    <row r="1711" spans="1:10" ht="15.75" x14ac:dyDescent="0.25">
      <c r="A1711" s="21">
        <v>45443</v>
      </c>
      <c r="B1711" t="str">
        <f>IFERROR(IF(VLOOKUP(C1711,Hoja1!$B$1:$C$6191,2,0)="",_xlfn.XLOOKUP(C1711,Hoja1!$B$2:$B$6191,Hoja1!$A$2:$A$6191),VLOOKUP(C1711,Hoja1!$B$1:$C$6191,2,0)),"No esta en Infor")</f>
        <v>NAC1084</v>
      </c>
      <c r="C1711" s="19" t="s">
        <v>257</v>
      </c>
      <c r="D1711" s="9">
        <v>520.5</v>
      </c>
      <c r="E1711" s="9">
        <v>0</v>
      </c>
      <c r="F1711" s="9">
        <v>0</v>
      </c>
      <c r="G1711" s="9">
        <v>0</v>
      </c>
      <c r="H1711" s="9">
        <v>0</v>
      </c>
      <c r="I1711" s="9">
        <v>0</v>
      </c>
      <c r="J1711" s="9">
        <v>520.5</v>
      </c>
    </row>
    <row r="1712" spans="1:10" ht="15.75" x14ac:dyDescent="0.25">
      <c r="A1712" s="21">
        <v>45443</v>
      </c>
      <c r="B1712" t="str">
        <f>IFERROR(IF(VLOOKUP(C1712,Hoja1!$B$1:$C$6191,2,0)="",_xlfn.XLOOKUP(C1712,Hoja1!$B$2:$B$6191,Hoja1!$A$2:$A$6191),VLOOKUP(C1712,Hoja1!$B$1:$C$6191,2,0)),"No esta en Infor")</f>
        <v>NAC1086</v>
      </c>
      <c r="C1712" s="19" t="s">
        <v>258</v>
      </c>
      <c r="D1712" s="9">
        <v>584.04999999999995</v>
      </c>
      <c r="E1712" s="9">
        <v>0</v>
      </c>
      <c r="F1712" s="9">
        <v>0</v>
      </c>
      <c r="G1712" s="9">
        <v>0</v>
      </c>
      <c r="H1712" s="9">
        <v>0</v>
      </c>
      <c r="I1712" s="9">
        <v>0</v>
      </c>
      <c r="J1712" s="9">
        <v>584.04999999999995</v>
      </c>
    </row>
    <row r="1713" spans="1:10" ht="15.75" x14ac:dyDescent="0.25">
      <c r="A1713" s="21">
        <v>45443</v>
      </c>
      <c r="B1713" t="str">
        <f>IFERROR(IF(VLOOKUP(C1713,Hoja1!$B$1:$C$6191,2,0)="",_xlfn.XLOOKUP(C1713,Hoja1!$B$2:$B$6191,Hoja1!$A$2:$A$6191),VLOOKUP(C1713,Hoja1!$B$1:$C$6191,2,0)),"No esta en Infor")</f>
        <v>NAC1106</v>
      </c>
      <c r="C1713" s="19" t="s">
        <v>259</v>
      </c>
      <c r="D1713" s="9">
        <v>455.66</v>
      </c>
      <c r="E1713" s="9">
        <v>0</v>
      </c>
      <c r="F1713" s="9">
        <v>0</v>
      </c>
      <c r="G1713" s="9">
        <v>0</v>
      </c>
      <c r="H1713" s="9">
        <v>0</v>
      </c>
      <c r="I1713" s="9">
        <v>0</v>
      </c>
      <c r="J1713" s="9">
        <v>455.66</v>
      </c>
    </row>
    <row r="1714" spans="1:10" ht="15.75" x14ac:dyDescent="0.25">
      <c r="A1714" s="21">
        <v>45443</v>
      </c>
      <c r="B1714" t="str">
        <f>IFERROR(IF(VLOOKUP(C1714,Hoja1!$B$1:$C$6191,2,0)="",_xlfn.XLOOKUP(C1714,Hoja1!$B$2:$B$6191,Hoja1!$A$2:$A$6191),VLOOKUP(C1714,Hoja1!$B$1:$C$6191,2,0)),"No esta en Infor")</f>
        <v>NAC1108</v>
      </c>
      <c r="C1714" s="19" t="s">
        <v>468</v>
      </c>
      <c r="D1714" s="9">
        <v>0</v>
      </c>
      <c r="E1714" s="9">
        <v>194.84</v>
      </c>
      <c r="F1714" s="9">
        <v>0</v>
      </c>
      <c r="G1714" s="9">
        <v>0</v>
      </c>
      <c r="H1714" s="9">
        <v>0</v>
      </c>
      <c r="I1714" s="9">
        <v>0</v>
      </c>
      <c r="J1714" s="9">
        <v>194.84</v>
      </c>
    </row>
    <row r="1715" spans="1:10" ht="15.75" x14ac:dyDescent="0.25">
      <c r="A1715" s="21">
        <v>45443</v>
      </c>
      <c r="B1715" t="str">
        <f>IFERROR(IF(VLOOKUP(C1715,Hoja1!$B$1:$C$6191,2,0)="",_xlfn.XLOOKUP(C1715,Hoja1!$B$2:$B$6191,Hoja1!$A$2:$A$6191),VLOOKUP(C1715,Hoja1!$B$1:$C$6191,2,0)),"No esta en Infor")</f>
        <v>NAC1114</v>
      </c>
      <c r="C1715" s="19" t="s">
        <v>408</v>
      </c>
      <c r="D1715" s="9">
        <v>0</v>
      </c>
      <c r="E1715" s="9">
        <v>-196.34</v>
      </c>
      <c r="F1715" s="9">
        <v>0</v>
      </c>
      <c r="G1715" s="9">
        <v>0</v>
      </c>
      <c r="H1715" s="9">
        <v>0</v>
      </c>
      <c r="I1715" s="9">
        <v>0</v>
      </c>
      <c r="J1715" s="9">
        <v>-196.34</v>
      </c>
    </row>
    <row r="1716" spans="1:10" ht="15.75" x14ac:dyDescent="0.25">
      <c r="A1716" s="21">
        <v>45443</v>
      </c>
      <c r="B1716" t="str">
        <f>IFERROR(IF(VLOOKUP(C1716,Hoja1!$B$1:$C$6191,2,0)="",_xlfn.XLOOKUP(C1716,Hoja1!$B$2:$B$6191,Hoja1!$A$2:$A$6191),VLOOKUP(C1716,Hoja1!$B$1:$C$6191,2,0)),"No esta en Infor")</f>
        <v>NAC1116</v>
      </c>
      <c r="C1716" s="15" t="s">
        <v>260</v>
      </c>
      <c r="D1716" s="16">
        <v>0</v>
      </c>
      <c r="E1716" s="16">
        <v>0</v>
      </c>
      <c r="F1716" s="16">
        <v>0</v>
      </c>
      <c r="G1716" s="16">
        <v>0</v>
      </c>
      <c r="H1716" s="16">
        <v>109.44</v>
      </c>
      <c r="I1716" s="16">
        <v>0</v>
      </c>
      <c r="J1716" s="16">
        <v>109.44</v>
      </c>
    </row>
    <row r="1717" spans="1:10" ht="15.75" x14ac:dyDescent="0.25">
      <c r="A1717" s="21">
        <v>45443</v>
      </c>
      <c r="B1717" t="str">
        <f>IFERROR(IF(VLOOKUP(C1717,Hoja1!$B$1:$C$6191,2,0)="",_xlfn.XLOOKUP(C1717,Hoja1!$B$2:$B$6191,Hoja1!$A$2:$A$6191),VLOOKUP(C1717,Hoja1!$B$1:$C$6191,2,0)),"No esta en Infor")</f>
        <v>NAC1117</v>
      </c>
      <c r="C1717" s="19" t="s">
        <v>513</v>
      </c>
      <c r="D1717" s="9">
        <v>0</v>
      </c>
      <c r="E1717" s="9">
        <v>-224.64</v>
      </c>
      <c r="F1717" s="9">
        <v>0</v>
      </c>
      <c r="G1717" s="9">
        <v>0</v>
      </c>
      <c r="H1717" s="9">
        <v>0</v>
      </c>
      <c r="I1717" s="9">
        <v>0</v>
      </c>
      <c r="J1717" s="9">
        <v>-224.64</v>
      </c>
    </row>
    <row r="1718" spans="1:10" ht="15.75" x14ac:dyDescent="0.25">
      <c r="A1718" s="21">
        <v>45443</v>
      </c>
      <c r="B1718" t="str">
        <f>IFERROR(IF(VLOOKUP(C1718,Hoja1!$B$1:$C$6191,2,0)="",_xlfn.XLOOKUP(C1718,Hoja1!$B$2:$B$6191,Hoja1!$A$2:$A$6191),VLOOKUP(C1718,Hoja1!$B$1:$C$6191,2,0)),"No esta en Infor")</f>
        <v>NAC1119</v>
      </c>
      <c r="C1718" s="19" t="s">
        <v>514</v>
      </c>
      <c r="D1718" s="9">
        <v>0</v>
      </c>
      <c r="E1718" s="9">
        <v>11749.4</v>
      </c>
      <c r="F1718" s="9">
        <v>0</v>
      </c>
      <c r="G1718" s="9">
        <v>0</v>
      </c>
      <c r="H1718" s="9">
        <v>0</v>
      </c>
      <c r="I1718" s="9">
        <v>0</v>
      </c>
      <c r="J1718" s="9">
        <v>11749.4</v>
      </c>
    </row>
    <row r="1719" spans="1:10" ht="15.75" x14ac:dyDescent="0.25">
      <c r="A1719" s="21">
        <v>45443</v>
      </c>
      <c r="B1719" t="str">
        <f>IFERROR(IF(VLOOKUP(C1719,Hoja1!$B$1:$C$6191,2,0)="",_xlfn.XLOOKUP(C1719,Hoja1!$B$2:$B$6191,Hoja1!$A$2:$A$6191),VLOOKUP(C1719,Hoja1!$B$1:$C$6191,2,0)),"No esta en Infor")</f>
        <v>NAC1122</v>
      </c>
      <c r="C1719" s="19" t="s">
        <v>515</v>
      </c>
      <c r="D1719" s="9">
        <v>296</v>
      </c>
      <c r="E1719" s="9">
        <v>9593</v>
      </c>
      <c r="F1719" s="9">
        <v>0</v>
      </c>
      <c r="G1719" s="9">
        <v>0</v>
      </c>
      <c r="H1719" s="9">
        <v>0</v>
      </c>
      <c r="I1719" s="9">
        <v>0</v>
      </c>
      <c r="J1719" s="9">
        <v>9889</v>
      </c>
    </row>
    <row r="1720" spans="1:10" ht="15.75" x14ac:dyDescent="0.25">
      <c r="A1720" s="21">
        <v>45443</v>
      </c>
      <c r="B1720" t="str">
        <f>IFERROR(IF(VLOOKUP(C1720,Hoja1!$B$1:$C$6191,2,0)="",_xlfn.XLOOKUP(C1720,Hoja1!$B$2:$B$6191,Hoja1!$A$2:$A$6191),VLOOKUP(C1720,Hoja1!$B$1:$C$6191,2,0)),"No esta en Infor")</f>
        <v>NAC1125</v>
      </c>
      <c r="C1720" s="19" t="s">
        <v>262</v>
      </c>
      <c r="D1720" s="9">
        <v>0</v>
      </c>
      <c r="E1720" s="9">
        <v>0</v>
      </c>
      <c r="F1720" s="9">
        <v>0</v>
      </c>
      <c r="G1720" s="9">
        <v>0</v>
      </c>
      <c r="H1720" s="9">
        <v>0</v>
      </c>
      <c r="I1720" s="9">
        <v>-3792.8</v>
      </c>
      <c r="J1720" s="9">
        <v>-3792.8</v>
      </c>
    </row>
    <row r="1721" spans="1:10" ht="15.75" x14ac:dyDescent="0.25">
      <c r="A1721" s="21">
        <v>45443</v>
      </c>
      <c r="B1721" t="str">
        <f>IFERROR(IF(VLOOKUP(C1721,Hoja1!$B$1:$C$6191,2,0)="",_xlfn.XLOOKUP(C1721,Hoja1!$B$2:$B$6191,Hoja1!$A$2:$A$6191),VLOOKUP(C1721,Hoja1!$B$1:$C$6191,2,0)),"No esta en Infor")</f>
        <v>NAC1614</v>
      </c>
      <c r="C1721" s="19" t="s">
        <v>563</v>
      </c>
      <c r="D1721" s="9">
        <v>21.15</v>
      </c>
      <c r="E1721" s="9">
        <v>36.979999999999997</v>
      </c>
      <c r="F1721" s="9">
        <v>0</v>
      </c>
      <c r="G1721" s="9">
        <v>0</v>
      </c>
      <c r="H1721" s="9">
        <v>0</v>
      </c>
      <c r="I1721" s="9">
        <v>0</v>
      </c>
      <c r="J1721" s="9">
        <v>58.13</v>
      </c>
    </row>
    <row r="1722" spans="1:10" ht="15.75" x14ac:dyDescent="0.25">
      <c r="A1722" s="21">
        <v>45443</v>
      </c>
      <c r="B1722" t="str">
        <f>IFERROR(IF(VLOOKUP(C1722,Hoja1!$B$1:$C$6191,2,0)="",_xlfn.XLOOKUP(C1722,Hoja1!$B$2:$B$6191,Hoja1!$A$2:$A$6191),VLOOKUP(C1722,Hoja1!$B$1:$C$6191,2,0)),"No esta en Infor")</f>
        <v>NAC1128</v>
      </c>
      <c r="C1722" s="19" t="s">
        <v>263</v>
      </c>
      <c r="D1722" s="9">
        <v>6915</v>
      </c>
      <c r="E1722" s="9">
        <v>5910</v>
      </c>
      <c r="F1722" s="9">
        <v>0</v>
      </c>
      <c r="G1722" s="9">
        <v>0</v>
      </c>
      <c r="H1722" s="9">
        <v>0</v>
      </c>
      <c r="I1722" s="9">
        <v>0</v>
      </c>
      <c r="J1722" s="9">
        <v>12825</v>
      </c>
    </row>
    <row r="1723" spans="1:10" ht="15.75" x14ac:dyDescent="0.25">
      <c r="A1723" s="21">
        <v>45443</v>
      </c>
      <c r="B1723" t="str">
        <f>IFERROR(IF(VLOOKUP(C1723,Hoja1!$B$1:$C$6191,2,0)="",_xlfn.XLOOKUP(C1723,Hoja1!$B$2:$B$6191,Hoja1!$A$2:$A$6191),VLOOKUP(C1723,Hoja1!$B$1:$C$6191,2,0)),"No esta en Infor")</f>
        <v>CAN0038</v>
      </c>
      <c r="C1723" s="19" t="s">
        <v>264</v>
      </c>
      <c r="D1723" s="9">
        <v>0</v>
      </c>
      <c r="E1723" s="9">
        <v>6586.68</v>
      </c>
      <c r="F1723" s="9">
        <v>0</v>
      </c>
      <c r="G1723" s="9">
        <v>0</v>
      </c>
      <c r="H1723" s="9">
        <v>0</v>
      </c>
      <c r="I1723" s="9">
        <v>0</v>
      </c>
      <c r="J1723" s="9">
        <v>6586.68</v>
      </c>
    </row>
    <row r="1724" spans="1:10" ht="15.75" x14ac:dyDescent="0.25">
      <c r="A1724" s="21">
        <v>45443</v>
      </c>
      <c r="B1724" t="str">
        <f>IFERROR(IF(VLOOKUP(C1724,Hoja1!$B$1:$C$6191,2,0)="",_xlfn.XLOOKUP(C1724,Hoja1!$B$2:$B$6191,Hoja1!$A$2:$A$6191),VLOOKUP(C1724,Hoja1!$B$1:$C$6191,2,0)),"No esta en Infor")</f>
        <v>CAN0039</v>
      </c>
      <c r="C1724" s="19" t="s">
        <v>265</v>
      </c>
      <c r="D1724" s="9">
        <v>0</v>
      </c>
      <c r="E1724" s="9">
        <v>7445.44</v>
      </c>
      <c r="F1724" s="9">
        <v>0</v>
      </c>
      <c r="G1724" s="9">
        <v>0</v>
      </c>
      <c r="H1724" s="9">
        <v>0</v>
      </c>
      <c r="I1724" s="9">
        <v>0</v>
      </c>
      <c r="J1724" s="9">
        <v>7445.44</v>
      </c>
    </row>
    <row r="1725" spans="1:10" ht="15.75" x14ac:dyDescent="0.25">
      <c r="A1725" s="21">
        <v>45443</v>
      </c>
      <c r="B1725" t="str">
        <f>IFERROR(IF(VLOOKUP(C1725,Hoja1!$B$1:$C$6191,2,0)="",_xlfn.XLOOKUP(C1725,Hoja1!$B$2:$B$6191,Hoja1!$A$2:$A$6191),VLOOKUP(C1725,Hoja1!$B$1:$C$6191,2,0)),"No esta en Infor")</f>
        <v>NAC1134</v>
      </c>
      <c r="C1725" s="19" t="s">
        <v>266</v>
      </c>
      <c r="D1725" s="9">
        <v>0</v>
      </c>
      <c r="E1725" s="9">
        <v>0</v>
      </c>
      <c r="F1725" s="9">
        <v>0</v>
      </c>
      <c r="G1725" s="9">
        <v>14.6</v>
      </c>
      <c r="H1725" s="9">
        <v>0</v>
      </c>
      <c r="I1725" s="9">
        <v>0</v>
      </c>
      <c r="J1725" s="9">
        <v>14.6</v>
      </c>
    </row>
    <row r="1726" spans="1:10" ht="15.75" x14ac:dyDescent="0.25">
      <c r="A1726" s="21">
        <v>45443</v>
      </c>
      <c r="B1726" t="str">
        <f>IFERROR(IF(VLOOKUP(C1726,Hoja1!$B$1:$C$6191,2,0)="",_xlfn.XLOOKUP(C1726,Hoja1!$B$2:$B$6191,Hoja1!$A$2:$A$6191),VLOOKUP(C1726,Hoja1!$B$1:$C$6191,2,0)),"No esta en Infor")</f>
        <v>SH01833</v>
      </c>
      <c r="C1726" s="19" t="s">
        <v>564</v>
      </c>
      <c r="D1726" s="9">
        <v>60.26</v>
      </c>
      <c r="E1726" s="9">
        <v>0</v>
      </c>
      <c r="F1726" s="9">
        <v>0</v>
      </c>
      <c r="G1726" s="9">
        <v>0</v>
      </c>
      <c r="H1726" s="9">
        <v>0</v>
      </c>
      <c r="I1726" s="9">
        <v>0</v>
      </c>
      <c r="J1726" s="9">
        <v>60.26</v>
      </c>
    </row>
    <row r="1727" spans="1:10" ht="15.75" x14ac:dyDescent="0.25">
      <c r="A1727" s="21">
        <v>45443</v>
      </c>
      <c r="B1727" t="str">
        <f>IFERROR(IF(VLOOKUP(C1727,Hoja1!$B$1:$C$6191,2,0)="",_xlfn.XLOOKUP(C1727,Hoja1!$B$2:$B$6191,Hoja1!$A$2:$A$6191),VLOOKUP(C1727,Hoja1!$B$1:$C$6191,2,0)),"No esta en Infor")</f>
        <v>NAC1611</v>
      </c>
      <c r="C1727" s="19" t="s">
        <v>565</v>
      </c>
      <c r="D1727" s="9">
        <v>8370.81</v>
      </c>
      <c r="E1727" s="9">
        <v>69792.5</v>
      </c>
      <c r="F1727" s="9">
        <v>0</v>
      </c>
      <c r="G1727" s="9">
        <v>0</v>
      </c>
      <c r="H1727" s="9">
        <v>0</v>
      </c>
      <c r="I1727" s="9">
        <v>-184</v>
      </c>
      <c r="J1727" s="9">
        <v>77979.31</v>
      </c>
    </row>
    <row r="1728" spans="1:10" ht="15.75" x14ac:dyDescent="0.25">
      <c r="A1728" s="21">
        <v>45443</v>
      </c>
      <c r="B1728" t="str">
        <f>IFERROR(IF(VLOOKUP(C1728,Hoja1!$B$1:$C$6191,2,0)="",_xlfn.XLOOKUP(C1728,Hoja1!$B$2:$B$6191,Hoja1!$A$2:$A$6191),VLOOKUP(C1728,Hoja1!$B$1:$C$6191,2,0)),"No esta en Infor")</f>
        <v>NAC1144</v>
      </c>
      <c r="C1728" s="19" t="s">
        <v>411</v>
      </c>
      <c r="D1728" s="9">
        <v>0</v>
      </c>
      <c r="E1728" s="9">
        <v>29.71</v>
      </c>
      <c r="F1728" s="9">
        <v>0</v>
      </c>
      <c r="G1728" s="9">
        <v>0</v>
      </c>
      <c r="H1728" s="9">
        <v>0</v>
      </c>
      <c r="I1728" s="9">
        <v>0</v>
      </c>
      <c r="J1728" s="9">
        <v>29.71</v>
      </c>
    </row>
    <row r="1729" spans="1:10" ht="15.75" x14ac:dyDescent="0.25">
      <c r="A1729" s="21">
        <v>45443</v>
      </c>
      <c r="B1729" t="str">
        <f>IFERROR(IF(VLOOKUP(C1729,Hoja1!$B$1:$C$6191,2,0)="",_xlfn.XLOOKUP(C1729,Hoja1!$B$2:$B$6191,Hoja1!$A$2:$A$6191),VLOOKUP(C1729,Hoja1!$B$1:$C$6191,2,0)),"No esta en Infor")</f>
        <v>NAC1145</v>
      </c>
      <c r="C1729" s="19" t="s">
        <v>269</v>
      </c>
      <c r="D1729" s="9">
        <v>0</v>
      </c>
      <c r="E1729" s="9">
        <v>0</v>
      </c>
      <c r="F1729" s="9">
        <v>-16.16</v>
      </c>
      <c r="G1729" s="9">
        <v>0</v>
      </c>
      <c r="H1729" s="9">
        <v>0</v>
      </c>
      <c r="I1729" s="9">
        <v>0</v>
      </c>
      <c r="J1729" s="9">
        <v>-16.16</v>
      </c>
    </row>
    <row r="1730" spans="1:10" ht="15.75" x14ac:dyDescent="0.25">
      <c r="A1730" s="21">
        <v>45443</v>
      </c>
      <c r="B1730" t="str">
        <f>IFERROR(IF(VLOOKUP(C1730,Hoja1!$B$1:$C$6191,2,0)="",_xlfn.XLOOKUP(C1730,Hoja1!$B$2:$B$6191,Hoja1!$A$2:$A$6191),VLOOKUP(C1730,Hoja1!$B$1:$C$6191,2,0)),"No esta en Infor")</f>
        <v>NAC1148</v>
      </c>
      <c r="C1730" s="19" t="s">
        <v>270</v>
      </c>
      <c r="D1730" s="9">
        <v>4120.87</v>
      </c>
      <c r="E1730" s="9">
        <v>0</v>
      </c>
      <c r="F1730" s="9">
        <v>0</v>
      </c>
      <c r="G1730" s="9">
        <v>0</v>
      </c>
      <c r="H1730" s="9">
        <v>0</v>
      </c>
      <c r="I1730" s="9">
        <v>0</v>
      </c>
      <c r="J1730" s="9">
        <v>4120.87</v>
      </c>
    </row>
    <row r="1731" spans="1:10" ht="15.75" x14ac:dyDescent="0.25">
      <c r="A1731" s="21">
        <v>45443</v>
      </c>
      <c r="B1731" t="str">
        <f>IFERROR(IF(VLOOKUP(C1731,Hoja1!$B$1:$C$6191,2,0)="",_xlfn.XLOOKUP(C1731,Hoja1!$B$2:$B$6191,Hoja1!$A$2:$A$6191),VLOOKUP(C1731,Hoja1!$B$1:$C$6191,2,0)),"No esta en Infor")</f>
        <v>NAC1151</v>
      </c>
      <c r="C1731" s="19" t="s">
        <v>271</v>
      </c>
      <c r="D1731" s="9">
        <v>-1172</v>
      </c>
      <c r="E1731" s="9">
        <v>0</v>
      </c>
      <c r="F1731" s="9">
        <v>0</v>
      </c>
      <c r="G1731" s="9">
        <v>0</v>
      </c>
      <c r="H1731" s="9">
        <v>0</v>
      </c>
      <c r="I1731" s="9">
        <v>0</v>
      </c>
      <c r="J1731" s="9">
        <v>-1172</v>
      </c>
    </row>
    <row r="1732" spans="1:10" ht="15.75" x14ac:dyDescent="0.25">
      <c r="A1732" s="21">
        <v>45443</v>
      </c>
      <c r="B1732" t="str">
        <f>IFERROR(IF(VLOOKUP(C1732,Hoja1!$B$1:$C$6191,2,0)="",_xlfn.XLOOKUP(C1732,Hoja1!$B$2:$B$6191,Hoja1!$A$2:$A$6191),VLOOKUP(C1732,Hoja1!$B$1:$C$6191,2,0)),"No esta en Infor")</f>
        <v>NAC1152</v>
      </c>
      <c r="C1732" s="19" t="s">
        <v>470</v>
      </c>
      <c r="D1732" s="9">
        <v>3780</v>
      </c>
      <c r="E1732" s="9">
        <v>1875.93</v>
      </c>
      <c r="F1732" s="9">
        <v>0</v>
      </c>
      <c r="G1732" s="9">
        <v>0</v>
      </c>
      <c r="H1732" s="9">
        <v>0</v>
      </c>
      <c r="I1732" s="9">
        <v>0</v>
      </c>
      <c r="J1732" s="9">
        <v>5655.93</v>
      </c>
    </row>
    <row r="1733" spans="1:10" ht="15.75" x14ac:dyDescent="0.25">
      <c r="A1733" s="21">
        <v>45443</v>
      </c>
      <c r="B1733" t="str">
        <f>IFERROR(IF(VLOOKUP(C1733,Hoja1!$B$1:$C$6191,2,0)="",_xlfn.XLOOKUP(C1733,Hoja1!$B$2:$B$6191,Hoja1!$A$2:$A$6191),VLOOKUP(C1733,Hoja1!$B$1:$C$6191,2,0)),"No esta en Infor")</f>
        <v>NAC1158</v>
      </c>
      <c r="C1733" s="19" t="s">
        <v>272</v>
      </c>
      <c r="D1733" s="9">
        <v>764.83</v>
      </c>
      <c r="E1733" s="9">
        <v>9674.0499999999993</v>
      </c>
      <c r="F1733" s="9">
        <v>0</v>
      </c>
      <c r="G1733" s="9">
        <v>0</v>
      </c>
      <c r="H1733" s="9">
        <v>0</v>
      </c>
      <c r="I1733" s="9">
        <v>0</v>
      </c>
      <c r="J1733" s="9">
        <v>10438.879999999999</v>
      </c>
    </row>
    <row r="1734" spans="1:10" ht="15.75" x14ac:dyDescent="0.25">
      <c r="A1734" s="21">
        <v>45443</v>
      </c>
      <c r="B1734" t="str">
        <f>IFERROR(IF(VLOOKUP(C1734,Hoja1!$B$1:$C$6191,2,0)="",_xlfn.XLOOKUP(C1734,Hoja1!$B$2:$B$6191,Hoja1!$A$2:$A$6191),VLOOKUP(C1734,Hoja1!$B$1:$C$6191,2,0)),"No esta en Infor")</f>
        <v>NAC1604</v>
      </c>
      <c r="C1734" s="19" t="s">
        <v>12389</v>
      </c>
      <c r="D1734" s="9">
        <v>18040.759999999998</v>
      </c>
      <c r="E1734" s="9">
        <v>0</v>
      </c>
      <c r="F1734" s="9">
        <v>-280</v>
      </c>
      <c r="G1734" s="9">
        <v>0</v>
      </c>
      <c r="H1734" s="9">
        <v>-44.8</v>
      </c>
      <c r="I1734" s="9">
        <v>-318</v>
      </c>
      <c r="J1734" s="9">
        <v>17397.96</v>
      </c>
    </row>
    <row r="1735" spans="1:10" ht="15.75" x14ac:dyDescent="0.25">
      <c r="A1735" s="21">
        <v>45443</v>
      </c>
      <c r="B1735" t="str">
        <f>IFERROR(IF(VLOOKUP(C1735,Hoja1!$B$1:$C$6191,2,0)="",_xlfn.XLOOKUP(C1735,Hoja1!$B$2:$B$6191,Hoja1!$A$2:$A$6191),VLOOKUP(C1735,Hoja1!$B$1:$C$6191,2,0)),"No esta en Infor")</f>
        <v>NAC1166</v>
      </c>
      <c r="C1735" s="19" t="s">
        <v>516</v>
      </c>
      <c r="D1735" s="9">
        <v>0</v>
      </c>
      <c r="E1735" s="9">
        <v>1817</v>
      </c>
      <c r="F1735" s="9">
        <v>0</v>
      </c>
      <c r="G1735" s="9">
        <v>0</v>
      </c>
      <c r="H1735" s="9">
        <v>0</v>
      </c>
      <c r="I1735" s="9">
        <v>0</v>
      </c>
      <c r="J1735" s="9">
        <v>1817</v>
      </c>
    </row>
    <row r="1736" spans="1:10" ht="15.75" x14ac:dyDescent="0.25">
      <c r="A1736" s="21">
        <v>45443</v>
      </c>
      <c r="B1736" t="str">
        <f>IFERROR(IF(VLOOKUP(C1736,Hoja1!$B$1:$C$6191,2,0)="",_xlfn.XLOOKUP(C1736,Hoja1!$B$2:$B$6191,Hoja1!$A$2:$A$6191),VLOOKUP(C1736,Hoja1!$B$1:$C$6191,2,0)),"No esta en Infor")</f>
        <v>NAC1167</v>
      </c>
      <c r="C1736" s="19" t="s">
        <v>34</v>
      </c>
      <c r="D1736" s="9">
        <v>0</v>
      </c>
      <c r="E1736" s="9">
        <v>4718</v>
      </c>
      <c r="F1736" s="9">
        <v>0</v>
      </c>
      <c r="G1736" s="9">
        <v>0</v>
      </c>
      <c r="H1736" s="9">
        <v>0</v>
      </c>
      <c r="I1736" s="9">
        <v>0</v>
      </c>
      <c r="J1736" s="9">
        <v>4718</v>
      </c>
    </row>
    <row r="1737" spans="1:10" ht="15.75" x14ac:dyDescent="0.25">
      <c r="A1737" s="21">
        <v>45443</v>
      </c>
      <c r="B1737" t="str">
        <f>IFERROR(IF(VLOOKUP(C1737,Hoja1!$B$1:$C$6191,2,0)="",_xlfn.XLOOKUP(C1737,Hoja1!$B$2:$B$6191,Hoja1!$A$2:$A$6191),VLOOKUP(C1737,Hoja1!$B$1:$C$6191,2,0)),"No esta en Infor")</f>
        <v>NAC1168</v>
      </c>
      <c r="C1737" s="19" t="s">
        <v>277</v>
      </c>
      <c r="D1737" s="9">
        <v>60</v>
      </c>
      <c r="E1737" s="9">
        <v>0</v>
      </c>
      <c r="F1737" s="9">
        <v>0</v>
      </c>
      <c r="G1737" s="9">
        <v>0</v>
      </c>
      <c r="H1737" s="9">
        <v>0</v>
      </c>
      <c r="I1737" s="9">
        <v>0</v>
      </c>
      <c r="J1737" s="9">
        <v>60</v>
      </c>
    </row>
    <row r="1738" spans="1:10" ht="15.75" x14ac:dyDescent="0.25">
      <c r="A1738" s="21">
        <v>45443</v>
      </c>
      <c r="B1738" t="str">
        <f>IFERROR(IF(VLOOKUP(C1738,Hoja1!$B$1:$C$6191,2,0)="",_xlfn.XLOOKUP(C1738,Hoja1!$B$2:$B$6191,Hoja1!$A$2:$A$6191),VLOOKUP(C1738,Hoja1!$B$1:$C$6191,2,0)),"No esta en Infor")</f>
        <v>NAC1174</v>
      </c>
      <c r="C1738" s="19" t="s">
        <v>279</v>
      </c>
      <c r="D1738" s="9">
        <v>0</v>
      </c>
      <c r="E1738" s="9">
        <v>0</v>
      </c>
      <c r="F1738" s="9">
        <v>-27.89</v>
      </c>
      <c r="G1738" s="9">
        <v>0</v>
      </c>
      <c r="H1738" s="9">
        <v>0</v>
      </c>
      <c r="I1738" s="9">
        <v>0</v>
      </c>
      <c r="J1738" s="9">
        <v>-27.89</v>
      </c>
    </row>
    <row r="1739" spans="1:10" ht="15.75" x14ac:dyDescent="0.25">
      <c r="A1739" s="21">
        <v>45443</v>
      </c>
      <c r="B1739" t="str">
        <f>IFERROR(IF(VLOOKUP(C1739,Hoja1!$B$1:$C$6191,2,0)="",_xlfn.XLOOKUP(C1739,Hoja1!$B$2:$B$6191,Hoja1!$A$2:$A$6191),VLOOKUP(C1739,Hoja1!$B$1:$C$6191,2,0)),"No esta en Infor")</f>
        <v>NAC1177</v>
      </c>
      <c r="C1739" s="19" t="s">
        <v>566</v>
      </c>
      <c r="D1739" s="9">
        <v>-14.41</v>
      </c>
      <c r="E1739" s="9">
        <v>0</v>
      </c>
      <c r="F1739" s="9">
        <v>0</v>
      </c>
      <c r="G1739" s="9">
        <v>0</v>
      </c>
      <c r="H1739" s="9">
        <v>0</v>
      </c>
      <c r="I1739" s="9">
        <v>0</v>
      </c>
      <c r="J1739" s="9">
        <v>-14.41</v>
      </c>
    </row>
    <row r="1740" spans="1:10" ht="15.75" x14ac:dyDescent="0.25">
      <c r="A1740" s="21">
        <v>45443</v>
      </c>
      <c r="B1740" t="str">
        <f>IFERROR(IF(VLOOKUP(C1740,Hoja1!$B$1:$C$6191,2,0)="",_xlfn.XLOOKUP(C1740,Hoja1!$B$2:$B$6191,Hoja1!$A$2:$A$6191),VLOOKUP(C1740,Hoja1!$B$1:$C$6191,2,0)),"No esta en Infor")</f>
        <v>CAN0043</v>
      </c>
      <c r="C1740" s="19" t="s">
        <v>280</v>
      </c>
      <c r="D1740" s="9">
        <v>3454.5</v>
      </c>
      <c r="E1740" s="9">
        <v>6130.78</v>
      </c>
      <c r="F1740" s="9">
        <v>0</v>
      </c>
      <c r="G1740" s="9">
        <v>0</v>
      </c>
      <c r="H1740" s="9">
        <v>0</v>
      </c>
      <c r="I1740" s="9">
        <v>0</v>
      </c>
      <c r="J1740" s="9">
        <v>9585.2800000000007</v>
      </c>
    </row>
    <row r="1741" spans="1:10" ht="15.75" x14ac:dyDescent="0.25">
      <c r="A1741" s="21">
        <v>45443</v>
      </c>
      <c r="B1741" t="str">
        <f>IFERROR(IF(VLOOKUP(C1741,Hoja1!$B$1:$C$6191,2,0)="",_xlfn.XLOOKUP(C1741,Hoja1!$B$2:$B$6191,Hoja1!$A$2:$A$6191),VLOOKUP(C1741,Hoja1!$B$1:$C$6191,2,0)),"No esta en Infor")</f>
        <v>NAC1187</v>
      </c>
      <c r="C1741" s="19" t="s">
        <v>471</v>
      </c>
      <c r="D1741" s="9">
        <v>0</v>
      </c>
      <c r="E1741" s="9">
        <v>2009.5</v>
      </c>
      <c r="F1741" s="9">
        <v>0</v>
      </c>
      <c r="G1741" s="9">
        <v>0</v>
      </c>
      <c r="H1741" s="9">
        <v>0</v>
      </c>
      <c r="I1741" s="9">
        <v>0</v>
      </c>
      <c r="J1741" s="9">
        <v>2009.5</v>
      </c>
    </row>
    <row r="1742" spans="1:10" ht="15.75" x14ac:dyDescent="0.25">
      <c r="A1742" s="21">
        <v>45443</v>
      </c>
      <c r="B1742" t="str">
        <f>IFERROR(IF(VLOOKUP(C1742,Hoja1!$B$1:$C$6191,2,0)="",_xlfn.XLOOKUP(C1742,Hoja1!$B$2:$B$6191,Hoja1!$A$2:$A$6191),VLOOKUP(C1742,Hoja1!$B$1:$C$6191,2,0)),"No esta en Infor")</f>
        <v>CAN0045</v>
      </c>
      <c r="C1742" s="19" t="s">
        <v>472</v>
      </c>
      <c r="D1742" s="9">
        <v>0</v>
      </c>
      <c r="E1742" s="9">
        <v>894.96</v>
      </c>
      <c r="F1742" s="9">
        <v>0</v>
      </c>
      <c r="G1742" s="9">
        <v>0</v>
      </c>
      <c r="H1742" s="9">
        <v>0</v>
      </c>
      <c r="I1742" s="9">
        <v>0</v>
      </c>
      <c r="J1742" s="9">
        <v>894.96</v>
      </c>
    </row>
    <row r="1743" spans="1:10" ht="15.75" x14ac:dyDescent="0.25">
      <c r="A1743" s="21">
        <v>45443</v>
      </c>
      <c r="B1743" t="str">
        <f>IFERROR(IF(VLOOKUP(C1743,Hoja1!$B$1:$C$6191,2,0)="",_xlfn.XLOOKUP(C1743,Hoja1!$B$2:$B$6191,Hoja1!$A$2:$A$6191),VLOOKUP(C1743,Hoja1!$B$1:$C$6191,2,0)),"No esta en Infor")</f>
        <v>CAN0046</v>
      </c>
      <c r="C1743" s="19" t="s">
        <v>283</v>
      </c>
      <c r="D1743" s="9">
        <v>757.1</v>
      </c>
      <c r="E1743" s="9">
        <v>2377.89</v>
      </c>
      <c r="F1743" s="9">
        <v>0</v>
      </c>
      <c r="G1743" s="9">
        <v>0</v>
      </c>
      <c r="H1743" s="9">
        <v>0</v>
      </c>
      <c r="I1743" s="9">
        <v>0</v>
      </c>
      <c r="J1743" s="9">
        <v>3134.99</v>
      </c>
    </row>
    <row r="1744" spans="1:10" ht="15.75" x14ac:dyDescent="0.25">
      <c r="A1744" s="21">
        <v>45443</v>
      </c>
      <c r="B1744" t="str">
        <f>IFERROR(IF(VLOOKUP(C1744,Hoja1!$B$1:$C$6191,2,0)="",_xlfn.XLOOKUP(C1744,Hoja1!$B$2:$B$6191,Hoja1!$A$2:$A$6191),VLOOKUP(C1744,Hoja1!$B$1:$C$6191,2,0)),"No esta en Infor")</f>
        <v>CAN0048</v>
      </c>
      <c r="C1744" s="19" t="s">
        <v>567</v>
      </c>
      <c r="D1744" s="9">
        <v>0</v>
      </c>
      <c r="E1744" s="9">
        <v>-12463.9</v>
      </c>
      <c r="F1744" s="9">
        <v>0</v>
      </c>
      <c r="G1744" s="9">
        <v>0</v>
      </c>
      <c r="H1744" s="9">
        <v>0</v>
      </c>
      <c r="I1744" s="9">
        <v>0</v>
      </c>
      <c r="J1744" s="9">
        <v>-12463.9</v>
      </c>
    </row>
    <row r="1745" spans="1:10" ht="15.75" x14ac:dyDescent="0.25">
      <c r="A1745" s="21">
        <v>45443</v>
      </c>
      <c r="B1745" t="str">
        <f>IFERROR(IF(VLOOKUP(C1745,Hoja1!$B$1:$C$6191,2,0)="",_xlfn.XLOOKUP(C1745,Hoja1!$B$2:$B$6191,Hoja1!$A$2:$A$6191),VLOOKUP(C1745,Hoja1!$B$1:$C$6191,2,0)),"No esta en Infor")</f>
        <v>NAC1200</v>
      </c>
      <c r="C1745" s="19" t="s">
        <v>473</v>
      </c>
      <c r="D1745" s="9">
        <v>0</v>
      </c>
      <c r="E1745" s="9">
        <v>24.37</v>
      </c>
      <c r="F1745" s="9">
        <v>0</v>
      </c>
      <c r="G1745" s="9">
        <v>0</v>
      </c>
      <c r="H1745" s="9">
        <v>0</v>
      </c>
      <c r="I1745" s="9">
        <v>0</v>
      </c>
      <c r="J1745" s="9">
        <v>24.37</v>
      </c>
    </row>
    <row r="1746" spans="1:10" ht="15.75" x14ac:dyDescent="0.25">
      <c r="A1746" s="21">
        <v>45443</v>
      </c>
      <c r="B1746" t="str">
        <f>IFERROR(IF(VLOOKUP(C1746,Hoja1!$B$1:$C$6191,2,0)="",_xlfn.XLOOKUP(C1746,Hoja1!$B$2:$B$6191,Hoja1!$A$2:$A$6191),VLOOKUP(C1746,Hoja1!$B$1:$C$6191,2,0)),"No esta en Infor")</f>
        <v>NAC1205</v>
      </c>
      <c r="C1746" s="19" t="s">
        <v>568</v>
      </c>
      <c r="D1746" s="9">
        <v>316.68</v>
      </c>
      <c r="E1746" s="9">
        <v>0</v>
      </c>
      <c r="F1746" s="9">
        <v>0</v>
      </c>
      <c r="G1746" s="9">
        <v>0</v>
      </c>
      <c r="H1746" s="9">
        <v>0</v>
      </c>
      <c r="I1746" s="9">
        <v>0</v>
      </c>
      <c r="J1746" s="9">
        <v>316.68</v>
      </c>
    </row>
    <row r="1747" spans="1:10" ht="15.75" x14ac:dyDescent="0.25">
      <c r="A1747" s="21">
        <v>45443</v>
      </c>
      <c r="B1747" t="str">
        <f>IFERROR(IF(VLOOKUP(C1747,Hoja1!$B$1:$C$6191,2,0)="",_xlfn.XLOOKUP(C1747,Hoja1!$B$2:$B$6191,Hoja1!$A$2:$A$6191),VLOOKUP(C1747,Hoja1!$B$1:$C$6191,2,0)),"No esta en Infor")</f>
        <v>NAC1211</v>
      </c>
      <c r="C1747" s="19" t="s">
        <v>284</v>
      </c>
      <c r="D1747" s="9">
        <v>55611.67</v>
      </c>
      <c r="E1747" s="9">
        <v>50299.17</v>
      </c>
      <c r="F1747" s="9">
        <v>0</v>
      </c>
      <c r="G1747" s="9">
        <v>0</v>
      </c>
      <c r="H1747" s="9">
        <v>0</v>
      </c>
      <c r="I1747" s="9">
        <v>0</v>
      </c>
      <c r="J1747" s="9">
        <v>105910.84</v>
      </c>
    </row>
    <row r="1748" spans="1:10" ht="15.75" x14ac:dyDescent="0.25">
      <c r="A1748" s="21">
        <v>45443</v>
      </c>
      <c r="B1748" t="str">
        <f>IFERROR(IF(VLOOKUP(C1748,Hoja1!$B$1:$C$6191,2,0)="",_xlfn.XLOOKUP(C1748,Hoja1!$B$2:$B$6191,Hoja1!$A$2:$A$6191),VLOOKUP(C1748,Hoja1!$B$1:$C$6191,2,0)),"No esta en Infor")</f>
        <v>NAC1212</v>
      </c>
      <c r="C1748" s="19" t="s">
        <v>285</v>
      </c>
      <c r="D1748" s="9">
        <v>24000</v>
      </c>
      <c r="E1748" s="9">
        <v>0</v>
      </c>
      <c r="F1748" s="9">
        <v>0</v>
      </c>
      <c r="G1748" s="9">
        <v>0</v>
      </c>
      <c r="H1748" s="9">
        <v>0</v>
      </c>
      <c r="I1748" s="9">
        <v>0</v>
      </c>
      <c r="J1748" s="9">
        <v>24000</v>
      </c>
    </row>
    <row r="1749" spans="1:10" ht="15.75" x14ac:dyDescent="0.25">
      <c r="A1749" s="21">
        <v>45443</v>
      </c>
      <c r="B1749" t="str">
        <f>IFERROR(IF(VLOOKUP(C1749,Hoja1!$B$1:$C$6191,2,0)="",_xlfn.XLOOKUP(C1749,Hoja1!$B$2:$B$6191,Hoja1!$A$2:$A$6191),VLOOKUP(C1749,Hoja1!$B$1:$C$6191,2,0)),"No esta en Infor")</f>
        <v>NAC1216</v>
      </c>
      <c r="C1749" s="19" t="s">
        <v>287</v>
      </c>
      <c r="D1749" s="9">
        <v>530.92999999999995</v>
      </c>
      <c r="E1749" s="9">
        <v>0</v>
      </c>
      <c r="F1749" s="9">
        <v>-0.01</v>
      </c>
      <c r="G1749" s="9">
        <v>0</v>
      </c>
      <c r="H1749" s="9">
        <v>0</v>
      </c>
      <c r="I1749" s="9">
        <v>0</v>
      </c>
      <c r="J1749" s="9">
        <v>530.91999999999996</v>
      </c>
    </row>
    <row r="1750" spans="1:10" ht="15.75" x14ac:dyDescent="0.25">
      <c r="A1750" s="21">
        <v>45443</v>
      </c>
      <c r="B1750" t="str">
        <f>IFERROR(IF(VLOOKUP(C1750,Hoja1!$B$1:$C$6191,2,0)="",_xlfn.XLOOKUP(C1750,Hoja1!$B$2:$B$6191,Hoja1!$A$2:$A$6191),VLOOKUP(C1750,Hoja1!$B$1:$C$6191,2,0)),"No esta en Infor")</f>
        <v>NAC1219</v>
      </c>
      <c r="C1750" s="19" t="s">
        <v>475</v>
      </c>
      <c r="D1750" s="9">
        <v>0</v>
      </c>
      <c r="E1750" s="9">
        <v>-299.55</v>
      </c>
      <c r="F1750" s="9">
        <v>0</v>
      </c>
      <c r="G1750" s="9">
        <v>0</v>
      </c>
      <c r="H1750" s="9">
        <v>0</v>
      </c>
      <c r="I1750" s="9">
        <v>0</v>
      </c>
      <c r="J1750" s="9">
        <v>-299.55</v>
      </c>
    </row>
    <row r="1751" spans="1:10" ht="15.75" x14ac:dyDescent="0.25">
      <c r="A1751" s="21">
        <v>45443</v>
      </c>
      <c r="B1751" t="str">
        <f>IFERROR(IF(VLOOKUP(C1751,Hoja1!$B$1:$C$6191,2,0)="",_xlfn.XLOOKUP(C1751,Hoja1!$B$2:$B$6191,Hoja1!$A$2:$A$6191),VLOOKUP(C1751,Hoja1!$B$1:$C$6191,2,0)),"No esta en Infor")</f>
        <v>CAN0049</v>
      </c>
      <c r="C1751" s="19" t="s">
        <v>289</v>
      </c>
      <c r="D1751" s="9">
        <v>10174.9</v>
      </c>
      <c r="E1751" s="9">
        <v>0</v>
      </c>
      <c r="F1751" s="9">
        <v>0</v>
      </c>
      <c r="G1751" s="9">
        <v>0</v>
      </c>
      <c r="H1751" s="9">
        <v>0</v>
      </c>
      <c r="I1751" s="9">
        <v>0</v>
      </c>
      <c r="J1751" s="9">
        <v>10174.9</v>
      </c>
    </row>
    <row r="1752" spans="1:10" ht="15.75" x14ac:dyDescent="0.25">
      <c r="A1752" s="21">
        <v>45443</v>
      </c>
      <c r="B1752" t="str">
        <f>IFERROR(IF(VLOOKUP(C1752,Hoja1!$B$1:$C$6191,2,0)="",_xlfn.XLOOKUP(C1752,Hoja1!$B$2:$B$6191,Hoja1!$A$2:$A$6191),VLOOKUP(C1752,Hoja1!$B$1:$C$6191,2,0)),"No esta en Infor")</f>
        <v>NAC1228</v>
      </c>
      <c r="C1752" s="19" t="s">
        <v>569</v>
      </c>
      <c r="D1752" s="9">
        <v>1717.12</v>
      </c>
      <c r="E1752" s="9">
        <v>0</v>
      </c>
      <c r="F1752" s="9">
        <v>0</v>
      </c>
      <c r="G1752" s="9">
        <v>0</v>
      </c>
      <c r="H1752" s="9">
        <v>0</v>
      </c>
      <c r="I1752" s="9">
        <v>0</v>
      </c>
      <c r="J1752" s="9">
        <v>1717.12</v>
      </c>
    </row>
    <row r="1753" spans="1:10" ht="15.75" x14ac:dyDescent="0.25">
      <c r="A1753" s="21">
        <v>45443</v>
      </c>
      <c r="B1753" t="str">
        <f>IFERROR(IF(VLOOKUP(C1753,Hoja1!$B$1:$C$6191,2,0)="",_xlfn.XLOOKUP(C1753,Hoja1!$B$2:$B$6191,Hoja1!$A$2:$A$6191),VLOOKUP(C1753,Hoja1!$B$1:$C$6191,2,0)),"No esta en Infor")</f>
        <v>NAC1229</v>
      </c>
      <c r="C1753" s="19" t="s">
        <v>418</v>
      </c>
      <c r="D1753" s="9">
        <v>0</v>
      </c>
      <c r="E1753" s="9">
        <v>505.49</v>
      </c>
      <c r="F1753" s="9">
        <v>0</v>
      </c>
      <c r="G1753" s="9">
        <v>0</v>
      </c>
      <c r="H1753" s="9">
        <v>0</v>
      </c>
      <c r="I1753" s="9">
        <v>0</v>
      </c>
      <c r="J1753" s="9">
        <v>505.49</v>
      </c>
    </row>
    <row r="1754" spans="1:10" ht="15.75" x14ac:dyDescent="0.25">
      <c r="A1754" s="21">
        <v>45443</v>
      </c>
      <c r="B1754" t="str">
        <f>IFERROR(IF(VLOOKUP(C1754,Hoja1!$B$1:$C$6191,2,0)="",_xlfn.XLOOKUP(C1754,Hoja1!$B$2:$B$6191,Hoja1!$A$2:$A$6191),VLOOKUP(C1754,Hoja1!$B$1:$C$6191,2,0)),"No esta en Infor")</f>
        <v>CAN0050</v>
      </c>
      <c r="C1754" s="19" t="s">
        <v>291</v>
      </c>
      <c r="D1754" s="9">
        <v>2025</v>
      </c>
      <c r="E1754" s="9">
        <v>20544.3</v>
      </c>
      <c r="F1754" s="9">
        <v>0</v>
      </c>
      <c r="G1754" s="9">
        <v>0</v>
      </c>
      <c r="H1754" s="9">
        <v>0</v>
      </c>
      <c r="I1754" s="9">
        <v>0</v>
      </c>
      <c r="J1754" s="9">
        <v>22569.3</v>
      </c>
    </row>
    <row r="1755" spans="1:10" ht="15.75" x14ac:dyDescent="0.25">
      <c r="A1755" s="21">
        <v>45443</v>
      </c>
      <c r="B1755" t="str">
        <f>IFERROR(IF(VLOOKUP(C1755,Hoja1!$B$1:$C$6191,2,0)="",_xlfn.XLOOKUP(C1755,Hoja1!$B$2:$B$6191,Hoja1!$A$2:$A$6191),VLOOKUP(C1755,Hoja1!$B$1:$C$6191,2,0)),"No esta en Infor")</f>
        <v>NAC1234</v>
      </c>
      <c r="C1755" s="19" t="s">
        <v>293</v>
      </c>
      <c r="D1755" s="9">
        <v>6067.4</v>
      </c>
      <c r="E1755" s="9">
        <v>0</v>
      </c>
      <c r="F1755" s="9">
        <v>0</v>
      </c>
      <c r="G1755" s="9">
        <v>0</v>
      </c>
      <c r="H1755" s="9">
        <v>0</v>
      </c>
      <c r="I1755" s="9">
        <v>0</v>
      </c>
      <c r="J1755" s="9">
        <v>6067.4</v>
      </c>
    </row>
    <row r="1756" spans="1:10" ht="15.75" x14ac:dyDescent="0.25">
      <c r="A1756" s="21">
        <v>45443</v>
      </c>
      <c r="B1756" t="str">
        <f>IFERROR(IF(VLOOKUP(C1756,Hoja1!$B$1:$C$6191,2,0)="",_xlfn.XLOOKUP(C1756,Hoja1!$B$2:$B$6191,Hoja1!$A$2:$A$6191),VLOOKUP(C1756,Hoja1!$B$1:$C$6191,2,0)),"No esta en Infor")</f>
        <v>NAC1241</v>
      </c>
      <c r="C1756" s="19" t="s">
        <v>295</v>
      </c>
      <c r="D1756" s="9">
        <v>6451.5</v>
      </c>
      <c r="E1756" s="9">
        <v>0</v>
      </c>
      <c r="F1756" s="9">
        <v>0</v>
      </c>
      <c r="G1756" s="9">
        <v>0</v>
      </c>
      <c r="H1756" s="9">
        <v>0</v>
      </c>
      <c r="I1756" s="9">
        <v>-75</v>
      </c>
      <c r="J1756" s="9">
        <v>6376.5</v>
      </c>
    </row>
    <row r="1757" spans="1:10" ht="15.75" x14ac:dyDescent="0.25">
      <c r="A1757" s="21">
        <v>45443</v>
      </c>
      <c r="B1757" t="str">
        <f>IFERROR(IF(VLOOKUP(C1757,Hoja1!$B$1:$C$6191,2,0)="",_xlfn.XLOOKUP(C1757,Hoja1!$B$2:$B$6191,Hoja1!$A$2:$A$6191),VLOOKUP(C1757,Hoja1!$B$1:$C$6191,2,0)),"No esta en Infor")</f>
        <v>NAC1247</v>
      </c>
      <c r="C1757" s="19" t="s">
        <v>298</v>
      </c>
      <c r="D1757" s="9">
        <v>3237.65</v>
      </c>
      <c r="E1757" s="9">
        <v>0</v>
      </c>
      <c r="F1757" s="9">
        <v>0</v>
      </c>
      <c r="G1757" s="9">
        <v>0</v>
      </c>
      <c r="H1757" s="9">
        <v>0</v>
      </c>
      <c r="I1757" s="9">
        <v>0</v>
      </c>
      <c r="J1757" s="9">
        <v>3237.65</v>
      </c>
    </row>
    <row r="1758" spans="1:10" ht="15.75" x14ac:dyDescent="0.25">
      <c r="A1758" s="21">
        <v>45443</v>
      </c>
      <c r="B1758" t="str">
        <f>IFERROR(IF(VLOOKUP(C1758,Hoja1!$B$1:$C$6191,2,0)="",_xlfn.XLOOKUP(C1758,Hoja1!$B$2:$B$6191,Hoja1!$A$2:$A$6191),VLOOKUP(C1758,Hoja1!$B$1:$C$6191,2,0)),"No esta en Infor")</f>
        <v>CAN0051</v>
      </c>
      <c r="C1758" s="19" t="s">
        <v>299</v>
      </c>
      <c r="D1758" s="9">
        <v>0</v>
      </c>
      <c r="E1758" s="9">
        <v>3916.98</v>
      </c>
      <c r="F1758" s="9">
        <v>-0.34</v>
      </c>
      <c r="G1758" s="9">
        <v>0</v>
      </c>
      <c r="H1758" s="9">
        <v>0</v>
      </c>
      <c r="I1758" s="9">
        <v>0</v>
      </c>
      <c r="J1758" s="9">
        <v>3916.64</v>
      </c>
    </row>
    <row r="1759" spans="1:10" ht="15.75" x14ac:dyDescent="0.25">
      <c r="A1759" s="21">
        <v>45443</v>
      </c>
      <c r="B1759" t="str">
        <f>IFERROR(IF(VLOOKUP(C1759,Hoja1!$B$1:$C$6191,2,0)="",_xlfn.XLOOKUP(C1759,Hoja1!$B$2:$B$6191,Hoja1!$A$2:$A$6191),VLOOKUP(C1759,Hoja1!$B$1:$C$6191,2,0)),"No esta en Infor")</f>
        <v>NAC1252</v>
      </c>
      <c r="C1759" s="19" t="s">
        <v>301</v>
      </c>
      <c r="D1759" s="9">
        <v>12499</v>
      </c>
      <c r="E1759" s="9">
        <v>0</v>
      </c>
      <c r="F1759" s="9">
        <v>0</v>
      </c>
      <c r="G1759" s="9">
        <v>0</v>
      </c>
      <c r="H1759" s="9">
        <v>0</v>
      </c>
      <c r="I1759" s="9">
        <v>0</v>
      </c>
      <c r="J1759" s="9">
        <v>12499</v>
      </c>
    </row>
    <row r="1760" spans="1:10" ht="15.75" x14ac:dyDescent="0.25">
      <c r="A1760" s="21">
        <v>45443</v>
      </c>
      <c r="B1760" t="str">
        <f>IFERROR(IF(VLOOKUP(C1760,Hoja1!$B$1:$C$6191,2,0)="",_xlfn.XLOOKUP(C1760,Hoja1!$B$2:$B$6191,Hoja1!$A$2:$A$6191),VLOOKUP(C1760,Hoja1!$B$1:$C$6191,2,0)),"No esta en Infor")</f>
        <v>NAC1615</v>
      </c>
      <c r="C1760" s="19" t="s">
        <v>520</v>
      </c>
      <c r="D1760" s="9">
        <v>-17.64</v>
      </c>
      <c r="E1760" s="9">
        <v>-234.36</v>
      </c>
      <c r="F1760" s="9">
        <v>0</v>
      </c>
      <c r="G1760" s="9">
        <v>0</v>
      </c>
      <c r="H1760" s="9">
        <v>0</v>
      </c>
      <c r="I1760" s="9">
        <v>0</v>
      </c>
      <c r="J1760" s="9">
        <v>-252</v>
      </c>
    </row>
    <row r="1761" spans="1:10" ht="15.75" x14ac:dyDescent="0.25">
      <c r="A1761" s="21">
        <v>45443</v>
      </c>
      <c r="B1761" t="str">
        <f>IFERROR(IF(VLOOKUP(C1761,Hoja1!$B$1:$C$6191,2,0)="",_xlfn.XLOOKUP(C1761,Hoja1!$B$2:$B$6191,Hoja1!$A$2:$A$6191),VLOOKUP(C1761,Hoja1!$B$1:$C$6191,2,0)),"No esta en Infor")</f>
        <v>CAN0053</v>
      </c>
      <c r="C1761" s="19" t="s">
        <v>302</v>
      </c>
      <c r="D1761" s="9">
        <v>859.72</v>
      </c>
      <c r="E1761" s="9">
        <v>0</v>
      </c>
      <c r="F1761" s="9">
        <v>0</v>
      </c>
      <c r="G1761" s="9">
        <v>0</v>
      </c>
      <c r="H1761" s="9">
        <v>0</v>
      </c>
      <c r="I1761" s="9">
        <v>0</v>
      </c>
      <c r="J1761" s="9">
        <v>859.72</v>
      </c>
    </row>
    <row r="1762" spans="1:10" ht="15.75" x14ac:dyDescent="0.25">
      <c r="A1762" s="21">
        <v>45443</v>
      </c>
      <c r="B1762" t="str">
        <f>IFERROR(IF(VLOOKUP(C1762,Hoja1!$B$1:$C$6191,2,0)="",_xlfn.XLOOKUP(C1762,Hoja1!$B$2:$B$6191,Hoja1!$A$2:$A$6191),VLOOKUP(C1762,Hoja1!$B$1:$C$6191,2,0)),"No esta en Infor")</f>
        <v>SH02061</v>
      </c>
      <c r="C1762" s="19" t="s">
        <v>570</v>
      </c>
      <c r="D1762" s="9">
        <v>0</v>
      </c>
      <c r="E1762" s="9">
        <v>139.27000000000001</v>
      </c>
      <c r="F1762" s="9">
        <v>0</v>
      </c>
      <c r="G1762" s="9">
        <v>0</v>
      </c>
      <c r="H1762" s="9">
        <v>0</v>
      </c>
      <c r="I1762" s="9">
        <v>0</v>
      </c>
      <c r="J1762" s="9">
        <v>139.27000000000001</v>
      </c>
    </row>
    <row r="1763" spans="1:10" ht="15.75" x14ac:dyDescent="0.25">
      <c r="A1763" s="21">
        <v>45443</v>
      </c>
      <c r="B1763" t="str">
        <f>IFERROR(IF(VLOOKUP(C1763,Hoja1!$B$1:$C$6191,2,0)="",_xlfn.XLOOKUP(C1763,Hoja1!$B$2:$B$6191,Hoja1!$A$2:$A$6191),VLOOKUP(C1763,Hoja1!$B$1:$C$6191,2,0)),"No esta en Infor")</f>
        <v>NAC1260</v>
      </c>
      <c r="C1763" s="19" t="s">
        <v>571</v>
      </c>
      <c r="D1763" s="9">
        <v>0</v>
      </c>
      <c r="E1763" s="9">
        <v>-18110</v>
      </c>
      <c r="F1763" s="9">
        <v>0</v>
      </c>
      <c r="G1763" s="9">
        <v>0</v>
      </c>
      <c r="H1763" s="9">
        <v>0</v>
      </c>
      <c r="I1763" s="9">
        <v>0</v>
      </c>
      <c r="J1763" s="9">
        <v>-18110</v>
      </c>
    </row>
    <row r="1764" spans="1:10" ht="15.75" x14ac:dyDescent="0.25">
      <c r="A1764" s="21">
        <v>45443</v>
      </c>
      <c r="B1764" t="str">
        <f>IFERROR(IF(VLOOKUP(C1764,Hoja1!$B$1:$C$6191,2,0)="",_xlfn.XLOOKUP(C1764,Hoja1!$B$2:$B$6191,Hoja1!$A$2:$A$6191),VLOOKUP(C1764,Hoja1!$B$1:$C$6191,2,0)),"No esta en Infor")</f>
        <v>NAC1283</v>
      </c>
      <c r="C1764" s="19" t="s">
        <v>308</v>
      </c>
      <c r="D1764" s="9">
        <v>950</v>
      </c>
      <c r="E1764" s="9">
        <v>-118</v>
      </c>
      <c r="F1764" s="9">
        <v>0</v>
      </c>
      <c r="G1764" s="9">
        <v>0</v>
      </c>
      <c r="H1764" s="9">
        <v>0</v>
      </c>
      <c r="I1764" s="9">
        <v>0</v>
      </c>
      <c r="J1764" s="9">
        <v>832</v>
      </c>
    </row>
    <row r="1765" spans="1:10" ht="15.75" x14ac:dyDescent="0.25">
      <c r="A1765" s="21">
        <v>45443</v>
      </c>
      <c r="B1765" t="str">
        <f>IFERROR(IF(VLOOKUP(C1765,Hoja1!$B$1:$C$6191,2,0)="",_xlfn.XLOOKUP(C1765,Hoja1!$B$2:$B$6191,Hoja1!$A$2:$A$6191),VLOOKUP(C1765,Hoja1!$B$1:$C$6191,2,0)),"No esta en Infor")</f>
        <v>No esta en Infor</v>
      </c>
      <c r="C1765" s="15" t="s">
        <v>47</v>
      </c>
      <c r="D1765" s="16">
        <v>0</v>
      </c>
      <c r="E1765" s="16">
        <v>50</v>
      </c>
      <c r="F1765" s="16">
        <v>0</v>
      </c>
      <c r="G1765" s="16">
        <v>39</v>
      </c>
      <c r="H1765" s="16">
        <v>0</v>
      </c>
      <c r="I1765" s="16">
        <v>0</v>
      </c>
      <c r="J1765" s="16">
        <v>89</v>
      </c>
    </row>
    <row r="1766" spans="1:10" ht="15.75" x14ac:dyDescent="0.25">
      <c r="A1766" s="21">
        <v>45443</v>
      </c>
      <c r="B1766" t="str">
        <f>IFERROR(IF(VLOOKUP(C1766,Hoja1!$B$1:$C$6191,2,0)="",_xlfn.XLOOKUP(C1766,Hoja1!$B$2:$B$6191,Hoja1!$A$2:$A$6191),VLOOKUP(C1766,Hoja1!$B$1:$C$6191,2,0)),"No esta en Infor")</f>
        <v>NAC1311</v>
      </c>
      <c r="C1766" s="19" t="s">
        <v>311</v>
      </c>
      <c r="D1766" s="9">
        <v>0</v>
      </c>
      <c r="E1766" s="9">
        <v>0</v>
      </c>
      <c r="F1766" s="9">
        <v>0</v>
      </c>
      <c r="G1766" s="9">
        <v>0</v>
      </c>
      <c r="H1766" s="9">
        <v>0</v>
      </c>
      <c r="I1766" s="9">
        <v>-116.74</v>
      </c>
      <c r="J1766" s="9">
        <v>-116.74</v>
      </c>
    </row>
    <row r="1767" spans="1:10" ht="15.75" x14ac:dyDescent="0.25">
      <c r="A1767" s="21">
        <v>45443</v>
      </c>
      <c r="B1767" t="str">
        <f>IFERROR(IF(VLOOKUP(C1767,Hoja1!$B$1:$C$6191,2,0)="",_xlfn.XLOOKUP(C1767,Hoja1!$B$2:$B$6191,Hoja1!$A$2:$A$6191),VLOOKUP(C1767,Hoja1!$B$1:$C$6191,2,0)),"No esta en Infor")</f>
        <v>NAC1609</v>
      </c>
      <c r="C1767" s="19" t="s">
        <v>48</v>
      </c>
      <c r="D1767" s="9">
        <v>248.3</v>
      </c>
      <c r="E1767" s="9">
        <v>128.99</v>
      </c>
      <c r="F1767" s="9">
        <v>0</v>
      </c>
      <c r="G1767" s="9">
        <v>0</v>
      </c>
      <c r="H1767" s="9">
        <v>0</v>
      </c>
      <c r="I1767" s="9">
        <v>0</v>
      </c>
      <c r="J1767" s="9">
        <v>377.29</v>
      </c>
    </row>
    <row r="1768" spans="1:10" ht="15.75" x14ac:dyDescent="0.25">
      <c r="A1768" s="21">
        <v>45443</v>
      </c>
      <c r="B1768" t="str">
        <f>IFERROR(IF(VLOOKUP(C1768,Hoja1!$B$1:$C$6191,2,0)="",_xlfn.XLOOKUP(C1768,Hoja1!$B$2:$B$6191,Hoja1!$A$2:$A$6191),VLOOKUP(C1768,Hoja1!$B$1:$C$6191,2,0)),"No esta en Infor")</f>
        <v>NAC1312</v>
      </c>
      <c r="C1768" s="19" t="s">
        <v>314</v>
      </c>
      <c r="D1768" s="9">
        <v>0</v>
      </c>
      <c r="E1768" s="9">
        <v>236197.94</v>
      </c>
      <c r="F1768" s="9">
        <v>0</v>
      </c>
      <c r="G1768" s="9">
        <v>6392.93</v>
      </c>
      <c r="H1768" s="9">
        <v>0</v>
      </c>
      <c r="I1768" s="9">
        <v>0</v>
      </c>
      <c r="J1768" s="9">
        <v>242590.87</v>
      </c>
    </row>
    <row r="1769" spans="1:10" ht="15.75" x14ac:dyDescent="0.25">
      <c r="A1769" s="21">
        <v>45443</v>
      </c>
      <c r="B1769" t="str">
        <f>IFERROR(IF(VLOOKUP(C1769,Hoja1!$B$1:$C$6191,2,0)="",_xlfn.XLOOKUP(C1769,Hoja1!$B$2:$B$6191,Hoja1!$A$2:$A$6191),VLOOKUP(C1769,Hoja1!$B$1:$C$6191,2,0)),"No esta en Infor")</f>
        <v>CAN0060</v>
      </c>
      <c r="C1769" s="19" t="s">
        <v>422</v>
      </c>
      <c r="D1769" s="9">
        <v>0</v>
      </c>
      <c r="E1769" s="9">
        <v>-28.5</v>
      </c>
      <c r="F1769" s="9">
        <v>0</v>
      </c>
      <c r="G1769" s="9">
        <v>0</v>
      </c>
      <c r="H1769" s="9">
        <v>0</v>
      </c>
      <c r="I1769" s="9">
        <v>0</v>
      </c>
      <c r="J1769" s="9">
        <v>-28.5</v>
      </c>
    </row>
    <row r="1770" spans="1:10" ht="15.75" x14ac:dyDescent="0.25">
      <c r="A1770" s="21">
        <v>45443</v>
      </c>
      <c r="B1770" t="str">
        <f>IFERROR(IF(VLOOKUP(C1770,Hoja1!$B$1:$C$6191,2,0)="",_xlfn.XLOOKUP(C1770,Hoja1!$B$2:$B$6191,Hoja1!$A$2:$A$6191),VLOOKUP(C1770,Hoja1!$B$1:$C$6191,2,0)),"No esta en Infor")</f>
        <v>NAC1332</v>
      </c>
      <c r="C1770" s="19" t="s">
        <v>317</v>
      </c>
      <c r="D1770" s="9">
        <v>876.09</v>
      </c>
      <c r="E1770" s="9">
        <v>0</v>
      </c>
      <c r="F1770" s="9">
        <v>0</v>
      </c>
      <c r="G1770" s="9">
        <v>0</v>
      </c>
      <c r="H1770" s="9">
        <v>0</v>
      </c>
      <c r="I1770" s="9">
        <v>0</v>
      </c>
      <c r="J1770" s="9">
        <v>876.09</v>
      </c>
    </row>
    <row r="1771" spans="1:10" ht="15.75" x14ac:dyDescent="0.25">
      <c r="A1771" s="21">
        <v>45443</v>
      </c>
      <c r="B1771" t="str">
        <f>IFERROR(IF(VLOOKUP(C1771,Hoja1!$B$1:$C$6191,2,0)="",_xlfn.XLOOKUP(C1771,Hoja1!$B$2:$B$6191,Hoja1!$A$2:$A$6191),VLOOKUP(C1771,Hoja1!$B$1:$C$6191,2,0)),"No esta en Infor")</f>
        <v>No esta en Infor</v>
      </c>
      <c r="C1771" s="19" t="s">
        <v>320</v>
      </c>
      <c r="D1771" s="9">
        <v>0</v>
      </c>
      <c r="E1771" s="9">
        <v>0</v>
      </c>
      <c r="F1771" s="9">
        <v>48.29</v>
      </c>
      <c r="G1771" s="9">
        <v>0</v>
      </c>
      <c r="H1771" s="9">
        <v>0</v>
      </c>
      <c r="I1771" s="9">
        <v>0</v>
      </c>
      <c r="J1771" s="9">
        <v>48.29</v>
      </c>
    </row>
    <row r="1772" spans="1:10" ht="15.75" x14ac:dyDescent="0.25">
      <c r="A1772" s="21">
        <v>45443</v>
      </c>
      <c r="B1772" t="str">
        <f>IFERROR(IF(VLOOKUP(C1772,Hoja1!$B$1:$C$6191,2,0)="",_xlfn.XLOOKUP(C1772,Hoja1!$B$2:$B$6191,Hoja1!$A$2:$A$6191),VLOOKUP(C1772,Hoja1!$B$1:$C$6191,2,0)),"No esta en Infor")</f>
        <v>NAC1346</v>
      </c>
      <c r="C1772" s="19" t="s">
        <v>321</v>
      </c>
      <c r="D1772" s="9">
        <v>0</v>
      </c>
      <c r="E1772" s="9">
        <v>235.87</v>
      </c>
      <c r="F1772" s="9">
        <v>0</v>
      </c>
      <c r="G1772" s="9">
        <v>0</v>
      </c>
      <c r="H1772" s="9">
        <v>0</v>
      </c>
      <c r="I1772" s="9">
        <v>-235.87</v>
      </c>
      <c r="J1772" s="9">
        <v>0</v>
      </c>
    </row>
    <row r="1773" spans="1:10" ht="15.75" x14ac:dyDescent="0.25">
      <c r="A1773" s="21">
        <v>45443</v>
      </c>
      <c r="B1773" t="str">
        <f>IFERROR(IF(VLOOKUP(C1773,Hoja1!$B$1:$C$6191,2,0)="",_xlfn.XLOOKUP(C1773,Hoja1!$B$2:$B$6191,Hoja1!$A$2:$A$6191),VLOOKUP(C1773,Hoja1!$B$1:$C$6191,2,0)),"No esta en Infor")</f>
        <v>NAC1349</v>
      </c>
      <c r="C1773" s="19" t="s">
        <v>322</v>
      </c>
      <c r="D1773" s="9">
        <v>0</v>
      </c>
      <c r="E1773" s="9">
        <v>0</v>
      </c>
      <c r="F1773" s="9">
        <v>-178.85</v>
      </c>
      <c r="G1773" s="9">
        <v>-169.96</v>
      </c>
      <c r="H1773" s="9">
        <v>0</v>
      </c>
      <c r="I1773" s="9">
        <v>0</v>
      </c>
      <c r="J1773" s="9">
        <v>-348.81</v>
      </c>
    </row>
    <row r="1774" spans="1:10" ht="15.75" x14ac:dyDescent="0.25">
      <c r="A1774" s="21">
        <v>45443</v>
      </c>
      <c r="B1774" t="str">
        <f>IFERROR(IF(VLOOKUP(C1774,Hoja1!$B$1:$C$6191,2,0)="",_xlfn.XLOOKUP(C1774,Hoja1!$B$2:$B$6191,Hoja1!$A$2:$A$6191),VLOOKUP(C1774,Hoja1!$B$1:$C$6191,2,0)),"No esta en Infor")</f>
        <v>NAC1348</v>
      </c>
      <c r="C1774" s="19" t="s">
        <v>323</v>
      </c>
      <c r="D1774" s="9">
        <v>0</v>
      </c>
      <c r="E1774" s="9">
        <v>0</v>
      </c>
      <c r="F1774" s="9">
        <v>0</v>
      </c>
      <c r="G1774" s="9">
        <v>0</v>
      </c>
      <c r="H1774" s="9">
        <v>-343.9</v>
      </c>
      <c r="I1774" s="9">
        <v>0</v>
      </c>
      <c r="J1774" s="9">
        <v>-343.9</v>
      </c>
    </row>
    <row r="1775" spans="1:10" ht="15.75" x14ac:dyDescent="0.25">
      <c r="A1775" s="21">
        <v>45443</v>
      </c>
      <c r="B1775" t="str">
        <f>IFERROR(IF(VLOOKUP(C1775,Hoja1!$B$1:$C$6191,2,0)="",_xlfn.XLOOKUP(C1775,Hoja1!$B$2:$B$6191,Hoja1!$A$2:$A$6191),VLOOKUP(C1775,Hoja1!$B$1:$C$6191,2,0)),"No esta en Infor")</f>
        <v>NAC1356</v>
      </c>
      <c r="C1775" s="19" t="s">
        <v>325</v>
      </c>
      <c r="D1775" s="9">
        <v>0</v>
      </c>
      <c r="E1775" s="9">
        <v>0</v>
      </c>
      <c r="F1775" s="9">
        <v>-421.28</v>
      </c>
      <c r="G1775" s="9">
        <v>0</v>
      </c>
      <c r="H1775" s="9">
        <v>0</v>
      </c>
      <c r="I1775" s="9">
        <v>0</v>
      </c>
      <c r="J1775" s="9">
        <v>-421.28</v>
      </c>
    </row>
    <row r="1776" spans="1:10" ht="15.75" x14ac:dyDescent="0.25">
      <c r="A1776" s="21">
        <v>45443</v>
      </c>
      <c r="B1776" t="str">
        <f>IFERROR(IF(VLOOKUP(C1776,Hoja1!$B$1:$C$6191,2,0)="",_xlfn.XLOOKUP(C1776,Hoja1!$B$2:$B$6191,Hoja1!$A$2:$A$6191),VLOOKUP(C1776,Hoja1!$B$1:$C$6191,2,0)),"No esta en Infor")</f>
        <v>NAC1359</v>
      </c>
      <c r="C1776" s="19" t="s">
        <v>524</v>
      </c>
      <c r="D1776" s="9">
        <v>0</v>
      </c>
      <c r="E1776" s="9">
        <v>19320</v>
      </c>
      <c r="F1776" s="9">
        <v>0</v>
      </c>
      <c r="G1776" s="9">
        <v>0</v>
      </c>
      <c r="H1776" s="9">
        <v>0</v>
      </c>
      <c r="I1776" s="9">
        <v>0</v>
      </c>
      <c r="J1776" s="9">
        <v>19320</v>
      </c>
    </row>
    <row r="1777" spans="1:10" ht="15.75" x14ac:dyDescent="0.25">
      <c r="A1777" s="21">
        <v>45443</v>
      </c>
      <c r="B1777" t="str">
        <f>IFERROR(IF(VLOOKUP(C1777,Hoja1!$B$1:$C$6191,2,0)="",_xlfn.XLOOKUP(C1777,Hoja1!$B$2:$B$6191,Hoja1!$A$2:$A$6191),VLOOKUP(C1777,Hoja1!$B$1:$C$6191,2,0)),"No esta en Infor")</f>
        <v>NAC1361</v>
      </c>
      <c r="C1777" s="15" t="s">
        <v>326</v>
      </c>
      <c r="D1777" s="16">
        <v>0</v>
      </c>
      <c r="E1777" s="16">
        <v>0</v>
      </c>
      <c r="F1777" s="16">
        <v>0</v>
      </c>
      <c r="G1777" s="16">
        <v>8611.74</v>
      </c>
      <c r="H1777" s="16">
        <v>0</v>
      </c>
      <c r="I1777" s="16">
        <v>0</v>
      </c>
      <c r="J1777" s="16">
        <v>8611.74</v>
      </c>
    </row>
    <row r="1778" spans="1:10" ht="15.75" x14ac:dyDescent="0.25">
      <c r="A1778" s="21">
        <v>45443</v>
      </c>
      <c r="B1778" t="str">
        <f>IFERROR(IF(VLOOKUP(C1778,Hoja1!$B$1:$C$6191,2,0)="",_xlfn.XLOOKUP(C1778,Hoja1!$B$2:$B$6191,Hoja1!$A$2:$A$6191),VLOOKUP(C1778,Hoja1!$B$1:$C$6191,2,0)),"No esta en Infor")</f>
        <v>CAN0065</v>
      </c>
      <c r="C1778" s="19" t="s">
        <v>327</v>
      </c>
      <c r="D1778" s="9">
        <v>0</v>
      </c>
      <c r="E1778" s="9">
        <v>593.25</v>
      </c>
      <c r="F1778" s="9">
        <v>0</v>
      </c>
      <c r="G1778" s="9">
        <v>0</v>
      </c>
      <c r="H1778" s="9">
        <v>0</v>
      </c>
      <c r="I1778" s="9">
        <v>0</v>
      </c>
      <c r="J1778" s="9">
        <v>593.25</v>
      </c>
    </row>
    <row r="1779" spans="1:10" ht="15.75" x14ac:dyDescent="0.25">
      <c r="A1779" s="21">
        <v>45443</v>
      </c>
      <c r="B1779" t="str">
        <f>IFERROR(IF(VLOOKUP(C1779,Hoja1!$B$1:$C$6191,2,0)="",_xlfn.XLOOKUP(C1779,Hoja1!$B$2:$B$6191,Hoja1!$A$2:$A$6191),VLOOKUP(C1779,Hoja1!$B$1:$C$6191,2,0)),"No esta en Infor")</f>
        <v>NAC1367</v>
      </c>
      <c r="C1779" s="19" t="s">
        <v>424</v>
      </c>
      <c r="D1779" s="9">
        <v>0</v>
      </c>
      <c r="E1779" s="9">
        <v>2442</v>
      </c>
      <c r="F1779" s="9">
        <v>0</v>
      </c>
      <c r="G1779" s="9">
        <v>0</v>
      </c>
      <c r="H1779" s="9">
        <v>0</v>
      </c>
      <c r="I1779" s="9">
        <v>-199.08</v>
      </c>
      <c r="J1779" s="9">
        <v>2242.92</v>
      </c>
    </row>
    <row r="1780" spans="1:10" ht="15.75" x14ac:dyDescent="0.25">
      <c r="A1780" s="21">
        <v>45443</v>
      </c>
      <c r="B1780" t="str">
        <f>IFERROR(IF(VLOOKUP(C1780,Hoja1!$B$1:$C$6191,2,0)="",_xlfn.XLOOKUP(C1780,Hoja1!$B$2:$B$6191,Hoja1!$A$2:$A$6191),VLOOKUP(C1780,Hoja1!$B$1:$C$6191,2,0)),"No esta en Infor")</f>
        <v>CAN0066</v>
      </c>
      <c r="C1780" s="19" t="s">
        <v>330</v>
      </c>
      <c r="D1780" s="9">
        <v>0</v>
      </c>
      <c r="E1780" s="9">
        <v>0</v>
      </c>
      <c r="F1780" s="9">
        <v>0</v>
      </c>
      <c r="G1780" s="9">
        <v>-18.57</v>
      </c>
      <c r="H1780" s="9">
        <v>0</v>
      </c>
      <c r="I1780" s="9">
        <v>0</v>
      </c>
      <c r="J1780" s="9">
        <v>-18.57</v>
      </c>
    </row>
    <row r="1781" spans="1:10" ht="15.75" x14ac:dyDescent="0.25">
      <c r="A1781" s="21">
        <v>45443</v>
      </c>
      <c r="B1781" t="str">
        <f>IFERROR(IF(VLOOKUP(C1781,Hoja1!$B$1:$C$6191,2,0)="",_xlfn.XLOOKUP(C1781,Hoja1!$B$2:$B$6191,Hoja1!$A$2:$A$6191),VLOOKUP(C1781,Hoja1!$B$1:$C$6191,2,0)),"No esta en Infor")</f>
        <v>NAC1376</v>
      </c>
      <c r="C1781" s="19" t="s">
        <v>331</v>
      </c>
      <c r="D1781" s="9">
        <v>20180</v>
      </c>
      <c r="E1781" s="9">
        <v>36275</v>
      </c>
      <c r="F1781" s="9">
        <v>0</v>
      </c>
      <c r="G1781" s="9">
        <v>0</v>
      </c>
      <c r="H1781" s="9">
        <v>0</v>
      </c>
      <c r="I1781" s="9">
        <v>0</v>
      </c>
      <c r="J1781" s="9">
        <v>56455</v>
      </c>
    </row>
    <row r="1782" spans="1:10" ht="15.75" x14ac:dyDescent="0.25">
      <c r="A1782" s="21">
        <v>45443</v>
      </c>
      <c r="B1782" t="str">
        <f>IFERROR(IF(VLOOKUP(C1782,Hoja1!$B$1:$C$6191,2,0)="",_xlfn.XLOOKUP(C1782,Hoja1!$B$2:$B$6191,Hoja1!$A$2:$A$6191),VLOOKUP(C1782,Hoja1!$B$1:$C$6191,2,0)),"No esta en Infor")</f>
        <v>NAC1377</v>
      </c>
      <c r="C1782" s="19" t="s">
        <v>525</v>
      </c>
      <c r="D1782" s="9">
        <v>11898.11</v>
      </c>
      <c r="E1782" s="9">
        <v>0</v>
      </c>
      <c r="F1782" s="9">
        <v>0</v>
      </c>
      <c r="G1782" s="9">
        <v>0</v>
      </c>
      <c r="H1782" s="9">
        <v>0</v>
      </c>
      <c r="I1782" s="9">
        <v>0</v>
      </c>
      <c r="J1782" s="9">
        <v>11898.11</v>
      </c>
    </row>
    <row r="1783" spans="1:10" ht="15.75" x14ac:dyDescent="0.25">
      <c r="A1783" s="21">
        <v>45443</v>
      </c>
      <c r="B1783" t="str">
        <f>IFERROR(IF(VLOOKUP(C1783,Hoja1!$B$1:$C$6191,2,0)="",_xlfn.XLOOKUP(C1783,Hoja1!$B$2:$B$6191,Hoja1!$A$2:$A$6191),VLOOKUP(C1783,Hoja1!$B$1:$C$6191,2,0)),"No esta en Infor")</f>
        <v>NAC1381</v>
      </c>
      <c r="C1783" s="19" t="s">
        <v>478</v>
      </c>
      <c r="D1783" s="9">
        <v>0</v>
      </c>
      <c r="E1783" s="9">
        <v>-5.28</v>
      </c>
      <c r="F1783" s="9">
        <v>0</v>
      </c>
      <c r="G1783" s="9">
        <v>0</v>
      </c>
      <c r="H1783" s="9">
        <v>0</v>
      </c>
      <c r="I1783" s="9">
        <v>0</v>
      </c>
      <c r="J1783" s="9">
        <v>-5.28</v>
      </c>
    </row>
    <row r="1784" spans="1:10" ht="15.75" x14ac:dyDescent="0.25">
      <c r="A1784" s="21">
        <v>45443</v>
      </c>
      <c r="B1784" t="str">
        <f>IFERROR(IF(VLOOKUP(C1784,Hoja1!$B$1:$C$6191,2,0)="",_xlfn.XLOOKUP(C1784,Hoja1!$B$2:$B$6191,Hoja1!$A$2:$A$6191),VLOOKUP(C1784,Hoja1!$B$1:$C$6191,2,0)),"No esta en Infor")</f>
        <v>NAC1382</v>
      </c>
      <c r="C1784" s="19" t="s">
        <v>332</v>
      </c>
      <c r="D1784" s="9">
        <v>34894.44</v>
      </c>
      <c r="E1784" s="9">
        <v>81966.06</v>
      </c>
      <c r="F1784" s="9">
        <v>0</v>
      </c>
      <c r="G1784" s="9">
        <v>0</v>
      </c>
      <c r="H1784" s="9">
        <v>0</v>
      </c>
      <c r="I1784" s="9">
        <v>0</v>
      </c>
      <c r="J1784" s="9">
        <v>116860.5</v>
      </c>
    </row>
    <row r="1785" spans="1:10" ht="15.75" x14ac:dyDescent="0.25">
      <c r="A1785" s="21">
        <v>45443</v>
      </c>
      <c r="B1785" t="str">
        <f>IFERROR(IF(VLOOKUP(C1785,Hoja1!$B$1:$C$6191,2,0)="",_xlfn.XLOOKUP(C1785,Hoja1!$B$2:$B$6191,Hoja1!$A$2:$A$6191),VLOOKUP(C1785,Hoja1!$B$1:$C$6191,2,0)),"No esta en Infor")</f>
        <v>NAC1393</v>
      </c>
      <c r="C1785" s="19" t="s">
        <v>335</v>
      </c>
      <c r="D1785" s="9">
        <v>0</v>
      </c>
      <c r="E1785" s="9">
        <v>0</v>
      </c>
      <c r="F1785" s="9">
        <v>-3.21</v>
      </c>
      <c r="G1785" s="9">
        <v>0</v>
      </c>
      <c r="H1785" s="9">
        <v>0</v>
      </c>
      <c r="I1785" s="9">
        <v>0</v>
      </c>
      <c r="J1785" s="9">
        <v>-3.21</v>
      </c>
    </row>
    <row r="1786" spans="1:10" ht="15.75" x14ac:dyDescent="0.25">
      <c r="A1786" s="21">
        <v>45443</v>
      </c>
      <c r="B1786" t="str">
        <f>IFERROR(IF(VLOOKUP(C1786,Hoja1!$B$1:$C$6191,2,0)="",_xlfn.XLOOKUP(C1786,Hoja1!$B$2:$B$6191,Hoja1!$A$2:$A$6191),VLOOKUP(C1786,Hoja1!$B$1:$C$6191,2,0)),"No esta en Infor")</f>
        <v>NAC1395</v>
      </c>
      <c r="C1786" s="19" t="s">
        <v>337</v>
      </c>
      <c r="D1786" s="9">
        <v>10398.6</v>
      </c>
      <c r="E1786" s="9">
        <v>0</v>
      </c>
      <c r="F1786" s="9">
        <v>0</v>
      </c>
      <c r="G1786" s="9">
        <v>0</v>
      </c>
      <c r="H1786" s="9">
        <v>0</v>
      </c>
      <c r="I1786" s="9">
        <v>0</v>
      </c>
      <c r="J1786" s="9">
        <v>10398.6</v>
      </c>
    </row>
    <row r="1787" spans="1:10" ht="15.75" x14ac:dyDescent="0.25">
      <c r="A1787" s="21">
        <v>45443</v>
      </c>
      <c r="B1787" t="str">
        <f>IFERROR(IF(VLOOKUP(C1787,Hoja1!$B$1:$C$6191,2,0)="",_xlfn.XLOOKUP(C1787,Hoja1!$B$2:$B$6191,Hoja1!$A$2:$A$6191),VLOOKUP(C1787,Hoja1!$B$1:$C$6191,2,0)),"No esta en Infor")</f>
        <v>No esta en Infor</v>
      </c>
      <c r="C1787" s="19" t="s">
        <v>338</v>
      </c>
      <c r="D1787" s="9">
        <v>0</v>
      </c>
      <c r="E1787" s="9">
        <v>0</v>
      </c>
      <c r="F1787" s="9">
        <v>0</v>
      </c>
      <c r="G1787" s="9">
        <v>0</v>
      </c>
      <c r="H1787" s="9">
        <v>0</v>
      </c>
      <c r="I1787" s="9">
        <v>-340.25</v>
      </c>
      <c r="J1787" s="9">
        <v>-340.25</v>
      </c>
    </row>
    <row r="1788" spans="1:10" ht="15.75" x14ac:dyDescent="0.25">
      <c r="A1788" s="21">
        <v>45443</v>
      </c>
      <c r="B1788" t="str">
        <f>IFERROR(IF(VLOOKUP(C1788,Hoja1!$B$1:$C$6191,2,0)="",_xlfn.XLOOKUP(C1788,Hoja1!$B$2:$B$6191,Hoja1!$A$2:$A$6191),VLOOKUP(C1788,Hoja1!$B$1:$C$6191,2,0)),"No esta en Infor")</f>
        <v>SH02441</v>
      </c>
      <c r="C1788" s="19" t="s">
        <v>572</v>
      </c>
      <c r="D1788" s="9">
        <v>67.33</v>
      </c>
      <c r="E1788" s="9">
        <v>0</v>
      </c>
      <c r="F1788" s="9">
        <v>0</v>
      </c>
      <c r="G1788" s="9">
        <v>0</v>
      </c>
      <c r="H1788" s="9">
        <v>0</v>
      </c>
      <c r="I1788" s="9">
        <v>0</v>
      </c>
      <c r="J1788" s="9">
        <v>67.33</v>
      </c>
    </row>
    <row r="1789" spans="1:10" ht="15.75" x14ac:dyDescent="0.25">
      <c r="A1789" s="21">
        <v>45443</v>
      </c>
      <c r="B1789" t="str">
        <f>IFERROR(IF(VLOOKUP(C1789,Hoja1!$B$1:$C$6191,2,0)="",_xlfn.XLOOKUP(C1789,Hoja1!$B$2:$B$6191,Hoja1!$A$2:$A$6191),VLOOKUP(C1789,Hoja1!$B$1:$C$6191,2,0)),"No esta en Infor")</f>
        <v>SH02445</v>
      </c>
      <c r="C1789" s="19" t="s">
        <v>573</v>
      </c>
      <c r="D1789" s="9">
        <v>293.19</v>
      </c>
      <c r="E1789" s="9">
        <v>0</v>
      </c>
      <c r="F1789" s="9">
        <v>0</v>
      </c>
      <c r="G1789" s="9">
        <v>0</v>
      </c>
      <c r="H1789" s="9">
        <v>0</v>
      </c>
      <c r="I1789" s="9">
        <v>0</v>
      </c>
      <c r="J1789" s="9">
        <v>293.19</v>
      </c>
    </row>
    <row r="1790" spans="1:10" ht="15.75" x14ac:dyDescent="0.25">
      <c r="A1790" s="21">
        <v>45443</v>
      </c>
      <c r="B1790" t="str">
        <f>IFERROR(IF(VLOOKUP(C1790,Hoja1!$B$1:$C$6191,2,0)="",_xlfn.XLOOKUP(C1790,Hoja1!$B$2:$B$6191,Hoja1!$A$2:$A$6191),VLOOKUP(C1790,Hoja1!$B$1:$C$6191,2,0)),"No esta en Infor")</f>
        <v>CAN0068</v>
      </c>
      <c r="C1790" s="19" t="s">
        <v>529</v>
      </c>
      <c r="D1790" s="9">
        <v>0</v>
      </c>
      <c r="E1790" s="9">
        <v>1051.8</v>
      </c>
      <c r="F1790" s="9">
        <v>0</v>
      </c>
      <c r="G1790" s="9">
        <v>0</v>
      </c>
      <c r="H1790" s="9">
        <v>0</v>
      </c>
      <c r="I1790" s="9">
        <v>0</v>
      </c>
      <c r="J1790" s="9">
        <v>1051.8</v>
      </c>
    </row>
    <row r="1791" spans="1:10" ht="15.75" x14ac:dyDescent="0.25">
      <c r="A1791" s="21">
        <v>45443</v>
      </c>
      <c r="B1791" t="str">
        <f>IFERROR(IF(VLOOKUP(C1791,Hoja1!$B$1:$C$6191,2,0)="",_xlfn.XLOOKUP(C1791,Hoja1!$B$2:$B$6191,Hoja1!$A$2:$A$6191),VLOOKUP(C1791,Hoja1!$B$1:$C$6191,2,0)),"No esta en Infor")</f>
        <v>NAC1408</v>
      </c>
      <c r="C1791" s="19" t="s">
        <v>530</v>
      </c>
      <c r="D1791" s="9">
        <v>1157</v>
      </c>
      <c r="E1791" s="9">
        <v>707</v>
      </c>
      <c r="F1791" s="9">
        <v>0</v>
      </c>
      <c r="G1791" s="9">
        <v>0</v>
      </c>
      <c r="H1791" s="9">
        <v>0</v>
      </c>
      <c r="I1791" s="9">
        <v>0</v>
      </c>
      <c r="J1791" s="9">
        <v>1864</v>
      </c>
    </row>
    <row r="1792" spans="1:10" ht="15.75" x14ac:dyDescent="0.25">
      <c r="A1792" s="21">
        <v>45443</v>
      </c>
      <c r="B1792" t="str">
        <f>IFERROR(IF(VLOOKUP(C1792,Hoja1!$B$1:$C$6191,2,0)="",_xlfn.XLOOKUP(C1792,Hoja1!$B$2:$B$6191,Hoja1!$A$2:$A$6191),VLOOKUP(C1792,Hoja1!$B$1:$C$6191,2,0)),"No esta en Infor")</f>
        <v>CAN0090</v>
      </c>
      <c r="C1792" s="19" t="s">
        <v>574</v>
      </c>
      <c r="D1792" s="9">
        <v>59628.52</v>
      </c>
      <c r="E1792" s="9">
        <v>15</v>
      </c>
      <c r="F1792" s="9">
        <v>0</v>
      </c>
      <c r="G1792" s="9">
        <v>0</v>
      </c>
      <c r="H1792" s="9">
        <v>0</v>
      </c>
      <c r="I1792" s="9">
        <v>0</v>
      </c>
      <c r="J1792" s="9">
        <v>59643.519999999997</v>
      </c>
    </row>
    <row r="1793" spans="1:10" ht="15.75" x14ac:dyDescent="0.25">
      <c r="A1793" s="21">
        <v>45443</v>
      </c>
      <c r="B1793" t="str">
        <f>IFERROR(IF(VLOOKUP(C1793,Hoja1!$B$1:$C$6191,2,0)="",_xlfn.XLOOKUP(C1793,Hoja1!$B$2:$B$6191,Hoja1!$A$2:$A$6191),VLOOKUP(C1793,Hoja1!$B$1:$C$6191,2,0)),"No esta en Infor")</f>
        <v>NAC1419</v>
      </c>
      <c r="C1793" s="19" t="s">
        <v>343</v>
      </c>
      <c r="D1793" s="9">
        <v>0</v>
      </c>
      <c r="E1793" s="9">
        <v>0</v>
      </c>
      <c r="F1793" s="9">
        <v>0</v>
      </c>
      <c r="G1793" s="9">
        <v>0</v>
      </c>
      <c r="H1793" s="9">
        <v>0</v>
      </c>
      <c r="I1793" s="9">
        <v>-4.18</v>
      </c>
      <c r="J1793" s="9">
        <v>-4.18</v>
      </c>
    </row>
    <row r="1794" spans="1:10" ht="15.75" x14ac:dyDescent="0.25">
      <c r="A1794" s="21">
        <v>45443</v>
      </c>
      <c r="B1794" t="str">
        <f>IFERROR(IF(VLOOKUP(C1794,Hoja1!$B$1:$C$6191,2,0)="",_xlfn.XLOOKUP(C1794,Hoja1!$B$2:$B$6191,Hoja1!$A$2:$A$6191),VLOOKUP(C1794,Hoja1!$B$1:$C$6191,2,0)),"No esta en Infor")</f>
        <v>NAC1422</v>
      </c>
      <c r="C1794" s="19" t="s">
        <v>344</v>
      </c>
      <c r="D1794" s="9">
        <v>0</v>
      </c>
      <c r="E1794" s="9">
        <v>0</v>
      </c>
      <c r="F1794" s="9">
        <v>0</v>
      </c>
      <c r="G1794" s="9">
        <v>0</v>
      </c>
      <c r="H1794" s="9">
        <v>0</v>
      </c>
      <c r="I1794" s="9">
        <v>-0.01</v>
      </c>
      <c r="J1794" s="9">
        <v>-0.01</v>
      </c>
    </row>
    <row r="1795" spans="1:10" ht="15.75" x14ac:dyDescent="0.25">
      <c r="A1795" s="21">
        <v>45443</v>
      </c>
      <c r="B1795" t="str">
        <f>IFERROR(IF(VLOOKUP(C1795,Hoja1!$B$1:$C$6191,2,0)="",_xlfn.XLOOKUP(C1795,Hoja1!$B$2:$B$6191,Hoja1!$A$2:$A$6191),VLOOKUP(C1795,Hoja1!$B$1:$C$6191,2,0)),"No esta en Infor")</f>
        <v>NAC1424</v>
      </c>
      <c r="C1795" s="19" t="s">
        <v>345</v>
      </c>
      <c r="D1795" s="9">
        <v>26924.65</v>
      </c>
      <c r="E1795" s="9">
        <v>41067.85</v>
      </c>
      <c r="F1795" s="9">
        <v>0</v>
      </c>
      <c r="G1795" s="9">
        <v>0</v>
      </c>
      <c r="H1795" s="9">
        <v>0</v>
      </c>
      <c r="I1795" s="9">
        <v>0</v>
      </c>
      <c r="J1795" s="9">
        <v>67992.5</v>
      </c>
    </row>
    <row r="1796" spans="1:10" ht="15.75" x14ac:dyDescent="0.25">
      <c r="A1796" s="21">
        <v>45443</v>
      </c>
      <c r="B1796" t="str">
        <f>IFERROR(IF(VLOOKUP(C1796,Hoja1!$B$1:$C$6191,2,0)="",_xlfn.XLOOKUP(C1796,Hoja1!$B$2:$B$6191,Hoja1!$A$2:$A$6191),VLOOKUP(C1796,Hoja1!$B$1:$C$6191,2,0)),"No esta en Infor")</f>
        <v>NAC1426</v>
      </c>
      <c r="C1796" s="19" t="s">
        <v>531</v>
      </c>
      <c r="D1796" s="9">
        <v>0</v>
      </c>
      <c r="E1796" s="9">
        <v>0.66</v>
      </c>
      <c r="F1796" s="9">
        <v>0</v>
      </c>
      <c r="G1796" s="9">
        <v>0</v>
      </c>
      <c r="H1796" s="9">
        <v>0</v>
      </c>
      <c r="I1796" s="9">
        <v>0</v>
      </c>
      <c r="J1796" s="9">
        <v>0.66</v>
      </c>
    </row>
    <row r="1797" spans="1:10" ht="15.75" x14ac:dyDescent="0.25">
      <c r="A1797" s="21">
        <v>45443</v>
      </c>
      <c r="B1797" t="str">
        <f>IFERROR(IF(VLOOKUP(C1797,Hoja1!$B$1:$C$6191,2,0)="",_xlfn.XLOOKUP(C1797,Hoja1!$B$2:$B$6191,Hoja1!$A$2:$A$6191),VLOOKUP(C1797,Hoja1!$B$1:$C$6191,2,0)),"No esta en Infor")</f>
        <v>NAC1429</v>
      </c>
      <c r="C1797" s="19" t="s">
        <v>347</v>
      </c>
      <c r="D1797" s="9">
        <v>0</v>
      </c>
      <c r="E1797" s="9">
        <v>43.6</v>
      </c>
      <c r="F1797" s="9">
        <v>0</v>
      </c>
      <c r="G1797" s="9">
        <v>0</v>
      </c>
      <c r="H1797" s="9">
        <v>0</v>
      </c>
      <c r="I1797" s="9">
        <v>0</v>
      </c>
      <c r="J1797" s="9">
        <v>43.6</v>
      </c>
    </row>
    <row r="1798" spans="1:10" ht="15.75" x14ac:dyDescent="0.25">
      <c r="A1798" s="21">
        <v>45443</v>
      </c>
      <c r="B1798" t="str">
        <f>IFERROR(IF(VLOOKUP(C1798,Hoja1!$B$1:$C$6191,2,0)="",_xlfn.XLOOKUP(C1798,Hoja1!$B$2:$B$6191,Hoja1!$A$2:$A$6191),VLOOKUP(C1798,Hoja1!$B$1:$C$6191,2,0)),"No esta en Infor")</f>
        <v>NAC1432</v>
      </c>
      <c r="C1798" s="19" t="s">
        <v>575</v>
      </c>
      <c r="D1798" s="9">
        <v>536.64</v>
      </c>
      <c r="E1798" s="9">
        <v>0</v>
      </c>
      <c r="F1798" s="9">
        <v>0</v>
      </c>
      <c r="G1798" s="9">
        <v>0</v>
      </c>
      <c r="H1798" s="9">
        <v>0</v>
      </c>
      <c r="I1798" s="9">
        <v>0</v>
      </c>
      <c r="J1798" s="9">
        <v>536.64</v>
      </c>
    </row>
    <row r="1799" spans="1:10" ht="15.75" x14ac:dyDescent="0.25">
      <c r="A1799" s="21">
        <v>45443</v>
      </c>
      <c r="B1799" t="str">
        <f>IFERROR(IF(VLOOKUP(C1799,Hoja1!$B$1:$C$6191,2,0)="",_xlfn.XLOOKUP(C1799,Hoja1!$B$2:$B$6191,Hoja1!$A$2:$A$6191),VLOOKUP(C1799,Hoja1!$B$1:$C$6191,2,0)),"No esta en Infor")</f>
        <v>NAC1434</v>
      </c>
      <c r="C1799" s="19" t="s">
        <v>348</v>
      </c>
      <c r="D1799" s="9">
        <v>1433</v>
      </c>
      <c r="E1799" s="9">
        <v>0</v>
      </c>
      <c r="F1799" s="9">
        <v>-0.01</v>
      </c>
      <c r="G1799" s="9">
        <v>0</v>
      </c>
      <c r="H1799" s="9">
        <v>0</v>
      </c>
      <c r="I1799" s="9">
        <v>0</v>
      </c>
      <c r="J1799" s="9">
        <v>1432.99</v>
      </c>
    </row>
    <row r="1800" spans="1:10" ht="15.75" x14ac:dyDescent="0.25">
      <c r="A1800" s="21">
        <v>45443</v>
      </c>
      <c r="B1800" t="str">
        <f>IFERROR(IF(VLOOKUP(C1800,Hoja1!$B$1:$C$6191,2,0)="",_xlfn.XLOOKUP(C1800,Hoja1!$B$2:$B$6191,Hoja1!$A$2:$A$6191),VLOOKUP(C1800,Hoja1!$B$1:$C$6191,2,0)),"No esta en Infor")</f>
        <v>CAN0073</v>
      </c>
      <c r="C1800" s="19" t="s">
        <v>349</v>
      </c>
      <c r="D1800" s="9">
        <v>519.79999999999995</v>
      </c>
      <c r="E1800" s="9">
        <v>6773.26</v>
      </c>
      <c r="F1800" s="9">
        <v>0</v>
      </c>
      <c r="G1800" s="9">
        <v>0</v>
      </c>
      <c r="H1800" s="9">
        <v>0</v>
      </c>
      <c r="I1800" s="9">
        <v>0</v>
      </c>
      <c r="J1800" s="9">
        <v>7293.06</v>
      </c>
    </row>
    <row r="1801" spans="1:10" ht="15.75" x14ac:dyDescent="0.25">
      <c r="A1801" s="21">
        <v>45443</v>
      </c>
      <c r="B1801" t="str">
        <f>IFERROR(IF(VLOOKUP(C1801,Hoja1!$B$1:$C$6191,2,0)="",_xlfn.XLOOKUP(C1801,Hoja1!$B$2:$B$6191,Hoja1!$A$2:$A$6191),VLOOKUP(C1801,Hoja1!$B$1:$C$6191,2,0)),"No esta en Infor")</f>
        <v>CAN0074</v>
      </c>
      <c r="C1801" s="19" t="s">
        <v>350</v>
      </c>
      <c r="D1801" s="9">
        <v>0</v>
      </c>
      <c r="E1801" s="9">
        <v>0</v>
      </c>
      <c r="F1801" s="9">
        <v>0</v>
      </c>
      <c r="G1801" s="9">
        <v>0</v>
      </c>
      <c r="H1801" s="9">
        <v>0</v>
      </c>
      <c r="I1801" s="9">
        <v>-100</v>
      </c>
      <c r="J1801" s="9">
        <v>-100</v>
      </c>
    </row>
    <row r="1802" spans="1:10" ht="15.75" x14ac:dyDescent="0.25">
      <c r="A1802" s="21">
        <v>45443</v>
      </c>
      <c r="B1802" t="str">
        <f>IFERROR(IF(VLOOKUP(C1802,Hoja1!$B$1:$C$6191,2,0)="",_xlfn.XLOOKUP(C1802,Hoja1!$B$2:$B$6191,Hoja1!$A$2:$A$6191),VLOOKUP(C1802,Hoja1!$B$1:$C$6191,2,0)),"No esta en Infor")</f>
        <v>NAC1471</v>
      </c>
      <c r="C1802" s="19" t="s">
        <v>351</v>
      </c>
      <c r="D1802" s="9">
        <v>-111.2</v>
      </c>
      <c r="E1802" s="9">
        <v>111.2</v>
      </c>
      <c r="F1802" s="9">
        <v>0</v>
      </c>
      <c r="G1802" s="9">
        <v>0</v>
      </c>
      <c r="H1802" s="9">
        <v>0</v>
      </c>
      <c r="I1802" s="9">
        <v>0</v>
      </c>
      <c r="J1802" s="9">
        <v>0</v>
      </c>
    </row>
    <row r="1803" spans="1:10" ht="15.75" x14ac:dyDescent="0.25">
      <c r="A1803" s="21">
        <v>45443</v>
      </c>
      <c r="B1803" t="str">
        <f>IFERROR(IF(VLOOKUP(C1803,Hoja1!$B$1:$C$6191,2,0)="",_xlfn.XLOOKUP(C1803,Hoja1!$B$2:$B$6191,Hoja1!$A$2:$A$6191),VLOOKUP(C1803,Hoja1!$B$1:$C$6191,2,0)),"No esta en Infor")</f>
        <v>NAC1473</v>
      </c>
      <c r="C1803" s="19" t="s">
        <v>532</v>
      </c>
      <c r="D1803" s="9">
        <v>0</v>
      </c>
      <c r="E1803" s="9">
        <v>980</v>
      </c>
      <c r="F1803" s="9">
        <v>0</v>
      </c>
      <c r="G1803" s="9">
        <v>0</v>
      </c>
      <c r="H1803" s="9">
        <v>0</v>
      </c>
      <c r="I1803" s="9">
        <v>0</v>
      </c>
      <c r="J1803" s="9">
        <v>980</v>
      </c>
    </row>
    <row r="1804" spans="1:10" ht="15.75" x14ac:dyDescent="0.25">
      <c r="A1804" s="21">
        <v>45443</v>
      </c>
      <c r="B1804" t="str">
        <f>IFERROR(IF(VLOOKUP(C1804,Hoja1!$B$1:$C$6191,2,0)="",_xlfn.XLOOKUP(C1804,Hoja1!$B$2:$B$6191,Hoja1!$A$2:$A$6191),VLOOKUP(C1804,Hoja1!$B$1:$C$6191,2,0)),"No esta en Infor")</f>
        <v>CAN0077</v>
      </c>
      <c r="C1804" s="19" t="s">
        <v>353</v>
      </c>
      <c r="D1804" s="9">
        <v>0</v>
      </c>
      <c r="E1804" s="9">
        <v>0</v>
      </c>
      <c r="F1804" s="9">
        <v>0</v>
      </c>
      <c r="G1804" s="9">
        <v>0</v>
      </c>
      <c r="H1804" s="9">
        <v>0</v>
      </c>
      <c r="I1804" s="9">
        <v>-364.86</v>
      </c>
      <c r="J1804" s="9">
        <v>-364.86</v>
      </c>
    </row>
    <row r="1805" spans="1:10" ht="15.75" x14ac:dyDescent="0.25">
      <c r="A1805" s="21">
        <v>45443</v>
      </c>
      <c r="B1805" t="str">
        <f>IFERROR(IF(VLOOKUP(C1805,Hoja1!$B$1:$C$6191,2,0)="",_xlfn.XLOOKUP(C1805,Hoja1!$B$2:$B$6191,Hoja1!$A$2:$A$6191),VLOOKUP(C1805,Hoja1!$B$1:$C$6191,2,0)),"No esta en Infor")</f>
        <v>NAC1479</v>
      </c>
      <c r="C1805" s="19" t="s">
        <v>354</v>
      </c>
      <c r="D1805" s="9">
        <v>0</v>
      </c>
      <c r="E1805" s="9">
        <v>0</v>
      </c>
      <c r="F1805" s="9">
        <v>-6.68</v>
      </c>
      <c r="G1805" s="9">
        <v>0</v>
      </c>
      <c r="H1805" s="9">
        <v>0</v>
      </c>
      <c r="I1805" s="9">
        <v>0</v>
      </c>
      <c r="J1805" s="9">
        <v>-6.68</v>
      </c>
    </row>
    <row r="1806" spans="1:10" ht="15.75" x14ac:dyDescent="0.25">
      <c r="A1806" s="21">
        <v>45443</v>
      </c>
      <c r="B1806" t="str">
        <f>IFERROR(IF(VLOOKUP(C1806,Hoja1!$B$1:$C$6191,2,0)="",_xlfn.XLOOKUP(C1806,Hoja1!$B$2:$B$6191,Hoja1!$A$2:$A$6191),VLOOKUP(C1806,Hoja1!$B$1:$C$6191,2,0)),"No esta en Infor")</f>
        <v>CAN0080</v>
      </c>
      <c r="C1806" s="19" t="s">
        <v>533</v>
      </c>
      <c r="D1806" s="9">
        <v>0</v>
      </c>
      <c r="E1806" s="9">
        <v>-93.6</v>
      </c>
      <c r="F1806" s="9">
        <v>0</v>
      </c>
      <c r="G1806" s="9">
        <v>0</v>
      </c>
      <c r="H1806" s="9">
        <v>0</v>
      </c>
      <c r="I1806" s="9">
        <v>0</v>
      </c>
      <c r="J1806" s="9">
        <v>-93.6</v>
      </c>
    </row>
    <row r="1807" spans="1:10" ht="15.75" x14ac:dyDescent="0.25">
      <c r="A1807" s="21">
        <v>45443</v>
      </c>
      <c r="B1807" t="str">
        <f>IFERROR(IF(VLOOKUP(C1807,Hoja1!$B$1:$C$6191,2,0)="",_xlfn.XLOOKUP(C1807,Hoja1!$B$2:$B$6191,Hoja1!$A$2:$A$6191),VLOOKUP(C1807,Hoja1!$B$1:$C$6191,2,0)),"No esta en Infor")</f>
        <v>NAC1482</v>
      </c>
      <c r="C1807" s="19" t="s">
        <v>356</v>
      </c>
      <c r="D1807" s="9">
        <v>0</v>
      </c>
      <c r="E1807" s="9">
        <v>516.19000000000005</v>
      </c>
      <c r="F1807" s="9">
        <v>0</v>
      </c>
      <c r="G1807" s="9">
        <v>-53.68</v>
      </c>
      <c r="H1807" s="9">
        <v>0</v>
      </c>
      <c r="I1807" s="9">
        <v>0</v>
      </c>
      <c r="J1807" s="9">
        <v>462.51</v>
      </c>
    </row>
    <row r="1808" spans="1:10" ht="15.75" x14ac:dyDescent="0.25">
      <c r="A1808" s="21">
        <v>45443</v>
      </c>
      <c r="B1808" t="str">
        <f>IFERROR(IF(VLOOKUP(C1808,Hoja1!$B$1:$C$6191,2,0)="",_xlfn.XLOOKUP(C1808,Hoja1!$B$2:$B$6191,Hoja1!$A$2:$A$6191),VLOOKUP(C1808,Hoja1!$B$1:$C$6191,2,0)),"No esta en Infor")</f>
        <v>NAC1485</v>
      </c>
      <c r="C1808" s="19" t="s">
        <v>358</v>
      </c>
      <c r="D1808" s="9">
        <v>0</v>
      </c>
      <c r="E1808" s="9">
        <v>0</v>
      </c>
      <c r="F1808" s="9">
        <v>-10</v>
      </c>
      <c r="G1808" s="9">
        <v>0</v>
      </c>
      <c r="H1808" s="9">
        <v>0</v>
      </c>
      <c r="I1808" s="9">
        <v>0</v>
      </c>
      <c r="J1808" s="9">
        <v>-10</v>
      </c>
    </row>
    <row r="1809" spans="1:10" ht="15.75" x14ac:dyDescent="0.25">
      <c r="A1809" s="21">
        <v>45443</v>
      </c>
      <c r="B1809" t="str">
        <f>IFERROR(IF(VLOOKUP(C1809,Hoja1!$B$1:$C$6191,2,0)="",_xlfn.XLOOKUP(C1809,Hoja1!$B$2:$B$6191,Hoja1!$A$2:$A$6191),VLOOKUP(C1809,Hoja1!$B$1:$C$6191,2,0)),"No esta en Infor")</f>
        <v>CAN0081</v>
      </c>
      <c r="C1809" s="19" t="s">
        <v>431</v>
      </c>
      <c r="D1809" s="9">
        <v>96.05</v>
      </c>
      <c r="E1809" s="9">
        <v>-585</v>
      </c>
      <c r="F1809" s="9">
        <v>0</v>
      </c>
      <c r="G1809" s="9">
        <v>0</v>
      </c>
      <c r="H1809" s="9">
        <v>0</v>
      </c>
      <c r="I1809" s="9">
        <v>0</v>
      </c>
      <c r="J1809" s="9">
        <v>-488.95</v>
      </c>
    </row>
    <row r="1810" spans="1:10" ht="15.75" x14ac:dyDescent="0.25">
      <c r="A1810" s="21">
        <v>45443</v>
      </c>
      <c r="B1810" t="str">
        <f>IFERROR(IF(VLOOKUP(C1810,Hoja1!$B$1:$C$6191,2,0)="",_xlfn.XLOOKUP(C1810,Hoja1!$B$2:$B$6191,Hoja1!$A$2:$A$6191),VLOOKUP(C1810,Hoja1!$B$1:$C$6191,2,0)),"No esta en Infor")</f>
        <v>NAC1494</v>
      </c>
      <c r="C1810" s="19" t="s">
        <v>360</v>
      </c>
      <c r="D1810" s="9">
        <v>0</v>
      </c>
      <c r="E1810" s="9">
        <v>0</v>
      </c>
      <c r="F1810" s="9">
        <v>0</v>
      </c>
      <c r="G1810" s="9">
        <v>0</v>
      </c>
      <c r="H1810" s="9">
        <v>0</v>
      </c>
      <c r="I1810" s="9">
        <v>-286.77999999999997</v>
      </c>
      <c r="J1810" s="9">
        <v>-286.77999999999997</v>
      </c>
    </row>
    <row r="1811" spans="1:10" ht="15.75" x14ac:dyDescent="0.25">
      <c r="A1811" s="21">
        <v>45443</v>
      </c>
      <c r="B1811" t="str">
        <f>IFERROR(IF(VLOOKUP(C1811,Hoja1!$B$1:$C$6191,2,0)="",_xlfn.XLOOKUP(C1811,Hoja1!$B$2:$B$6191,Hoja1!$A$2:$A$6191),VLOOKUP(C1811,Hoja1!$B$1:$C$6191,2,0)),"No esta en Infor")</f>
        <v>NAC1495</v>
      </c>
      <c r="C1811" s="19" t="s">
        <v>482</v>
      </c>
      <c r="D1811" s="9">
        <v>0</v>
      </c>
      <c r="E1811" s="9">
        <v>244.13</v>
      </c>
      <c r="F1811" s="9">
        <v>0</v>
      </c>
      <c r="G1811" s="9">
        <v>0</v>
      </c>
      <c r="H1811" s="9">
        <v>0</v>
      </c>
      <c r="I1811" s="9">
        <v>0</v>
      </c>
      <c r="J1811" s="9">
        <v>244.13</v>
      </c>
    </row>
    <row r="1812" spans="1:10" ht="15.75" x14ac:dyDescent="0.25">
      <c r="A1812" s="21">
        <v>45443</v>
      </c>
      <c r="B1812" t="str">
        <f>IFERROR(IF(VLOOKUP(C1812,Hoja1!$B$1:$C$6191,2,0)="",_xlfn.XLOOKUP(C1812,Hoja1!$B$2:$B$6191,Hoja1!$A$2:$A$6191),VLOOKUP(C1812,Hoja1!$B$1:$C$6191,2,0)),"No esta en Infor")</f>
        <v>NAC1500</v>
      </c>
      <c r="C1812" s="19" t="s">
        <v>432</v>
      </c>
      <c r="D1812" s="9">
        <v>257.07</v>
      </c>
      <c r="E1812" s="9">
        <v>107.8</v>
      </c>
      <c r="F1812" s="9">
        <v>0</v>
      </c>
      <c r="G1812" s="9">
        <v>0</v>
      </c>
      <c r="H1812" s="9">
        <v>0</v>
      </c>
      <c r="I1812" s="9">
        <v>0</v>
      </c>
      <c r="J1812" s="9">
        <v>364.87</v>
      </c>
    </row>
    <row r="1813" spans="1:10" ht="15.75" x14ac:dyDescent="0.25">
      <c r="A1813" s="21">
        <v>45443</v>
      </c>
      <c r="B1813" t="str">
        <f>IFERROR(IF(VLOOKUP(C1813,Hoja1!$B$1:$C$6191,2,0)="",_xlfn.XLOOKUP(C1813,Hoja1!$B$2:$B$6191,Hoja1!$A$2:$A$6191),VLOOKUP(C1813,Hoja1!$B$1:$C$6191,2,0)),"No esta en Infor")</f>
        <v>NAC1501</v>
      </c>
      <c r="C1813" s="19" t="s">
        <v>361</v>
      </c>
      <c r="D1813" s="9">
        <v>0</v>
      </c>
      <c r="E1813" s="9">
        <v>0</v>
      </c>
      <c r="F1813" s="9">
        <v>0</v>
      </c>
      <c r="G1813" s="9">
        <v>0</v>
      </c>
      <c r="H1813" s="9">
        <v>0</v>
      </c>
      <c r="I1813" s="9">
        <v>-179.49</v>
      </c>
      <c r="J1813" s="9">
        <v>-179.49</v>
      </c>
    </row>
    <row r="1814" spans="1:10" ht="15.75" x14ac:dyDescent="0.25">
      <c r="A1814" s="21">
        <v>45443</v>
      </c>
      <c r="B1814" t="str">
        <f>IFERROR(IF(VLOOKUP(C1814,Hoja1!$B$1:$C$6191,2,0)="",_xlfn.XLOOKUP(C1814,Hoja1!$B$2:$B$6191,Hoja1!$A$2:$A$6191),VLOOKUP(C1814,Hoja1!$B$1:$C$6191,2,0)),"No esta en Infor")</f>
        <v>CAN0083</v>
      </c>
      <c r="C1814" s="19" t="s">
        <v>433</v>
      </c>
      <c r="D1814" s="9">
        <v>1328.88</v>
      </c>
      <c r="E1814" s="9">
        <v>0</v>
      </c>
      <c r="F1814" s="9">
        <v>0</v>
      </c>
      <c r="G1814" s="9">
        <v>0</v>
      </c>
      <c r="H1814" s="9">
        <v>0</v>
      </c>
      <c r="I1814" s="9">
        <v>0</v>
      </c>
      <c r="J1814" s="9">
        <v>1328.88</v>
      </c>
    </row>
    <row r="1815" spans="1:10" ht="15.75" x14ac:dyDescent="0.25">
      <c r="A1815" s="21">
        <v>45443</v>
      </c>
      <c r="B1815" t="str">
        <f>IFERROR(IF(VLOOKUP(C1815,Hoja1!$B$1:$C$6191,2,0)="",_xlfn.XLOOKUP(C1815,Hoja1!$B$2:$B$6191,Hoja1!$A$2:$A$6191),VLOOKUP(C1815,Hoja1!$B$1:$C$6191,2,0)),"No esta en Infor")</f>
        <v>CAN0084</v>
      </c>
      <c r="C1815" s="19" t="s">
        <v>535</v>
      </c>
      <c r="D1815" s="9">
        <v>0</v>
      </c>
      <c r="E1815" s="9">
        <v>411.32</v>
      </c>
      <c r="F1815" s="9">
        <v>0</v>
      </c>
      <c r="G1815" s="9">
        <v>0</v>
      </c>
      <c r="H1815" s="9">
        <v>0</v>
      </c>
      <c r="I1815" s="9">
        <v>0</v>
      </c>
      <c r="J1815" s="9">
        <v>411.32</v>
      </c>
    </row>
    <row r="1816" spans="1:10" ht="15.75" x14ac:dyDescent="0.25">
      <c r="A1816" s="21">
        <v>45443</v>
      </c>
      <c r="B1816" t="str">
        <f>IFERROR(IF(VLOOKUP(C1816,Hoja1!$B$1:$C$6191,2,0)="",_xlfn.XLOOKUP(C1816,Hoja1!$B$2:$B$6191,Hoja1!$A$2:$A$6191),VLOOKUP(C1816,Hoja1!$B$1:$C$6191,2,0)),"No esta en Infor")</f>
        <v>NAC1517</v>
      </c>
      <c r="C1816" s="19" t="s">
        <v>365</v>
      </c>
      <c r="D1816" s="9">
        <v>32210.59</v>
      </c>
      <c r="E1816" s="9">
        <v>515.83000000000004</v>
      </c>
      <c r="F1816" s="9">
        <v>-194.5</v>
      </c>
      <c r="G1816" s="9">
        <v>-307.39999999999998</v>
      </c>
      <c r="H1816" s="9">
        <v>-706.44</v>
      </c>
      <c r="I1816" s="9">
        <v>-1050.95</v>
      </c>
      <c r="J1816" s="9">
        <v>30467.13</v>
      </c>
    </row>
    <row r="1817" spans="1:10" ht="15.75" x14ac:dyDescent="0.25">
      <c r="A1817" s="21">
        <v>45443</v>
      </c>
      <c r="B1817" t="str">
        <f>IFERROR(IF(VLOOKUP(C1817,Hoja1!$B$1:$C$6191,2,0)="",_xlfn.XLOOKUP(C1817,Hoja1!$B$2:$B$6191,Hoja1!$A$2:$A$6191),VLOOKUP(C1817,Hoja1!$B$1:$C$6191,2,0)),"No esta en Infor")</f>
        <v>NAC1525</v>
      </c>
      <c r="C1817" s="19" t="s">
        <v>576</v>
      </c>
      <c r="D1817" s="9">
        <v>533.5</v>
      </c>
      <c r="E1817" s="9">
        <v>0</v>
      </c>
      <c r="F1817" s="9">
        <v>0</v>
      </c>
      <c r="G1817" s="9">
        <v>0</v>
      </c>
      <c r="H1817" s="9">
        <v>0</v>
      </c>
      <c r="I1817" s="9">
        <v>0</v>
      </c>
      <c r="J1817" s="9">
        <v>533.5</v>
      </c>
    </row>
    <row r="1818" spans="1:10" ht="15.75" x14ac:dyDescent="0.25">
      <c r="A1818" s="21">
        <v>45443</v>
      </c>
      <c r="B1818" t="str">
        <f>IFERROR(IF(VLOOKUP(C1818,Hoja1!$B$1:$C$6191,2,0)="",_xlfn.XLOOKUP(C1818,Hoja1!$B$2:$B$6191,Hoja1!$A$2:$A$6191),VLOOKUP(C1818,Hoja1!$B$1:$C$6191,2,0)),"No esta en Infor")</f>
        <v>CAN0087</v>
      </c>
      <c r="C1818" s="19" t="s">
        <v>1091</v>
      </c>
      <c r="D1818" s="9">
        <v>936.02</v>
      </c>
      <c r="E1818" s="9">
        <v>40854.959999999999</v>
      </c>
      <c r="F1818" s="9">
        <v>0</v>
      </c>
      <c r="G1818" s="9">
        <v>0</v>
      </c>
      <c r="H1818" s="9">
        <v>0</v>
      </c>
      <c r="I1818" s="9">
        <v>0</v>
      </c>
      <c r="J1818" s="9">
        <v>41790.980000000003</v>
      </c>
    </row>
    <row r="1819" spans="1:10" ht="15.75" x14ac:dyDescent="0.25">
      <c r="A1819" s="21">
        <v>45443</v>
      </c>
      <c r="B1819" t="str">
        <f>IFERROR(IF(VLOOKUP(C1819,Hoja1!$B$1:$C$6191,2,0)="",_xlfn.XLOOKUP(C1819,Hoja1!$B$2:$B$6191,Hoja1!$A$2:$A$6191),VLOOKUP(C1819,Hoja1!$B$1:$C$6191,2,0)),"No esta en Infor")</f>
        <v>CAN0088</v>
      </c>
      <c r="C1819" s="19" t="s">
        <v>369</v>
      </c>
      <c r="D1819" s="9">
        <v>0</v>
      </c>
      <c r="E1819" s="9">
        <v>0</v>
      </c>
      <c r="F1819" s="9">
        <v>-891</v>
      </c>
      <c r="G1819" s="9">
        <v>0</v>
      </c>
      <c r="H1819" s="9">
        <v>0</v>
      </c>
      <c r="I1819" s="9">
        <v>0</v>
      </c>
      <c r="J1819" s="9">
        <v>-891</v>
      </c>
    </row>
    <row r="1820" spans="1:10" ht="15.75" x14ac:dyDescent="0.25">
      <c r="A1820" s="21">
        <v>45443</v>
      </c>
      <c r="B1820" t="str">
        <f>IFERROR(IF(VLOOKUP(C1820,Hoja1!$B$1:$C$6191,2,0)="",_xlfn.XLOOKUP(C1820,Hoja1!$B$2:$B$6191,Hoja1!$A$2:$A$6191),VLOOKUP(C1820,Hoja1!$B$1:$C$6191,2,0)),"No esta en Infor")</f>
        <v>NAC1533</v>
      </c>
      <c r="C1820" s="19" t="s">
        <v>483</v>
      </c>
      <c r="D1820" s="9">
        <v>0</v>
      </c>
      <c r="E1820" s="9">
        <v>144.59</v>
      </c>
      <c r="F1820" s="9">
        <v>0</v>
      </c>
      <c r="G1820" s="9">
        <v>0</v>
      </c>
      <c r="H1820" s="9">
        <v>0</v>
      </c>
      <c r="I1820" s="9">
        <v>0</v>
      </c>
      <c r="J1820" s="9">
        <v>144.59</v>
      </c>
    </row>
    <row r="1821" spans="1:10" ht="15.75" x14ac:dyDescent="0.25">
      <c r="A1821" s="21">
        <v>45443</v>
      </c>
      <c r="B1821" t="str">
        <f>IFERROR(IF(VLOOKUP(C1821,Hoja1!$B$1:$C$6191,2,0)="",_xlfn.XLOOKUP(C1821,Hoja1!$B$2:$B$6191,Hoja1!$A$2:$A$6191),VLOOKUP(C1821,Hoja1!$B$1:$C$6191,2,0)),"No esta en Infor")</f>
        <v>NAC1538</v>
      </c>
      <c r="C1821" s="19" t="s">
        <v>536</v>
      </c>
      <c r="D1821" s="9">
        <v>0</v>
      </c>
      <c r="E1821" s="9">
        <v>906.25</v>
      </c>
      <c r="F1821" s="9">
        <v>0</v>
      </c>
      <c r="G1821" s="9">
        <v>0</v>
      </c>
      <c r="H1821" s="9">
        <v>0</v>
      </c>
      <c r="I1821" s="9">
        <v>0</v>
      </c>
      <c r="J1821" s="9">
        <v>906.25</v>
      </c>
    </row>
    <row r="1822" spans="1:10" ht="15.75" x14ac:dyDescent="0.25">
      <c r="A1822" s="21">
        <v>45443</v>
      </c>
      <c r="B1822" t="str">
        <f>IFERROR(IF(VLOOKUP(C1822,Hoja1!$B$1:$C$6191,2,0)="",_xlfn.XLOOKUP(C1822,Hoja1!$B$2:$B$6191,Hoja1!$A$2:$A$6191),VLOOKUP(C1822,Hoja1!$B$1:$C$6191,2,0)),"No esta en Infor")</f>
        <v>NAC1539</v>
      </c>
      <c r="C1822" s="19" t="s">
        <v>58</v>
      </c>
      <c r="D1822" s="9">
        <v>0</v>
      </c>
      <c r="E1822" s="9">
        <v>0</v>
      </c>
      <c r="F1822" s="9">
        <v>-5517</v>
      </c>
      <c r="G1822" s="9">
        <v>-7.8</v>
      </c>
      <c r="H1822" s="9">
        <v>0</v>
      </c>
      <c r="I1822" s="9">
        <v>0</v>
      </c>
      <c r="J1822" s="9">
        <v>-5524.8</v>
      </c>
    </row>
    <row r="1823" spans="1:10" ht="15.75" x14ac:dyDescent="0.25">
      <c r="A1823" s="21">
        <v>45473</v>
      </c>
      <c r="B1823" t="str">
        <f>IFERROR(IF(VLOOKUP(C1823,Hoja1!$B$1:$C$6191,2,0)="",_xlfn.XLOOKUP(C1823,Hoja1!$B$2:$B$6191,Hoja1!$A$2:$A$6191),VLOOKUP(C1823,Hoja1!$B$1:$C$6191,2,0)),"No esta en Infor")</f>
        <v>NAC0474</v>
      </c>
      <c r="C1823" s="11" t="s">
        <v>375</v>
      </c>
      <c r="D1823" s="8">
        <v>0</v>
      </c>
      <c r="E1823" s="8">
        <v>0</v>
      </c>
      <c r="F1823" s="8">
        <v>195.46</v>
      </c>
      <c r="G1823" s="8">
        <v>0</v>
      </c>
      <c r="H1823" s="8">
        <v>0</v>
      </c>
      <c r="I1823" s="8">
        <v>0</v>
      </c>
      <c r="J1823" s="8">
        <v>195.46</v>
      </c>
    </row>
    <row r="1824" spans="1:10" ht="15.75" x14ac:dyDescent="0.25">
      <c r="A1824" s="21">
        <v>45473</v>
      </c>
      <c r="B1824" t="str">
        <f>IFERROR(IF(VLOOKUP(C1824,Hoja1!$B$1:$C$6191,2,0)="",_xlfn.XLOOKUP(C1824,Hoja1!$B$2:$B$6191,Hoja1!$A$2:$A$6191),VLOOKUP(C1824,Hoja1!$B$1:$C$6191,2,0)),"No esta en Infor")</f>
        <v>NAC0476</v>
      </c>
      <c r="C1824" s="11" t="s">
        <v>11</v>
      </c>
      <c r="D1824" s="8">
        <v>77433.63</v>
      </c>
      <c r="E1824" s="8">
        <v>29378.86</v>
      </c>
      <c r="F1824" s="8">
        <v>1925.58</v>
      </c>
      <c r="G1824" s="8">
        <v>0</v>
      </c>
      <c r="H1824" s="8">
        <v>0</v>
      </c>
      <c r="I1824" s="8">
        <v>0</v>
      </c>
      <c r="J1824" s="8">
        <v>108738.07</v>
      </c>
    </row>
    <row r="1825" spans="1:10" ht="15.75" x14ac:dyDescent="0.25">
      <c r="A1825" s="21">
        <v>45473</v>
      </c>
      <c r="B1825" t="str">
        <f>IFERROR(IF(VLOOKUP(C1825,Hoja1!$B$1:$C$6191,2,0)="",_xlfn.XLOOKUP(C1825,Hoja1!$B$2:$B$6191,Hoja1!$A$2:$A$6191),VLOOKUP(C1825,Hoja1!$B$1:$C$6191,2,0)),"No esta en Infor")</f>
        <v>NAC0483</v>
      </c>
      <c r="C1825" s="11" t="s">
        <v>12</v>
      </c>
      <c r="D1825" s="8">
        <v>0</v>
      </c>
      <c r="E1825" s="8">
        <v>0</v>
      </c>
      <c r="F1825" s="8">
        <v>3758.78</v>
      </c>
      <c r="G1825" s="8">
        <v>3072.84</v>
      </c>
      <c r="H1825" s="8">
        <v>1402.04</v>
      </c>
      <c r="I1825" s="8">
        <v>17814.68</v>
      </c>
      <c r="J1825" s="8">
        <v>26048.34</v>
      </c>
    </row>
    <row r="1826" spans="1:10" ht="15.75" x14ac:dyDescent="0.25">
      <c r="A1826" s="21">
        <v>45473</v>
      </c>
      <c r="B1826" t="str">
        <f>IFERROR(IF(VLOOKUP(C1826,Hoja1!$B$1:$C$6191,2,0)="",_xlfn.XLOOKUP(C1826,Hoja1!$B$2:$B$6191,Hoja1!$A$2:$A$6191),VLOOKUP(C1826,Hoja1!$B$1:$C$6191,2,0)),"No esta en Infor")</f>
        <v>NAC0520</v>
      </c>
      <c r="C1826" s="11" t="s">
        <v>68</v>
      </c>
      <c r="D1826" s="8">
        <v>4722.6000000000004</v>
      </c>
      <c r="E1826" s="8">
        <v>12959</v>
      </c>
      <c r="F1826" s="8">
        <v>132.58000000000001</v>
      </c>
      <c r="G1826" s="8">
        <v>-604.5</v>
      </c>
      <c r="H1826" s="8">
        <v>0</v>
      </c>
      <c r="I1826" s="8">
        <v>-0.01</v>
      </c>
      <c r="J1826" s="8">
        <v>17209.669999999998</v>
      </c>
    </row>
    <row r="1827" spans="1:10" ht="15.75" x14ac:dyDescent="0.25">
      <c r="A1827" s="21">
        <v>45473</v>
      </c>
      <c r="B1827" t="str">
        <f>IFERROR(IF(VLOOKUP(C1827,Hoja1!$B$1:$C$6191,2,0)="",_xlfn.XLOOKUP(C1827,Hoja1!$B$2:$B$6191,Hoja1!$A$2:$A$6191),VLOOKUP(C1827,Hoja1!$B$1:$C$6191,2,0)),"No esta en Infor")</f>
        <v>NAC0525</v>
      </c>
      <c r="C1827" s="11" t="s">
        <v>71</v>
      </c>
      <c r="D1827" s="8">
        <v>0</v>
      </c>
      <c r="E1827" s="8">
        <v>0</v>
      </c>
      <c r="F1827" s="8">
        <v>636</v>
      </c>
      <c r="G1827" s="8">
        <v>0</v>
      </c>
      <c r="H1827" s="8">
        <v>0</v>
      </c>
      <c r="I1827" s="8">
        <v>0</v>
      </c>
      <c r="J1827" s="8">
        <v>636</v>
      </c>
    </row>
    <row r="1828" spans="1:10" ht="15.75" x14ac:dyDescent="0.25">
      <c r="A1828" s="21">
        <v>45473</v>
      </c>
      <c r="B1828" t="str">
        <f>IFERROR(IF(VLOOKUP(C1828,Hoja1!$B$1:$C$6191,2,0)="",_xlfn.XLOOKUP(C1828,Hoja1!$B$2:$B$6191,Hoja1!$A$2:$A$6191),VLOOKUP(C1828,Hoja1!$B$1:$C$6191,2,0)),"No esta en Infor")</f>
        <v>NAC0533</v>
      </c>
      <c r="C1828" s="11" t="s">
        <v>381</v>
      </c>
      <c r="D1828" s="8">
        <v>0</v>
      </c>
      <c r="E1828" s="8">
        <v>0</v>
      </c>
      <c r="F1828" s="8">
        <v>358</v>
      </c>
      <c r="G1828" s="8">
        <v>0</v>
      </c>
      <c r="H1828" s="8">
        <v>0</v>
      </c>
      <c r="I1828" s="8">
        <v>0</v>
      </c>
      <c r="J1828" s="8">
        <v>358</v>
      </c>
    </row>
    <row r="1829" spans="1:10" ht="15.75" x14ac:dyDescent="0.25">
      <c r="A1829" s="21">
        <v>45473</v>
      </c>
      <c r="B1829" t="str">
        <f>IFERROR(IF(VLOOKUP(C1829,Hoja1!$B$1:$C$6191,2,0)="",_xlfn.XLOOKUP(C1829,Hoja1!$B$2:$B$6191,Hoja1!$A$2:$A$6191),VLOOKUP(C1829,Hoja1!$B$1:$C$6191,2,0)),"No esta en Infor")</f>
        <v>NAC0539</v>
      </c>
      <c r="C1829" s="11" t="s">
        <v>80</v>
      </c>
      <c r="D1829" s="8">
        <v>3003</v>
      </c>
      <c r="E1829" s="8">
        <v>0</v>
      </c>
      <c r="F1829" s="8">
        <v>4262.84</v>
      </c>
      <c r="G1829" s="8">
        <v>0</v>
      </c>
      <c r="H1829" s="8">
        <v>0</v>
      </c>
      <c r="I1829" s="8">
        <v>0</v>
      </c>
      <c r="J1829" s="8">
        <v>7265.84</v>
      </c>
    </row>
    <row r="1830" spans="1:10" ht="15.75" x14ac:dyDescent="0.25">
      <c r="A1830" s="21">
        <v>45473</v>
      </c>
      <c r="B1830" t="str">
        <f>IFERROR(IF(VLOOKUP(C1830,Hoja1!$B$1:$C$6191,2,0)="",_xlfn.XLOOKUP(C1830,Hoja1!$B$2:$B$6191,Hoja1!$A$2:$A$6191),VLOOKUP(C1830,Hoja1!$B$1:$C$6191,2,0)),"No esta en Infor")</f>
        <v>NAC0556</v>
      </c>
      <c r="C1830" s="11" t="s">
        <v>14</v>
      </c>
      <c r="D1830" s="8">
        <v>0</v>
      </c>
      <c r="E1830" s="8">
        <v>29086.25</v>
      </c>
      <c r="F1830" s="8">
        <v>133</v>
      </c>
      <c r="G1830" s="8">
        <v>973.24</v>
      </c>
      <c r="H1830" s="8">
        <v>1632.89</v>
      </c>
      <c r="I1830" s="8">
        <v>0</v>
      </c>
      <c r="J1830" s="8">
        <v>31825.38</v>
      </c>
    </row>
    <row r="1831" spans="1:10" ht="15.75" x14ac:dyDescent="0.25">
      <c r="A1831" s="21">
        <v>45473</v>
      </c>
      <c r="B1831" t="str">
        <f>IFERROR(IF(VLOOKUP(C1831,Hoja1!$B$1:$C$6191,2,0)="",_xlfn.XLOOKUP(C1831,Hoja1!$B$2:$B$6191,Hoja1!$A$2:$A$6191),VLOOKUP(C1831,Hoja1!$B$1:$C$6191,2,0)),"No esta en Infor")</f>
        <v>CAN0002</v>
      </c>
      <c r="C1831" s="11" t="s">
        <v>87</v>
      </c>
      <c r="D1831" s="8">
        <v>771.23</v>
      </c>
      <c r="E1831" s="8">
        <v>2638.55</v>
      </c>
      <c r="F1831" s="8">
        <v>-970.47</v>
      </c>
      <c r="G1831" s="8">
        <v>416</v>
      </c>
      <c r="H1831" s="8">
        <v>0</v>
      </c>
      <c r="I1831" s="8">
        <v>0</v>
      </c>
      <c r="J1831" s="8">
        <v>2855.31</v>
      </c>
    </row>
    <row r="1832" spans="1:10" ht="15.75" x14ac:dyDescent="0.25">
      <c r="A1832" s="21">
        <v>45473</v>
      </c>
      <c r="B1832" t="str">
        <f>IFERROR(IF(VLOOKUP(C1832,Hoja1!$B$1:$C$6191,2,0)="",_xlfn.XLOOKUP(C1832,Hoja1!$B$2:$B$6191,Hoja1!$A$2:$A$6191),VLOOKUP(C1832,Hoja1!$B$1:$C$6191,2,0)),"No esta en Infor")</f>
        <v>NAC0573</v>
      </c>
      <c r="C1832" s="11" t="s">
        <v>15</v>
      </c>
      <c r="D1832" s="8">
        <v>126.86</v>
      </c>
      <c r="E1832" s="8">
        <v>265.7</v>
      </c>
      <c r="F1832" s="8">
        <v>-218.93</v>
      </c>
      <c r="G1832" s="8">
        <v>1438.75</v>
      </c>
      <c r="H1832" s="8">
        <v>1660.69</v>
      </c>
      <c r="I1832" s="8">
        <v>0</v>
      </c>
      <c r="J1832" s="8">
        <v>3273.07</v>
      </c>
    </row>
    <row r="1833" spans="1:10" ht="15.75" x14ac:dyDescent="0.25">
      <c r="A1833" s="21">
        <v>45473</v>
      </c>
      <c r="B1833" t="str">
        <f>IFERROR(IF(VLOOKUP(C1833,Hoja1!$B$1:$C$6191,2,0)="",_xlfn.XLOOKUP(C1833,Hoja1!$B$2:$B$6191,Hoja1!$A$2:$A$6191),VLOOKUP(C1833,Hoja1!$B$1:$C$6191,2,0)),"No esta en Infor")</f>
        <v>CAN0005</v>
      </c>
      <c r="C1833" s="11" t="s">
        <v>90</v>
      </c>
      <c r="D1833" s="8">
        <v>82981.16</v>
      </c>
      <c r="E1833" s="8">
        <v>20</v>
      </c>
      <c r="F1833" s="8">
        <v>0</v>
      </c>
      <c r="G1833" s="8">
        <v>10260</v>
      </c>
      <c r="H1833" s="8">
        <v>0</v>
      </c>
      <c r="I1833" s="8">
        <v>0</v>
      </c>
      <c r="J1833" s="8">
        <v>93261.16</v>
      </c>
    </row>
    <row r="1834" spans="1:10" ht="15.75" x14ac:dyDescent="0.25">
      <c r="A1834" s="21">
        <v>45473</v>
      </c>
      <c r="B1834" t="str">
        <f>IFERROR(IF(VLOOKUP(C1834,Hoja1!$B$1:$C$6191,2,0)="",_xlfn.XLOOKUP(C1834,Hoja1!$B$2:$B$6191,Hoja1!$A$2:$A$6191),VLOOKUP(C1834,Hoja1!$B$1:$C$6191,2,0)),"No esta en Infor")</f>
        <v>NAC0581</v>
      </c>
      <c r="C1834" s="11" t="s">
        <v>384</v>
      </c>
      <c r="D1834" s="8">
        <v>0</v>
      </c>
      <c r="E1834" s="8">
        <v>0</v>
      </c>
      <c r="F1834" s="8">
        <v>623.27</v>
      </c>
      <c r="G1834" s="8">
        <v>0</v>
      </c>
      <c r="H1834" s="8">
        <v>0</v>
      </c>
      <c r="I1834" s="8">
        <v>0</v>
      </c>
      <c r="J1834" s="8">
        <v>623.27</v>
      </c>
    </row>
    <row r="1835" spans="1:10" ht="15.75" x14ac:dyDescent="0.25">
      <c r="A1835" s="21">
        <v>45473</v>
      </c>
      <c r="B1835" t="str">
        <f>IFERROR(IF(VLOOKUP(C1835,Hoja1!$B$1:$C$6191,2,0)="",_xlfn.XLOOKUP(C1835,Hoja1!$B$2:$B$6191,Hoja1!$A$2:$A$6191),VLOOKUP(C1835,Hoja1!$B$1:$C$6191,2,0)),"No esta en Infor")</f>
        <v>NAC0610</v>
      </c>
      <c r="C1835" s="11" t="s">
        <v>16</v>
      </c>
      <c r="D1835" s="8">
        <v>56020.41</v>
      </c>
      <c r="E1835" s="8">
        <v>65783.649999999994</v>
      </c>
      <c r="F1835" s="8">
        <v>0</v>
      </c>
      <c r="G1835" s="8">
        <v>24445.89</v>
      </c>
      <c r="H1835" s="8">
        <v>0</v>
      </c>
      <c r="I1835" s="8">
        <v>0</v>
      </c>
      <c r="J1835" s="8">
        <v>146249.95000000001</v>
      </c>
    </row>
    <row r="1836" spans="1:10" ht="15.75" x14ac:dyDescent="0.25">
      <c r="A1836" s="21">
        <v>45473</v>
      </c>
      <c r="B1836" t="str">
        <f>IFERROR(IF(VLOOKUP(C1836,Hoja1!$B$1:$C$6191,2,0)="",_xlfn.XLOOKUP(C1836,Hoja1!$B$2:$B$6191,Hoja1!$A$2:$A$6191),VLOOKUP(C1836,Hoja1!$B$1:$C$6191,2,0)),"No esta en Infor")</f>
        <v>CAN0006</v>
      </c>
      <c r="C1836" s="11" t="s">
        <v>17</v>
      </c>
      <c r="D1836" s="8">
        <v>47899.95</v>
      </c>
      <c r="E1836" s="8">
        <v>147</v>
      </c>
      <c r="F1836" s="8">
        <v>-5738.17</v>
      </c>
      <c r="G1836" s="8">
        <v>3608.02</v>
      </c>
      <c r="H1836" s="8">
        <v>946.48</v>
      </c>
      <c r="I1836" s="8">
        <v>0</v>
      </c>
      <c r="J1836" s="8">
        <v>46863.28</v>
      </c>
    </row>
    <row r="1837" spans="1:10" ht="15.75" x14ac:dyDescent="0.25">
      <c r="A1837" s="21">
        <v>45473</v>
      </c>
      <c r="B1837" t="str">
        <f>IFERROR(IF(VLOOKUP(C1837,Hoja1!$B$1:$C$6191,2,0)="",_xlfn.XLOOKUP(C1837,Hoja1!$B$2:$B$6191,Hoja1!$A$2:$A$6191),VLOOKUP(C1837,Hoja1!$B$1:$C$6191,2,0)),"No esta en Infor")</f>
        <v>NAC0614</v>
      </c>
      <c r="C1837" s="11" t="s">
        <v>102</v>
      </c>
      <c r="D1837" s="8">
        <v>0</v>
      </c>
      <c r="E1837" s="8">
        <v>1540</v>
      </c>
      <c r="F1837" s="8">
        <v>200</v>
      </c>
      <c r="G1837" s="8">
        <v>0</v>
      </c>
      <c r="H1837" s="8">
        <v>0</v>
      </c>
      <c r="I1837" s="8">
        <v>0</v>
      </c>
      <c r="J1837" s="8">
        <v>1740</v>
      </c>
    </row>
    <row r="1838" spans="1:10" ht="15.75" x14ac:dyDescent="0.25">
      <c r="A1838" s="21">
        <v>45473</v>
      </c>
      <c r="B1838" t="str">
        <f>IFERROR(IF(VLOOKUP(C1838,Hoja1!$B$1:$C$6191,2,0)="",_xlfn.XLOOKUP(C1838,Hoja1!$B$2:$B$6191,Hoja1!$A$2:$A$6191),VLOOKUP(C1838,Hoja1!$B$1:$C$6191,2,0)),"No esta en Infor")</f>
        <v>NAC0624</v>
      </c>
      <c r="C1838" s="11" t="s">
        <v>105</v>
      </c>
      <c r="D1838" s="8">
        <v>0</v>
      </c>
      <c r="E1838" s="8">
        <v>0</v>
      </c>
      <c r="F1838" s="8">
        <v>-231</v>
      </c>
      <c r="G1838" s="8">
        <v>52.88</v>
      </c>
      <c r="H1838" s="8">
        <v>0</v>
      </c>
      <c r="I1838" s="8">
        <v>0</v>
      </c>
      <c r="J1838" s="8">
        <v>-178.12</v>
      </c>
    </row>
    <row r="1839" spans="1:10" ht="15.75" x14ac:dyDescent="0.25">
      <c r="A1839" s="21">
        <v>45473</v>
      </c>
      <c r="B1839" t="str">
        <f>IFERROR(IF(VLOOKUP(C1839,Hoja1!$B$1:$C$6191,2,0)="",_xlfn.XLOOKUP(C1839,Hoja1!$B$2:$B$6191,Hoja1!$A$2:$A$6191),VLOOKUP(C1839,Hoja1!$B$1:$C$6191,2,0)),"No esta en Infor")</f>
        <v>NAC0641</v>
      </c>
      <c r="C1839" s="11" t="s">
        <v>18</v>
      </c>
      <c r="D1839" s="8">
        <v>0</v>
      </c>
      <c r="E1839" s="8">
        <v>0</v>
      </c>
      <c r="F1839" s="8">
        <v>0</v>
      </c>
      <c r="G1839" s="8">
        <v>363.64</v>
      </c>
      <c r="H1839" s="8">
        <v>0</v>
      </c>
      <c r="I1839" s="8">
        <v>0</v>
      </c>
      <c r="J1839" s="8">
        <v>363.64</v>
      </c>
    </row>
    <row r="1840" spans="1:10" ht="15.75" x14ac:dyDescent="0.25">
      <c r="A1840" s="21">
        <v>45473</v>
      </c>
      <c r="B1840" t="str">
        <f>IFERROR(IF(VLOOKUP(C1840,Hoja1!$B$1:$C$6191,2,0)="",_xlfn.XLOOKUP(C1840,Hoja1!$B$2:$B$6191,Hoja1!$A$2:$A$6191),VLOOKUP(C1840,Hoja1!$B$1:$C$6191,2,0)),"No esta en Infor")</f>
        <v>CAN0011</v>
      </c>
      <c r="C1840" s="11" t="s">
        <v>121</v>
      </c>
      <c r="D1840" s="8">
        <v>0</v>
      </c>
      <c r="E1840" s="8">
        <v>38276.49</v>
      </c>
      <c r="F1840" s="8">
        <v>2037.16</v>
      </c>
      <c r="G1840" s="8">
        <v>0</v>
      </c>
      <c r="H1840" s="8">
        <v>0</v>
      </c>
      <c r="I1840" s="8">
        <v>0</v>
      </c>
      <c r="J1840" s="8">
        <v>40313.65</v>
      </c>
    </row>
    <row r="1841" spans="1:10" ht="15.75" x14ac:dyDescent="0.25">
      <c r="A1841" s="21">
        <v>45473</v>
      </c>
      <c r="B1841" t="str">
        <f>IFERROR(IF(VLOOKUP(C1841,Hoja1!$B$1:$C$6191,2,0)="",_xlfn.XLOOKUP(C1841,Hoja1!$B$2:$B$6191,Hoja1!$A$2:$A$6191),VLOOKUP(C1841,Hoja1!$B$1:$C$6191,2,0)),"No esta en Infor")</f>
        <v>NAC0672</v>
      </c>
      <c r="C1841" s="11" t="s">
        <v>122</v>
      </c>
      <c r="D1841" s="8">
        <v>-27638.53</v>
      </c>
      <c r="E1841" s="8">
        <v>-5510.7</v>
      </c>
      <c r="F1841" s="8">
        <v>0</v>
      </c>
      <c r="G1841" s="8">
        <v>370.78</v>
      </c>
      <c r="H1841" s="8">
        <v>0</v>
      </c>
      <c r="I1841" s="8">
        <v>0</v>
      </c>
      <c r="J1841" s="8">
        <v>-32778.449999999997</v>
      </c>
    </row>
    <row r="1842" spans="1:10" ht="15.75" x14ac:dyDescent="0.25">
      <c r="A1842" s="21">
        <v>45473</v>
      </c>
      <c r="B1842" t="str">
        <f>IFERROR(IF(VLOOKUP(C1842,Hoja1!$B$1:$C$6191,2,0)="",_xlfn.XLOOKUP(C1842,Hoja1!$B$2:$B$6191,Hoja1!$A$2:$A$6191),VLOOKUP(C1842,Hoja1!$B$1:$C$6191,2,0)),"No esta en Infor")</f>
        <v>NAC0673</v>
      </c>
      <c r="C1842" s="11" t="s">
        <v>390</v>
      </c>
      <c r="D1842" s="8">
        <v>0</v>
      </c>
      <c r="E1842" s="8">
        <v>0</v>
      </c>
      <c r="F1842" s="8">
        <v>672.85</v>
      </c>
      <c r="G1842" s="8">
        <v>0</v>
      </c>
      <c r="H1842" s="8">
        <v>0</v>
      </c>
      <c r="I1842" s="8">
        <v>0</v>
      </c>
      <c r="J1842" s="8">
        <v>672.85</v>
      </c>
    </row>
    <row r="1843" spans="1:10" ht="15.75" x14ac:dyDescent="0.25">
      <c r="A1843" s="21">
        <v>45473</v>
      </c>
      <c r="B1843" t="str">
        <f>IFERROR(IF(VLOOKUP(C1843,Hoja1!$B$1:$C$6191,2,0)="",_xlfn.XLOOKUP(C1843,Hoja1!$B$2:$B$6191,Hoja1!$A$2:$A$6191),VLOOKUP(C1843,Hoja1!$B$1:$C$6191,2,0)),"No esta en Infor")</f>
        <v>NAC0706</v>
      </c>
      <c r="C1843" s="11" t="s">
        <v>139</v>
      </c>
      <c r="D1843" s="8">
        <v>0</v>
      </c>
      <c r="E1843" s="8">
        <v>0</v>
      </c>
      <c r="F1843" s="8">
        <v>0</v>
      </c>
      <c r="G1843" s="8">
        <v>667.38</v>
      </c>
      <c r="H1843" s="8">
        <v>0</v>
      </c>
      <c r="I1843" s="8">
        <v>0</v>
      </c>
      <c r="J1843" s="8">
        <v>667.38</v>
      </c>
    </row>
    <row r="1844" spans="1:10" ht="15.75" x14ac:dyDescent="0.25">
      <c r="A1844" s="21">
        <v>45473</v>
      </c>
      <c r="B1844" t="str">
        <f>IFERROR(IF(VLOOKUP(C1844,Hoja1!$B$1:$C$6191,2,0)="",_xlfn.XLOOKUP(C1844,Hoja1!$B$2:$B$6191,Hoja1!$A$2:$A$6191),VLOOKUP(C1844,Hoja1!$B$1:$C$6191,2,0)),"No esta en Infor")</f>
        <v>NAC0729</v>
      </c>
      <c r="C1844" s="11" t="s">
        <v>148</v>
      </c>
      <c r="D1844" s="8">
        <v>0</v>
      </c>
      <c r="E1844" s="8">
        <v>0</v>
      </c>
      <c r="F1844" s="8">
        <v>316</v>
      </c>
      <c r="G1844" s="8">
        <v>0</v>
      </c>
      <c r="H1844" s="8">
        <v>0</v>
      </c>
      <c r="I1844" s="8">
        <v>0</v>
      </c>
      <c r="J1844" s="8">
        <v>316</v>
      </c>
    </row>
    <row r="1845" spans="1:10" ht="15.75" x14ac:dyDescent="0.25">
      <c r="A1845" s="21">
        <v>45473</v>
      </c>
      <c r="B1845" t="str">
        <f>IFERROR(IF(VLOOKUP(C1845,Hoja1!$B$1:$C$6191,2,0)="",_xlfn.XLOOKUP(C1845,Hoja1!$B$2:$B$6191,Hoja1!$A$2:$A$6191),VLOOKUP(C1845,Hoja1!$B$1:$C$6191,2,0)),"No esta en Infor")</f>
        <v>NAC1608</v>
      </c>
      <c r="C1845" s="11" t="s">
        <v>538</v>
      </c>
      <c r="D1845" s="8">
        <v>2673</v>
      </c>
      <c r="E1845" s="8">
        <v>517.42999999999995</v>
      </c>
      <c r="F1845" s="8">
        <v>76.73</v>
      </c>
      <c r="G1845" s="8">
        <v>-308</v>
      </c>
      <c r="H1845" s="8">
        <v>171.99</v>
      </c>
      <c r="I1845" s="8">
        <v>0</v>
      </c>
      <c r="J1845" s="8">
        <v>3131.15</v>
      </c>
    </row>
    <row r="1846" spans="1:10" ht="15.75" x14ac:dyDescent="0.25">
      <c r="A1846" s="21">
        <v>45473</v>
      </c>
      <c r="B1846" t="str">
        <f>IFERROR(IF(VLOOKUP(C1846,Hoja1!$B$1:$C$6191,2,0)="",_xlfn.XLOOKUP(C1846,Hoja1!$B$2:$B$6191,Hoja1!$A$2:$A$6191),VLOOKUP(C1846,Hoja1!$B$1:$C$6191,2,0)),"No esta en Infor")</f>
        <v>CAN0018</v>
      </c>
      <c r="C1846" s="11" t="s">
        <v>21</v>
      </c>
      <c r="D1846" s="8">
        <v>0</v>
      </c>
      <c r="E1846" s="8">
        <v>40506.33</v>
      </c>
      <c r="F1846" s="8">
        <v>0</v>
      </c>
      <c r="G1846" s="8">
        <v>3907.99</v>
      </c>
      <c r="H1846" s="8">
        <v>656.39</v>
      </c>
      <c r="I1846" s="8">
        <v>0</v>
      </c>
      <c r="J1846" s="8">
        <v>45070.71</v>
      </c>
    </row>
    <row r="1847" spans="1:10" ht="15.75" x14ac:dyDescent="0.25">
      <c r="A1847" s="21">
        <v>45473</v>
      </c>
      <c r="B1847" t="str">
        <f>IFERROR(IF(VLOOKUP(C1847,Hoja1!$B$1:$C$6191,2,0)="",_xlfn.XLOOKUP(C1847,Hoja1!$B$2:$B$6191,Hoja1!$A$2:$A$6191),VLOOKUP(C1847,Hoja1!$B$1:$C$6191,2,0)),"No esta en Infor")</f>
        <v>NAC0816</v>
      </c>
      <c r="C1847" s="11" t="s">
        <v>176</v>
      </c>
      <c r="D1847" s="8">
        <v>0</v>
      </c>
      <c r="E1847" s="8">
        <v>0</v>
      </c>
      <c r="F1847" s="8">
        <v>279</v>
      </c>
      <c r="G1847" s="8">
        <v>0</v>
      </c>
      <c r="H1847" s="8">
        <v>0</v>
      </c>
      <c r="I1847" s="8">
        <v>0</v>
      </c>
      <c r="J1847" s="8">
        <v>279</v>
      </c>
    </row>
    <row r="1848" spans="1:10" ht="15.75" x14ac:dyDescent="0.25">
      <c r="A1848" s="21">
        <v>45473</v>
      </c>
      <c r="B1848" t="str">
        <f>IFERROR(IF(VLOOKUP(C1848,Hoja1!$B$1:$C$6191,2,0)="",_xlfn.XLOOKUP(C1848,Hoja1!$B$2:$B$6191,Hoja1!$A$2:$A$6191),VLOOKUP(C1848,Hoja1!$B$1:$C$6191,2,0)),"No esta en Infor")</f>
        <v>CAN0021</v>
      </c>
      <c r="C1848" s="11" t="s">
        <v>180</v>
      </c>
      <c r="D1848" s="8">
        <v>0</v>
      </c>
      <c r="E1848" s="8">
        <v>0</v>
      </c>
      <c r="F1848" s="8">
        <v>314.64</v>
      </c>
      <c r="G1848" s="8">
        <v>18.38</v>
      </c>
      <c r="H1848" s="8">
        <v>0</v>
      </c>
      <c r="I1848" s="8">
        <v>0</v>
      </c>
      <c r="J1848" s="8">
        <v>333.02</v>
      </c>
    </row>
    <row r="1849" spans="1:10" ht="15.75" x14ac:dyDescent="0.25">
      <c r="A1849" s="21">
        <v>45473</v>
      </c>
      <c r="B1849" t="str">
        <f>IFERROR(IF(VLOOKUP(C1849,Hoja1!$B$1:$C$6191,2,0)="",_xlfn.XLOOKUP(C1849,Hoja1!$B$2:$B$6191,Hoja1!$A$2:$A$6191),VLOOKUP(C1849,Hoja1!$B$1:$C$6191,2,0)),"No esta en Infor")</f>
        <v>NAC0838</v>
      </c>
      <c r="C1849" s="11" t="s">
        <v>396</v>
      </c>
      <c r="D1849" s="8">
        <v>0</v>
      </c>
      <c r="E1849" s="8">
        <v>0</v>
      </c>
      <c r="F1849" s="8">
        <v>54</v>
      </c>
      <c r="G1849" s="8">
        <v>0</v>
      </c>
      <c r="H1849" s="8">
        <v>0</v>
      </c>
      <c r="I1849" s="8">
        <v>0</v>
      </c>
      <c r="J1849" s="8">
        <v>54</v>
      </c>
    </row>
    <row r="1850" spans="1:10" ht="15.75" x14ac:dyDescent="0.25">
      <c r="A1850" s="21">
        <v>45473</v>
      </c>
      <c r="B1850" t="str">
        <f>IFERROR(IF(VLOOKUP(C1850,Hoja1!$B$1:$C$6191,2,0)="",_xlfn.XLOOKUP(C1850,Hoja1!$B$2:$B$6191,Hoja1!$A$2:$A$6191),VLOOKUP(C1850,Hoja1!$B$1:$C$6191,2,0)),"No esta en Infor")</f>
        <v>NAC0858</v>
      </c>
      <c r="C1850" s="11" t="s">
        <v>188</v>
      </c>
      <c r="D1850" s="8">
        <v>0</v>
      </c>
      <c r="E1850" s="8">
        <v>0</v>
      </c>
      <c r="F1850" s="8">
        <v>100</v>
      </c>
      <c r="G1850" s="8">
        <v>0</v>
      </c>
      <c r="H1850" s="8">
        <v>0</v>
      </c>
      <c r="I1850" s="8">
        <v>0</v>
      </c>
      <c r="J1850" s="8">
        <v>100</v>
      </c>
    </row>
    <row r="1851" spans="1:10" ht="15.75" x14ac:dyDescent="0.25">
      <c r="A1851" s="21">
        <v>45473</v>
      </c>
      <c r="B1851" t="str">
        <f>IFERROR(IF(VLOOKUP(C1851,Hoja1!$B$1:$C$6191,2,0)="",_xlfn.XLOOKUP(C1851,Hoja1!$B$2:$B$6191,Hoja1!$A$2:$A$6191),VLOOKUP(C1851,Hoja1!$B$1:$C$6191,2,0)),"No esta en Infor")</f>
        <v>NAC0869</v>
      </c>
      <c r="C1851" s="11" t="s">
        <v>192</v>
      </c>
      <c r="D1851" s="8">
        <v>88.45</v>
      </c>
      <c r="E1851" s="8">
        <v>255.25</v>
      </c>
      <c r="F1851" s="8">
        <v>277.3</v>
      </c>
      <c r="G1851" s="8">
        <v>0</v>
      </c>
      <c r="H1851" s="8">
        <v>0</v>
      </c>
      <c r="I1851" s="8">
        <v>0</v>
      </c>
      <c r="J1851" s="8">
        <v>621</v>
      </c>
    </row>
    <row r="1852" spans="1:10" ht="15.75" x14ac:dyDescent="0.25">
      <c r="A1852" s="21">
        <v>45473</v>
      </c>
      <c r="B1852" t="str">
        <f>IFERROR(IF(VLOOKUP(C1852,Hoja1!$B$1:$C$6191,2,0)="",_xlfn.XLOOKUP(C1852,Hoja1!$B$2:$B$6191,Hoja1!$A$2:$A$6191),VLOOKUP(C1852,Hoja1!$B$1:$C$6191,2,0)),"No esta en Infor")</f>
        <v>NAC0880</v>
      </c>
      <c r="C1852" s="11" t="s">
        <v>24</v>
      </c>
      <c r="D1852" s="8">
        <v>9915.52</v>
      </c>
      <c r="E1852" s="8">
        <v>522.14</v>
      </c>
      <c r="F1852" s="8">
        <v>431.33</v>
      </c>
      <c r="G1852" s="8">
        <v>0</v>
      </c>
      <c r="H1852" s="8">
        <v>1357.43</v>
      </c>
      <c r="I1852" s="8">
        <v>45.05</v>
      </c>
      <c r="J1852" s="8">
        <v>12271.47</v>
      </c>
    </row>
    <row r="1853" spans="1:10" ht="15.75" x14ac:dyDescent="0.25">
      <c r="A1853" s="21">
        <v>45473</v>
      </c>
      <c r="B1853" t="str">
        <f>IFERROR(IF(VLOOKUP(C1853,Hoja1!$B$1:$C$6191,2,0)="",_xlfn.XLOOKUP(C1853,Hoja1!$B$2:$B$6191,Hoja1!$A$2:$A$6191),VLOOKUP(C1853,Hoja1!$B$1:$C$6191,2,0)),"No esta en Infor")</f>
        <v>NAC0894</v>
      </c>
      <c r="C1853" s="11" t="s">
        <v>199</v>
      </c>
      <c r="D1853" s="8">
        <v>3090</v>
      </c>
      <c r="E1853" s="8">
        <v>3275.4</v>
      </c>
      <c r="F1853" s="8">
        <v>810</v>
      </c>
      <c r="G1853" s="8">
        <v>0</v>
      </c>
      <c r="H1853" s="8">
        <v>0</v>
      </c>
      <c r="I1853" s="8">
        <v>0</v>
      </c>
      <c r="J1853" s="8">
        <v>7175.4</v>
      </c>
    </row>
    <row r="1854" spans="1:10" ht="15.75" x14ac:dyDescent="0.25">
      <c r="A1854" s="21">
        <v>45473</v>
      </c>
      <c r="B1854" t="str">
        <f>IFERROR(IF(VLOOKUP(C1854,Hoja1!$B$1:$C$6191,2,0)="",_xlfn.XLOOKUP(C1854,Hoja1!$B$2:$B$6191,Hoja1!$A$2:$A$6191),VLOOKUP(C1854,Hoja1!$B$1:$C$6191,2,0)),"No esta en Infor")</f>
        <v>NAC0900</v>
      </c>
      <c r="C1854" s="11" t="s">
        <v>201</v>
      </c>
      <c r="D1854" s="8">
        <v>0</v>
      </c>
      <c r="E1854" s="8">
        <v>1800.28</v>
      </c>
      <c r="F1854" s="8">
        <v>276</v>
      </c>
      <c r="G1854" s="8">
        <v>0</v>
      </c>
      <c r="H1854" s="8">
        <v>0</v>
      </c>
      <c r="I1854" s="8">
        <v>0</v>
      </c>
      <c r="J1854" s="8">
        <v>2076.2800000000002</v>
      </c>
    </row>
    <row r="1855" spans="1:10" ht="15.75" x14ac:dyDescent="0.25">
      <c r="A1855" s="21">
        <v>45473</v>
      </c>
      <c r="B1855" t="str">
        <f>IFERROR(IF(VLOOKUP(C1855,Hoja1!$B$1:$C$6191,2,0)="",_xlfn.XLOOKUP(C1855,Hoja1!$B$2:$B$6191,Hoja1!$A$2:$A$6191),VLOOKUP(C1855,Hoja1!$B$1:$C$6191,2,0)),"No esta en Infor")</f>
        <v>CAN0025</v>
      </c>
      <c r="C1855" s="11" t="s">
        <v>26</v>
      </c>
      <c r="D1855" s="8">
        <v>0</v>
      </c>
      <c r="E1855" s="8">
        <v>4053.17</v>
      </c>
      <c r="F1855" s="8">
        <v>38.5</v>
      </c>
      <c r="G1855" s="8">
        <v>161.44999999999999</v>
      </c>
      <c r="H1855" s="8">
        <v>0</v>
      </c>
      <c r="I1855" s="8">
        <v>0</v>
      </c>
      <c r="J1855" s="8">
        <v>4253.12</v>
      </c>
    </row>
    <row r="1856" spans="1:10" ht="15.75" x14ac:dyDescent="0.25">
      <c r="A1856" s="21">
        <v>45473</v>
      </c>
      <c r="B1856" t="str">
        <f>IFERROR(IF(VLOOKUP(C1856,Hoja1!$B$1:$C$6191,2,0)="",_xlfn.XLOOKUP(C1856,Hoja1!$B$2:$B$6191,Hoja1!$A$2:$A$6191),VLOOKUP(C1856,Hoja1!$B$1:$C$6191,2,0)),"No esta en Infor")</f>
        <v>NAC0920</v>
      </c>
      <c r="C1856" s="11" t="s">
        <v>204</v>
      </c>
      <c r="D1856" s="8">
        <v>0</v>
      </c>
      <c r="E1856" s="8">
        <v>0</v>
      </c>
      <c r="F1856" s="8">
        <v>0</v>
      </c>
      <c r="G1856" s="8">
        <v>591.91</v>
      </c>
      <c r="H1856" s="8">
        <v>0</v>
      </c>
      <c r="I1856" s="8">
        <v>0</v>
      </c>
      <c r="J1856" s="8">
        <v>591.91</v>
      </c>
    </row>
    <row r="1857" spans="1:10" ht="15.75" x14ac:dyDescent="0.25">
      <c r="A1857" s="21">
        <v>45473</v>
      </c>
      <c r="B1857" t="str">
        <f>IFERROR(IF(VLOOKUP(C1857,Hoja1!$B$1:$C$6191,2,0)="",_xlfn.XLOOKUP(C1857,Hoja1!$B$2:$B$6191,Hoja1!$A$2:$A$6191),VLOOKUP(C1857,Hoja1!$B$1:$C$6191,2,0)),"No esta en Infor")</f>
        <v>NAC0922</v>
      </c>
      <c r="C1857" s="11" t="s">
        <v>27</v>
      </c>
      <c r="D1857" s="8">
        <v>0</v>
      </c>
      <c r="E1857" s="8">
        <v>0</v>
      </c>
      <c r="F1857" s="8">
        <v>0</v>
      </c>
      <c r="G1857" s="8">
        <v>631.96</v>
      </c>
      <c r="H1857" s="8">
        <v>0</v>
      </c>
      <c r="I1857" s="8">
        <v>0</v>
      </c>
      <c r="J1857" s="8">
        <v>631.96</v>
      </c>
    </row>
    <row r="1858" spans="1:10" ht="15.75" x14ac:dyDescent="0.25">
      <c r="A1858" s="21">
        <v>45473</v>
      </c>
      <c r="B1858" t="str">
        <f>IFERROR(IF(VLOOKUP(C1858,Hoja1!$B$1:$C$6191,2,0)="",_xlfn.XLOOKUP(C1858,Hoja1!$B$2:$B$6191,Hoja1!$A$2:$A$6191),VLOOKUP(C1858,Hoja1!$B$1:$C$6191,2,0)),"No esta en Infor")</f>
        <v>CAN0030</v>
      </c>
      <c r="C1858" s="11" t="s">
        <v>210</v>
      </c>
      <c r="D1858" s="8">
        <v>16592.5</v>
      </c>
      <c r="E1858" s="8">
        <v>10407.09</v>
      </c>
      <c r="F1858" s="8">
        <v>1687</v>
      </c>
      <c r="G1858" s="8">
        <v>0</v>
      </c>
      <c r="H1858" s="8">
        <v>0</v>
      </c>
      <c r="I1858" s="8">
        <v>0</v>
      </c>
      <c r="J1858" s="8">
        <v>28686.59</v>
      </c>
    </row>
    <row r="1859" spans="1:10" ht="15.75" x14ac:dyDescent="0.25">
      <c r="A1859" s="21">
        <v>45473</v>
      </c>
      <c r="B1859" t="str">
        <f>IFERROR(IF(VLOOKUP(C1859,Hoja1!$B$1:$C$6191,2,0)="",_xlfn.XLOOKUP(C1859,Hoja1!$B$2:$B$6191,Hoja1!$A$2:$A$6191),VLOOKUP(C1859,Hoja1!$B$1:$C$6191,2,0)),"No esta en Infor")</f>
        <v>NAC1607</v>
      </c>
      <c r="C1859" s="19" t="s">
        <v>668</v>
      </c>
      <c r="D1859" s="8">
        <v>42.99</v>
      </c>
      <c r="E1859" s="8">
        <v>7</v>
      </c>
      <c r="F1859" s="8">
        <v>645.87</v>
      </c>
      <c r="G1859" s="8">
        <v>0</v>
      </c>
      <c r="H1859" s="8">
        <v>0</v>
      </c>
      <c r="I1859" s="8">
        <v>0</v>
      </c>
      <c r="J1859" s="8">
        <v>695.86</v>
      </c>
    </row>
    <row r="1860" spans="1:10" ht="15.75" x14ac:dyDescent="0.25">
      <c r="A1860" s="21">
        <v>45473</v>
      </c>
      <c r="B1860" t="str">
        <f>IFERROR(IF(VLOOKUP(C1860,Hoja1!$B$1:$C$6191,2,0)="",_xlfn.XLOOKUP(C1860,Hoja1!$B$2:$B$6191,Hoja1!$A$2:$A$6191),VLOOKUP(C1860,Hoja1!$B$1:$C$6191,2,0)),"No esta en Infor")</f>
        <v>NAC0955</v>
      </c>
      <c r="C1860" s="11" t="s">
        <v>539</v>
      </c>
      <c r="D1860" s="8">
        <v>0</v>
      </c>
      <c r="E1860" s="8">
        <v>473.25</v>
      </c>
      <c r="F1860" s="8">
        <v>725.77</v>
      </c>
      <c r="G1860" s="8">
        <v>0</v>
      </c>
      <c r="H1860" s="8">
        <v>0</v>
      </c>
      <c r="I1860" s="8">
        <v>0</v>
      </c>
      <c r="J1860" s="8">
        <v>1199.02</v>
      </c>
    </row>
    <row r="1861" spans="1:10" ht="15.75" x14ac:dyDescent="0.25">
      <c r="A1861" s="21">
        <v>45473</v>
      </c>
      <c r="B1861" t="str">
        <f>IFERROR(IF(VLOOKUP(C1861,Hoja1!$B$1:$C$6191,2,0)="",_xlfn.XLOOKUP(C1861,Hoja1!$B$2:$B$6191,Hoja1!$A$2:$A$6191),VLOOKUP(C1861,Hoja1!$B$1:$C$6191,2,0)),"No esta en Infor")</f>
        <v>NAC0960</v>
      </c>
      <c r="C1861" s="11" t="s">
        <v>216</v>
      </c>
      <c r="D1861" s="8">
        <v>0</v>
      </c>
      <c r="E1861" s="8">
        <v>0</v>
      </c>
      <c r="F1861" s="8">
        <v>0</v>
      </c>
      <c r="G1861" s="8">
        <v>2078.98</v>
      </c>
      <c r="H1861" s="8">
        <v>0</v>
      </c>
      <c r="I1861" s="8">
        <v>0</v>
      </c>
      <c r="J1861" s="8">
        <v>2078.98</v>
      </c>
    </row>
    <row r="1862" spans="1:10" ht="15.75" x14ac:dyDescent="0.25">
      <c r="A1862" s="21">
        <v>45473</v>
      </c>
      <c r="B1862" t="str">
        <f>IFERROR(IF(VLOOKUP(C1862,Hoja1!$B$1:$C$6191,2,0)="",_xlfn.XLOOKUP(C1862,Hoja1!$B$2:$B$6191,Hoja1!$A$2:$A$6191),VLOOKUP(C1862,Hoja1!$B$1:$C$6191,2,0)),"No esta en Infor")</f>
        <v>NAC0971</v>
      </c>
      <c r="C1862" s="11" t="s">
        <v>219</v>
      </c>
      <c r="D1862" s="8">
        <v>8177.74</v>
      </c>
      <c r="E1862" s="8">
        <v>0</v>
      </c>
      <c r="F1862" s="8">
        <v>0</v>
      </c>
      <c r="G1862" s="8">
        <v>467.32</v>
      </c>
      <c r="H1862" s="8">
        <v>0</v>
      </c>
      <c r="I1862" s="8">
        <v>0</v>
      </c>
      <c r="J1862" s="8">
        <v>8645.06</v>
      </c>
    </row>
    <row r="1863" spans="1:10" ht="15.75" x14ac:dyDescent="0.25">
      <c r="A1863" s="21">
        <v>45473</v>
      </c>
      <c r="B1863" t="str">
        <f>IFERROR(IF(VLOOKUP(C1863,Hoja1!$B$1:$C$6191,2,0)="",_xlfn.XLOOKUP(C1863,Hoja1!$B$2:$B$6191,Hoja1!$A$2:$A$6191),VLOOKUP(C1863,Hoja1!$B$1:$C$6191,2,0)),"No esta en Infor")</f>
        <v>NAC0972</v>
      </c>
      <c r="C1863" s="11" t="s">
        <v>221</v>
      </c>
      <c r="D1863" s="8">
        <v>0</v>
      </c>
      <c r="E1863" s="8">
        <v>0</v>
      </c>
      <c r="F1863" s="8">
        <v>0</v>
      </c>
      <c r="G1863" s="8">
        <v>217.86</v>
      </c>
      <c r="H1863" s="8">
        <v>0</v>
      </c>
      <c r="I1863" s="8">
        <v>0</v>
      </c>
      <c r="J1863" s="8">
        <v>217.86</v>
      </c>
    </row>
    <row r="1864" spans="1:10" ht="15.75" x14ac:dyDescent="0.25">
      <c r="A1864" s="21">
        <v>45473</v>
      </c>
      <c r="B1864" t="str">
        <f>IFERROR(IF(VLOOKUP(C1864,Hoja1!$B$1:$C$6191,2,0)="",_xlfn.XLOOKUP(C1864,Hoja1!$B$2:$B$6191,Hoja1!$A$2:$A$6191),VLOOKUP(C1864,Hoja1!$B$1:$C$6191,2,0)),"No esta en Infor")</f>
        <v>NAC0988</v>
      </c>
      <c r="C1864" s="11" t="s">
        <v>29</v>
      </c>
      <c r="D1864" s="8">
        <v>156000</v>
      </c>
      <c r="E1864" s="8">
        <v>468.7</v>
      </c>
      <c r="F1864" s="8">
        <v>0</v>
      </c>
      <c r="G1864" s="8">
        <v>13743</v>
      </c>
      <c r="H1864" s="8">
        <v>0</v>
      </c>
      <c r="I1864" s="8">
        <v>0</v>
      </c>
      <c r="J1864" s="8">
        <v>170211.7</v>
      </c>
    </row>
    <row r="1865" spans="1:10" ht="15.75" x14ac:dyDescent="0.25">
      <c r="A1865" s="21">
        <v>45473</v>
      </c>
      <c r="B1865" t="str">
        <f>IFERROR(IF(VLOOKUP(C1865,Hoja1!$B$1:$C$6191,2,0)="",_xlfn.XLOOKUP(C1865,Hoja1!$B$2:$B$6191,Hoja1!$A$2:$A$6191),VLOOKUP(C1865,Hoja1!$B$1:$C$6191,2,0)),"No esta en Infor")</f>
        <v>NAC0998</v>
      </c>
      <c r="C1865" s="11" t="s">
        <v>229</v>
      </c>
      <c r="D1865" s="8">
        <v>0</v>
      </c>
      <c r="E1865" s="8">
        <v>0</v>
      </c>
      <c r="F1865" s="8">
        <v>184.99</v>
      </c>
      <c r="G1865" s="8">
        <v>0</v>
      </c>
      <c r="H1865" s="8">
        <v>0</v>
      </c>
      <c r="I1865" s="8">
        <v>0</v>
      </c>
      <c r="J1865" s="8">
        <v>184.99</v>
      </c>
    </row>
    <row r="1866" spans="1:10" ht="15.75" x14ac:dyDescent="0.25">
      <c r="A1866" s="21">
        <v>45473</v>
      </c>
      <c r="B1866" t="str">
        <f>IFERROR(IF(VLOOKUP(C1866,Hoja1!$B$1:$C$6191,2,0)="",_xlfn.XLOOKUP(C1866,Hoja1!$B$2:$B$6191,Hoja1!$A$2:$A$6191),VLOOKUP(C1866,Hoja1!$B$1:$C$6191,2,0)),"No esta en Infor")</f>
        <v>NAC1025</v>
      </c>
      <c r="C1866" s="11" t="s">
        <v>242</v>
      </c>
      <c r="D1866" s="8">
        <v>0</v>
      </c>
      <c r="E1866" s="8">
        <v>0</v>
      </c>
      <c r="F1866" s="8">
        <v>683.75</v>
      </c>
      <c r="G1866" s="8">
        <v>-683.75</v>
      </c>
      <c r="H1866" s="8">
        <v>0</v>
      </c>
      <c r="I1866" s="8">
        <v>0</v>
      </c>
      <c r="J1866" s="8">
        <v>0</v>
      </c>
    </row>
    <row r="1867" spans="1:10" ht="15.75" x14ac:dyDescent="0.25">
      <c r="A1867" s="21">
        <v>45473</v>
      </c>
      <c r="B1867" t="str">
        <f>IFERROR(IF(VLOOKUP(C1867,Hoja1!$B$1:$C$6191,2,0)="",_xlfn.XLOOKUP(C1867,Hoja1!$B$2:$B$6191,Hoja1!$A$2:$A$6191),VLOOKUP(C1867,Hoja1!$B$1:$C$6191,2,0)),"No esta en Infor")</f>
        <v>NAC1040</v>
      </c>
      <c r="C1867" s="11" t="s">
        <v>30</v>
      </c>
      <c r="D1867" s="8">
        <v>383185.71</v>
      </c>
      <c r="E1867" s="8">
        <v>87615</v>
      </c>
      <c r="F1867" s="8">
        <v>-21442.76</v>
      </c>
      <c r="G1867" s="8">
        <v>-149.85</v>
      </c>
      <c r="H1867" s="8">
        <v>699.8</v>
      </c>
      <c r="I1867" s="8">
        <v>0</v>
      </c>
      <c r="J1867" s="8">
        <v>449907.9</v>
      </c>
    </row>
    <row r="1868" spans="1:10" ht="15.75" x14ac:dyDescent="0.25">
      <c r="A1868" s="21">
        <v>45473</v>
      </c>
      <c r="B1868" t="str">
        <f>IFERROR(IF(VLOOKUP(C1868,Hoja1!$B$1:$C$6191,2,0)="",_xlfn.XLOOKUP(C1868,Hoja1!$B$2:$B$6191,Hoja1!$A$2:$A$6191),VLOOKUP(C1868,Hoja1!$B$1:$C$6191,2,0)),"No esta en Infor")</f>
        <v>CAN0035</v>
      </c>
      <c r="C1868" s="11" t="s">
        <v>31</v>
      </c>
      <c r="D1868" s="8">
        <v>6720</v>
      </c>
      <c r="E1868" s="8">
        <v>0</v>
      </c>
      <c r="F1868" s="8">
        <v>256.62</v>
      </c>
      <c r="G1868" s="8">
        <v>115.15</v>
      </c>
      <c r="H1868" s="8">
        <v>960.09</v>
      </c>
      <c r="I1868" s="8">
        <v>0</v>
      </c>
      <c r="J1868" s="8">
        <v>8051.86</v>
      </c>
    </row>
    <row r="1869" spans="1:10" ht="15.75" x14ac:dyDescent="0.25">
      <c r="A1869" s="21">
        <v>45473</v>
      </c>
      <c r="B1869" t="str">
        <f>IFERROR(IF(VLOOKUP(C1869,Hoja1!$B$1:$C$6191,2,0)="",_xlfn.XLOOKUP(C1869,Hoja1!$B$2:$B$6191,Hoja1!$A$2:$A$6191),VLOOKUP(C1869,Hoja1!$B$1:$C$6191,2,0)),"No esta en Infor")</f>
        <v>CAN0036</v>
      </c>
      <c r="C1869" s="11" t="s">
        <v>256</v>
      </c>
      <c r="D1869" s="8">
        <v>4183.24</v>
      </c>
      <c r="E1869" s="8">
        <v>1105.8399999999999</v>
      </c>
      <c r="F1869" s="8">
        <v>20</v>
      </c>
      <c r="G1869" s="8">
        <v>0</v>
      </c>
      <c r="H1869" s="8">
        <v>0</v>
      </c>
      <c r="I1869" s="8">
        <v>0</v>
      </c>
      <c r="J1869" s="8">
        <v>5309.08</v>
      </c>
    </row>
    <row r="1870" spans="1:10" ht="15.75" x14ac:dyDescent="0.25">
      <c r="A1870" s="21">
        <v>45473</v>
      </c>
      <c r="B1870" t="str">
        <f>IFERROR(IF(VLOOKUP(C1870,Hoja1!$B$1:$C$6191,2,0)="",_xlfn.XLOOKUP(C1870,Hoja1!$B$2:$B$6191,Hoja1!$A$2:$A$6191),VLOOKUP(C1870,Hoja1!$B$1:$C$6191,2,0)),"No esta en Infor")</f>
        <v>NAC1105</v>
      </c>
      <c r="C1870" s="11" t="s">
        <v>32</v>
      </c>
      <c r="D1870" s="8">
        <v>2277.15</v>
      </c>
      <c r="E1870" s="8">
        <v>2111.5100000000002</v>
      </c>
      <c r="F1870" s="8">
        <v>707.71</v>
      </c>
      <c r="G1870" s="8">
        <v>7014.08</v>
      </c>
      <c r="H1870" s="8">
        <v>2811.41</v>
      </c>
      <c r="I1870" s="8">
        <v>672.77</v>
      </c>
      <c r="J1870" s="8">
        <v>15594.63</v>
      </c>
    </row>
    <row r="1871" spans="1:10" ht="15.75" x14ac:dyDescent="0.25">
      <c r="A1871" s="21">
        <v>45473</v>
      </c>
      <c r="B1871" t="str">
        <f>IFERROR(IF(VLOOKUP(C1871,Hoja1!$B$1:$C$6191,2,0)="",_xlfn.XLOOKUP(C1871,Hoja1!$B$2:$B$6191,Hoja1!$A$2:$A$6191),VLOOKUP(C1871,Hoja1!$B$1:$C$6191,2,0)),"No esta en Infor")</f>
        <v>CAN0038</v>
      </c>
      <c r="C1871" s="11" t="s">
        <v>264</v>
      </c>
      <c r="D1871" s="8">
        <v>0</v>
      </c>
      <c r="E1871" s="8">
        <v>0</v>
      </c>
      <c r="F1871" s="8">
        <v>250.53</v>
      </c>
      <c r="G1871" s="8">
        <v>0</v>
      </c>
      <c r="H1871" s="8">
        <v>0</v>
      </c>
      <c r="I1871" s="8">
        <v>0</v>
      </c>
      <c r="J1871" s="8">
        <v>250.53</v>
      </c>
    </row>
    <row r="1872" spans="1:10" ht="15.75" x14ac:dyDescent="0.25">
      <c r="A1872" s="21">
        <v>45473</v>
      </c>
      <c r="B1872" t="str">
        <f>IFERROR(IF(VLOOKUP(C1872,Hoja1!$B$1:$C$6191,2,0)="",_xlfn.XLOOKUP(C1872,Hoja1!$B$2:$B$6191,Hoja1!$A$2:$A$6191),VLOOKUP(C1872,Hoja1!$B$1:$C$6191,2,0)),"No esta en Infor")</f>
        <v>NAC1611</v>
      </c>
      <c r="C1872" s="11" t="s">
        <v>565</v>
      </c>
      <c r="D1872" s="8">
        <v>3556.05</v>
      </c>
      <c r="E1872" s="8">
        <v>5460.05</v>
      </c>
      <c r="F1872" s="8">
        <v>46263.66</v>
      </c>
      <c r="G1872" s="8">
        <v>0</v>
      </c>
      <c r="H1872" s="8">
        <v>0</v>
      </c>
      <c r="I1872" s="8">
        <v>-184</v>
      </c>
      <c r="J1872" s="8">
        <v>55095.76</v>
      </c>
    </row>
    <row r="1873" spans="1:10" ht="15.75" x14ac:dyDescent="0.25">
      <c r="A1873" s="21">
        <v>45473</v>
      </c>
      <c r="B1873" t="str">
        <f>IFERROR(IF(VLOOKUP(C1873,Hoja1!$B$1:$C$6191,2,0)="",_xlfn.XLOOKUP(C1873,Hoja1!$B$2:$B$6191,Hoja1!$A$2:$A$6191),VLOOKUP(C1873,Hoja1!$B$1:$C$6191,2,0)),"No esta en Infor")</f>
        <v>NAC1144</v>
      </c>
      <c r="C1873" s="11" t="s">
        <v>411</v>
      </c>
      <c r="D1873" s="8">
        <v>0</v>
      </c>
      <c r="E1873" s="8">
        <v>0</v>
      </c>
      <c r="F1873" s="8">
        <v>29.71</v>
      </c>
      <c r="G1873" s="8">
        <v>0</v>
      </c>
      <c r="H1873" s="8">
        <v>0</v>
      </c>
      <c r="I1873" s="8">
        <v>0</v>
      </c>
      <c r="J1873" s="8">
        <v>29.71</v>
      </c>
    </row>
    <row r="1874" spans="1:10" ht="15.75" x14ac:dyDescent="0.25">
      <c r="A1874" s="21">
        <v>45473</v>
      </c>
      <c r="B1874" t="str">
        <f>IFERROR(IF(VLOOKUP(C1874,Hoja1!$B$1:$C$6191,2,0)="",_xlfn.XLOOKUP(C1874,Hoja1!$B$2:$B$6191,Hoja1!$A$2:$A$6191),VLOOKUP(C1874,Hoja1!$B$1:$C$6191,2,0)),"No esta en Infor")</f>
        <v>NAC1146</v>
      </c>
      <c r="C1874" s="11" t="s">
        <v>33</v>
      </c>
      <c r="D1874" s="8">
        <v>0</v>
      </c>
      <c r="E1874" s="8">
        <v>0</v>
      </c>
      <c r="F1874" s="8">
        <v>0</v>
      </c>
      <c r="G1874" s="8">
        <v>2016.26</v>
      </c>
      <c r="H1874" s="8">
        <v>0</v>
      </c>
      <c r="I1874" s="8">
        <v>0</v>
      </c>
      <c r="J1874" s="8">
        <v>2016.26</v>
      </c>
    </row>
    <row r="1875" spans="1:10" ht="15.75" x14ac:dyDescent="0.25">
      <c r="A1875" s="21">
        <v>45473</v>
      </c>
      <c r="B1875" t="str">
        <f>IFERROR(IF(VLOOKUP(C1875,Hoja1!$B$1:$C$6191,2,0)="",_xlfn.XLOOKUP(C1875,Hoja1!$B$2:$B$6191,Hoja1!$A$2:$A$6191),VLOOKUP(C1875,Hoja1!$B$1:$C$6191,2,0)),"No esta en Infor")</f>
        <v>CAN0044</v>
      </c>
      <c r="C1875" s="11" t="s">
        <v>35</v>
      </c>
      <c r="D1875" s="8">
        <v>0</v>
      </c>
      <c r="E1875" s="8">
        <v>63612.77</v>
      </c>
      <c r="F1875" s="8">
        <v>4681.3</v>
      </c>
      <c r="G1875" s="8">
        <v>755.04</v>
      </c>
      <c r="H1875" s="8">
        <v>0</v>
      </c>
      <c r="I1875" s="8">
        <v>0</v>
      </c>
      <c r="J1875" s="8">
        <v>69049.11</v>
      </c>
    </row>
    <row r="1876" spans="1:10" ht="15.75" x14ac:dyDescent="0.25">
      <c r="A1876" s="21">
        <v>45473</v>
      </c>
      <c r="B1876" t="str">
        <f>IFERROR(IF(VLOOKUP(C1876,Hoja1!$B$1:$C$6191,2,0)="",_xlfn.XLOOKUP(C1876,Hoja1!$B$2:$B$6191,Hoja1!$A$2:$A$6191),VLOOKUP(C1876,Hoja1!$B$1:$C$6191,2,0)),"No esta en Infor")</f>
        <v>NAC1229</v>
      </c>
      <c r="C1876" s="11" t="s">
        <v>418</v>
      </c>
      <c r="D1876" s="8">
        <v>0</v>
      </c>
      <c r="E1876" s="8">
        <v>0</v>
      </c>
      <c r="F1876" s="8">
        <v>505.49</v>
      </c>
      <c r="G1876" s="8">
        <v>0</v>
      </c>
      <c r="H1876" s="8">
        <v>0</v>
      </c>
      <c r="I1876" s="8">
        <v>0</v>
      </c>
      <c r="J1876" s="8">
        <v>505.49</v>
      </c>
    </row>
    <row r="1877" spans="1:10" ht="15.75" x14ac:dyDescent="0.25">
      <c r="A1877" s="21">
        <v>45473</v>
      </c>
      <c r="B1877" t="str">
        <f>IFERROR(IF(VLOOKUP(C1877,Hoja1!$B$1:$C$6191,2,0)="",_xlfn.XLOOKUP(C1877,Hoja1!$B$2:$B$6191,Hoja1!$A$2:$A$6191),VLOOKUP(C1877,Hoja1!$B$1:$C$6191,2,0)),"No esta en Infor")</f>
        <v>NAC1233</v>
      </c>
      <c r="C1877" s="11" t="s">
        <v>292</v>
      </c>
      <c r="D1877" s="8">
        <v>0</v>
      </c>
      <c r="E1877" s="8">
        <v>0</v>
      </c>
      <c r="F1877" s="8">
        <v>0</v>
      </c>
      <c r="G1877" s="8">
        <v>10349.299999999999</v>
      </c>
      <c r="H1877" s="8">
        <v>0</v>
      </c>
      <c r="I1877" s="8">
        <v>-451.95</v>
      </c>
      <c r="J1877" s="8">
        <v>9897.35</v>
      </c>
    </row>
    <row r="1878" spans="1:10" ht="15.75" x14ac:dyDescent="0.25">
      <c r="A1878" s="21">
        <v>45473</v>
      </c>
      <c r="B1878" t="str">
        <f>IFERROR(IF(VLOOKUP(C1878,Hoja1!$B$1:$C$6191,2,0)="",_xlfn.XLOOKUP(C1878,Hoja1!$B$2:$B$6191,Hoja1!$A$2:$A$6191),VLOOKUP(C1878,Hoja1!$B$1:$C$6191,2,0)),"No esta en Infor")</f>
        <v>NAC1249</v>
      </c>
      <c r="C1878" s="11" t="s">
        <v>300</v>
      </c>
      <c r="D1878" s="8">
        <v>0</v>
      </c>
      <c r="E1878" s="8">
        <v>0</v>
      </c>
      <c r="F1878" s="8">
        <v>73.2</v>
      </c>
      <c r="G1878" s="8">
        <v>0</v>
      </c>
      <c r="H1878" s="8">
        <v>0</v>
      </c>
      <c r="I1878" s="8">
        <v>0</v>
      </c>
      <c r="J1878" s="8">
        <v>73.2</v>
      </c>
    </row>
    <row r="1879" spans="1:10" ht="15.75" x14ac:dyDescent="0.25">
      <c r="A1879" s="21">
        <v>45473</v>
      </c>
      <c r="B1879" t="str">
        <f>IFERROR(IF(VLOOKUP(C1879,Hoja1!$B$1:$C$6191,2,0)="",_xlfn.XLOOKUP(C1879,Hoja1!$B$2:$B$6191,Hoja1!$A$2:$A$6191),VLOOKUP(C1879,Hoja1!$B$1:$C$6191,2,0)),"No esta en Infor")</f>
        <v>CAN0054</v>
      </c>
      <c r="C1879" s="11" t="s">
        <v>36</v>
      </c>
      <c r="D1879" s="8">
        <v>14364</v>
      </c>
      <c r="E1879" s="8">
        <v>0</v>
      </c>
      <c r="F1879" s="8">
        <v>448.61</v>
      </c>
      <c r="G1879" s="8">
        <v>620.91999999999996</v>
      </c>
      <c r="H1879" s="8">
        <v>0</v>
      </c>
      <c r="I1879" s="8">
        <v>0</v>
      </c>
      <c r="J1879" s="8">
        <v>15433.53</v>
      </c>
    </row>
    <row r="1880" spans="1:10" ht="15.75" x14ac:dyDescent="0.25">
      <c r="A1880" s="21">
        <v>45473</v>
      </c>
      <c r="B1880" t="str">
        <f>IFERROR(IF(VLOOKUP(C1880,Hoja1!$B$1:$C$6191,2,0)="",_xlfn.XLOOKUP(C1880,Hoja1!$B$2:$B$6191,Hoja1!$A$2:$A$6191),VLOOKUP(C1880,Hoja1!$B$1:$C$6191,2,0)),"No esta en Infor")</f>
        <v>NAC1281</v>
      </c>
      <c r="C1880" s="11" t="s">
        <v>37</v>
      </c>
      <c r="D1880" s="8">
        <v>-2533.44</v>
      </c>
      <c r="E1880" s="8">
        <v>5141</v>
      </c>
      <c r="F1880" s="8">
        <v>9347.2199999999993</v>
      </c>
      <c r="G1880" s="8">
        <v>6144.48</v>
      </c>
      <c r="H1880" s="8">
        <v>2067.1999999999998</v>
      </c>
      <c r="I1880" s="8">
        <v>2665.51</v>
      </c>
      <c r="J1880" s="8">
        <v>22831.97</v>
      </c>
    </row>
    <row r="1881" spans="1:10" ht="15.75" x14ac:dyDescent="0.25">
      <c r="A1881" s="21">
        <v>45473</v>
      </c>
      <c r="B1881" t="str">
        <f>IFERROR(IF(VLOOKUP(C1881,Hoja1!$B$1:$C$6191,2,0)="",_xlfn.XLOOKUP(C1881,Hoja1!$B$2:$B$6191,Hoja1!$A$2:$A$6191),VLOOKUP(C1881,Hoja1!$B$1:$C$6191,2,0)),"No esta en Infor")</f>
        <v>NAC1292</v>
      </c>
      <c r="C1881" s="11" t="s">
        <v>46</v>
      </c>
      <c r="D1881" s="8">
        <v>0</v>
      </c>
      <c r="E1881" s="8">
        <v>3760</v>
      </c>
      <c r="F1881" s="8">
        <v>-2537.5</v>
      </c>
      <c r="G1881" s="8">
        <v>3697.5</v>
      </c>
      <c r="H1881" s="8">
        <v>0</v>
      </c>
      <c r="I1881" s="8">
        <v>0</v>
      </c>
      <c r="J1881" s="8">
        <v>4920</v>
      </c>
    </row>
    <row r="1882" spans="1:10" ht="15.75" x14ac:dyDescent="0.25">
      <c r="A1882" s="21">
        <v>45473</v>
      </c>
      <c r="B1882" t="str">
        <f>IFERROR(IF(VLOOKUP(C1882,Hoja1!$B$1:$C$6191,2,0)="",_xlfn.XLOOKUP(C1882,Hoja1!$B$2:$B$6191,Hoja1!$A$2:$A$6191),VLOOKUP(C1882,Hoja1!$B$1:$C$6191,2,0)),"No esta en Infor")</f>
        <v>NAC1323</v>
      </c>
      <c r="C1882" s="11" t="s">
        <v>49</v>
      </c>
      <c r="D1882" s="8">
        <v>78647.55</v>
      </c>
      <c r="E1882" s="8">
        <v>98525.41</v>
      </c>
      <c r="F1882" s="8">
        <v>49208.07</v>
      </c>
      <c r="G1882" s="8">
        <v>17586.18</v>
      </c>
      <c r="H1882" s="8">
        <v>11013.12</v>
      </c>
      <c r="I1882" s="8">
        <v>0</v>
      </c>
      <c r="J1882" s="8">
        <v>254980.33</v>
      </c>
    </row>
    <row r="1883" spans="1:10" ht="15.75" x14ac:dyDescent="0.25">
      <c r="A1883" s="21">
        <v>45473</v>
      </c>
      <c r="B1883" t="str">
        <f>IFERROR(IF(VLOOKUP(C1883,Hoja1!$B$1:$C$6191,2,0)="",_xlfn.XLOOKUP(C1883,Hoja1!$B$2:$B$6191,Hoja1!$A$2:$A$6191),VLOOKUP(C1883,Hoja1!$B$1:$C$6191,2,0)),"No esta en Infor")</f>
        <v>NAC1327</v>
      </c>
      <c r="C1883" s="11" t="s">
        <v>50</v>
      </c>
      <c r="D1883" s="8">
        <v>52215.86</v>
      </c>
      <c r="E1883" s="8">
        <v>42273.78</v>
      </c>
      <c r="F1883" s="8">
        <v>3748.62</v>
      </c>
      <c r="G1883" s="8">
        <v>0</v>
      </c>
      <c r="H1883" s="8">
        <v>0</v>
      </c>
      <c r="I1883" s="8">
        <v>0</v>
      </c>
      <c r="J1883" s="8">
        <v>98238.26</v>
      </c>
    </row>
    <row r="1884" spans="1:10" ht="15.75" x14ac:dyDescent="0.25">
      <c r="A1884" s="21">
        <v>45473</v>
      </c>
      <c r="B1884" t="str">
        <f>IFERROR(IF(VLOOKUP(C1884,Hoja1!$B$1:$C$6191,2,0)="",_xlfn.XLOOKUP(C1884,Hoja1!$B$2:$B$6191,Hoja1!$A$2:$A$6191),VLOOKUP(C1884,Hoja1!$B$1:$C$6191,2,0)),"No esta en Infor")</f>
        <v>CAN0059</v>
      </c>
      <c r="C1884" s="11" t="s">
        <v>51</v>
      </c>
      <c r="D1884" s="8">
        <v>1920</v>
      </c>
      <c r="E1884" s="8">
        <v>324.42</v>
      </c>
      <c r="F1884" s="8">
        <v>929.29</v>
      </c>
      <c r="G1884" s="8">
        <v>18.649999999999999</v>
      </c>
      <c r="H1884" s="8">
        <v>787.12</v>
      </c>
      <c r="I1884" s="8">
        <v>0</v>
      </c>
      <c r="J1884" s="8">
        <v>3979.48</v>
      </c>
    </row>
    <row r="1885" spans="1:10" ht="15.75" x14ac:dyDescent="0.25">
      <c r="A1885" s="21">
        <v>45473</v>
      </c>
      <c r="B1885" t="str">
        <f>IFERROR(IF(VLOOKUP(C1885,Hoja1!$B$1:$C$6191,2,0)="",_xlfn.XLOOKUP(C1885,Hoja1!$B$2:$B$6191,Hoja1!$A$2:$A$6191),VLOOKUP(C1885,Hoja1!$B$1:$C$6191,2,0)),"No esta en Infor")</f>
        <v>NAC1333</v>
      </c>
      <c r="C1885" s="11" t="s">
        <v>318</v>
      </c>
      <c r="D1885" s="8">
        <v>3284</v>
      </c>
      <c r="E1885" s="8">
        <v>8092.92</v>
      </c>
      <c r="F1885" s="8">
        <v>83.97</v>
      </c>
      <c r="G1885" s="8">
        <v>0</v>
      </c>
      <c r="H1885" s="8">
        <v>0</v>
      </c>
      <c r="I1885" s="8">
        <v>0</v>
      </c>
      <c r="J1885" s="8">
        <v>11460.89</v>
      </c>
    </row>
    <row r="1886" spans="1:10" ht="15.75" x14ac:dyDescent="0.25">
      <c r="A1886" s="21">
        <v>45473</v>
      </c>
      <c r="B1886" t="str">
        <f>IFERROR(IF(VLOOKUP(C1886,Hoja1!$B$1:$C$6191,2,0)="",_xlfn.XLOOKUP(C1886,Hoja1!$B$2:$B$6191,Hoja1!$A$2:$A$6191),VLOOKUP(C1886,Hoja1!$B$1:$C$6191,2,0)),"No esta en Infor")</f>
        <v>NAC1354</v>
      </c>
      <c r="C1886" s="11" t="s">
        <v>324</v>
      </c>
      <c r="D1886" s="8">
        <v>0</v>
      </c>
      <c r="E1886" s="8">
        <v>0</v>
      </c>
      <c r="F1886" s="8">
        <v>0</v>
      </c>
      <c r="G1886" s="8">
        <v>424.57</v>
      </c>
      <c r="H1886" s="8">
        <v>0</v>
      </c>
      <c r="I1886" s="8">
        <v>0</v>
      </c>
      <c r="J1886" s="8">
        <v>424.57</v>
      </c>
    </row>
    <row r="1887" spans="1:10" ht="15.75" x14ac:dyDescent="0.25">
      <c r="A1887" s="21">
        <v>45473</v>
      </c>
      <c r="B1887" t="str">
        <f>IFERROR(IF(VLOOKUP(C1887,Hoja1!$B$1:$C$6191,2,0)="",_xlfn.XLOOKUP(C1887,Hoja1!$B$2:$B$6191,Hoja1!$A$2:$A$6191),VLOOKUP(C1887,Hoja1!$B$1:$C$6191,2,0)),"No esta en Infor")</f>
        <v>NAC1610</v>
      </c>
      <c r="C1887" s="11" t="s">
        <v>540</v>
      </c>
      <c r="D1887" s="8">
        <v>0</v>
      </c>
      <c r="E1887" s="8">
        <v>0</v>
      </c>
      <c r="F1887" s="8">
        <v>498</v>
      </c>
      <c r="G1887" s="8">
        <v>911.49</v>
      </c>
      <c r="H1887" s="8">
        <v>0</v>
      </c>
      <c r="I1887" s="8">
        <v>0</v>
      </c>
      <c r="J1887" s="8">
        <v>1409.49</v>
      </c>
    </row>
    <row r="1888" spans="1:10" ht="15.75" x14ac:dyDescent="0.25">
      <c r="A1888" s="21">
        <v>45473</v>
      </c>
      <c r="B1888" t="str">
        <f>IFERROR(IF(VLOOKUP(C1888,Hoja1!$B$1:$C$6191,2,0)="",_xlfn.XLOOKUP(C1888,Hoja1!$B$2:$B$6191,Hoja1!$A$2:$A$6191),VLOOKUP(C1888,Hoja1!$B$1:$C$6191,2,0)),"No esta en Infor")</f>
        <v>CAN0069</v>
      </c>
      <c r="C1888" s="11" t="s">
        <v>340</v>
      </c>
      <c r="D1888" s="8">
        <v>0</v>
      </c>
      <c r="E1888" s="8">
        <v>0</v>
      </c>
      <c r="F1888" s="8">
        <v>0</v>
      </c>
      <c r="G1888" s="8">
        <v>540.15</v>
      </c>
      <c r="H1888" s="8">
        <v>0</v>
      </c>
      <c r="I1888" s="8">
        <v>0</v>
      </c>
      <c r="J1888" s="8">
        <v>540.15</v>
      </c>
    </row>
    <row r="1889" spans="1:10" ht="15.75" x14ac:dyDescent="0.25">
      <c r="A1889" s="21">
        <v>45473</v>
      </c>
      <c r="B1889" t="str">
        <f>IFERROR(IF(VLOOKUP(C1889,Hoja1!$B$1:$C$6191,2,0)="",_xlfn.XLOOKUP(C1889,Hoja1!$B$2:$B$6191,Hoja1!$A$2:$A$6191),VLOOKUP(C1889,Hoja1!$B$1:$C$6191,2,0)),"No esta en Infor")</f>
        <v>NAC1413</v>
      </c>
      <c r="C1889" s="11" t="s">
        <v>342</v>
      </c>
      <c r="D1889" s="8">
        <v>0</v>
      </c>
      <c r="E1889" s="8">
        <v>0</v>
      </c>
      <c r="F1889" s="8">
        <v>0</v>
      </c>
      <c r="G1889" s="8">
        <v>17836.3</v>
      </c>
      <c r="H1889" s="8">
        <v>0</v>
      </c>
      <c r="I1889" s="8">
        <v>0</v>
      </c>
      <c r="J1889" s="8">
        <v>17836.3</v>
      </c>
    </row>
    <row r="1890" spans="1:10" ht="15.75" x14ac:dyDescent="0.25">
      <c r="A1890" s="21">
        <v>45473</v>
      </c>
      <c r="B1890" t="str">
        <f>IFERROR(IF(VLOOKUP(C1890,Hoja1!$B$1:$C$6191,2,0)="",_xlfn.XLOOKUP(C1890,Hoja1!$B$2:$B$6191,Hoja1!$A$2:$A$6191),VLOOKUP(C1890,Hoja1!$B$1:$C$6191,2,0)),"No esta en Infor")</f>
        <v>NAC1448</v>
      </c>
      <c r="C1890" s="11" t="s">
        <v>9</v>
      </c>
      <c r="D1890" s="8">
        <v>0</v>
      </c>
      <c r="E1890" s="8">
        <v>7493.97</v>
      </c>
      <c r="F1890" s="8">
        <v>10559.8</v>
      </c>
      <c r="G1890" s="8">
        <v>17488.650000000001</v>
      </c>
      <c r="H1890" s="8">
        <v>755.55</v>
      </c>
      <c r="I1890" s="8">
        <v>609.12</v>
      </c>
      <c r="J1890" s="8">
        <v>36907.089999999997</v>
      </c>
    </row>
    <row r="1891" spans="1:10" ht="15.75" x14ac:dyDescent="0.25">
      <c r="A1891" s="21">
        <v>45473</v>
      </c>
      <c r="B1891" t="str">
        <f>IFERROR(IF(VLOOKUP(C1891,Hoja1!$B$1:$C$6191,2,0)="",_xlfn.XLOOKUP(C1891,Hoja1!$B$2:$B$6191,Hoja1!$A$2:$A$6191),VLOOKUP(C1891,Hoja1!$B$1:$C$6191,2,0)),"No esta en Infor")</f>
        <v>CAN0073</v>
      </c>
      <c r="C1891" s="11" t="s">
        <v>349</v>
      </c>
      <c r="D1891" s="8">
        <v>713.71</v>
      </c>
      <c r="E1891" s="8">
        <v>6533.19</v>
      </c>
      <c r="F1891" s="8">
        <v>240.07</v>
      </c>
      <c r="G1891" s="8">
        <v>0</v>
      </c>
      <c r="H1891" s="8">
        <v>0</v>
      </c>
      <c r="I1891" s="8">
        <v>0</v>
      </c>
      <c r="J1891" s="8">
        <v>7486.97</v>
      </c>
    </row>
    <row r="1892" spans="1:10" ht="15.75" x14ac:dyDescent="0.25">
      <c r="A1892" s="21">
        <v>45473</v>
      </c>
      <c r="B1892" t="str">
        <f>IFERROR(IF(VLOOKUP(C1892,Hoja1!$B$1:$C$6191,2,0)="",_xlfn.XLOOKUP(C1892,Hoja1!$B$2:$B$6191,Hoja1!$A$2:$A$6191),VLOOKUP(C1892,Hoja1!$B$1:$C$6191,2,0)),"No esta en Infor")</f>
        <v>NAC1450</v>
      </c>
      <c r="C1892" s="11" t="s">
        <v>54</v>
      </c>
      <c r="D1892" s="8">
        <v>0</v>
      </c>
      <c r="E1892" s="8">
        <v>813.48</v>
      </c>
      <c r="F1892" s="8">
        <v>1637.42</v>
      </c>
      <c r="G1892" s="8">
        <v>1258.52</v>
      </c>
      <c r="H1892" s="8">
        <v>338.57</v>
      </c>
      <c r="I1892" s="8">
        <v>1099.1400000000001</v>
      </c>
      <c r="J1892" s="8">
        <v>5147.13</v>
      </c>
    </row>
    <row r="1893" spans="1:10" ht="15.75" x14ac:dyDescent="0.25">
      <c r="A1893" s="21">
        <v>45473</v>
      </c>
      <c r="B1893" t="str">
        <f>IFERROR(IF(VLOOKUP(C1893,Hoja1!$B$1:$C$6191,2,0)="",_xlfn.XLOOKUP(C1893,Hoja1!$B$2:$B$6191,Hoja1!$A$2:$A$6191),VLOOKUP(C1893,Hoja1!$B$1:$C$6191,2,0)),"No esta en Infor")</f>
        <v>NAC1488</v>
      </c>
      <c r="C1893" s="11" t="s">
        <v>359</v>
      </c>
      <c r="D1893" s="8">
        <v>0</v>
      </c>
      <c r="E1893" s="8">
        <v>0</v>
      </c>
      <c r="F1893" s="8">
        <v>0</v>
      </c>
      <c r="G1893" s="8">
        <v>260</v>
      </c>
      <c r="H1893" s="8">
        <v>0</v>
      </c>
      <c r="I1893" s="8">
        <v>0</v>
      </c>
      <c r="J1893" s="8">
        <v>260</v>
      </c>
    </row>
    <row r="1894" spans="1:10" ht="15.75" x14ac:dyDescent="0.25">
      <c r="A1894" s="21">
        <v>45473</v>
      </c>
      <c r="B1894" t="str">
        <f>IFERROR(IF(VLOOKUP(C1894,Hoja1!$B$1:$C$6191,2,0)="",_xlfn.XLOOKUP(C1894,Hoja1!$B$2:$B$6191,Hoja1!$A$2:$A$6191),VLOOKUP(C1894,Hoja1!$B$1:$C$6191,2,0)),"No esta en Infor")</f>
        <v>NAC1500</v>
      </c>
      <c r="C1894" s="11" t="s">
        <v>432</v>
      </c>
      <c r="D1894" s="8">
        <v>0</v>
      </c>
      <c r="E1894" s="8">
        <v>257.07</v>
      </c>
      <c r="F1894" s="8">
        <v>107.8</v>
      </c>
      <c r="G1894" s="8">
        <v>0</v>
      </c>
      <c r="H1894" s="8">
        <v>0</v>
      </c>
      <c r="I1894" s="8">
        <v>0</v>
      </c>
      <c r="J1894" s="8">
        <v>364.87</v>
      </c>
    </row>
    <row r="1895" spans="1:10" ht="15.75" x14ac:dyDescent="0.25">
      <c r="A1895" s="21">
        <v>45473</v>
      </c>
      <c r="B1895" t="str">
        <f>IFERROR(IF(VLOOKUP(C1895,Hoja1!$B$1:$C$6191,2,0)="",_xlfn.XLOOKUP(C1895,Hoja1!$B$2:$B$6191,Hoja1!$A$2:$A$6191),VLOOKUP(C1895,Hoja1!$B$1:$C$6191,2,0)),"No esta en Infor")</f>
        <v>NAC1506</v>
      </c>
      <c r="C1895" s="11" t="s">
        <v>364</v>
      </c>
      <c r="D1895" s="8">
        <v>913</v>
      </c>
      <c r="E1895" s="8">
        <v>0</v>
      </c>
      <c r="F1895" s="8">
        <v>838.5</v>
      </c>
      <c r="G1895" s="8">
        <v>0</v>
      </c>
      <c r="H1895" s="8">
        <v>0</v>
      </c>
      <c r="I1895" s="8">
        <v>0</v>
      </c>
      <c r="J1895" s="8">
        <v>1751.5</v>
      </c>
    </row>
    <row r="1896" spans="1:10" ht="15.75" x14ac:dyDescent="0.25">
      <c r="A1896" s="21">
        <v>45473</v>
      </c>
      <c r="B1896" t="str">
        <f>IFERROR(IF(VLOOKUP(C1896,Hoja1!$B$1:$C$6191,2,0)="",_xlfn.XLOOKUP(C1896,Hoja1!$B$2:$B$6191,Hoja1!$A$2:$A$6191),VLOOKUP(C1896,Hoja1!$B$1:$C$6191,2,0)),"No esta en Infor")</f>
        <v>NAC1512</v>
      </c>
      <c r="C1896" s="11" t="s">
        <v>56</v>
      </c>
      <c r="D1896" s="8">
        <v>0</v>
      </c>
      <c r="E1896" s="8">
        <v>0</v>
      </c>
      <c r="F1896" s="8">
        <v>0</v>
      </c>
      <c r="G1896" s="8">
        <v>4470</v>
      </c>
      <c r="H1896" s="8">
        <v>12020</v>
      </c>
      <c r="I1896" s="8">
        <v>0</v>
      </c>
      <c r="J1896" s="8">
        <v>16490</v>
      </c>
    </row>
    <row r="1897" spans="1:10" ht="15.75" x14ac:dyDescent="0.25">
      <c r="A1897" s="21">
        <v>45473</v>
      </c>
      <c r="B1897" t="str">
        <f>IFERROR(IF(VLOOKUP(C1897,Hoja1!$B$1:$C$6191,2,0)="",_xlfn.XLOOKUP(C1897,Hoja1!$B$2:$B$6191,Hoja1!$A$2:$A$6191),VLOOKUP(C1897,Hoja1!$B$1:$C$6191,2,0)),"No esta en Infor")</f>
        <v>NAC1517</v>
      </c>
      <c r="C1897" s="11" t="s">
        <v>365</v>
      </c>
      <c r="D1897" s="8">
        <v>14579.56</v>
      </c>
      <c r="E1897" s="8">
        <v>148.74</v>
      </c>
      <c r="F1897" s="8">
        <v>129.69999999999999</v>
      </c>
      <c r="G1897" s="8">
        <v>-501.9</v>
      </c>
      <c r="H1897" s="8">
        <v>0</v>
      </c>
      <c r="I1897" s="8">
        <v>0</v>
      </c>
      <c r="J1897" s="8">
        <v>14356.1</v>
      </c>
    </row>
    <row r="1898" spans="1:10" ht="15.75" x14ac:dyDescent="0.25">
      <c r="A1898" s="21">
        <v>45473</v>
      </c>
      <c r="B1898" t="str">
        <f>IFERROR(IF(VLOOKUP(C1898,Hoja1!$B$1:$C$6191,2,0)="",_xlfn.XLOOKUP(C1898,Hoja1!$B$2:$B$6191,Hoja1!$A$2:$A$6191),VLOOKUP(C1898,Hoja1!$B$1:$C$6191,2,0)),"No esta en Infor")</f>
        <v>NAC1522</v>
      </c>
      <c r="C1898" s="11" t="s">
        <v>366</v>
      </c>
      <c r="D1898" s="8">
        <v>0</v>
      </c>
      <c r="E1898" s="8">
        <v>0</v>
      </c>
      <c r="F1898" s="8">
        <v>0</v>
      </c>
      <c r="G1898" s="8">
        <v>421.58</v>
      </c>
      <c r="H1898" s="8">
        <v>0</v>
      </c>
      <c r="I1898" s="8">
        <v>0</v>
      </c>
      <c r="J1898" s="8">
        <v>421.58</v>
      </c>
    </row>
    <row r="1899" spans="1:10" ht="15.75" x14ac:dyDescent="0.25">
      <c r="A1899" s="21">
        <v>45473</v>
      </c>
      <c r="B1899" t="str">
        <f>IFERROR(IF(VLOOKUP(C1899,Hoja1!$B$1:$C$6191,2,0)="",_xlfn.XLOOKUP(C1899,Hoja1!$B$2:$B$6191,Hoja1!$A$2:$A$6191),VLOOKUP(C1899,Hoja1!$B$1:$C$6191,2,0)),"No esta en Infor")</f>
        <v>NAC1529</v>
      </c>
      <c r="C1899" s="11" t="s">
        <v>368</v>
      </c>
      <c r="D1899" s="8">
        <v>0</v>
      </c>
      <c r="E1899" s="8">
        <v>0</v>
      </c>
      <c r="F1899" s="8">
        <v>111.75</v>
      </c>
      <c r="G1899" s="8">
        <v>0</v>
      </c>
      <c r="H1899" s="8">
        <v>0</v>
      </c>
      <c r="I1899" s="8">
        <v>0</v>
      </c>
      <c r="J1899" s="8">
        <v>111.75</v>
      </c>
    </row>
    <row r="1900" spans="1:10" ht="15.75" x14ac:dyDescent="0.25">
      <c r="A1900" s="21">
        <v>45473</v>
      </c>
      <c r="B1900" t="str">
        <f>IFERROR(IF(VLOOKUP(C1900,Hoja1!$B$1:$C$6191,2,0)="",_xlfn.XLOOKUP(C1900,Hoja1!$B$2:$B$6191,Hoja1!$A$2:$A$6191),VLOOKUP(C1900,Hoja1!$B$1:$C$6191,2,0)),"No esta en Infor")</f>
        <v>NAC0456</v>
      </c>
      <c r="C1900" s="19" t="s">
        <v>10</v>
      </c>
      <c r="D1900" s="9">
        <v>231.19</v>
      </c>
      <c r="E1900" s="9">
        <v>441.14</v>
      </c>
      <c r="F1900" s="9">
        <v>0</v>
      </c>
      <c r="G1900" s="9">
        <v>0</v>
      </c>
      <c r="H1900" s="9">
        <v>0</v>
      </c>
      <c r="I1900" s="9">
        <v>0</v>
      </c>
      <c r="J1900" s="9">
        <v>672.33</v>
      </c>
    </row>
    <row r="1901" spans="1:10" ht="15.75" x14ac:dyDescent="0.25">
      <c r="A1901" s="21">
        <v>45473</v>
      </c>
      <c r="B1901" t="str">
        <f>IFERROR(IF(VLOOKUP(C1901,Hoja1!$B$1:$C$6191,2,0)="",_xlfn.XLOOKUP(C1901,Hoja1!$B$2:$B$6191,Hoja1!$A$2:$A$6191),VLOOKUP(C1901,Hoja1!$B$1:$C$6191,2,0)),"No esta en Infor")</f>
        <v>NAC0459</v>
      </c>
      <c r="C1901" s="19" t="s">
        <v>435</v>
      </c>
      <c r="D1901" s="9">
        <v>20.76</v>
      </c>
      <c r="E1901" s="9">
        <v>0</v>
      </c>
      <c r="F1901" s="9">
        <v>0</v>
      </c>
      <c r="G1901" s="9">
        <v>0</v>
      </c>
      <c r="H1901" s="9">
        <v>0</v>
      </c>
      <c r="I1901" s="9">
        <v>0</v>
      </c>
      <c r="J1901" s="9">
        <v>20.76</v>
      </c>
    </row>
    <row r="1902" spans="1:10" ht="15.75" x14ac:dyDescent="0.25">
      <c r="A1902" s="21">
        <v>45473</v>
      </c>
      <c r="B1902" t="str">
        <f>IFERROR(IF(VLOOKUP(C1902,Hoja1!$B$1:$C$6191,2,0)="",_xlfn.XLOOKUP(C1902,Hoja1!$B$2:$B$6191,Hoja1!$A$2:$A$6191),VLOOKUP(C1902,Hoja1!$B$1:$C$6191,2,0)),"No esta en Infor")</f>
        <v>NAC0461</v>
      </c>
      <c r="C1902" s="19" t="s">
        <v>59</v>
      </c>
      <c r="D1902" s="9">
        <v>178.63</v>
      </c>
      <c r="E1902" s="9">
        <v>0</v>
      </c>
      <c r="F1902" s="9">
        <v>0</v>
      </c>
      <c r="G1902" s="9">
        <v>0</v>
      </c>
      <c r="H1902" s="9">
        <v>0</v>
      </c>
      <c r="I1902" s="9">
        <v>0</v>
      </c>
      <c r="J1902" s="9">
        <v>178.63</v>
      </c>
    </row>
    <row r="1903" spans="1:10" ht="15.75" x14ac:dyDescent="0.25">
      <c r="A1903" s="21">
        <v>45473</v>
      </c>
      <c r="B1903" t="str">
        <f>IFERROR(IF(VLOOKUP(C1903,Hoja1!$B$1:$C$6191,2,0)="",_xlfn.XLOOKUP(C1903,Hoja1!$B$2:$B$6191,Hoja1!$A$2:$A$6191),VLOOKUP(C1903,Hoja1!$B$1:$C$6191,2,0)),"No esta en Infor")</f>
        <v>CAN0001</v>
      </c>
      <c r="C1903" s="19" t="s">
        <v>64</v>
      </c>
      <c r="D1903" s="9">
        <v>52296.82</v>
      </c>
      <c r="E1903" s="9">
        <v>0</v>
      </c>
      <c r="F1903" s="9">
        <v>0</v>
      </c>
      <c r="G1903" s="9">
        <v>0</v>
      </c>
      <c r="H1903" s="9">
        <v>0</v>
      </c>
      <c r="I1903" s="9">
        <v>0</v>
      </c>
      <c r="J1903" s="9">
        <v>52296.82</v>
      </c>
    </row>
    <row r="1904" spans="1:10" ht="15.75" x14ac:dyDescent="0.25">
      <c r="A1904" s="21">
        <v>45473</v>
      </c>
      <c r="B1904" t="str">
        <f>IFERROR(IF(VLOOKUP(C1904,Hoja1!$B$1:$C$6191,2,0)="",_xlfn.XLOOKUP(C1904,Hoja1!$B$2:$B$6191,Hoja1!$A$2:$A$6191),VLOOKUP(C1904,Hoja1!$B$1:$C$6191,2,0)),"No esta en Infor")</f>
        <v>NAC0513</v>
      </c>
      <c r="C1904" s="19" t="s">
        <v>377</v>
      </c>
      <c r="D1904" s="9">
        <v>0</v>
      </c>
      <c r="E1904" s="9">
        <v>0</v>
      </c>
      <c r="F1904" s="9">
        <v>-220.24</v>
      </c>
      <c r="G1904" s="9">
        <v>0</v>
      </c>
      <c r="H1904" s="9">
        <v>0</v>
      </c>
      <c r="I1904" s="9">
        <v>0</v>
      </c>
      <c r="J1904" s="9">
        <v>-220.24</v>
      </c>
    </row>
    <row r="1905" spans="1:10" ht="15.75" x14ac:dyDescent="0.25">
      <c r="A1905" s="21">
        <v>45473</v>
      </c>
      <c r="B1905" t="str">
        <f>IFERROR(IF(VLOOKUP(C1905,Hoja1!$B$1:$C$6191,2,0)="",_xlfn.XLOOKUP(C1905,Hoja1!$B$2:$B$6191,Hoja1!$A$2:$A$6191),VLOOKUP(C1905,Hoja1!$B$1:$C$6191,2,0)),"No esta en Infor")</f>
        <v>NAC1617</v>
      </c>
      <c r="C1905" s="19" t="s">
        <v>70</v>
      </c>
      <c r="D1905" s="9">
        <v>0</v>
      </c>
      <c r="E1905" s="9">
        <v>0</v>
      </c>
      <c r="F1905" s="9">
        <v>0</v>
      </c>
      <c r="G1905" s="9">
        <v>0</v>
      </c>
      <c r="H1905" s="9">
        <v>0</v>
      </c>
      <c r="I1905" s="9">
        <v>8803.11</v>
      </c>
      <c r="J1905" s="9">
        <v>8803.11</v>
      </c>
    </row>
    <row r="1906" spans="1:10" ht="15.75" x14ac:dyDescent="0.25">
      <c r="A1906" s="21">
        <v>45473</v>
      </c>
      <c r="B1906" t="str">
        <f>IFERROR(IF(VLOOKUP(C1906,Hoja1!$B$1:$C$6191,2,0)="",_xlfn.XLOOKUP(C1906,Hoja1!$B$2:$B$6191,Hoja1!$A$2:$A$6191),VLOOKUP(C1906,Hoja1!$B$1:$C$6191,2,0)),"No esta en Infor")</f>
        <v>NAC0530</v>
      </c>
      <c r="C1906" s="19" t="s">
        <v>577</v>
      </c>
      <c r="D1906" s="9">
        <v>254.67</v>
      </c>
      <c r="E1906" s="9">
        <v>0</v>
      </c>
      <c r="F1906" s="9">
        <v>0</v>
      </c>
      <c r="G1906" s="9">
        <v>0</v>
      </c>
      <c r="H1906" s="9">
        <v>0</v>
      </c>
      <c r="I1906" s="9">
        <v>0</v>
      </c>
      <c r="J1906" s="9">
        <v>254.67</v>
      </c>
    </row>
    <row r="1907" spans="1:10" ht="15.75" x14ac:dyDescent="0.25">
      <c r="A1907" s="21">
        <v>45473</v>
      </c>
      <c r="B1907" t="str">
        <f>IFERROR(IF(VLOOKUP(C1907,Hoja1!$B$1:$C$6191,2,0)="",_xlfn.XLOOKUP(C1907,Hoja1!$B$2:$B$6191,Hoja1!$A$2:$A$6191),VLOOKUP(C1907,Hoja1!$B$1:$C$6191,2,0)),"No esta en Infor")</f>
        <v>NAC0537</v>
      </c>
      <c r="C1907" s="19" t="s">
        <v>13</v>
      </c>
      <c r="D1907" s="9">
        <v>0</v>
      </c>
      <c r="E1907" s="9">
        <v>261.22000000000003</v>
      </c>
      <c r="F1907" s="9">
        <v>0</v>
      </c>
      <c r="G1907" s="9">
        <v>0</v>
      </c>
      <c r="H1907" s="9">
        <v>0</v>
      </c>
      <c r="I1907" s="9">
        <v>0</v>
      </c>
      <c r="J1907" s="9">
        <v>261.22000000000003</v>
      </c>
    </row>
    <row r="1908" spans="1:10" ht="15.75" x14ac:dyDescent="0.25">
      <c r="A1908" s="21">
        <v>45473</v>
      </c>
      <c r="B1908" t="str">
        <f>IFERROR(IF(VLOOKUP(C1908,Hoja1!$B$1:$C$6191,2,0)="",_xlfn.XLOOKUP(C1908,Hoja1!$B$2:$B$6191,Hoja1!$A$2:$A$6191),VLOOKUP(C1908,Hoja1!$B$1:$C$6191,2,0)),"No esta en Infor")</f>
        <v>NAC0546</v>
      </c>
      <c r="C1908" s="19" t="s">
        <v>83</v>
      </c>
      <c r="D1908" s="9">
        <v>0</v>
      </c>
      <c r="E1908" s="9">
        <v>2670</v>
      </c>
      <c r="F1908" s="9">
        <v>0</v>
      </c>
      <c r="G1908" s="9">
        <v>0</v>
      </c>
      <c r="H1908" s="9">
        <v>0</v>
      </c>
      <c r="I1908" s="9">
        <v>0</v>
      </c>
      <c r="J1908" s="9">
        <v>2670</v>
      </c>
    </row>
    <row r="1909" spans="1:10" ht="15.75" x14ac:dyDescent="0.25">
      <c r="A1909" s="21">
        <v>45473</v>
      </c>
      <c r="B1909" t="str">
        <f>IFERROR(IF(VLOOKUP(C1909,Hoja1!$B$1:$C$6191,2,0)="",_xlfn.XLOOKUP(C1909,Hoja1!$B$2:$B$6191,Hoja1!$A$2:$A$6191),VLOOKUP(C1909,Hoja1!$B$1:$C$6191,2,0)),"No esta en Infor")</f>
        <v>NAC0550</v>
      </c>
      <c r="C1909" s="19" t="s">
        <v>84</v>
      </c>
      <c r="D1909" s="9">
        <v>111838.25</v>
      </c>
      <c r="E1909" s="9">
        <v>0</v>
      </c>
      <c r="F1909" s="9">
        <v>0</v>
      </c>
      <c r="G1909" s="9">
        <v>0</v>
      </c>
      <c r="H1909" s="9">
        <v>0</v>
      </c>
      <c r="I1909" s="9">
        <v>0</v>
      </c>
      <c r="J1909" s="9">
        <v>111838.25</v>
      </c>
    </row>
    <row r="1910" spans="1:10" ht="15.75" x14ac:dyDescent="0.25">
      <c r="A1910" s="21">
        <v>45473</v>
      </c>
      <c r="B1910" t="str">
        <f>IFERROR(IF(VLOOKUP(C1910,Hoja1!$B$1:$C$6191,2,0)="",_xlfn.XLOOKUP(C1910,Hoja1!$B$2:$B$6191,Hoja1!$A$2:$A$6191),VLOOKUP(C1910,Hoja1!$B$1:$C$6191,2,0)),"No esta en Infor")</f>
        <v>NAC0551</v>
      </c>
      <c r="C1910" s="19" t="s">
        <v>85</v>
      </c>
      <c r="D1910" s="9">
        <v>2262</v>
      </c>
      <c r="E1910" s="9">
        <v>0</v>
      </c>
      <c r="F1910" s="9">
        <v>0</v>
      </c>
      <c r="G1910" s="9">
        <v>0</v>
      </c>
      <c r="H1910" s="9">
        <v>0</v>
      </c>
      <c r="I1910" s="9">
        <v>0</v>
      </c>
      <c r="J1910" s="9">
        <v>2262</v>
      </c>
    </row>
    <row r="1911" spans="1:10" ht="15.75" x14ac:dyDescent="0.25">
      <c r="A1911" s="21">
        <v>45473</v>
      </c>
      <c r="B1911" t="str">
        <f>IFERROR(IF(VLOOKUP(C1911,Hoja1!$B$1:$C$6191,2,0)="",_xlfn.XLOOKUP(C1911,Hoja1!$B$2:$B$6191,Hoja1!$A$2:$A$6191),VLOOKUP(C1911,Hoja1!$B$1:$C$6191,2,0)),"No esta en Infor")</f>
        <v>SH02670</v>
      </c>
      <c r="C1911" s="19" t="s">
        <v>578</v>
      </c>
      <c r="D1911" s="9">
        <v>0</v>
      </c>
      <c r="E1911" s="9">
        <v>101.64</v>
      </c>
      <c r="F1911" s="9">
        <v>0</v>
      </c>
      <c r="G1911" s="9">
        <v>0</v>
      </c>
      <c r="H1911" s="9">
        <v>0</v>
      </c>
      <c r="I1911" s="9">
        <v>0</v>
      </c>
      <c r="J1911" s="9">
        <v>101.64</v>
      </c>
    </row>
    <row r="1912" spans="1:10" ht="15.75" x14ac:dyDescent="0.25">
      <c r="A1912" s="21">
        <v>45473</v>
      </c>
      <c r="B1912" t="str">
        <f>IFERROR(IF(VLOOKUP(C1912,Hoja1!$B$1:$C$6191,2,0)="",_xlfn.XLOOKUP(C1912,Hoja1!$B$2:$B$6191,Hoja1!$A$2:$A$6191),VLOOKUP(C1912,Hoja1!$B$1:$C$6191,2,0)),"No esta en Infor")</f>
        <v>NAC0558</v>
      </c>
      <c r="C1912" s="19" t="s">
        <v>86</v>
      </c>
      <c r="D1912" s="9">
        <v>5020</v>
      </c>
      <c r="E1912" s="9">
        <v>13458</v>
      </c>
      <c r="F1912" s="9">
        <v>0</v>
      </c>
      <c r="G1912" s="9">
        <v>0</v>
      </c>
      <c r="H1912" s="9">
        <v>0</v>
      </c>
      <c r="I1912" s="9">
        <v>0</v>
      </c>
      <c r="J1912" s="9">
        <v>18478</v>
      </c>
    </row>
    <row r="1913" spans="1:10" ht="15.75" x14ac:dyDescent="0.25">
      <c r="A1913" s="21">
        <v>45473</v>
      </c>
      <c r="B1913" t="str">
        <f>IFERROR(IF(VLOOKUP(C1913,Hoja1!$B$1:$C$6191,2,0)="",_xlfn.XLOOKUP(C1913,Hoja1!$B$2:$B$6191,Hoja1!$A$2:$A$6191),VLOOKUP(C1913,Hoja1!$B$1:$C$6191,2,0)),"No esta en Infor")</f>
        <v>NAC0567</v>
      </c>
      <c r="C1913" s="19" t="s">
        <v>541</v>
      </c>
      <c r="D1913" s="9">
        <v>0</v>
      </c>
      <c r="E1913" s="9">
        <v>608.84</v>
      </c>
      <c r="F1913" s="9">
        <v>0</v>
      </c>
      <c r="G1913" s="9">
        <v>0</v>
      </c>
      <c r="H1913" s="9">
        <v>0</v>
      </c>
      <c r="I1913" s="9">
        <v>0</v>
      </c>
      <c r="J1913" s="9">
        <v>608.84</v>
      </c>
    </row>
    <row r="1914" spans="1:10" ht="15.75" x14ac:dyDescent="0.25">
      <c r="A1914" s="21">
        <v>45473</v>
      </c>
      <c r="B1914" t="str">
        <f>IFERROR(IF(VLOOKUP(C1914,Hoja1!$B$1:$C$6191,2,0)="",_xlfn.XLOOKUP(C1914,Hoja1!$B$2:$B$6191,Hoja1!$A$2:$A$6191),VLOOKUP(C1914,Hoja1!$B$1:$C$6191,2,0)),"No esta en Infor")</f>
        <v>NAC0571</v>
      </c>
      <c r="C1914" s="19" t="s">
        <v>440</v>
      </c>
      <c r="D1914" s="9">
        <v>0</v>
      </c>
      <c r="E1914" s="9">
        <v>3347.19</v>
      </c>
      <c r="F1914" s="9">
        <v>0</v>
      </c>
      <c r="G1914" s="9">
        <v>0</v>
      </c>
      <c r="H1914" s="9">
        <v>0</v>
      </c>
      <c r="I1914" s="9">
        <v>0</v>
      </c>
      <c r="J1914" s="9">
        <v>3347.19</v>
      </c>
    </row>
    <row r="1915" spans="1:10" ht="15.75" x14ac:dyDescent="0.25">
      <c r="A1915" s="21">
        <v>45473</v>
      </c>
      <c r="B1915" t="str">
        <f>IFERROR(IF(VLOOKUP(C1915,Hoja1!$B$1:$C$6191,2,0)="",_xlfn.XLOOKUP(C1915,Hoja1!$B$2:$B$6191,Hoja1!$A$2:$A$6191),VLOOKUP(C1915,Hoja1!$B$1:$C$6191,2,0)),"No esta en Infor")</f>
        <v>NAC0592</v>
      </c>
      <c r="C1915" s="19" t="s">
        <v>93</v>
      </c>
      <c r="D1915" s="9">
        <v>0</v>
      </c>
      <c r="E1915" s="9">
        <v>0</v>
      </c>
      <c r="F1915" s="9">
        <v>0</v>
      </c>
      <c r="G1915" s="9">
        <v>-2547.65</v>
      </c>
      <c r="H1915" s="9">
        <v>0</v>
      </c>
      <c r="I1915" s="9">
        <v>0</v>
      </c>
      <c r="J1915" s="9">
        <v>-2547.65</v>
      </c>
    </row>
    <row r="1916" spans="1:10" ht="15.75" x14ac:dyDescent="0.25">
      <c r="A1916" s="21">
        <v>45473</v>
      </c>
      <c r="B1916" t="str">
        <f>IFERROR(IF(VLOOKUP(C1916,Hoja1!$B$1:$C$6191,2,0)="",_xlfn.XLOOKUP(C1916,Hoja1!$B$2:$B$6191,Hoja1!$A$2:$A$6191),VLOOKUP(C1916,Hoja1!$B$1:$C$6191,2,0)),"No esta en Infor")</f>
        <v>NAC0594</v>
      </c>
      <c r="C1916" s="19" t="s">
        <v>94</v>
      </c>
      <c r="D1916" s="9">
        <v>55471</v>
      </c>
      <c r="E1916" s="9">
        <v>0</v>
      </c>
      <c r="F1916" s="9">
        <v>0</v>
      </c>
      <c r="G1916" s="9">
        <v>0</v>
      </c>
      <c r="H1916" s="9">
        <v>0</v>
      </c>
      <c r="I1916" s="9">
        <v>0</v>
      </c>
      <c r="J1916" s="9">
        <v>55471</v>
      </c>
    </row>
    <row r="1917" spans="1:10" ht="15.75" x14ac:dyDescent="0.25">
      <c r="A1917" s="21">
        <v>45473</v>
      </c>
      <c r="B1917" t="str">
        <f>IFERROR(IF(VLOOKUP(C1917,Hoja1!$B$1:$C$6191,2,0)="",_xlfn.XLOOKUP(C1917,Hoja1!$B$2:$B$6191,Hoja1!$A$2:$A$6191),VLOOKUP(C1917,Hoja1!$B$1:$C$6191,2,0)),"No esta en Infor")</f>
        <v>SH00277</v>
      </c>
      <c r="C1917" s="19" t="s">
        <v>579</v>
      </c>
      <c r="D1917" s="9">
        <v>0</v>
      </c>
      <c r="E1917" s="9">
        <v>125.79</v>
      </c>
      <c r="F1917" s="9">
        <v>0</v>
      </c>
      <c r="G1917" s="9">
        <v>0</v>
      </c>
      <c r="H1917" s="9">
        <v>0</v>
      </c>
      <c r="I1917" s="9">
        <v>0</v>
      </c>
      <c r="J1917" s="9">
        <v>125.79</v>
      </c>
    </row>
    <row r="1918" spans="1:10" ht="15.75" x14ac:dyDescent="0.25">
      <c r="A1918" s="21">
        <v>45473</v>
      </c>
      <c r="B1918" t="str">
        <f>IFERROR(IF(VLOOKUP(C1918,Hoja1!$B$1:$C$6191,2,0)="",_xlfn.XLOOKUP(C1918,Hoja1!$B$2:$B$6191,Hoja1!$A$2:$A$6191),VLOOKUP(C1918,Hoja1!$B$1:$C$6191,2,0)),"No esta en Infor")</f>
        <v>NAC0600</v>
      </c>
      <c r="C1918" s="19" t="s">
        <v>96</v>
      </c>
      <c r="D1918" s="9">
        <v>2743</v>
      </c>
      <c r="E1918" s="9">
        <v>0</v>
      </c>
      <c r="F1918" s="9">
        <v>0</v>
      </c>
      <c r="G1918" s="9">
        <v>0</v>
      </c>
      <c r="H1918" s="9">
        <v>0</v>
      </c>
      <c r="I1918" s="9">
        <v>0</v>
      </c>
      <c r="J1918" s="9">
        <v>2743</v>
      </c>
    </row>
    <row r="1919" spans="1:10" ht="15.75" x14ac:dyDescent="0.25">
      <c r="A1919" s="21">
        <v>45473</v>
      </c>
      <c r="B1919" t="str">
        <f>IFERROR(IF(VLOOKUP(C1919,Hoja1!$B$1:$C$6191,2,0)="",_xlfn.XLOOKUP(C1919,Hoja1!$B$2:$B$6191,Hoja1!$A$2:$A$6191),VLOOKUP(C1919,Hoja1!$B$1:$C$6191,2,0)),"No esta en Infor")</f>
        <v>NAC0604</v>
      </c>
      <c r="C1919" s="19" t="s">
        <v>97</v>
      </c>
      <c r="D1919" s="9">
        <v>0</v>
      </c>
      <c r="E1919" s="9">
        <v>844.09</v>
      </c>
      <c r="F1919" s="9">
        <v>0</v>
      </c>
      <c r="G1919" s="9">
        <v>0</v>
      </c>
      <c r="H1919" s="9">
        <v>0</v>
      </c>
      <c r="I1919" s="9">
        <v>0</v>
      </c>
      <c r="J1919" s="9">
        <v>844.09</v>
      </c>
    </row>
    <row r="1920" spans="1:10" ht="15.75" x14ac:dyDescent="0.25">
      <c r="A1920" s="21">
        <v>45473</v>
      </c>
      <c r="B1920" t="str">
        <f>IFERROR(IF(VLOOKUP(C1920,Hoja1!$B$1:$C$6191,2,0)="",_xlfn.XLOOKUP(C1920,Hoja1!$B$2:$B$6191,Hoja1!$A$2:$A$6191),VLOOKUP(C1920,Hoja1!$B$1:$C$6191,2,0)),"No esta en Infor")</f>
        <v>NAC0613</v>
      </c>
      <c r="C1920" s="19" t="s">
        <v>101</v>
      </c>
      <c r="D1920" s="9">
        <v>785.48</v>
      </c>
      <c r="E1920" s="9">
        <v>17.079999999999998</v>
      </c>
      <c r="F1920" s="9">
        <v>-51.78</v>
      </c>
      <c r="G1920" s="9">
        <v>0</v>
      </c>
      <c r="H1920" s="9">
        <v>0</v>
      </c>
      <c r="I1920" s="9">
        <v>0</v>
      </c>
      <c r="J1920" s="9">
        <v>750.78</v>
      </c>
    </row>
    <row r="1921" spans="1:10" ht="15.75" x14ac:dyDescent="0.25">
      <c r="A1921" s="21">
        <v>45473</v>
      </c>
      <c r="B1921" t="str">
        <f>IFERROR(IF(VLOOKUP(C1921,Hoja1!$B$1:$C$6191,2,0)="",_xlfn.XLOOKUP(C1921,Hoja1!$B$2:$B$6191,Hoja1!$A$2:$A$6191),VLOOKUP(C1921,Hoja1!$B$1:$C$6191,2,0)),"No esta en Infor")</f>
        <v>SH00319</v>
      </c>
      <c r="C1921" s="19" t="s">
        <v>580</v>
      </c>
      <c r="D1921" s="9">
        <v>0</v>
      </c>
      <c r="E1921" s="9">
        <v>201.65</v>
      </c>
      <c r="F1921" s="9">
        <v>0</v>
      </c>
      <c r="G1921" s="9">
        <v>0</v>
      </c>
      <c r="H1921" s="9">
        <v>0</v>
      </c>
      <c r="I1921" s="9">
        <v>0</v>
      </c>
      <c r="J1921" s="9">
        <v>201.65</v>
      </c>
    </row>
    <row r="1922" spans="1:10" ht="15.75" x14ac:dyDescent="0.25">
      <c r="A1922" s="21">
        <v>45473</v>
      </c>
      <c r="B1922" t="str">
        <f>IFERROR(IF(VLOOKUP(C1922,Hoja1!$B$1:$C$6191,2,0)="",_xlfn.XLOOKUP(C1922,Hoja1!$B$2:$B$6191,Hoja1!$A$2:$A$6191),VLOOKUP(C1922,Hoja1!$B$1:$C$6191,2,0)),"No esta en Infor")</f>
        <v>NAC0618</v>
      </c>
      <c r="C1922" s="19" t="s">
        <v>488</v>
      </c>
      <c r="D1922" s="9">
        <v>0</v>
      </c>
      <c r="E1922" s="9">
        <v>120.02</v>
      </c>
      <c r="F1922" s="9">
        <v>0</v>
      </c>
      <c r="G1922" s="9">
        <v>0</v>
      </c>
      <c r="H1922" s="9">
        <v>0</v>
      </c>
      <c r="I1922" s="9">
        <v>0</v>
      </c>
      <c r="J1922" s="9">
        <v>120.02</v>
      </c>
    </row>
    <row r="1923" spans="1:10" ht="15.75" x14ac:dyDescent="0.25">
      <c r="A1923" s="21">
        <v>45473</v>
      </c>
      <c r="B1923" t="str">
        <f>IFERROR(IF(VLOOKUP(C1923,Hoja1!$B$1:$C$6191,2,0)="",_xlfn.XLOOKUP(C1923,Hoja1!$B$2:$B$6191,Hoja1!$A$2:$A$6191),VLOOKUP(C1923,Hoja1!$B$1:$C$6191,2,0)),"No esta en Infor")</f>
        <v>NAC0620</v>
      </c>
      <c r="C1923" s="19" t="s">
        <v>388</v>
      </c>
      <c r="D1923" s="9">
        <v>0</v>
      </c>
      <c r="E1923" s="9">
        <v>8556</v>
      </c>
      <c r="F1923" s="9">
        <v>0</v>
      </c>
      <c r="G1923" s="9">
        <v>0</v>
      </c>
      <c r="H1923" s="9">
        <v>0</v>
      </c>
      <c r="I1923" s="9">
        <v>0</v>
      </c>
      <c r="J1923" s="9">
        <v>8556</v>
      </c>
    </row>
    <row r="1924" spans="1:10" ht="15.75" x14ac:dyDescent="0.25">
      <c r="A1924" s="21">
        <v>45473</v>
      </c>
      <c r="B1924" t="str">
        <f>IFERROR(IF(VLOOKUP(C1924,Hoja1!$B$1:$C$6191,2,0)="",_xlfn.XLOOKUP(C1924,Hoja1!$B$2:$B$6191,Hoja1!$A$2:$A$6191),VLOOKUP(C1924,Hoja1!$B$1:$C$6191,2,0)),"No esta en Infor")</f>
        <v>NAC0645</v>
      </c>
      <c r="C1924" s="19" t="s">
        <v>110</v>
      </c>
      <c r="D1924" s="9">
        <v>0</v>
      </c>
      <c r="E1924" s="9">
        <v>0</v>
      </c>
      <c r="F1924" s="9">
        <v>0</v>
      </c>
      <c r="G1924" s="9">
        <v>293.57</v>
      </c>
      <c r="H1924" s="9">
        <v>0</v>
      </c>
      <c r="I1924" s="9">
        <v>0</v>
      </c>
      <c r="J1924" s="9">
        <v>293.57</v>
      </c>
    </row>
    <row r="1925" spans="1:10" ht="15.75" x14ac:dyDescent="0.25">
      <c r="A1925" s="21">
        <v>45473</v>
      </c>
      <c r="B1925" t="str">
        <f>IFERROR(IF(VLOOKUP(C1925,Hoja1!$B$1:$C$6191,2,0)="",_xlfn.XLOOKUP(C1925,Hoja1!$B$2:$B$6191,Hoja1!$A$2:$A$6191),VLOOKUP(C1925,Hoja1!$B$1:$C$6191,2,0)),"No esta en Infor")</f>
        <v>NAC0646</v>
      </c>
      <c r="C1925" s="19" t="s">
        <v>112</v>
      </c>
      <c r="D1925" s="9">
        <v>0</v>
      </c>
      <c r="E1925" s="9">
        <v>344</v>
      </c>
      <c r="F1925" s="9">
        <v>0</v>
      </c>
      <c r="G1925" s="9">
        <v>0</v>
      </c>
      <c r="H1925" s="9">
        <v>0</v>
      </c>
      <c r="I1925" s="9">
        <v>0</v>
      </c>
      <c r="J1925" s="9">
        <v>344</v>
      </c>
    </row>
    <row r="1926" spans="1:10" ht="15.75" x14ac:dyDescent="0.25">
      <c r="A1926" s="21">
        <v>45473</v>
      </c>
      <c r="B1926" t="str">
        <f>IFERROR(IF(VLOOKUP(C1926,Hoja1!$B$1:$C$6191,2,0)="",_xlfn.XLOOKUP(C1926,Hoja1!$B$2:$B$6191,Hoja1!$A$2:$A$6191),VLOOKUP(C1926,Hoja1!$B$1:$C$6191,2,0)),"No esta en Infor")</f>
        <v>NAC0651</v>
      </c>
      <c r="C1926" s="19" t="s">
        <v>543</v>
      </c>
      <c r="D1926" s="9">
        <v>180.48</v>
      </c>
      <c r="E1926" s="9">
        <v>0</v>
      </c>
      <c r="F1926" s="9">
        <v>0</v>
      </c>
      <c r="G1926" s="9">
        <v>0</v>
      </c>
      <c r="H1926" s="9">
        <v>0</v>
      </c>
      <c r="I1926" s="9">
        <v>0</v>
      </c>
      <c r="J1926" s="9">
        <v>180.48</v>
      </c>
    </row>
    <row r="1927" spans="1:10" ht="15.75" x14ac:dyDescent="0.25">
      <c r="A1927" s="21">
        <v>45473</v>
      </c>
      <c r="B1927" t="str">
        <f>IFERROR(IF(VLOOKUP(C1927,Hoja1!$B$1:$C$6191,2,0)="",_xlfn.XLOOKUP(C1927,Hoja1!$B$2:$B$6191,Hoja1!$A$2:$A$6191),VLOOKUP(C1927,Hoja1!$B$1:$C$6191,2,0)),"No esta en Infor")</f>
        <v>NAC0652</v>
      </c>
      <c r="C1927" s="19" t="s">
        <v>113</v>
      </c>
      <c r="D1927" s="9">
        <v>95</v>
      </c>
      <c r="E1927" s="9">
        <v>0</v>
      </c>
      <c r="F1927" s="9">
        <v>0</v>
      </c>
      <c r="G1927" s="9">
        <v>0</v>
      </c>
      <c r="H1927" s="9">
        <v>0</v>
      </c>
      <c r="I1927" s="9">
        <v>0</v>
      </c>
      <c r="J1927" s="9">
        <v>95</v>
      </c>
    </row>
    <row r="1928" spans="1:10" ht="15.75" x14ac:dyDescent="0.25">
      <c r="A1928" s="21">
        <v>45473</v>
      </c>
      <c r="B1928" t="str">
        <f>IFERROR(IF(VLOOKUP(C1928,Hoja1!$B$1:$C$6191,2,0)="",_xlfn.XLOOKUP(C1928,Hoja1!$B$2:$B$6191,Hoja1!$A$2:$A$6191),VLOOKUP(C1928,Hoja1!$B$1:$C$6191,2,0)),"No esta en Infor")</f>
        <v>NAC0657</v>
      </c>
      <c r="C1928" s="19" t="s">
        <v>114</v>
      </c>
      <c r="D1928" s="9">
        <v>3510</v>
      </c>
      <c r="E1928" s="9">
        <v>0</v>
      </c>
      <c r="F1928" s="9">
        <v>0</v>
      </c>
      <c r="G1928" s="9">
        <v>0</v>
      </c>
      <c r="H1928" s="9">
        <v>0</v>
      </c>
      <c r="I1928" s="9">
        <v>0</v>
      </c>
      <c r="J1928" s="9">
        <v>3510</v>
      </c>
    </row>
    <row r="1929" spans="1:10" ht="15.75" x14ac:dyDescent="0.25">
      <c r="A1929" s="21">
        <v>45473</v>
      </c>
      <c r="B1929" t="str">
        <f>IFERROR(IF(VLOOKUP(C1929,Hoja1!$B$1:$C$6191,2,0)="",_xlfn.XLOOKUP(C1929,Hoja1!$B$2:$B$6191,Hoja1!$A$2:$A$6191),VLOOKUP(C1929,Hoja1!$B$1:$C$6191,2,0)),"No esta en Infor")</f>
        <v>CAN0008</v>
      </c>
      <c r="C1929" s="19" t="s">
        <v>115</v>
      </c>
      <c r="D1929" s="9">
        <v>8470.57</v>
      </c>
      <c r="E1929" s="9">
        <v>480</v>
      </c>
      <c r="F1929" s="9">
        <v>0</v>
      </c>
      <c r="G1929" s="9">
        <v>0</v>
      </c>
      <c r="H1929" s="9">
        <v>0</v>
      </c>
      <c r="I1929" s="9">
        <v>0</v>
      </c>
      <c r="J1929" s="9">
        <v>8950.57</v>
      </c>
    </row>
    <row r="1930" spans="1:10" ht="15.75" x14ac:dyDescent="0.25">
      <c r="A1930" s="21">
        <v>45473</v>
      </c>
      <c r="B1930" t="str">
        <f>IFERROR(IF(VLOOKUP(C1930,Hoja1!$B$1:$C$6191,2,0)="",_xlfn.XLOOKUP(C1930,Hoja1!$B$2:$B$6191,Hoja1!$A$2:$A$6191),VLOOKUP(C1930,Hoja1!$B$1:$C$6191,2,0)),"No esta en Infor")</f>
        <v>NAC0666</v>
      </c>
      <c r="C1930" s="19" t="s">
        <v>118</v>
      </c>
      <c r="D1930" s="9">
        <v>16104</v>
      </c>
      <c r="E1930" s="9">
        <v>9363</v>
      </c>
      <c r="F1930" s="9">
        <v>0</v>
      </c>
      <c r="G1930" s="9">
        <v>0</v>
      </c>
      <c r="H1930" s="9">
        <v>0</v>
      </c>
      <c r="I1930" s="9">
        <v>0</v>
      </c>
      <c r="J1930" s="9">
        <v>25467</v>
      </c>
    </row>
    <row r="1931" spans="1:10" ht="15.75" x14ac:dyDescent="0.25">
      <c r="A1931" s="21">
        <v>45473</v>
      </c>
      <c r="B1931" t="str">
        <f>IFERROR(IF(VLOOKUP(C1931,Hoja1!$B$1:$C$6191,2,0)="",_xlfn.XLOOKUP(C1931,Hoja1!$B$2:$B$6191,Hoja1!$A$2:$A$6191),VLOOKUP(C1931,Hoja1!$B$1:$C$6191,2,0)),"No esta en Infor")</f>
        <v>SH00498</v>
      </c>
      <c r="C1931" s="19" t="s">
        <v>123</v>
      </c>
      <c r="D1931" s="9">
        <v>0</v>
      </c>
      <c r="E1931" s="9">
        <v>0</v>
      </c>
      <c r="F1931" s="9">
        <v>0</v>
      </c>
      <c r="G1931" s="9">
        <v>78.38</v>
      </c>
      <c r="H1931" s="9">
        <v>0</v>
      </c>
      <c r="I1931" s="9">
        <v>0</v>
      </c>
      <c r="J1931" s="9">
        <v>78.38</v>
      </c>
    </row>
    <row r="1932" spans="1:10" ht="15.75" x14ac:dyDescent="0.25">
      <c r="A1932" s="21">
        <v>45473</v>
      </c>
      <c r="B1932" t="str">
        <f>IFERROR(IF(VLOOKUP(C1932,Hoja1!$B$1:$C$6191,2,0)="",_xlfn.XLOOKUP(C1932,Hoja1!$B$2:$B$6191,Hoja1!$A$2:$A$6191),VLOOKUP(C1932,Hoja1!$B$1:$C$6191,2,0)),"No esta en Infor")</f>
        <v>NAC0675</v>
      </c>
      <c r="C1932" s="19" t="s">
        <v>124</v>
      </c>
      <c r="D1932" s="9">
        <v>0</v>
      </c>
      <c r="E1932" s="9">
        <v>0</v>
      </c>
      <c r="F1932" s="9">
        <v>-787.89</v>
      </c>
      <c r="G1932" s="9">
        <v>0</v>
      </c>
      <c r="H1932" s="9">
        <v>0</v>
      </c>
      <c r="I1932" s="9">
        <v>0</v>
      </c>
      <c r="J1932" s="9">
        <v>-787.89</v>
      </c>
    </row>
    <row r="1933" spans="1:10" ht="15.75" x14ac:dyDescent="0.25">
      <c r="A1933" s="21">
        <v>45473</v>
      </c>
      <c r="B1933" t="str">
        <f>IFERROR(IF(VLOOKUP(C1933,Hoja1!$B$1:$C$6191,2,0)="",_xlfn.XLOOKUP(C1933,Hoja1!$B$2:$B$6191,Hoja1!$A$2:$A$6191),VLOOKUP(C1933,Hoja1!$B$1:$C$6191,2,0)),"No esta en Infor")</f>
        <v>NAC0687</v>
      </c>
      <c r="C1933" s="19" t="s">
        <v>128</v>
      </c>
      <c r="D1933" s="9">
        <v>0</v>
      </c>
      <c r="E1933" s="9">
        <v>0</v>
      </c>
      <c r="F1933" s="9">
        <v>0</v>
      </c>
      <c r="G1933" s="9">
        <v>-4768.2</v>
      </c>
      <c r="H1933" s="9">
        <v>0</v>
      </c>
      <c r="I1933" s="9">
        <v>0</v>
      </c>
      <c r="J1933" s="9">
        <v>-4768.2</v>
      </c>
    </row>
    <row r="1934" spans="1:10" ht="15.75" x14ac:dyDescent="0.25">
      <c r="A1934" s="21">
        <v>45473</v>
      </c>
      <c r="B1934" t="str">
        <f>IFERROR(IF(VLOOKUP(C1934,Hoja1!$B$1:$C$6191,2,0)="",_xlfn.XLOOKUP(C1934,Hoja1!$B$2:$B$6191,Hoja1!$A$2:$A$6191),VLOOKUP(C1934,Hoja1!$B$1:$C$6191,2,0)),"No esta en Infor")</f>
        <v>SH00610</v>
      </c>
      <c r="C1934" s="19" t="s">
        <v>129</v>
      </c>
      <c r="D1934" s="9">
        <v>0</v>
      </c>
      <c r="E1934" s="9">
        <v>0</v>
      </c>
      <c r="F1934" s="9">
        <v>53.53</v>
      </c>
      <c r="G1934" s="9">
        <v>0</v>
      </c>
      <c r="H1934" s="9">
        <v>0</v>
      </c>
      <c r="I1934" s="9">
        <v>0</v>
      </c>
      <c r="J1934" s="9">
        <v>53.53</v>
      </c>
    </row>
    <row r="1935" spans="1:10" ht="15.75" x14ac:dyDescent="0.25">
      <c r="A1935" s="21">
        <v>45473</v>
      </c>
      <c r="B1935" t="str">
        <f>IFERROR(IF(VLOOKUP(C1935,Hoja1!$B$1:$C$6191,2,0)="",_xlfn.XLOOKUP(C1935,Hoja1!$B$2:$B$6191,Hoja1!$A$2:$A$6191),VLOOKUP(C1935,Hoja1!$B$1:$C$6191,2,0)),"No esta en Infor")</f>
        <v>INT0052</v>
      </c>
      <c r="C1935" s="19" t="s">
        <v>130</v>
      </c>
      <c r="D1935" s="9">
        <v>163.63</v>
      </c>
      <c r="E1935" s="9">
        <v>118.95</v>
      </c>
      <c r="F1935" s="9">
        <v>10696.68</v>
      </c>
      <c r="G1935" s="9">
        <v>14467.55</v>
      </c>
      <c r="H1935" s="9">
        <v>370.8</v>
      </c>
      <c r="I1935" s="9">
        <v>17.510000000000002</v>
      </c>
      <c r="J1935" s="9">
        <v>25835.119999999999</v>
      </c>
    </row>
    <row r="1936" spans="1:10" ht="15.75" x14ac:dyDescent="0.25">
      <c r="A1936" s="21">
        <v>45473</v>
      </c>
      <c r="B1936" t="str">
        <f>IFERROR(IF(VLOOKUP(C1936,Hoja1!$B$1:$C$6191,2,0)="",_xlfn.XLOOKUP(C1936,Hoja1!$B$2:$B$6191,Hoja1!$A$2:$A$6191),VLOOKUP(C1936,Hoja1!$B$1:$C$6191,2,0)),"No esta en Infor")</f>
        <v>INT0007</v>
      </c>
      <c r="C1936" s="19" t="s">
        <v>131</v>
      </c>
      <c r="D1936" s="9">
        <v>372521.27</v>
      </c>
      <c r="E1936" s="9">
        <v>1748990.88</v>
      </c>
      <c r="F1936" s="9">
        <v>-86400.22</v>
      </c>
      <c r="G1936" s="9">
        <v>9825.84</v>
      </c>
      <c r="H1936" s="9">
        <v>-5986.82</v>
      </c>
      <c r="I1936" s="9">
        <v>606905.4</v>
      </c>
      <c r="J1936" s="9">
        <v>2645856.35</v>
      </c>
    </row>
    <row r="1937" spans="1:10" ht="15.75" x14ac:dyDescent="0.25">
      <c r="A1937" s="21">
        <v>45473</v>
      </c>
      <c r="B1937" t="str">
        <f>IFERROR(IF(VLOOKUP(C1937,Hoja1!$B$1:$C$6191,2,0)="",_xlfn.XLOOKUP(C1937,Hoja1!$B$2:$B$6191,Hoja1!$A$2:$A$6191),VLOOKUP(C1937,Hoja1!$B$1:$C$6191,2,0)),"No esta en Infor")</f>
        <v>INT0006</v>
      </c>
      <c r="C1937" s="19" t="s">
        <v>132</v>
      </c>
      <c r="D1937" s="9">
        <v>128562.75</v>
      </c>
      <c r="E1937" s="9">
        <v>132884.92000000001</v>
      </c>
      <c r="F1937" s="9">
        <v>30058.79</v>
      </c>
      <c r="G1937" s="9">
        <v>20772.27</v>
      </c>
      <c r="H1937" s="9">
        <v>0</v>
      </c>
      <c r="I1937" s="9">
        <v>97148</v>
      </c>
      <c r="J1937" s="9">
        <v>409426.73</v>
      </c>
    </row>
    <row r="1938" spans="1:10" ht="15.75" x14ac:dyDescent="0.25">
      <c r="A1938" s="21">
        <v>45473</v>
      </c>
      <c r="B1938" t="str">
        <f>IFERROR(IF(VLOOKUP(C1938,Hoja1!$B$1:$C$6191,2,0)="",_xlfn.XLOOKUP(C1938,Hoja1!$B$2:$B$6191,Hoja1!$A$2:$A$6191),VLOOKUP(C1938,Hoja1!$B$1:$C$6191,2,0)),"No esta en Infor")</f>
        <v>INT0002</v>
      </c>
      <c r="C1938" s="19" t="s">
        <v>133</v>
      </c>
      <c r="D1938" s="9">
        <v>91145.57</v>
      </c>
      <c r="E1938" s="9">
        <v>0</v>
      </c>
      <c r="F1938" s="9">
        <v>0</v>
      </c>
      <c r="G1938" s="9">
        <v>0</v>
      </c>
      <c r="H1938" s="9">
        <v>0</v>
      </c>
      <c r="I1938" s="9">
        <v>0</v>
      </c>
      <c r="J1938" s="9">
        <v>91145.57</v>
      </c>
    </row>
    <row r="1939" spans="1:10" ht="15.75" x14ac:dyDescent="0.25">
      <c r="A1939" s="21">
        <v>45473</v>
      </c>
      <c r="B1939" t="str">
        <f>IFERROR(IF(VLOOKUP(C1939,Hoja1!$B$1:$C$6191,2,0)="",_xlfn.XLOOKUP(C1939,Hoja1!$B$2:$B$6191,Hoja1!$A$2:$A$6191),VLOOKUP(C1939,Hoja1!$B$1:$C$6191,2,0)),"No esta en Infor")</f>
        <v>INT0001</v>
      </c>
      <c r="C1939" s="19" t="s">
        <v>134</v>
      </c>
      <c r="D1939" s="9">
        <v>46080.39</v>
      </c>
      <c r="E1939" s="9">
        <v>0</v>
      </c>
      <c r="F1939" s="9">
        <v>0</v>
      </c>
      <c r="G1939" s="9">
        <v>0</v>
      </c>
      <c r="H1939" s="9">
        <v>-531.94000000000005</v>
      </c>
      <c r="I1939" s="9">
        <v>0</v>
      </c>
      <c r="J1939" s="9">
        <v>45548.45</v>
      </c>
    </row>
    <row r="1940" spans="1:10" ht="15.75" x14ac:dyDescent="0.25">
      <c r="A1940" s="21">
        <v>45473</v>
      </c>
      <c r="B1940" t="str">
        <f>IFERROR(IF(VLOOKUP(C1940,Hoja1!$B$1:$C$6191,2,0)="",_xlfn.XLOOKUP(C1940,Hoja1!$B$2:$B$6191,Hoja1!$A$2:$A$6191),VLOOKUP(C1940,Hoja1!$B$1:$C$6191,2,0)),"No esta en Infor")</f>
        <v>INT0065</v>
      </c>
      <c r="C1940" s="19" t="s">
        <v>135</v>
      </c>
      <c r="D1940" s="9">
        <v>17969.419999999998</v>
      </c>
      <c r="E1940" s="9">
        <v>7187.39</v>
      </c>
      <c r="F1940" s="9">
        <v>0</v>
      </c>
      <c r="G1940" s="9">
        <v>-3019.42</v>
      </c>
      <c r="H1940" s="9">
        <v>0</v>
      </c>
      <c r="I1940" s="9">
        <v>-14950</v>
      </c>
      <c r="J1940" s="9">
        <v>7187.39</v>
      </c>
    </row>
    <row r="1941" spans="1:10" ht="15.75" x14ac:dyDescent="0.25">
      <c r="A1941" s="21">
        <v>45473</v>
      </c>
      <c r="B1941" t="str">
        <f>IFERROR(IF(VLOOKUP(C1941,Hoja1!$B$1:$C$6191,2,0)="",_xlfn.XLOOKUP(C1941,Hoja1!$B$2:$B$6191,Hoja1!$A$2:$A$6191),VLOOKUP(C1941,Hoja1!$B$1:$C$6191,2,0)),"No esta en Infor")</f>
        <v>INT0009</v>
      </c>
      <c r="C1941" t="s">
        <v>658</v>
      </c>
      <c r="D1941" s="9">
        <v>23147.45</v>
      </c>
      <c r="E1941" s="9">
        <v>23157.3</v>
      </c>
      <c r="F1941" s="9">
        <v>9650.41</v>
      </c>
      <c r="G1941" s="9">
        <v>0</v>
      </c>
      <c r="H1941" s="9">
        <v>0</v>
      </c>
      <c r="I1941" s="9">
        <v>-14950</v>
      </c>
      <c r="J1941" s="9">
        <v>41005.160000000003</v>
      </c>
    </row>
    <row r="1942" spans="1:10" ht="15.75" x14ac:dyDescent="0.25">
      <c r="A1942" s="21">
        <v>45473</v>
      </c>
      <c r="B1942" t="str">
        <f>IFERROR(IF(VLOOKUP(C1942,Hoja1!$B$1:$C$6191,2,0)="",_xlfn.XLOOKUP(C1942,Hoja1!$B$2:$B$6191,Hoja1!$A$2:$A$6191),VLOOKUP(C1942,Hoja1!$B$1:$C$6191,2,0)),"No esta en Infor")</f>
        <v>INT0060</v>
      </c>
      <c r="C1942" s="19" t="s">
        <v>136</v>
      </c>
      <c r="D1942" s="9">
        <v>147</v>
      </c>
      <c r="E1942" s="9">
        <v>15869.74</v>
      </c>
      <c r="F1942" s="9">
        <v>6209.18</v>
      </c>
      <c r="G1942" s="9">
        <v>132.58000000000001</v>
      </c>
      <c r="H1942" s="9">
        <v>4986.5</v>
      </c>
      <c r="I1942" s="9">
        <v>15465.43</v>
      </c>
      <c r="J1942" s="9">
        <v>42810.43</v>
      </c>
    </row>
    <row r="1943" spans="1:10" ht="15.75" x14ac:dyDescent="0.25">
      <c r="A1943" s="21">
        <v>45473</v>
      </c>
      <c r="B1943" t="str">
        <f>IFERROR(IF(VLOOKUP(C1943,Hoja1!$B$1:$C$6191,2,0)="",_xlfn.XLOOKUP(C1943,Hoja1!$B$2:$B$6191,Hoja1!$A$2:$A$6191),VLOOKUP(C1943,Hoja1!$B$1:$C$6191,2,0)),"No esta en Infor")</f>
        <v>NAC0708</v>
      </c>
      <c r="C1943" s="19" t="s">
        <v>549</v>
      </c>
      <c r="D1943" s="9">
        <v>0</v>
      </c>
      <c r="E1943" s="9">
        <v>-1015</v>
      </c>
      <c r="F1943" s="9">
        <v>0</v>
      </c>
      <c r="G1943" s="9">
        <v>0</v>
      </c>
      <c r="H1943" s="9">
        <v>0</v>
      </c>
      <c r="I1943" s="9">
        <v>0</v>
      </c>
      <c r="J1943" s="9">
        <v>-1015</v>
      </c>
    </row>
    <row r="1944" spans="1:10" ht="15.75" x14ac:dyDescent="0.25">
      <c r="A1944" s="21">
        <v>45473</v>
      </c>
      <c r="B1944" t="str">
        <f>IFERROR(IF(VLOOKUP(C1944,Hoja1!$B$1:$C$6191,2,0)="",_xlfn.XLOOKUP(C1944,Hoja1!$B$2:$B$6191,Hoja1!$A$2:$A$6191),VLOOKUP(C1944,Hoja1!$B$1:$C$6191,2,0)),"No esta en Infor")</f>
        <v>NAC0710</v>
      </c>
      <c r="C1944" s="19" t="s">
        <v>140</v>
      </c>
      <c r="D1944" s="9">
        <v>2276</v>
      </c>
      <c r="E1944" s="9">
        <v>1398</v>
      </c>
      <c r="F1944" s="9">
        <v>0</v>
      </c>
      <c r="G1944" s="9">
        <v>0</v>
      </c>
      <c r="H1944" s="9">
        <v>0</v>
      </c>
      <c r="I1944" s="9">
        <v>0</v>
      </c>
      <c r="J1944" s="9">
        <v>3674</v>
      </c>
    </row>
    <row r="1945" spans="1:10" ht="15.75" x14ac:dyDescent="0.25">
      <c r="A1945" s="21">
        <v>45473</v>
      </c>
      <c r="B1945" t="str">
        <f>IFERROR(IF(VLOOKUP(C1945,Hoja1!$B$1:$C$6191,2,0)="",_xlfn.XLOOKUP(C1945,Hoja1!$B$2:$B$6191,Hoja1!$A$2:$A$6191),VLOOKUP(C1945,Hoja1!$B$1:$C$6191,2,0)),"No esta en Infor")</f>
        <v>FOC0023</v>
      </c>
      <c r="C1945" s="19" t="s">
        <v>143</v>
      </c>
      <c r="D1945" s="9">
        <v>2936.25</v>
      </c>
      <c r="E1945" s="9">
        <v>0</v>
      </c>
      <c r="F1945" s="9">
        <v>18335</v>
      </c>
      <c r="G1945" s="9">
        <v>-16672.84</v>
      </c>
      <c r="H1945" s="9">
        <v>0</v>
      </c>
      <c r="I1945" s="9">
        <v>20523.25</v>
      </c>
      <c r="J1945" s="9">
        <v>25121.66</v>
      </c>
    </row>
    <row r="1946" spans="1:10" ht="15.75" x14ac:dyDescent="0.25">
      <c r="A1946" s="21">
        <v>45473</v>
      </c>
      <c r="B1946" t="str">
        <f>IFERROR(IF(VLOOKUP(C1946,Hoja1!$B$1:$C$6191,2,0)="",_xlfn.XLOOKUP(C1946,Hoja1!$B$2:$B$6191,Hoja1!$A$2:$A$6191),VLOOKUP(C1946,Hoja1!$B$1:$C$6191,2,0)),"No esta en Infor")</f>
        <v>SH00642</v>
      </c>
      <c r="C1946" s="19" t="s">
        <v>144</v>
      </c>
      <c r="D1946" s="9">
        <v>0</v>
      </c>
      <c r="E1946" s="9">
        <v>0</v>
      </c>
      <c r="F1946" s="9">
        <v>0</v>
      </c>
      <c r="G1946" s="9">
        <v>323.89</v>
      </c>
      <c r="H1946" s="9">
        <v>0</v>
      </c>
      <c r="I1946" s="9">
        <v>0</v>
      </c>
      <c r="J1946" s="9">
        <v>323.89</v>
      </c>
    </row>
    <row r="1947" spans="1:10" ht="15.75" x14ac:dyDescent="0.25">
      <c r="A1947" s="21">
        <v>45473</v>
      </c>
      <c r="B1947" t="str">
        <f>IFERROR(IF(VLOOKUP(C1947,Hoja1!$B$1:$C$6191,2,0)="",_xlfn.XLOOKUP(C1947,Hoja1!$B$2:$B$6191,Hoja1!$A$2:$A$6191),VLOOKUP(C1947,Hoja1!$B$1:$C$6191,2,0)),"No esta en Infor")</f>
        <v>NAC0726</v>
      </c>
      <c r="C1947" s="19" t="s">
        <v>147</v>
      </c>
      <c r="D1947" s="9">
        <v>614</v>
      </c>
      <c r="E1947" s="9">
        <v>71.28</v>
      </c>
      <c r="F1947" s="9">
        <v>0</v>
      </c>
      <c r="G1947" s="9">
        <v>0</v>
      </c>
      <c r="H1947" s="9">
        <v>0</v>
      </c>
      <c r="I1947" s="9">
        <v>0</v>
      </c>
      <c r="J1947" s="9">
        <v>685.28</v>
      </c>
    </row>
    <row r="1948" spans="1:10" ht="15.75" x14ac:dyDescent="0.25">
      <c r="A1948" s="21">
        <v>45473</v>
      </c>
      <c r="B1948" t="str">
        <f>IFERROR(IF(VLOOKUP(C1948,Hoja1!$B$1:$C$6191,2,0)="",_xlfn.XLOOKUP(C1948,Hoja1!$B$2:$B$6191,Hoja1!$A$2:$A$6191),VLOOKUP(C1948,Hoja1!$B$1:$C$6191,2,0)),"No esta en Infor")</f>
        <v>NAC0734</v>
      </c>
      <c r="C1948" s="19" t="s">
        <v>149</v>
      </c>
      <c r="D1948" s="9">
        <v>311.66000000000003</v>
      </c>
      <c r="E1948" s="9">
        <v>235.64</v>
      </c>
      <c r="F1948" s="9">
        <v>0</v>
      </c>
      <c r="G1948" s="9">
        <v>0</v>
      </c>
      <c r="H1948" s="9">
        <v>0</v>
      </c>
      <c r="I1948" s="9">
        <v>0</v>
      </c>
      <c r="J1948" s="9">
        <v>547.29999999999995</v>
      </c>
    </row>
    <row r="1949" spans="1:10" ht="15.75" x14ac:dyDescent="0.25">
      <c r="A1949" s="21">
        <v>45473</v>
      </c>
      <c r="B1949" t="str">
        <f>IFERROR(IF(VLOOKUP(C1949,Hoja1!$B$1:$C$6191,2,0)="",_xlfn.XLOOKUP(C1949,Hoja1!$B$2:$B$6191,Hoja1!$A$2:$A$6191),VLOOKUP(C1949,Hoja1!$B$1:$C$6191,2,0)),"No esta en Infor")</f>
        <v>NAC0738</v>
      </c>
      <c r="C1949" s="19" t="s">
        <v>150</v>
      </c>
      <c r="D1949" s="9">
        <v>756</v>
      </c>
      <c r="E1949" s="9">
        <v>196.64</v>
      </c>
      <c r="F1949" s="9">
        <v>-15.64</v>
      </c>
      <c r="G1949" s="9">
        <v>0</v>
      </c>
      <c r="H1949" s="9">
        <v>0</v>
      </c>
      <c r="I1949" s="9">
        <v>0</v>
      </c>
      <c r="J1949" s="9">
        <v>937</v>
      </c>
    </row>
    <row r="1950" spans="1:10" ht="15.75" x14ac:dyDescent="0.25">
      <c r="A1950" s="21">
        <v>45473</v>
      </c>
      <c r="B1950" t="str">
        <f>IFERROR(IF(VLOOKUP(C1950,Hoja1!$B$1:$C$6191,2,0)="",_xlfn.XLOOKUP(C1950,Hoja1!$B$2:$B$6191,Hoja1!$A$2:$A$6191),VLOOKUP(C1950,Hoja1!$B$1:$C$6191,2,0)),"No esta en Infor")</f>
        <v>NAC0740</v>
      </c>
      <c r="C1950" s="19" t="s">
        <v>151</v>
      </c>
      <c r="D1950" s="9">
        <v>0</v>
      </c>
      <c r="E1950" s="9">
        <v>60</v>
      </c>
      <c r="F1950" s="9">
        <v>0</v>
      </c>
      <c r="G1950" s="9">
        <v>0</v>
      </c>
      <c r="H1950" s="9">
        <v>92.24</v>
      </c>
      <c r="I1950" s="9">
        <v>4.1399999999999997</v>
      </c>
      <c r="J1950" s="9">
        <v>156.38</v>
      </c>
    </row>
    <row r="1951" spans="1:10" ht="15.75" x14ac:dyDescent="0.25">
      <c r="A1951" s="21">
        <v>45473</v>
      </c>
      <c r="B1951" t="str">
        <f>IFERROR(IF(VLOOKUP(C1951,Hoja1!$B$1:$C$6191,2,0)="",_xlfn.XLOOKUP(C1951,Hoja1!$B$2:$B$6191,Hoja1!$A$2:$A$6191),VLOOKUP(C1951,Hoja1!$B$1:$C$6191,2,0)),"No esta en Infor")</f>
        <v>NAC0759</v>
      </c>
      <c r="C1951" s="19" t="s">
        <v>581</v>
      </c>
      <c r="D1951" s="9">
        <v>269.27</v>
      </c>
      <c r="E1951" s="9">
        <v>0</v>
      </c>
      <c r="F1951" s="9">
        <v>0</v>
      </c>
      <c r="G1951" s="9">
        <v>0</v>
      </c>
      <c r="H1951" s="9">
        <v>0</v>
      </c>
      <c r="I1951" s="9">
        <v>0</v>
      </c>
      <c r="J1951" s="9">
        <v>269.27</v>
      </c>
    </row>
    <row r="1952" spans="1:10" ht="15.75" x14ac:dyDescent="0.25">
      <c r="A1952" s="21">
        <v>45473</v>
      </c>
      <c r="B1952" t="str">
        <f>IFERROR(IF(VLOOKUP(C1952,Hoja1!$B$1:$C$6191,2,0)="",_xlfn.XLOOKUP(C1952,Hoja1!$B$2:$B$6191,Hoja1!$A$2:$A$6191),VLOOKUP(C1952,Hoja1!$B$1:$C$6191,2,0)),"No esta en Infor")</f>
        <v>NAC0756</v>
      </c>
      <c r="C1952" s="19" t="s">
        <v>154</v>
      </c>
      <c r="D1952" s="9">
        <v>0</v>
      </c>
      <c r="E1952" s="9">
        <v>0</v>
      </c>
      <c r="F1952" s="9">
        <v>0</v>
      </c>
      <c r="G1952" s="9">
        <v>-3.79</v>
      </c>
      <c r="H1952" s="9">
        <v>0</v>
      </c>
      <c r="I1952" s="9">
        <v>0</v>
      </c>
      <c r="J1952" s="9">
        <v>-3.79</v>
      </c>
    </row>
    <row r="1953" spans="1:10" ht="15.75" x14ac:dyDescent="0.25">
      <c r="A1953" s="21">
        <v>45473</v>
      </c>
      <c r="B1953" t="str">
        <f>IFERROR(IF(VLOOKUP(C1953,Hoja1!$B$1:$C$6191,2,0)="",_xlfn.XLOOKUP(C1953,Hoja1!$B$2:$B$6191,Hoja1!$A$2:$A$6191),VLOOKUP(C1953,Hoja1!$B$1:$C$6191,2,0)),"No esta en Infor")</f>
        <v>NAC0767</v>
      </c>
      <c r="C1953" s="19" t="s">
        <v>155</v>
      </c>
      <c r="D1953" s="9">
        <v>-6341</v>
      </c>
      <c r="E1953" s="9">
        <v>-4416</v>
      </c>
      <c r="F1953" s="9">
        <v>0</v>
      </c>
      <c r="G1953" s="9">
        <v>0</v>
      </c>
      <c r="H1953" s="9">
        <v>-36</v>
      </c>
      <c r="I1953" s="9">
        <v>-20951.900000000001</v>
      </c>
      <c r="J1953" s="9">
        <v>-31744.9</v>
      </c>
    </row>
    <row r="1954" spans="1:10" ht="15.75" x14ac:dyDescent="0.25">
      <c r="A1954" s="21">
        <v>45473</v>
      </c>
      <c r="B1954" t="str">
        <f>IFERROR(IF(VLOOKUP(C1954,Hoja1!$B$1:$C$6191,2,0)="",_xlfn.XLOOKUP(C1954,Hoja1!$B$2:$B$6191,Hoja1!$A$2:$A$6191),VLOOKUP(C1954,Hoja1!$B$1:$C$6191,2,0)),"No esta en Infor")</f>
        <v>NAC0769</v>
      </c>
      <c r="C1954" s="19" t="s">
        <v>156</v>
      </c>
      <c r="D1954" s="9">
        <v>551</v>
      </c>
      <c r="E1954" s="9">
        <v>8036.06</v>
      </c>
      <c r="F1954" s="9">
        <v>0</v>
      </c>
      <c r="G1954" s="9">
        <v>0</v>
      </c>
      <c r="H1954" s="9">
        <v>0</v>
      </c>
      <c r="I1954" s="9">
        <v>0</v>
      </c>
      <c r="J1954" s="9">
        <v>8587.06</v>
      </c>
    </row>
    <row r="1955" spans="1:10" ht="15.75" x14ac:dyDescent="0.25">
      <c r="A1955" s="21">
        <v>45473</v>
      </c>
      <c r="B1955" t="str">
        <f>IFERROR(IF(VLOOKUP(C1955,Hoja1!$B$1:$C$6191,2,0)="",_xlfn.XLOOKUP(C1955,Hoja1!$B$2:$B$6191,Hoja1!$A$2:$A$6191),VLOOKUP(C1955,Hoja1!$B$1:$C$6191,2,0)),"No esta en Infor")</f>
        <v>NAC0773</v>
      </c>
      <c r="C1955" s="19" t="s">
        <v>157</v>
      </c>
      <c r="D1955" s="9">
        <v>0</v>
      </c>
      <c r="E1955" s="9">
        <v>202.63</v>
      </c>
      <c r="F1955" s="9">
        <v>0</v>
      </c>
      <c r="G1955" s="9">
        <v>0</v>
      </c>
      <c r="H1955" s="9">
        <v>0</v>
      </c>
      <c r="I1955" s="9">
        <v>0</v>
      </c>
      <c r="J1955" s="9">
        <v>202.63</v>
      </c>
    </row>
    <row r="1956" spans="1:10" ht="15.75" x14ac:dyDescent="0.25">
      <c r="A1956" s="21">
        <v>45473</v>
      </c>
      <c r="B1956" t="str">
        <f>IFERROR(IF(VLOOKUP(C1956,Hoja1!$B$1:$C$6191,2,0)="",_xlfn.XLOOKUP(C1956,Hoja1!$B$2:$B$6191,Hoja1!$A$2:$A$6191),VLOOKUP(C1956,Hoja1!$B$1:$C$6191,2,0)),"No esta en Infor")</f>
        <v>NAC0778</v>
      </c>
      <c r="C1956" s="19" t="s">
        <v>159</v>
      </c>
      <c r="D1956" s="9">
        <v>0</v>
      </c>
      <c r="E1956" s="9">
        <v>0</v>
      </c>
      <c r="F1956" s="9">
        <v>0</v>
      </c>
      <c r="G1956" s="9">
        <v>-781.38</v>
      </c>
      <c r="H1956" s="9">
        <v>0</v>
      </c>
      <c r="I1956" s="9">
        <v>0</v>
      </c>
      <c r="J1956" s="9">
        <v>-781.38</v>
      </c>
    </row>
    <row r="1957" spans="1:10" ht="15.75" x14ac:dyDescent="0.25">
      <c r="A1957" s="21">
        <v>45473</v>
      </c>
      <c r="B1957" t="str">
        <f>IFERROR(IF(VLOOKUP(C1957,Hoja1!$B$1:$C$6191,2,0)="",_xlfn.XLOOKUP(C1957,Hoja1!$B$2:$B$6191,Hoja1!$A$2:$A$6191),VLOOKUP(C1957,Hoja1!$B$1:$C$6191,2,0)),"No esta en Infor")</f>
        <v>NAC0781</v>
      </c>
      <c r="C1957" s="19" t="s">
        <v>162</v>
      </c>
      <c r="D1957" s="9">
        <v>0</v>
      </c>
      <c r="E1957" s="9">
        <v>0</v>
      </c>
      <c r="F1957" s="9">
        <v>0</v>
      </c>
      <c r="G1957" s="9">
        <v>-340</v>
      </c>
      <c r="H1957" s="9">
        <v>0</v>
      </c>
      <c r="I1957" s="9">
        <v>-390</v>
      </c>
      <c r="J1957" s="9">
        <v>-730</v>
      </c>
    </row>
    <row r="1958" spans="1:10" ht="15.75" x14ac:dyDescent="0.25">
      <c r="A1958" s="21">
        <v>45473</v>
      </c>
      <c r="B1958" t="str">
        <f>IFERROR(IF(VLOOKUP(C1958,Hoja1!$B$1:$C$6191,2,0)="",_xlfn.XLOOKUP(C1958,Hoja1!$B$2:$B$6191,Hoja1!$A$2:$A$6191),VLOOKUP(C1958,Hoja1!$B$1:$C$6191,2,0)),"No esta en Infor")</f>
        <v>NAC0782</v>
      </c>
      <c r="C1958" s="19" t="s">
        <v>496</v>
      </c>
      <c r="D1958" s="9">
        <v>0</v>
      </c>
      <c r="E1958" s="9">
        <v>154</v>
      </c>
      <c r="F1958" s="9">
        <v>0</v>
      </c>
      <c r="G1958" s="9">
        <v>0</v>
      </c>
      <c r="H1958" s="9">
        <v>0</v>
      </c>
      <c r="I1958" s="9">
        <v>0</v>
      </c>
      <c r="J1958" s="9">
        <v>154</v>
      </c>
    </row>
    <row r="1959" spans="1:10" ht="15.75" x14ac:dyDescent="0.25">
      <c r="A1959" s="21">
        <v>45473</v>
      </c>
      <c r="B1959" t="str">
        <f>IFERROR(IF(VLOOKUP(C1959,Hoja1!$B$1:$C$6191,2,0)="",_xlfn.XLOOKUP(C1959,Hoja1!$B$2:$B$6191,Hoja1!$A$2:$A$6191),VLOOKUP(C1959,Hoja1!$B$1:$C$6191,2,0)),"No esta en Infor")</f>
        <v>NAC0792</v>
      </c>
      <c r="C1959" s="19" t="s">
        <v>164</v>
      </c>
      <c r="D1959" s="9">
        <v>13126.8</v>
      </c>
      <c r="E1959" s="9">
        <v>835.2</v>
      </c>
      <c r="F1959" s="9">
        <v>0</v>
      </c>
      <c r="G1959" s="9">
        <v>0</v>
      </c>
      <c r="H1959" s="9">
        <v>0</v>
      </c>
      <c r="I1959" s="9">
        <v>0</v>
      </c>
      <c r="J1959" s="9">
        <v>13962</v>
      </c>
    </row>
    <row r="1960" spans="1:10" ht="15.75" x14ac:dyDescent="0.25">
      <c r="A1960" s="21">
        <v>45473</v>
      </c>
      <c r="B1960" t="str">
        <f>IFERROR(IF(VLOOKUP(C1960,Hoja1!$B$1:$C$6191,2,0)="",_xlfn.XLOOKUP(C1960,Hoja1!$B$2:$B$6191,Hoja1!$A$2:$A$6191),VLOOKUP(C1960,Hoja1!$B$1:$C$6191,2,0)),"No esta en Infor")</f>
        <v>NAC1612</v>
      </c>
      <c r="C1960" s="19" t="s">
        <v>551</v>
      </c>
      <c r="D1960" s="9">
        <v>0</v>
      </c>
      <c r="E1960" s="9">
        <v>0</v>
      </c>
      <c r="F1960" s="9">
        <v>-0.02</v>
      </c>
      <c r="G1960" s="9">
        <v>0</v>
      </c>
      <c r="H1960" s="9">
        <v>0</v>
      </c>
      <c r="I1960" s="9">
        <v>0</v>
      </c>
      <c r="J1960" s="9">
        <v>-0.02</v>
      </c>
    </row>
    <row r="1961" spans="1:10" ht="15.75" x14ac:dyDescent="0.25">
      <c r="A1961" s="21">
        <v>45473</v>
      </c>
      <c r="B1961" t="str">
        <f>IFERROR(IF(VLOOKUP(C1961,Hoja1!$B$1:$C$6191,2,0)="",_xlfn.XLOOKUP(C1961,Hoja1!$B$2:$B$6191,Hoja1!$A$2:$A$6191),VLOOKUP(C1961,Hoja1!$B$1:$C$6191,2,0)),"No esta en Infor")</f>
        <v>NAC0804</v>
      </c>
      <c r="C1961" s="19" t="s">
        <v>169</v>
      </c>
      <c r="D1961" s="9">
        <v>1753.45</v>
      </c>
      <c r="E1961" s="9">
        <v>0</v>
      </c>
      <c r="F1961" s="9">
        <v>0</v>
      </c>
      <c r="G1961" s="9">
        <v>0</v>
      </c>
      <c r="H1961" s="9">
        <v>0</v>
      </c>
      <c r="I1961" s="9">
        <v>0</v>
      </c>
      <c r="J1961" s="9">
        <v>1753.45</v>
      </c>
    </row>
    <row r="1962" spans="1:10" ht="15.75" x14ac:dyDescent="0.25">
      <c r="A1962" s="21">
        <v>45473</v>
      </c>
      <c r="B1962" t="str">
        <f>IFERROR(IF(VLOOKUP(C1962,Hoja1!$B$1:$C$6191,2,0)="",_xlfn.XLOOKUP(C1962,Hoja1!$B$2:$B$6191,Hoja1!$A$2:$A$6191),VLOOKUP(C1962,Hoja1!$B$1:$C$6191,2,0)),"No esta en Infor")</f>
        <v>CAN0019</v>
      </c>
      <c r="C1962" s="19" t="s">
        <v>172</v>
      </c>
      <c r="D1962" s="9">
        <v>16895.54</v>
      </c>
      <c r="E1962" s="9">
        <v>0</v>
      </c>
      <c r="F1962" s="9">
        <v>0</v>
      </c>
      <c r="G1962" s="9">
        <v>0</v>
      </c>
      <c r="H1962" s="9">
        <v>0</v>
      </c>
      <c r="I1962" s="9">
        <v>0</v>
      </c>
      <c r="J1962" s="9">
        <v>16895.54</v>
      </c>
    </row>
    <row r="1963" spans="1:10" ht="15.75" x14ac:dyDescent="0.25">
      <c r="A1963" s="21">
        <v>45473</v>
      </c>
      <c r="B1963" t="str">
        <f>IFERROR(IF(VLOOKUP(C1963,Hoja1!$B$1:$C$6191,2,0)="",_xlfn.XLOOKUP(C1963,Hoja1!$B$2:$B$6191,Hoja1!$A$2:$A$6191),VLOOKUP(C1963,Hoja1!$B$1:$C$6191,2,0)),"No esta en Infor")</f>
        <v>No esta en Infor</v>
      </c>
      <c r="C1963" s="19" t="s">
        <v>552</v>
      </c>
      <c r="D1963" s="9">
        <v>0</v>
      </c>
      <c r="E1963" s="9">
        <v>-6.34</v>
      </c>
      <c r="F1963" s="9">
        <v>0</v>
      </c>
      <c r="G1963" s="9">
        <v>0</v>
      </c>
      <c r="H1963" s="9">
        <v>0</v>
      </c>
      <c r="I1963" s="9">
        <v>0</v>
      </c>
      <c r="J1963" s="9">
        <v>-6.34</v>
      </c>
    </row>
    <row r="1964" spans="1:10" ht="15.75" x14ac:dyDescent="0.25">
      <c r="A1964" s="21">
        <v>45473</v>
      </c>
      <c r="B1964" t="str">
        <f>IFERROR(IF(VLOOKUP(C1964,Hoja1!$B$1:$C$6191,2,0)="",_xlfn.XLOOKUP(C1964,Hoja1!$B$2:$B$6191,Hoja1!$A$2:$A$6191),VLOOKUP(C1964,Hoja1!$B$1:$C$6191,2,0)),"No esta en Infor")</f>
        <v>CAN0020</v>
      </c>
      <c r="C1964" s="19" t="s">
        <v>174</v>
      </c>
      <c r="D1964" s="9">
        <v>0</v>
      </c>
      <c r="E1964" s="9">
        <v>5525.4</v>
      </c>
      <c r="F1964" s="9">
        <v>0</v>
      </c>
      <c r="G1964" s="9">
        <v>0</v>
      </c>
      <c r="H1964" s="9">
        <v>0</v>
      </c>
      <c r="I1964" s="9">
        <v>0</v>
      </c>
      <c r="J1964" s="9">
        <v>5525.4</v>
      </c>
    </row>
    <row r="1965" spans="1:10" ht="15.75" x14ac:dyDescent="0.25">
      <c r="A1965" s="21">
        <v>45473</v>
      </c>
      <c r="B1965" t="str">
        <f>IFERROR(IF(VLOOKUP(C1965,Hoja1!$B$1:$C$6191,2,0)="",_xlfn.XLOOKUP(C1965,Hoja1!$B$2:$B$6191,Hoja1!$A$2:$A$6191),VLOOKUP(C1965,Hoja1!$B$1:$C$6191,2,0)),"No esta en Infor")</f>
        <v>NAC0823</v>
      </c>
      <c r="C1965" s="19" t="s">
        <v>497</v>
      </c>
      <c r="D1965" s="9">
        <v>0</v>
      </c>
      <c r="E1965" s="9">
        <v>64.489999999999995</v>
      </c>
      <c r="F1965" s="9">
        <v>0</v>
      </c>
      <c r="G1965" s="9">
        <v>0</v>
      </c>
      <c r="H1965" s="9">
        <v>0</v>
      </c>
      <c r="I1965" s="9">
        <v>0</v>
      </c>
      <c r="J1965" s="9">
        <v>64.489999999999995</v>
      </c>
    </row>
    <row r="1966" spans="1:10" ht="15.75" x14ac:dyDescent="0.25">
      <c r="A1966" s="21">
        <v>45473</v>
      </c>
      <c r="B1966" t="str">
        <f>IFERROR(IF(VLOOKUP(C1966,Hoja1!$B$1:$C$6191,2,0)="",_xlfn.XLOOKUP(C1966,Hoja1!$B$2:$B$6191,Hoja1!$A$2:$A$6191),VLOOKUP(C1966,Hoja1!$B$1:$C$6191,2,0)),"No esta en Infor")</f>
        <v>NAC0824</v>
      </c>
      <c r="C1966" s="19" t="s">
        <v>178</v>
      </c>
      <c r="D1966" s="9">
        <v>0</v>
      </c>
      <c r="E1966" s="9">
        <v>1672</v>
      </c>
      <c r="F1966" s="9">
        <v>0</v>
      </c>
      <c r="G1966" s="9">
        <v>0</v>
      </c>
      <c r="H1966" s="9">
        <v>0</v>
      </c>
      <c r="I1966" s="9">
        <v>0</v>
      </c>
      <c r="J1966" s="9">
        <v>1672</v>
      </c>
    </row>
    <row r="1967" spans="1:10" ht="15.75" x14ac:dyDescent="0.25">
      <c r="A1967" s="21">
        <v>45473</v>
      </c>
      <c r="B1967" t="str">
        <f>IFERROR(IF(VLOOKUP(C1967,Hoja1!$B$1:$C$6191,2,0)="",_xlfn.XLOOKUP(C1967,Hoja1!$B$2:$B$6191,Hoja1!$A$2:$A$6191),VLOOKUP(C1967,Hoja1!$B$1:$C$6191,2,0)),"No esta en Infor")</f>
        <v>NAC0825</v>
      </c>
      <c r="C1967" s="19" t="s">
        <v>179</v>
      </c>
      <c r="D1967" s="9">
        <v>11314.8</v>
      </c>
      <c r="E1967" s="9">
        <v>0</v>
      </c>
      <c r="F1967" s="9">
        <v>0</v>
      </c>
      <c r="G1967" s="9">
        <v>0</v>
      </c>
      <c r="H1967" s="9">
        <v>0</v>
      </c>
      <c r="I1967" s="9">
        <v>0</v>
      </c>
      <c r="J1967" s="9">
        <v>11314.8</v>
      </c>
    </row>
    <row r="1968" spans="1:10" ht="15.75" x14ac:dyDescent="0.25">
      <c r="A1968" s="21">
        <v>45473</v>
      </c>
      <c r="B1968" t="str">
        <f>IFERROR(IF(VLOOKUP(C1968,Hoja1!$B$1:$C$6191,2,0)="",_xlfn.XLOOKUP(C1968,Hoja1!$B$2:$B$6191,Hoja1!$A$2:$A$6191),VLOOKUP(C1968,Hoja1!$B$1:$C$6191,2,0)),"No esta en Infor")</f>
        <v>NAC0847</v>
      </c>
      <c r="C1968" s="19" t="s">
        <v>184</v>
      </c>
      <c r="D1968" s="9">
        <v>0</v>
      </c>
      <c r="E1968" s="9">
        <v>0</v>
      </c>
      <c r="F1968" s="9">
        <v>0</v>
      </c>
      <c r="G1968" s="9">
        <v>0</v>
      </c>
      <c r="H1968" s="9">
        <v>-1</v>
      </c>
      <c r="I1968" s="9">
        <v>0</v>
      </c>
      <c r="J1968" s="9">
        <v>-1</v>
      </c>
    </row>
    <row r="1969" spans="1:10" ht="15.75" x14ac:dyDescent="0.25">
      <c r="A1969" s="21">
        <v>45473</v>
      </c>
      <c r="B1969" t="str">
        <f>IFERROR(IF(VLOOKUP(C1969,Hoja1!$B$1:$C$6191,2,0)="",_xlfn.XLOOKUP(C1969,Hoja1!$B$2:$B$6191,Hoja1!$A$2:$A$6191),VLOOKUP(C1969,Hoja1!$B$1:$C$6191,2,0)),"No esta en Infor")</f>
        <v>NAC0851</v>
      </c>
      <c r="C1969" s="19" t="s">
        <v>185</v>
      </c>
      <c r="D1969" s="9">
        <v>0</v>
      </c>
      <c r="E1969" s="9">
        <v>0</v>
      </c>
      <c r="F1969" s="9">
        <v>-151.19999999999999</v>
      </c>
      <c r="G1969" s="9">
        <v>-680.4</v>
      </c>
      <c r="H1969" s="9">
        <v>0</v>
      </c>
      <c r="I1969" s="9">
        <v>0</v>
      </c>
      <c r="J1969" s="9">
        <v>-831.6</v>
      </c>
    </row>
    <row r="1970" spans="1:10" ht="15.75" x14ac:dyDescent="0.25">
      <c r="A1970" s="21">
        <v>45473</v>
      </c>
      <c r="B1970" t="str">
        <f>IFERROR(IF(VLOOKUP(C1970,Hoja1!$B$1:$C$6191,2,0)="",_xlfn.XLOOKUP(C1970,Hoja1!$B$2:$B$6191,Hoja1!$A$2:$A$6191),VLOOKUP(C1970,Hoja1!$B$1:$C$6191,2,0)),"No esta en Infor")</f>
        <v>SH00787</v>
      </c>
      <c r="C1970" s="19" t="s">
        <v>186</v>
      </c>
      <c r="D1970" s="9">
        <v>0</v>
      </c>
      <c r="E1970" s="9">
        <v>0</v>
      </c>
      <c r="F1970" s="9">
        <v>0</v>
      </c>
      <c r="G1970" s="9">
        <v>174.63</v>
      </c>
      <c r="H1970" s="9">
        <v>0</v>
      </c>
      <c r="I1970" s="9">
        <v>0</v>
      </c>
      <c r="J1970" s="9">
        <v>174.63</v>
      </c>
    </row>
    <row r="1971" spans="1:10" ht="15.75" x14ac:dyDescent="0.25">
      <c r="A1971" s="21">
        <v>45473</v>
      </c>
      <c r="B1971" t="str">
        <f>IFERROR(IF(VLOOKUP(C1971,Hoja1!$B$1:$C$6191,2,0)="",_xlfn.XLOOKUP(C1971,Hoja1!$B$2:$B$6191,Hoja1!$A$2:$A$6191),VLOOKUP(C1971,Hoja1!$B$1:$C$6191,2,0)),"No esta en Infor")</f>
        <v>NAC0862</v>
      </c>
      <c r="C1971" s="19" t="s">
        <v>190</v>
      </c>
      <c r="D1971" s="9">
        <v>762.39</v>
      </c>
      <c r="E1971" s="9">
        <v>96.3</v>
      </c>
      <c r="F1971" s="9">
        <v>0</v>
      </c>
      <c r="G1971" s="9">
        <v>0</v>
      </c>
      <c r="H1971" s="9">
        <v>0</v>
      </c>
      <c r="I1971" s="9">
        <v>0</v>
      </c>
      <c r="J1971" s="9">
        <v>858.69</v>
      </c>
    </row>
    <row r="1972" spans="1:10" ht="15.75" x14ac:dyDescent="0.25">
      <c r="A1972" s="21">
        <v>45473</v>
      </c>
      <c r="B1972" t="str">
        <f>IFERROR(IF(VLOOKUP(C1972,Hoja1!$B$1:$C$6191,2,0)="",_xlfn.XLOOKUP(C1972,Hoja1!$B$2:$B$6191,Hoja1!$A$2:$A$6191),VLOOKUP(C1972,Hoja1!$B$1:$C$6191,2,0)),"No esta en Infor")</f>
        <v>NAC0863</v>
      </c>
      <c r="C1972" s="19" t="s">
        <v>398</v>
      </c>
      <c r="D1972" s="9">
        <v>0</v>
      </c>
      <c r="E1972" s="9">
        <v>0</v>
      </c>
      <c r="F1972" s="9">
        <v>-49.92</v>
      </c>
      <c r="G1972" s="9">
        <v>0</v>
      </c>
      <c r="H1972" s="9">
        <v>0</v>
      </c>
      <c r="I1972" s="9">
        <v>0</v>
      </c>
      <c r="J1972" s="9">
        <v>-49.92</v>
      </c>
    </row>
    <row r="1973" spans="1:10" ht="15.75" x14ac:dyDescent="0.25">
      <c r="A1973" s="21">
        <v>45473</v>
      </c>
      <c r="B1973" t="str">
        <f>IFERROR(IF(VLOOKUP(C1973,Hoja1!$B$1:$C$6191,2,0)="",_xlfn.XLOOKUP(C1973,Hoja1!$B$2:$B$6191,Hoja1!$A$2:$A$6191),VLOOKUP(C1973,Hoja1!$B$1:$C$6191,2,0)),"No esta en Infor")</f>
        <v>NAC0865</v>
      </c>
      <c r="C1973" s="19" t="s">
        <v>23</v>
      </c>
      <c r="D1973" s="9">
        <v>2449</v>
      </c>
      <c r="E1973" s="9">
        <v>4189</v>
      </c>
      <c r="F1973" s="9">
        <v>0</v>
      </c>
      <c r="G1973" s="9">
        <v>0</v>
      </c>
      <c r="H1973" s="9">
        <v>0</v>
      </c>
      <c r="I1973" s="9">
        <v>0</v>
      </c>
      <c r="J1973" s="9">
        <v>6638</v>
      </c>
    </row>
    <row r="1974" spans="1:10" ht="15.75" x14ac:dyDescent="0.25">
      <c r="A1974" s="21">
        <v>45473</v>
      </c>
      <c r="B1974" t="str">
        <f>IFERROR(IF(VLOOKUP(C1974,Hoja1!$B$1:$C$6191,2,0)="",_xlfn.XLOOKUP(C1974,Hoja1!$B$2:$B$6191,Hoja1!$A$2:$A$6191),VLOOKUP(C1974,Hoja1!$B$1:$C$6191,2,0)),"No esta en Infor")</f>
        <v>NAC0871</v>
      </c>
      <c r="C1974" s="19" t="s">
        <v>193</v>
      </c>
      <c r="D1974" s="9">
        <v>1688</v>
      </c>
      <c r="E1974" s="9">
        <v>1525</v>
      </c>
      <c r="F1974" s="9">
        <v>0</v>
      </c>
      <c r="G1974" s="9">
        <v>0</v>
      </c>
      <c r="H1974" s="9">
        <v>0</v>
      </c>
      <c r="I1974" s="9">
        <v>0</v>
      </c>
      <c r="J1974" s="9">
        <v>3213</v>
      </c>
    </row>
    <row r="1975" spans="1:10" ht="15.75" x14ac:dyDescent="0.25">
      <c r="A1975" s="21">
        <v>45473</v>
      </c>
      <c r="B1975" t="str">
        <f>IFERROR(IF(VLOOKUP(C1975,Hoja1!$B$1:$C$6191,2,0)="",_xlfn.XLOOKUP(C1975,Hoja1!$B$2:$B$6191,Hoja1!$A$2:$A$6191),VLOOKUP(C1975,Hoja1!$B$1:$C$6191,2,0)),"No esta en Infor")</f>
        <v>NAC0879</v>
      </c>
      <c r="C1975" s="19" t="s">
        <v>194</v>
      </c>
      <c r="D1975" s="9">
        <v>0</v>
      </c>
      <c r="E1975" s="9">
        <v>0</v>
      </c>
      <c r="F1975" s="9">
        <v>-117.9</v>
      </c>
      <c r="G1975" s="9">
        <v>0</v>
      </c>
      <c r="H1975" s="9">
        <v>0</v>
      </c>
      <c r="I1975" s="9">
        <v>0</v>
      </c>
      <c r="J1975" s="9">
        <v>-117.9</v>
      </c>
    </row>
    <row r="1976" spans="1:10" ht="15.75" x14ac:dyDescent="0.25">
      <c r="A1976" s="21">
        <v>45473</v>
      </c>
      <c r="B1976" t="str">
        <f>IFERROR(IF(VLOOKUP(C1976,Hoja1!$B$1:$C$6191,2,0)="",_xlfn.XLOOKUP(C1976,Hoja1!$B$2:$B$6191,Hoja1!$A$2:$A$6191),VLOOKUP(C1976,Hoja1!$B$1:$C$6191,2,0)),"No esta en Infor")</f>
        <v>NAC0881</v>
      </c>
      <c r="C1976" s="19" t="s">
        <v>195</v>
      </c>
      <c r="D1976" s="9">
        <v>12840.75</v>
      </c>
      <c r="E1976" s="9">
        <v>12384.5</v>
      </c>
      <c r="F1976" s="9">
        <v>0</v>
      </c>
      <c r="G1976" s="9">
        <v>0</v>
      </c>
      <c r="H1976" s="9">
        <v>0</v>
      </c>
      <c r="I1976" s="9">
        <v>0</v>
      </c>
      <c r="J1976" s="9">
        <v>25225.25</v>
      </c>
    </row>
    <row r="1977" spans="1:10" ht="15.75" x14ac:dyDescent="0.25">
      <c r="A1977" s="21">
        <v>45473</v>
      </c>
      <c r="B1977" t="str">
        <f>IFERROR(IF(VLOOKUP(C1977,Hoja1!$B$1:$C$6191,2,0)="",_xlfn.XLOOKUP(C1977,Hoja1!$B$2:$B$6191,Hoja1!$A$2:$A$6191),VLOOKUP(C1977,Hoja1!$B$1:$C$6191,2,0)),"No esta en Infor")</f>
        <v>NAC0886</v>
      </c>
      <c r="C1977" s="19" t="s">
        <v>196</v>
      </c>
      <c r="D1977" s="9">
        <v>0</v>
      </c>
      <c r="E1977" s="9">
        <v>-0.1</v>
      </c>
      <c r="F1977" s="9">
        <v>0</v>
      </c>
      <c r="G1977" s="9">
        <v>0</v>
      </c>
      <c r="H1977" s="9">
        <v>0</v>
      </c>
      <c r="I1977" s="9">
        <v>0</v>
      </c>
      <c r="J1977" s="9">
        <v>-0.1</v>
      </c>
    </row>
    <row r="1978" spans="1:10" ht="15.75" x14ac:dyDescent="0.25">
      <c r="A1978" s="21">
        <v>45473</v>
      </c>
      <c r="B1978" t="str">
        <f>IFERROR(IF(VLOOKUP(C1978,Hoja1!$B$1:$C$6191,2,0)="",_xlfn.XLOOKUP(C1978,Hoja1!$B$2:$B$6191,Hoja1!$A$2:$A$6191),VLOOKUP(C1978,Hoja1!$B$1:$C$6191,2,0)),"No esta en Infor")</f>
        <v>SH02672</v>
      </c>
      <c r="C1978" s="19" t="s">
        <v>582</v>
      </c>
      <c r="D1978" s="9">
        <v>0</v>
      </c>
      <c r="E1978" s="9">
        <v>115.71</v>
      </c>
      <c r="F1978" s="9">
        <v>0</v>
      </c>
      <c r="G1978" s="9">
        <v>0</v>
      </c>
      <c r="H1978" s="9">
        <v>0</v>
      </c>
      <c r="I1978" s="9">
        <v>0</v>
      </c>
      <c r="J1978" s="9">
        <v>115.71</v>
      </c>
    </row>
    <row r="1979" spans="1:10" ht="15.75" x14ac:dyDescent="0.25">
      <c r="A1979" s="21">
        <v>45473</v>
      </c>
      <c r="B1979" t="str">
        <f>IFERROR(IF(VLOOKUP(C1979,Hoja1!$B$1:$C$6191,2,0)="",_xlfn.XLOOKUP(C1979,Hoja1!$B$2:$B$6191,Hoja1!$A$2:$A$6191),VLOOKUP(C1979,Hoja1!$B$1:$C$6191,2,0)),"No esta en Infor")</f>
        <v>NAC0897</v>
      </c>
      <c r="C1979" s="19" t="s">
        <v>25</v>
      </c>
      <c r="D1979" s="9">
        <v>9980.36</v>
      </c>
      <c r="E1979" s="9">
        <v>0</v>
      </c>
      <c r="F1979" s="9">
        <v>-303.5</v>
      </c>
      <c r="G1979" s="9">
        <v>0</v>
      </c>
      <c r="H1979" s="9">
        <v>0</v>
      </c>
      <c r="I1979" s="9">
        <v>0</v>
      </c>
      <c r="J1979" s="9">
        <v>9676.86</v>
      </c>
    </row>
    <row r="1980" spans="1:10" ht="15.75" x14ac:dyDescent="0.25">
      <c r="A1980" s="21">
        <v>45473</v>
      </c>
      <c r="B1980" t="str">
        <f>IFERROR(IF(VLOOKUP(C1980,Hoja1!$B$1:$C$6191,2,0)="",_xlfn.XLOOKUP(C1980,Hoja1!$B$2:$B$6191,Hoja1!$A$2:$A$6191),VLOOKUP(C1980,Hoja1!$B$1:$C$6191,2,0)),"No esta en Infor")</f>
        <v>NAC0898</v>
      </c>
      <c r="C1980" s="19" t="s">
        <v>200</v>
      </c>
      <c r="D1980" s="9">
        <v>127.5</v>
      </c>
      <c r="E1980" s="9">
        <v>0</v>
      </c>
      <c r="F1980" s="9">
        <v>0</v>
      </c>
      <c r="G1980" s="9">
        <v>0</v>
      </c>
      <c r="H1980" s="9">
        <v>0</v>
      </c>
      <c r="I1980" s="9">
        <v>0</v>
      </c>
      <c r="J1980" s="9">
        <v>127.5</v>
      </c>
    </row>
    <row r="1981" spans="1:10" ht="15.75" x14ac:dyDescent="0.25">
      <c r="A1981" s="21">
        <v>45473</v>
      </c>
      <c r="B1981" t="str">
        <f>IFERROR(IF(VLOOKUP(C1981,Hoja1!$B$1:$C$6191,2,0)="",_xlfn.XLOOKUP(C1981,Hoja1!$B$2:$B$6191,Hoja1!$A$2:$A$6191),VLOOKUP(C1981,Hoja1!$B$1:$C$6191,2,0)),"No esta en Infor")</f>
        <v>NAC0906</v>
      </c>
      <c r="C1981" s="19" t="s">
        <v>456</v>
      </c>
      <c r="D1981" s="9">
        <v>0</v>
      </c>
      <c r="E1981" s="9">
        <v>0</v>
      </c>
      <c r="F1981" s="9">
        <v>-8.93</v>
      </c>
      <c r="G1981" s="9">
        <v>0</v>
      </c>
      <c r="H1981" s="9">
        <v>0</v>
      </c>
      <c r="I1981" s="9">
        <v>0</v>
      </c>
      <c r="J1981" s="9">
        <v>-8.93</v>
      </c>
    </row>
    <row r="1982" spans="1:10" ht="15.75" x14ac:dyDescent="0.25">
      <c r="A1982" s="21">
        <v>45473</v>
      </c>
      <c r="B1982" t="str">
        <f>IFERROR(IF(VLOOKUP(C1982,Hoja1!$B$1:$C$6191,2,0)="",_xlfn.XLOOKUP(C1982,Hoja1!$B$2:$B$6191,Hoja1!$A$2:$A$6191),VLOOKUP(C1982,Hoja1!$B$1:$C$6191,2,0)),"No esta en Infor")</f>
        <v>CAN0023</v>
      </c>
      <c r="C1982" s="19" t="s">
        <v>554</v>
      </c>
      <c r="D1982" s="9">
        <v>0</v>
      </c>
      <c r="E1982" s="9">
        <v>508.5</v>
      </c>
      <c r="F1982" s="9">
        <v>0</v>
      </c>
      <c r="G1982" s="9">
        <v>0</v>
      </c>
      <c r="H1982" s="9">
        <v>0</v>
      </c>
      <c r="I1982" s="9">
        <v>0</v>
      </c>
      <c r="J1982" s="9">
        <v>508.5</v>
      </c>
    </row>
    <row r="1983" spans="1:10" ht="15.75" x14ac:dyDescent="0.25">
      <c r="A1983" s="21">
        <v>45473</v>
      </c>
      <c r="B1983" t="str">
        <f>IFERROR(IF(VLOOKUP(C1983,Hoja1!$B$1:$C$6191,2,0)="",_xlfn.XLOOKUP(C1983,Hoja1!$B$2:$B$6191,Hoja1!$A$2:$A$6191),VLOOKUP(C1983,Hoja1!$B$1:$C$6191,2,0)),"No esta en Infor")</f>
        <v>CAN0092</v>
      </c>
      <c r="C1983" s="19" t="s">
        <v>555</v>
      </c>
      <c r="D1983" s="9">
        <v>0</v>
      </c>
      <c r="E1983" s="9">
        <v>-508.5</v>
      </c>
      <c r="F1983" s="9">
        <v>0</v>
      </c>
      <c r="G1983" s="9">
        <v>0</v>
      </c>
      <c r="H1983" s="9">
        <v>0</v>
      </c>
      <c r="I1983" s="9">
        <v>0</v>
      </c>
      <c r="J1983" s="9">
        <v>-508.5</v>
      </c>
    </row>
    <row r="1984" spans="1:10" ht="15.75" x14ac:dyDescent="0.25">
      <c r="A1984" s="21">
        <v>45473</v>
      </c>
      <c r="B1984" t="str">
        <f>IFERROR(IF(VLOOKUP(C1984,Hoja1!$B$1:$C$6191,2,0)="",_xlfn.XLOOKUP(C1984,Hoja1!$B$2:$B$6191,Hoja1!$A$2:$A$6191),VLOOKUP(C1984,Hoja1!$B$1:$C$6191,2,0)),"No esta en Infor")</f>
        <v>NAC0914</v>
      </c>
      <c r="C1984" s="19" t="s">
        <v>202</v>
      </c>
      <c r="D1984" s="9">
        <v>0</v>
      </c>
      <c r="E1984" s="9">
        <v>455</v>
      </c>
      <c r="F1984" s="9">
        <v>0</v>
      </c>
      <c r="G1984" s="9">
        <v>-100.21</v>
      </c>
      <c r="H1984" s="9">
        <v>0</v>
      </c>
      <c r="I1984" s="9">
        <v>0</v>
      </c>
      <c r="J1984" s="9">
        <v>354.79</v>
      </c>
    </row>
    <row r="1985" spans="1:10" ht="15.75" x14ac:dyDescent="0.25">
      <c r="A1985" s="21">
        <v>45473</v>
      </c>
      <c r="B1985" t="str">
        <f>IFERROR(IF(VLOOKUP(C1985,Hoja1!$B$1:$C$6191,2,0)="",_xlfn.XLOOKUP(C1985,Hoja1!$B$2:$B$6191,Hoja1!$A$2:$A$6191),VLOOKUP(C1985,Hoja1!$B$1:$C$6191,2,0)),"No esta en Infor")</f>
        <v>NAC0924</v>
      </c>
      <c r="C1985" s="19" t="s">
        <v>205</v>
      </c>
      <c r="D1985" s="9">
        <v>28890</v>
      </c>
      <c r="E1985" s="9">
        <v>29226.28</v>
      </c>
      <c r="F1985" s="9">
        <v>0</v>
      </c>
      <c r="G1985" s="9">
        <v>0</v>
      </c>
      <c r="H1985" s="9">
        <v>0</v>
      </c>
      <c r="I1985" s="9">
        <v>0</v>
      </c>
      <c r="J1985" s="9">
        <v>58116.28</v>
      </c>
    </row>
    <row r="1986" spans="1:10" ht="15.75" x14ac:dyDescent="0.25">
      <c r="A1986" s="21">
        <v>45473</v>
      </c>
      <c r="B1986" t="str">
        <f>IFERROR(IF(VLOOKUP(C1986,Hoja1!$B$1:$C$6191,2,0)="",_xlfn.XLOOKUP(C1986,Hoja1!$B$2:$B$6191,Hoja1!$A$2:$A$6191),VLOOKUP(C1986,Hoja1!$B$1:$C$6191,2,0)),"No esta en Infor")</f>
        <v>NAC0929</v>
      </c>
      <c r="C1986" s="19" t="s">
        <v>207</v>
      </c>
      <c r="D1986" s="9">
        <v>9740</v>
      </c>
      <c r="E1986" s="9">
        <v>-120</v>
      </c>
      <c r="F1986" s="9">
        <v>0</v>
      </c>
      <c r="G1986" s="9">
        <v>0</v>
      </c>
      <c r="H1986" s="9">
        <v>0</v>
      </c>
      <c r="I1986" s="9">
        <v>0</v>
      </c>
      <c r="J1986" s="9">
        <v>9620</v>
      </c>
    </row>
    <row r="1987" spans="1:10" ht="15.75" x14ac:dyDescent="0.25">
      <c r="A1987" s="21">
        <v>45473</v>
      </c>
      <c r="B1987" t="str">
        <f>IFERROR(IF(VLOOKUP(C1987,Hoja1!$B$1:$C$6191,2,0)="",_xlfn.XLOOKUP(C1987,Hoja1!$B$2:$B$6191,Hoja1!$A$2:$A$6191),VLOOKUP(C1987,Hoja1!$B$1:$C$6191,2,0)),"No esta en Infor")</f>
        <v>CAN0028</v>
      </c>
      <c r="C1987" s="19" t="s">
        <v>208</v>
      </c>
      <c r="D1987" s="9">
        <v>0</v>
      </c>
      <c r="E1987" s="9">
        <v>0</v>
      </c>
      <c r="F1987" s="9">
        <v>0</v>
      </c>
      <c r="G1987" s="9">
        <v>0</v>
      </c>
      <c r="H1987" s="9">
        <v>0</v>
      </c>
      <c r="I1987" s="9">
        <v>0</v>
      </c>
      <c r="J1987" s="9">
        <v>0</v>
      </c>
    </row>
    <row r="1988" spans="1:10" ht="15.75" x14ac:dyDescent="0.25">
      <c r="A1988" s="21">
        <v>45473</v>
      </c>
      <c r="B1988" t="str">
        <f>IFERROR(IF(VLOOKUP(C1988,Hoja1!$B$1:$C$6191,2,0)="",_xlfn.XLOOKUP(C1988,Hoja1!$B$2:$B$6191,Hoja1!$A$2:$A$6191),VLOOKUP(C1988,Hoja1!$B$1:$C$6191,2,0)),"No esta en Infor")</f>
        <v>NAC0934</v>
      </c>
      <c r="C1988" s="19" t="s">
        <v>209</v>
      </c>
      <c r="D1988" s="9">
        <v>276</v>
      </c>
      <c r="E1988" s="9">
        <v>0</v>
      </c>
      <c r="F1988" s="9">
        <v>0</v>
      </c>
      <c r="G1988" s="9">
        <v>0</v>
      </c>
      <c r="H1988" s="9">
        <v>0</v>
      </c>
      <c r="I1988" s="9">
        <v>0</v>
      </c>
      <c r="J1988" s="9">
        <v>276</v>
      </c>
    </row>
    <row r="1989" spans="1:10" ht="15.75" x14ac:dyDescent="0.25">
      <c r="A1989" s="21">
        <v>45473</v>
      </c>
      <c r="B1989" t="str">
        <f>IFERROR(IF(VLOOKUP(C1989,Hoja1!$B$1:$C$6191,2,0)="",_xlfn.XLOOKUP(C1989,Hoja1!$B$2:$B$6191,Hoja1!$A$2:$A$6191),VLOOKUP(C1989,Hoja1!$B$1:$C$6191,2,0)),"No esta en Infor")</f>
        <v>NAC0953</v>
      </c>
      <c r="C1989" s="19" t="s">
        <v>28</v>
      </c>
      <c r="D1989" s="9">
        <v>0</v>
      </c>
      <c r="E1989" s="9">
        <v>-161.36000000000001</v>
      </c>
      <c r="F1989" s="9">
        <v>-532.69000000000005</v>
      </c>
      <c r="G1989" s="9">
        <v>-40.04</v>
      </c>
      <c r="H1989" s="9">
        <v>0</v>
      </c>
      <c r="I1989" s="9">
        <v>0</v>
      </c>
      <c r="J1989" s="9">
        <v>-734.09</v>
      </c>
    </row>
    <row r="1990" spans="1:10" ht="15.75" x14ac:dyDescent="0.25">
      <c r="A1990" s="21">
        <v>45473</v>
      </c>
      <c r="B1990" t="str">
        <f>IFERROR(IF(VLOOKUP(C1990,Hoja1!$B$1:$C$6191,2,0)="",_xlfn.XLOOKUP(C1990,Hoja1!$B$2:$B$6191,Hoja1!$A$2:$A$6191),VLOOKUP(C1990,Hoja1!$B$1:$C$6191,2,0)),"No esta en Infor")</f>
        <v>NAC0986</v>
      </c>
      <c r="C1990" s="19" t="s">
        <v>224</v>
      </c>
      <c r="D1990" s="9">
        <v>0</v>
      </c>
      <c r="E1990" s="9">
        <v>-3081.85</v>
      </c>
      <c r="F1990" s="9">
        <v>196.65</v>
      </c>
      <c r="G1990" s="9">
        <v>475.04</v>
      </c>
      <c r="H1990" s="9">
        <v>11.65</v>
      </c>
      <c r="I1990" s="9">
        <v>0</v>
      </c>
      <c r="J1990" s="9">
        <v>-2398.5100000000002</v>
      </c>
    </row>
    <row r="1991" spans="1:10" ht="15.75" x14ac:dyDescent="0.25">
      <c r="A1991" s="21">
        <v>45473</v>
      </c>
      <c r="B1991" t="str">
        <f>IFERROR(IF(VLOOKUP(C1991,Hoja1!$B$1:$C$6191,2,0)="",_xlfn.XLOOKUP(C1991,Hoja1!$B$2:$B$6191,Hoja1!$A$2:$A$6191),VLOOKUP(C1991,Hoja1!$B$1:$C$6191,2,0)),"No esta en Infor")</f>
        <v>NAC0987</v>
      </c>
      <c r="C1991" s="19" t="s">
        <v>225</v>
      </c>
      <c r="D1991" s="9">
        <v>0</v>
      </c>
      <c r="E1991" s="9">
        <v>0</v>
      </c>
      <c r="F1991" s="9">
        <v>0</v>
      </c>
      <c r="G1991" s="9">
        <v>0</v>
      </c>
      <c r="H1991" s="9">
        <v>0</v>
      </c>
      <c r="I1991" s="9">
        <v>2040.5</v>
      </c>
      <c r="J1991" s="9">
        <v>2040.5</v>
      </c>
    </row>
    <row r="1992" spans="1:10" ht="15.75" x14ac:dyDescent="0.25">
      <c r="A1992" s="21">
        <v>45473</v>
      </c>
      <c r="B1992" t="str">
        <f>IFERROR(IF(VLOOKUP(C1992,Hoja1!$B$1:$C$6191,2,0)="",_xlfn.XLOOKUP(C1992,Hoja1!$B$2:$B$6191,Hoja1!$A$2:$A$6191),VLOOKUP(C1992,Hoja1!$B$1:$C$6191,2,0)),"No esta en Infor")</f>
        <v>NAC0994</v>
      </c>
      <c r="C1992" s="19" t="s">
        <v>226</v>
      </c>
      <c r="D1992" s="9">
        <v>0</v>
      </c>
      <c r="E1992" s="9">
        <v>363.5</v>
      </c>
      <c r="F1992" s="9">
        <v>0</v>
      </c>
      <c r="G1992" s="9">
        <v>0</v>
      </c>
      <c r="H1992" s="9">
        <v>0</v>
      </c>
      <c r="I1992" s="9">
        <v>0</v>
      </c>
      <c r="J1992" s="9">
        <v>363.5</v>
      </c>
    </row>
    <row r="1993" spans="1:10" ht="15.75" x14ac:dyDescent="0.25">
      <c r="A1993" s="21">
        <v>45473</v>
      </c>
      <c r="B1993" t="str">
        <f>IFERROR(IF(VLOOKUP(C1993,Hoja1!$B$1:$C$6191,2,0)="",_xlfn.XLOOKUP(C1993,Hoja1!$B$2:$B$6191,Hoja1!$A$2:$A$6191),VLOOKUP(C1993,Hoja1!$B$1:$C$6191,2,0)),"No esta en Infor")</f>
        <v>NAC0995</v>
      </c>
      <c r="C1993" s="19" t="s">
        <v>227</v>
      </c>
      <c r="D1993" s="9">
        <v>194.04</v>
      </c>
      <c r="E1993" s="9">
        <v>0</v>
      </c>
      <c r="F1993" s="9">
        <v>0</v>
      </c>
      <c r="G1993" s="9">
        <v>0</v>
      </c>
      <c r="H1993" s="9">
        <v>0</v>
      </c>
      <c r="I1993" s="9">
        <v>0</v>
      </c>
      <c r="J1993" s="9">
        <v>194.04</v>
      </c>
    </row>
    <row r="1994" spans="1:10" ht="15.75" x14ac:dyDescent="0.25">
      <c r="A1994" s="21">
        <v>45473</v>
      </c>
      <c r="B1994" t="str">
        <f>IFERROR(IF(VLOOKUP(C1994,Hoja1!$B$1:$C$6191,2,0)="",_xlfn.XLOOKUP(C1994,Hoja1!$B$2:$B$6191,Hoja1!$A$2:$A$6191),VLOOKUP(C1994,Hoja1!$B$1:$C$6191,2,0)),"No esta en Infor")</f>
        <v>SH02674</v>
      </c>
      <c r="C1994" s="19" t="s">
        <v>583</v>
      </c>
      <c r="D1994" s="9">
        <v>0</v>
      </c>
      <c r="E1994" s="9">
        <v>86.17</v>
      </c>
      <c r="F1994" s="9">
        <v>0</v>
      </c>
      <c r="G1994" s="9">
        <v>0</v>
      </c>
      <c r="H1994" s="9">
        <v>0</v>
      </c>
      <c r="I1994" s="9">
        <v>0</v>
      </c>
      <c r="J1994" s="9">
        <v>86.17</v>
      </c>
    </row>
    <row r="1995" spans="1:10" ht="15.75" x14ac:dyDescent="0.25">
      <c r="A1995" s="21">
        <v>45473</v>
      </c>
      <c r="B1995" t="str">
        <f>IFERROR(IF(VLOOKUP(C1995,Hoja1!$B$1:$C$6191,2,0)="",_xlfn.XLOOKUP(C1995,Hoja1!$B$2:$B$6191,Hoja1!$A$2:$A$6191),VLOOKUP(C1995,Hoja1!$B$1:$C$6191,2,0)),"No esta en Infor")</f>
        <v>NAC1007</v>
      </c>
      <c r="C1995" s="19" t="s">
        <v>233</v>
      </c>
      <c r="D1995" s="9">
        <v>0</v>
      </c>
      <c r="E1995" s="9">
        <v>0</v>
      </c>
      <c r="F1995" s="9">
        <v>-1440</v>
      </c>
      <c r="G1995" s="9">
        <v>0</v>
      </c>
      <c r="H1995" s="9">
        <v>0</v>
      </c>
      <c r="I1995" s="9">
        <v>0</v>
      </c>
      <c r="J1995" s="9">
        <v>-1440</v>
      </c>
    </row>
    <row r="1996" spans="1:10" ht="15.75" x14ac:dyDescent="0.25">
      <c r="A1996" s="21">
        <v>45473</v>
      </c>
      <c r="B1996" t="str">
        <f>IFERROR(IF(VLOOKUP(C1996,Hoja1!$B$1:$C$6191,2,0)="",_xlfn.XLOOKUP(C1996,Hoja1!$B$2:$B$6191,Hoja1!$A$2:$A$6191),VLOOKUP(C1996,Hoja1!$B$1:$C$6191,2,0)),"No esta en Infor")</f>
        <v>SH02681</v>
      </c>
      <c r="C1996" s="19" t="s">
        <v>584</v>
      </c>
      <c r="D1996" s="9">
        <v>0</v>
      </c>
      <c r="E1996" s="9">
        <v>51.28</v>
      </c>
      <c r="F1996" s="9">
        <v>0</v>
      </c>
      <c r="G1996" s="9">
        <v>0</v>
      </c>
      <c r="H1996" s="9">
        <v>0</v>
      </c>
      <c r="I1996" s="9">
        <v>0</v>
      </c>
      <c r="J1996" s="9">
        <v>51.28</v>
      </c>
    </row>
    <row r="1997" spans="1:10" ht="15.75" x14ac:dyDescent="0.25">
      <c r="A1997" s="21">
        <v>45473</v>
      </c>
      <c r="B1997" t="str">
        <f>IFERROR(IF(VLOOKUP(C1997,Hoja1!$B$1:$C$6191,2,0)="",_xlfn.XLOOKUP(C1997,Hoja1!$B$2:$B$6191,Hoja1!$A$2:$A$6191),VLOOKUP(C1997,Hoja1!$B$1:$C$6191,2,0)),"No esta en Infor")</f>
        <v>NAC1606</v>
      </c>
      <c r="C1997" s="19" t="s">
        <v>561</v>
      </c>
      <c r="D1997" s="9">
        <v>36950</v>
      </c>
      <c r="E1997" s="9">
        <v>17687.73</v>
      </c>
      <c r="F1997" s="9">
        <v>0</v>
      </c>
      <c r="G1997" s="9">
        <v>0</v>
      </c>
      <c r="H1997" s="9">
        <v>0</v>
      </c>
      <c r="I1997" s="9">
        <v>0</v>
      </c>
      <c r="J1997" s="9">
        <v>54637.73</v>
      </c>
    </row>
    <row r="1998" spans="1:10" ht="15.75" x14ac:dyDescent="0.25">
      <c r="A1998" s="21">
        <v>45473</v>
      </c>
      <c r="B1998" t="str">
        <f>IFERROR(IF(VLOOKUP(C1998,Hoja1!$B$1:$C$6191,2,0)="",_xlfn.XLOOKUP(C1998,Hoja1!$B$2:$B$6191,Hoja1!$A$2:$A$6191),VLOOKUP(C1998,Hoja1!$B$1:$C$6191,2,0)),"No esta en Infor")</f>
        <v>NAC1027</v>
      </c>
      <c r="C1998" s="19" t="s">
        <v>243</v>
      </c>
      <c r="D1998" s="9">
        <v>14166.84</v>
      </c>
      <c r="E1998" s="9">
        <v>0</v>
      </c>
      <c r="F1998" s="9">
        <v>0</v>
      </c>
      <c r="G1998" s="9">
        <v>0</v>
      </c>
      <c r="H1998" s="9">
        <v>0</v>
      </c>
      <c r="I1998" s="9">
        <v>-2408</v>
      </c>
      <c r="J1998" s="9">
        <v>11758.84</v>
      </c>
    </row>
    <row r="1999" spans="1:10" ht="15.75" x14ac:dyDescent="0.25">
      <c r="A1999" s="21">
        <v>45473</v>
      </c>
      <c r="B1999" t="str">
        <f>IFERROR(IF(VLOOKUP(C1999,Hoja1!$B$1:$C$6191,2,0)="",_xlfn.XLOOKUP(C1999,Hoja1!$B$2:$B$6191,Hoja1!$A$2:$A$6191),VLOOKUP(C1999,Hoja1!$B$1:$C$6191,2,0)),"No esta en Infor")</f>
        <v>SH01448</v>
      </c>
      <c r="C1999" s="19" t="s">
        <v>585</v>
      </c>
      <c r="D1999" s="9">
        <v>0</v>
      </c>
      <c r="E1999" s="9">
        <v>153.16</v>
      </c>
      <c r="F1999" s="9">
        <v>0</v>
      </c>
      <c r="G1999" s="9">
        <v>0</v>
      </c>
      <c r="H1999" s="9">
        <v>0</v>
      </c>
      <c r="I1999" s="9">
        <v>0</v>
      </c>
      <c r="J1999" s="9">
        <v>153.16</v>
      </c>
    </row>
    <row r="2000" spans="1:10" ht="15.75" x14ac:dyDescent="0.25">
      <c r="A2000" s="21">
        <v>45473</v>
      </c>
      <c r="B2000" t="str">
        <f>IFERROR(IF(VLOOKUP(C2000,Hoja1!$B$1:$C$6191,2,0)="",_xlfn.XLOOKUP(C2000,Hoja1!$B$2:$B$6191,Hoja1!$A$2:$A$6191),VLOOKUP(C2000,Hoja1!$B$1:$C$6191,2,0)),"No esta en Infor")</f>
        <v>NAC1051</v>
      </c>
      <c r="C2000" s="19" t="s">
        <v>246</v>
      </c>
      <c r="D2000" s="9">
        <v>964.91</v>
      </c>
      <c r="E2000" s="9">
        <v>0</v>
      </c>
      <c r="F2000" s="9">
        <v>0</v>
      </c>
      <c r="G2000" s="9">
        <v>0</v>
      </c>
      <c r="H2000" s="9">
        <v>0</v>
      </c>
      <c r="I2000" s="9">
        <v>0</v>
      </c>
      <c r="J2000" s="9">
        <v>964.91</v>
      </c>
    </row>
    <row r="2001" spans="1:10" ht="15.75" x14ac:dyDescent="0.25">
      <c r="A2001" s="21">
        <v>45473</v>
      </c>
      <c r="B2001" t="str">
        <f>IFERROR(IF(VLOOKUP(C2001,Hoja1!$B$1:$C$6191,2,0)="",_xlfn.XLOOKUP(C2001,Hoja1!$B$2:$B$6191,Hoja1!$A$2:$A$6191),VLOOKUP(C2001,Hoja1!$B$1:$C$6191,2,0)),"No esta en Infor")</f>
        <v>NAC1054</v>
      </c>
      <c r="C2001" s="19" t="s">
        <v>248</v>
      </c>
      <c r="D2001" s="9">
        <v>180</v>
      </c>
      <c r="E2001" s="9">
        <v>756</v>
      </c>
      <c r="F2001" s="9">
        <v>0</v>
      </c>
      <c r="G2001" s="9">
        <v>0</v>
      </c>
      <c r="H2001" s="9">
        <v>0</v>
      </c>
      <c r="I2001" s="9">
        <v>0</v>
      </c>
      <c r="J2001" s="9">
        <v>936</v>
      </c>
    </row>
    <row r="2002" spans="1:10" ht="15.75" x14ac:dyDescent="0.25">
      <c r="A2002" s="21">
        <v>45473</v>
      </c>
      <c r="B2002" t="str">
        <f>IFERROR(IF(VLOOKUP(C2002,Hoja1!$B$1:$C$6191,2,0)="",_xlfn.XLOOKUP(C2002,Hoja1!$B$2:$B$6191,Hoja1!$A$2:$A$6191),VLOOKUP(C2002,Hoja1!$B$1:$C$6191,2,0)),"No esta en Infor")</f>
        <v>NAC1074</v>
      </c>
      <c r="C2002" s="19" t="s">
        <v>252</v>
      </c>
      <c r="D2002" s="9">
        <v>116.02</v>
      </c>
      <c r="E2002" s="9">
        <v>191.23</v>
      </c>
      <c r="F2002" s="9">
        <v>-124.83</v>
      </c>
      <c r="G2002" s="9">
        <v>-66.400000000000006</v>
      </c>
      <c r="H2002" s="9">
        <v>0</v>
      </c>
      <c r="I2002" s="9">
        <v>0</v>
      </c>
      <c r="J2002" s="9">
        <v>116.02</v>
      </c>
    </row>
    <row r="2003" spans="1:10" ht="15.75" x14ac:dyDescent="0.25">
      <c r="A2003" s="21">
        <v>45473</v>
      </c>
      <c r="B2003" t="str">
        <f>IFERROR(IF(VLOOKUP(C2003,Hoja1!$B$1:$C$6191,2,0)="",_xlfn.XLOOKUP(C2003,Hoja1!$B$2:$B$6191,Hoja1!$A$2:$A$6191),VLOOKUP(C2003,Hoja1!$B$1:$C$6191,2,0)),"No esta en Infor")</f>
        <v>CAN0091</v>
      </c>
      <c r="C2003" s="19" t="s">
        <v>586</v>
      </c>
      <c r="D2003" s="9">
        <v>0</v>
      </c>
      <c r="E2003" s="9">
        <v>-646.09</v>
      </c>
      <c r="F2003" s="9">
        <v>0</v>
      </c>
      <c r="G2003" s="9">
        <v>0</v>
      </c>
      <c r="H2003" s="9">
        <v>0</v>
      </c>
      <c r="I2003" s="9">
        <v>0</v>
      </c>
      <c r="J2003" s="9">
        <v>-646.09</v>
      </c>
    </row>
    <row r="2004" spans="1:10" ht="15.75" x14ac:dyDescent="0.25">
      <c r="A2004" s="21">
        <v>45473</v>
      </c>
      <c r="B2004" t="str">
        <f>IFERROR(IF(VLOOKUP(C2004,Hoja1!$B$1:$C$6191,2,0)="",_xlfn.XLOOKUP(C2004,Hoja1!$B$2:$B$6191,Hoja1!$A$2:$A$6191),VLOOKUP(C2004,Hoja1!$B$1:$C$6191,2,0)),"No esta en Infor")</f>
        <v>NAC1084</v>
      </c>
      <c r="C2004" s="19" t="s">
        <v>257</v>
      </c>
      <c r="D2004" s="9">
        <v>0</v>
      </c>
      <c r="E2004" s="9">
        <v>51</v>
      </c>
      <c r="F2004" s="9">
        <v>0</v>
      </c>
      <c r="G2004" s="9">
        <v>0</v>
      </c>
      <c r="H2004" s="9">
        <v>0</v>
      </c>
      <c r="I2004" s="9">
        <v>0</v>
      </c>
      <c r="J2004" s="9">
        <v>51</v>
      </c>
    </row>
    <row r="2005" spans="1:10" ht="15.75" x14ac:dyDescent="0.25">
      <c r="A2005" s="21">
        <v>45473</v>
      </c>
      <c r="B2005" t="str">
        <f>IFERROR(IF(VLOOKUP(C2005,Hoja1!$B$1:$C$6191,2,0)="",_xlfn.XLOOKUP(C2005,Hoja1!$B$2:$B$6191,Hoja1!$A$2:$A$6191),VLOOKUP(C2005,Hoja1!$B$1:$C$6191,2,0)),"No esta en Infor")</f>
        <v>SH01691</v>
      </c>
      <c r="C2005" s="19" t="s">
        <v>587</v>
      </c>
      <c r="D2005" s="9">
        <v>0</v>
      </c>
      <c r="E2005" s="9">
        <v>119.29</v>
      </c>
      <c r="F2005" s="9">
        <v>0</v>
      </c>
      <c r="G2005" s="9">
        <v>0</v>
      </c>
      <c r="H2005" s="9">
        <v>0</v>
      </c>
      <c r="I2005" s="9">
        <v>0</v>
      </c>
      <c r="J2005" s="9">
        <v>119.29</v>
      </c>
    </row>
    <row r="2006" spans="1:10" ht="15.75" x14ac:dyDescent="0.25">
      <c r="A2006" s="21">
        <v>45473</v>
      </c>
      <c r="B2006" t="str">
        <f>IFERROR(IF(VLOOKUP(C2006,Hoja1!$B$1:$C$6191,2,0)="",_xlfn.XLOOKUP(C2006,Hoja1!$B$2:$B$6191,Hoja1!$A$2:$A$6191),VLOOKUP(C2006,Hoja1!$B$1:$C$6191,2,0)),"No esta en Infor")</f>
        <v>NAC1106</v>
      </c>
      <c r="C2006" s="19" t="s">
        <v>259</v>
      </c>
      <c r="D2006" s="9">
        <v>202.36</v>
      </c>
      <c r="E2006" s="9">
        <v>0</v>
      </c>
      <c r="F2006" s="9">
        <v>0</v>
      </c>
      <c r="G2006" s="9">
        <v>0</v>
      </c>
      <c r="H2006" s="9">
        <v>0</v>
      </c>
      <c r="I2006" s="9">
        <v>0</v>
      </c>
      <c r="J2006" s="9">
        <v>202.36</v>
      </c>
    </row>
    <row r="2007" spans="1:10" ht="15.75" x14ac:dyDescent="0.25">
      <c r="A2007" s="21">
        <v>45473</v>
      </c>
      <c r="B2007" t="str">
        <f>IFERROR(IF(VLOOKUP(C2007,Hoja1!$B$1:$C$6191,2,0)="",_xlfn.XLOOKUP(C2007,Hoja1!$B$2:$B$6191,Hoja1!$A$2:$A$6191),VLOOKUP(C2007,Hoja1!$B$1:$C$6191,2,0)),"No esta en Infor")</f>
        <v>NAC1108</v>
      </c>
      <c r="C2007" s="19" t="s">
        <v>468</v>
      </c>
      <c r="D2007" s="9">
        <v>0</v>
      </c>
      <c r="E2007" s="9">
        <v>194.84</v>
      </c>
      <c r="F2007" s="9">
        <v>0</v>
      </c>
      <c r="G2007" s="9">
        <v>0</v>
      </c>
      <c r="H2007" s="9">
        <v>0</v>
      </c>
      <c r="I2007" s="9">
        <v>0</v>
      </c>
      <c r="J2007" s="9">
        <v>194.84</v>
      </c>
    </row>
    <row r="2008" spans="1:10" ht="15.75" x14ac:dyDescent="0.25">
      <c r="A2008" s="21">
        <v>45473</v>
      </c>
      <c r="B2008" t="str">
        <f>IFERROR(IF(VLOOKUP(C2008,Hoja1!$B$1:$C$6191,2,0)="",_xlfn.XLOOKUP(C2008,Hoja1!$B$2:$B$6191,Hoja1!$A$2:$A$6191),VLOOKUP(C2008,Hoja1!$B$1:$C$6191,2,0)),"No esta en Infor")</f>
        <v>NAC1114</v>
      </c>
      <c r="C2008" s="19" t="s">
        <v>408</v>
      </c>
      <c r="D2008" s="9">
        <v>0</v>
      </c>
      <c r="E2008" s="9">
        <v>0</v>
      </c>
      <c r="F2008" s="9">
        <v>-196.34</v>
      </c>
      <c r="G2008" s="9">
        <v>0</v>
      </c>
      <c r="H2008" s="9">
        <v>0</v>
      </c>
      <c r="I2008" s="9">
        <v>0</v>
      </c>
      <c r="J2008" s="9">
        <v>-196.34</v>
      </c>
    </row>
    <row r="2009" spans="1:10" ht="15.75" x14ac:dyDescent="0.25">
      <c r="A2009" s="21">
        <v>45473</v>
      </c>
      <c r="B2009" t="str">
        <f>IFERROR(IF(VLOOKUP(C2009,Hoja1!$B$1:$C$6191,2,0)="",_xlfn.XLOOKUP(C2009,Hoja1!$B$2:$B$6191,Hoja1!$A$2:$A$6191),VLOOKUP(C2009,Hoja1!$B$1:$C$6191,2,0)),"No esta en Infor")</f>
        <v>NAC1119</v>
      </c>
      <c r="C2009" s="19" t="s">
        <v>514</v>
      </c>
      <c r="D2009" s="9">
        <v>0</v>
      </c>
      <c r="E2009" s="9">
        <v>11749.4</v>
      </c>
      <c r="F2009" s="9">
        <v>0</v>
      </c>
      <c r="G2009" s="9">
        <v>0</v>
      </c>
      <c r="H2009" s="9">
        <v>0</v>
      </c>
      <c r="I2009" s="9">
        <v>0</v>
      </c>
      <c r="J2009" s="9">
        <v>11749.4</v>
      </c>
    </row>
    <row r="2010" spans="1:10" ht="15.75" x14ac:dyDescent="0.25">
      <c r="A2010" s="21">
        <v>45473</v>
      </c>
      <c r="B2010" t="str">
        <f>IFERROR(IF(VLOOKUP(C2010,Hoja1!$B$1:$C$6191,2,0)="",_xlfn.XLOOKUP(C2010,Hoja1!$B$2:$B$6191,Hoja1!$A$2:$A$6191),VLOOKUP(C2010,Hoja1!$B$1:$C$6191,2,0)),"No esta en Infor")</f>
        <v>NAC1122</v>
      </c>
      <c r="C2010" s="19" t="s">
        <v>515</v>
      </c>
      <c r="D2010" s="9">
        <v>8064</v>
      </c>
      <c r="E2010" s="9">
        <v>2360</v>
      </c>
      <c r="F2010" s="9">
        <v>0</v>
      </c>
      <c r="G2010" s="9">
        <v>0</v>
      </c>
      <c r="H2010" s="9">
        <v>0</v>
      </c>
      <c r="I2010" s="9">
        <v>0</v>
      </c>
      <c r="J2010" s="9">
        <v>10424</v>
      </c>
    </row>
    <row r="2011" spans="1:10" ht="15.75" x14ac:dyDescent="0.25">
      <c r="A2011" s="21">
        <v>45473</v>
      </c>
      <c r="B2011" t="str">
        <f>IFERROR(IF(VLOOKUP(C2011,Hoja1!$B$1:$C$6191,2,0)="",_xlfn.XLOOKUP(C2011,Hoja1!$B$2:$B$6191,Hoja1!$A$2:$A$6191),VLOOKUP(C2011,Hoja1!$B$1:$C$6191,2,0)),"No esta en Infor")</f>
        <v>NAC1614</v>
      </c>
      <c r="C2011" s="19" t="s">
        <v>563</v>
      </c>
      <c r="D2011" s="9">
        <v>0</v>
      </c>
      <c r="E2011" s="9">
        <v>68.319999999999993</v>
      </c>
      <c r="F2011" s="9">
        <v>0</v>
      </c>
      <c r="G2011" s="9">
        <v>0</v>
      </c>
      <c r="H2011" s="9">
        <v>0</v>
      </c>
      <c r="I2011" s="9">
        <v>0</v>
      </c>
      <c r="J2011" s="9">
        <v>68.319999999999993</v>
      </c>
    </row>
    <row r="2012" spans="1:10" ht="15.75" x14ac:dyDescent="0.25">
      <c r="A2012" s="21">
        <v>45473</v>
      </c>
      <c r="B2012" t="str">
        <f>IFERROR(IF(VLOOKUP(C2012,Hoja1!$B$1:$C$6191,2,0)="",_xlfn.XLOOKUP(C2012,Hoja1!$B$2:$B$6191,Hoja1!$A$2:$A$6191),VLOOKUP(C2012,Hoja1!$B$1:$C$6191,2,0)),"No esta en Infor")</f>
        <v>CAN0037</v>
      </c>
      <c r="C2012" s="11" t="s">
        <v>687</v>
      </c>
      <c r="D2012" s="9">
        <v>48028.39</v>
      </c>
      <c r="E2012" s="9">
        <v>0</v>
      </c>
      <c r="F2012" s="9">
        <v>-3865.26</v>
      </c>
      <c r="G2012" s="9">
        <v>0</v>
      </c>
      <c r="H2012" s="9">
        <v>0</v>
      </c>
      <c r="I2012" s="9">
        <v>0</v>
      </c>
      <c r="J2012" s="9">
        <v>44163.13</v>
      </c>
    </row>
    <row r="2013" spans="1:10" ht="15.75" x14ac:dyDescent="0.25">
      <c r="A2013" s="21">
        <v>45473</v>
      </c>
      <c r="B2013" t="str">
        <f>IFERROR(IF(VLOOKUP(C2013,Hoja1!$B$1:$C$6191,2,0)="",_xlfn.XLOOKUP(C2013,Hoja1!$B$2:$B$6191,Hoja1!$A$2:$A$6191),VLOOKUP(C2013,Hoja1!$B$1:$C$6191,2,0)),"No esta en Infor")</f>
        <v>NAC1128</v>
      </c>
      <c r="C2013" s="19" t="s">
        <v>263</v>
      </c>
      <c r="D2013" s="9">
        <v>6836</v>
      </c>
      <c r="E2013" s="9">
        <v>1980</v>
      </c>
      <c r="F2013" s="9">
        <v>0</v>
      </c>
      <c r="G2013" s="9">
        <v>0</v>
      </c>
      <c r="H2013" s="9">
        <v>0</v>
      </c>
      <c r="I2013" s="9">
        <v>0</v>
      </c>
      <c r="J2013" s="9">
        <v>8816</v>
      </c>
    </row>
    <row r="2014" spans="1:10" ht="15.75" x14ac:dyDescent="0.25">
      <c r="A2014" s="21">
        <v>45473</v>
      </c>
      <c r="B2014" t="str">
        <f>IFERROR(IF(VLOOKUP(C2014,Hoja1!$B$1:$C$6191,2,0)="",_xlfn.XLOOKUP(C2014,Hoja1!$B$2:$B$6191,Hoja1!$A$2:$A$6191),VLOOKUP(C2014,Hoja1!$B$1:$C$6191,2,0)),"No esta en Infor")</f>
        <v>CAN0039</v>
      </c>
      <c r="C2014" s="19" t="s">
        <v>265</v>
      </c>
      <c r="D2014" s="9">
        <v>7624.4</v>
      </c>
      <c r="E2014" s="9">
        <v>15</v>
      </c>
      <c r="F2014" s="9">
        <v>0</v>
      </c>
      <c r="G2014" s="9">
        <v>0</v>
      </c>
      <c r="H2014" s="9">
        <v>0</v>
      </c>
      <c r="I2014" s="9">
        <v>0</v>
      </c>
      <c r="J2014" s="9">
        <v>7639.4</v>
      </c>
    </row>
    <row r="2015" spans="1:10" ht="15.75" x14ac:dyDescent="0.25">
      <c r="A2015" s="21">
        <v>45473</v>
      </c>
      <c r="B2015" t="str">
        <f>IFERROR(IF(VLOOKUP(C2015,Hoja1!$B$1:$C$6191,2,0)="",_xlfn.XLOOKUP(C2015,Hoja1!$B$2:$B$6191,Hoja1!$A$2:$A$6191),VLOOKUP(C2015,Hoja1!$B$1:$C$6191,2,0)),"No esta en Infor")</f>
        <v>NAC1148</v>
      </c>
      <c r="C2015" s="19" t="s">
        <v>270</v>
      </c>
      <c r="D2015" s="9">
        <v>15613</v>
      </c>
      <c r="E2015" s="9">
        <v>0</v>
      </c>
      <c r="F2015" s="9">
        <v>0</v>
      </c>
      <c r="G2015" s="9">
        <v>0</v>
      </c>
      <c r="H2015" s="9">
        <v>0</v>
      </c>
      <c r="I2015" s="9">
        <v>0</v>
      </c>
      <c r="J2015" s="9">
        <v>15613</v>
      </c>
    </row>
    <row r="2016" spans="1:10" ht="15.75" x14ac:dyDescent="0.25">
      <c r="A2016" s="21">
        <v>45473</v>
      </c>
      <c r="B2016" t="str">
        <f>IFERROR(IF(VLOOKUP(C2016,Hoja1!$B$1:$C$6191,2,0)="",_xlfn.XLOOKUP(C2016,Hoja1!$B$2:$B$6191,Hoja1!$A$2:$A$6191),VLOOKUP(C2016,Hoja1!$B$1:$C$6191,2,0)),"No esta en Infor")</f>
        <v>NAC1151</v>
      </c>
      <c r="C2016" s="19" t="s">
        <v>271</v>
      </c>
      <c r="D2016" s="9">
        <v>0</v>
      </c>
      <c r="E2016" s="9">
        <v>-1172</v>
      </c>
      <c r="F2016" s="9">
        <v>0</v>
      </c>
      <c r="G2016" s="9">
        <v>0</v>
      </c>
      <c r="H2016" s="9">
        <v>0</v>
      </c>
      <c r="I2016" s="9">
        <v>0</v>
      </c>
      <c r="J2016" s="9">
        <v>-1172</v>
      </c>
    </row>
    <row r="2017" spans="1:10" ht="15.75" x14ac:dyDescent="0.25">
      <c r="A2017" s="21">
        <v>45473</v>
      </c>
      <c r="B2017" t="str">
        <f>IFERROR(IF(VLOOKUP(C2017,Hoja1!$B$1:$C$6191,2,0)="",_xlfn.XLOOKUP(C2017,Hoja1!$B$2:$B$6191,Hoja1!$A$2:$A$6191),VLOOKUP(C2017,Hoja1!$B$1:$C$6191,2,0)),"No esta en Infor")</f>
        <v>NAC1152</v>
      </c>
      <c r="C2017" s="19" t="s">
        <v>470</v>
      </c>
      <c r="D2017" s="9">
        <v>16710</v>
      </c>
      <c r="E2017" s="9">
        <v>1875.93</v>
      </c>
      <c r="F2017" s="9">
        <v>0</v>
      </c>
      <c r="G2017" s="9">
        <v>0</v>
      </c>
      <c r="H2017" s="9">
        <v>0</v>
      </c>
      <c r="I2017" s="9">
        <v>0</v>
      </c>
      <c r="J2017" s="9">
        <v>18585.93</v>
      </c>
    </row>
    <row r="2018" spans="1:10" ht="15.75" x14ac:dyDescent="0.25">
      <c r="A2018" s="21">
        <v>45473</v>
      </c>
      <c r="B2018" t="str">
        <f>IFERROR(IF(VLOOKUP(C2018,Hoja1!$B$1:$C$6191,2,0)="",_xlfn.XLOOKUP(C2018,Hoja1!$B$2:$B$6191,Hoja1!$A$2:$A$6191),VLOOKUP(C2018,Hoja1!$B$1:$C$6191,2,0)),"No esta en Infor")</f>
        <v>NAC1158</v>
      </c>
      <c r="C2018" s="19" t="s">
        <v>272</v>
      </c>
      <c r="D2018" s="9">
        <v>3458</v>
      </c>
      <c r="E2018" s="9">
        <v>0</v>
      </c>
      <c r="F2018" s="9">
        <v>0</v>
      </c>
      <c r="G2018" s="9">
        <v>0</v>
      </c>
      <c r="H2018" s="9">
        <v>0</v>
      </c>
      <c r="I2018" s="9">
        <v>0</v>
      </c>
      <c r="J2018" s="9">
        <v>3458</v>
      </c>
    </row>
    <row r="2019" spans="1:10" ht="15.75" x14ac:dyDescent="0.25">
      <c r="A2019" s="21">
        <v>45473</v>
      </c>
      <c r="B2019" t="str">
        <f>IFERROR(IF(VLOOKUP(C2019,Hoja1!$B$1:$C$6191,2,0)="",_xlfn.XLOOKUP(C2019,Hoja1!$B$2:$B$6191,Hoja1!$A$2:$A$6191),VLOOKUP(C2019,Hoja1!$B$1:$C$6191,2,0)),"No esta en Infor")</f>
        <v>NAC1604</v>
      </c>
      <c r="C2019" s="19" t="s">
        <v>12389</v>
      </c>
      <c r="D2019" s="9">
        <v>50722.559999999998</v>
      </c>
      <c r="E2019" s="9">
        <v>1445</v>
      </c>
      <c r="F2019" s="9">
        <v>0</v>
      </c>
      <c r="G2019" s="9">
        <v>-280</v>
      </c>
      <c r="H2019" s="9">
        <v>-44.8</v>
      </c>
      <c r="I2019" s="9">
        <v>-318</v>
      </c>
      <c r="J2019" s="9">
        <v>51524.76</v>
      </c>
    </row>
    <row r="2020" spans="1:10" ht="15.75" x14ac:dyDescent="0.25">
      <c r="A2020" s="21">
        <v>45473</v>
      </c>
      <c r="B2020" t="str">
        <f>IFERROR(IF(VLOOKUP(C2020,Hoja1!$B$1:$C$6191,2,0)="",_xlfn.XLOOKUP(C2020,Hoja1!$B$2:$B$6191,Hoja1!$A$2:$A$6191),VLOOKUP(C2020,Hoja1!$B$1:$C$6191,2,0)),"No esta en Infor")</f>
        <v>NAC1166</v>
      </c>
      <c r="C2020" s="19" t="s">
        <v>516</v>
      </c>
      <c r="D2020" s="9">
        <v>0</v>
      </c>
      <c r="E2020" s="9">
        <v>1817</v>
      </c>
      <c r="F2020" s="9">
        <v>0</v>
      </c>
      <c r="G2020" s="9">
        <v>0</v>
      </c>
      <c r="H2020" s="9">
        <v>0</v>
      </c>
      <c r="I2020" s="9">
        <v>0</v>
      </c>
      <c r="J2020" s="9">
        <v>1817</v>
      </c>
    </row>
    <row r="2021" spans="1:10" ht="15.75" x14ac:dyDescent="0.25">
      <c r="A2021" s="21">
        <v>45473</v>
      </c>
      <c r="B2021" t="str">
        <f>IFERROR(IF(VLOOKUP(C2021,Hoja1!$B$1:$C$6191,2,0)="",_xlfn.XLOOKUP(C2021,Hoja1!$B$2:$B$6191,Hoja1!$A$2:$A$6191),VLOOKUP(C2021,Hoja1!$B$1:$C$6191,2,0)),"No esta en Infor")</f>
        <v>NAC1167</v>
      </c>
      <c r="C2021" s="19" t="s">
        <v>34</v>
      </c>
      <c r="D2021" s="9">
        <v>0</v>
      </c>
      <c r="E2021" s="9">
        <v>4718</v>
      </c>
      <c r="F2021" s="9">
        <v>0</v>
      </c>
      <c r="G2021" s="9">
        <v>0</v>
      </c>
      <c r="H2021" s="9">
        <v>0</v>
      </c>
      <c r="I2021" s="9">
        <v>0</v>
      </c>
      <c r="J2021" s="9">
        <v>4718</v>
      </c>
    </row>
    <row r="2022" spans="1:10" ht="15.75" x14ac:dyDescent="0.25">
      <c r="A2022" s="21">
        <v>45473</v>
      </c>
      <c r="B2022" t="str">
        <f>IFERROR(IF(VLOOKUP(C2022,Hoja1!$B$1:$C$6191,2,0)="",_xlfn.XLOOKUP(C2022,Hoja1!$B$2:$B$6191,Hoja1!$A$2:$A$6191),VLOOKUP(C2022,Hoja1!$B$1:$C$6191,2,0)),"No esta en Infor")</f>
        <v>NAC1170</v>
      </c>
      <c r="C2022" s="19" t="s">
        <v>278</v>
      </c>
      <c r="D2022" s="9">
        <v>9390</v>
      </c>
      <c r="E2022" s="9">
        <v>0</v>
      </c>
      <c r="F2022" s="9">
        <v>0</v>
      </c>
      <c r="G2022" s="9">
        <v>0</v>
      </c>
      <c r="H2022" s="9">
        <v>0</v>
      </c>
      <c r="I2022" s="9">
        <v>0</v>
      </c>
      <c r="J2022" s="9">
        <v>9390</v>
      </c>
    </row>
    <row r="2023" spans="1:10" ht="15.75" x14ac:dyDescent="0.25">
      <c r="A2023" s="21">
        <v>45473</v>
      </c>
      <c r="B2023" t="str">
        <f>IFERROR(IF(VLOOKUP(C2023,Hoja1!$B$1:$C$6191,2,0)="",_xlfn.XLOOKUP(C2023,Hoja1!$B$2:$B$6191,Hoja1!$A$2:$A$6191),VLOOKUP(C2023,Hoja1!$B$1:$C$6191,2,0)),"No esta en Infor")</f>
        <v>NAC1177</v>
      </c>
      <c r="C2023" s="19" t="s">
        <v>566</v>
      </c>
      <c r="D2023" s="9">
        <v>0</v>
      </c>
      <c r="E2023" s="9">
        <v>-14.41</v>
      </c>
      <c r="F2023" s="9">
        <v>0</v>
      </c>
      <c r="G2023" s="9">
        <v>0</v>
      </c>
      <c r="H2023" s="9">
        <v>0</v>
      </c>
      <c r="I2023" s="9">
        <v>0</v>
      </c>
      <c r="J2023" s="9">
        <v>-14.41</v>
      </c>
    </row>
    <row r="2024" spans="1:10" ht="15.75" x14ac:dyDescent="0.25">
      <c r="A2024" s="21">
        <v>45473</v>
      </c>
      <c r="B2024" t="str">
        <f>IFERROR(IF(VLOOKUP(C2024,Hoja1!$B$1:$C$6191,2,0)="",_xlfn.XLOOKUP(C2024,Hoja1!$B$2:$B$6191,Hoja1!$A$2:$A$6191),VLOOKUP(C2024,Hoja1!$B$1:$C$6191,2,0)),"No esta en Infor")</f>
        <v>CAN0043</v>
      </c>
      <c r="C2024" s="19" t="s">
        <v>280</v>
      </c>
      <c r="D2024" s="9">
        <v>0</v>
      </c>
      <c r="E2024" s="9">
        <v>3454.5</v>
      </c>
      <c r="F2024" s="9">
        <v>0</v>
      </c>
      <c r="G2024" s="9">
        <v>0</v>
      </c>
      <c r="H2024" s="9">
        <v>0</v>
      </c>
      <c r="I2024" s="9">
        <v>0</v>
      </c>
      <c r="J2024" s="9">
        <v>3454.5</v>
      </c>
    </row>
    <row r="2025" spans="1:10" ht="15.75" x14ac:dyDescent="0.25">
      <c r="A2025" s="21">
        <v>45473</v>
      </c>
      <c r="B2025" t="str">
        <f>IFERROR(IF(VLOOKUP(C2025,Hoja1!$B$1:$C$6191,2,0)="",_xlfn.XLOOKUP(C2025,Hoja1!$B$2:$B$6191,Hoja1!$A$2:$A$6191),VLOOKUP(C2025,Hoja1!$B$1:$C$6191,2,0)),"No esta en Infor")</f>
        <v>NAC1187</v>
      </c>
      <c r="C2025" s="19" t="s">
        <v>471</v>
      </c>
      <c r="D2025" s="9">
        <v>0</v>
      </c>
      <c r="E2025" s="9">
        <v>2009.5</v>
      </c>
      <c r="F2025" s="9">
        <v>0</v>
      </c>
      <c r="G2025" s="9">
        <v>0</v>
      </c>
      <c r="H2025" s="9">
        <v>0</v>
      </c>
      <c r="I2025" s="9">
        <v>0</v>
      </c>
      <c r="J2025" s="9">
        <v>2009.5</v>
      </c>
    </row>
    <row r="2026" spans="1:10" ht="15.75" x14ac:dyDescent="0.25">
      <c r="A2026" s="21">
        <v>45473</v>
      </c>
      <c r="B2026" t="str">
        <f>IFERROR(IF(VLOOKUP(C2026,Hoja1!$B$1:$C$6191,2,0)="",_xlfn.XLOOKUP(C2026,Hoja1!$B$2:$B$6191,Hoja1!$A$2:$A$6191),VLOOKUP(C2026,Hoja1!$B$1:$C$6191,2,0)),"No esta en Infor")</f>
        <v>NAC1192</v>
      </c>
      <c r="C2026" s="19" t="s">
        <v>588</v>
      </c>
      <c r="D2026" s="9">
        <v>968</v>
      </c>
      <c r="E2026" s="9">
        <v>0</v>
      </c>
      <c r="F2026" s="9">
        <v>0</v>
      </c>
      <c r="G2026" s="9">
        <v>0</v>
      </c>
      <c r="H2026" s="9">
        <v>0</v>
      </c>
      <c r="I2026" s="9">
        <v>0</v>
      </c>
      <c r="J2026" s="9">
        <v>968</v>
      </c>
    </row>
    <row r="2027" spans="1:10" ht="15.75" x14ac:dyDescent="0.25">
      <c r="A2027" s="21">
        <v>45473</v>
      </c>
      <c r="B2027" t="str">
        <f>IFERROR(IF(VLOOKUP(C2027,Hoja1!$B$1:$C$6191,2,0)="",_xlfn.XLOOKUP(C2027,Hoja1!$B$2:$B$6191,Hoja1!$A$2:$A$6191),VLOOKUP(C2027,Hoja1!$B$1:$C$6191,2,0)),"No esta en Infor")</f>
        <v>CAN0045</v>
      </c>
      <c r="C2027" s="19" t="s">
        <v>472</v>
      </c>
      <c r="D2027" s="9">
        <v>0</v>
      </c>
      <c r="E2027" s="9">
        <v>894.96</v>
      </c>
      <c r="F2027" s="9">
        <v>0</v>
      </c>
      <c r="G2027" s="9">
        <v>0</v>
      </c>
      <c r="H2027" s="9">
        <v>0</v>
      </c>
      <c r="I2027" s="9">
        <v>0</v>
      </c>
      <c r="J2027" s="9">
        <v>894.96</v>
      </c>
    </row>
    <row r="2028" spans="1:10" ht="15.75" x14ac:dyDescent="0.25">
      <c r="A2028" s="21">
        <v>45473</v>
      </c>
      <c r="B2028" t="str">
        <f>IFERROR(IF(VLOOKUP(C2028,Hoja1!$B$1:$C$6191,2,0)="",_xlfn.XLOOKUP(C2028,Hoja1!$B$2:$B$6191,Hoja1!$A$2:$A$6191),VLOOKUP(C2028,Hoja1!$B$1:$C$6191,2,0)),"No esta en Infor")</f>
        <v>CAN0046</v>
      </c>
      <c r="C2028" s="19" t="s">
        <v>283</v>
      </c>
      <c r="D2028" s="9">
        <v>0</v>
      </c>
      <c r="E2028" s="9">
        <v>757.1</v>
      </c>
      <c r="F2028" s="9">
        <v>0</v>
      </c>
      <c r="G2028" s="9">
        <v>0</v>
      </c>
      <c r="H2028" s="9">
        <v>0</v>
      </c>
      <c r="I2028" s="9">
        <v>0</v>
      </c>
      <c r="J2028" s="9">
        <v>757.1</v>
      </c>
    </row>
    <row r="2029" spans="1:10" ht="15.75" x14ac:dyDescent="0.25">
      <c r="A2029" s="21">
        <v>45473</v>
      </c>
      <c r="B2029" t="str">
        <f>IFERROR(IF(VLOOKUP(C2029,Hoja1!$B$1:$C$6191,2,0)="",_xlfn.XLOOKUP(C2029,Hoja1!$B$2:$B$6191,Hoja1!$A$2:$A$6191),VLOOKUP(C2029,Hoja1!$B$1:$C$6191,2,0)),"No esta en Infor")</f>
        <v>CAN0048</v>
      </c>
      <c r="C2029" s="19" t="s">
        <v>567</v>
      </c>
      <c r="D2029" s="9">
        <v>0</v>
      </c>
      <c r="E2029" s="9">
        <v>-12463.9</v>
      </c>
      <c r="F2029" s="9">
        <v>0</v>
      </c>
      <c r="G2029" s="9">
        <v>0</v>
      </c>
      <c r="H2029" s="9">
        <v>0</v>
      </c>
      <c r="I2029" s="9">
        <v>0</v>
      </c>
      <c r="J2029" s="9">
        <v>-12463.9</v>
      </c>
    </row>
    <row r="2030" spans="1:10" ht="15.75" x14ac:dyDescent="0.25">
      <c r="A2030" s="21">
        <v>45473</v>
      </c>
      <c r="B2030" t="str">
        <f>IFERROR(IF(VLOOKUP(C2030,Hoja1!$B$1:$C$6191,2,0)="",_xlfn.XLOOKUP(C2030,Hoja1!$B$2:$B$6191,Hoja1!$A$2:$A$6191),VLOOKUP(C2030,Hoja1!$B$1:$C$6191,2,0)),"No esta en Infor")</f>
        <v>NAC1200</v>
      </c>
      <c r="C2030" s="19" t="s">
        <v>473</v>
      </c>
      <c r="D2030" s="9">
        <v>0</v>
      </c>
      <c r="E2030" s="9">
        <v>24.37</v>
      </c>
      <c r="F2030" s="9">
        <v>0</v>
      </c>
      <c r="G2030" s="9">
        <v>0</v>
      </c>
      <c r="H2030" s="9">
        <v>0</v>
      </c>
      <c r="I2030" s="9">
        <v>0</v>
      </c>
      <c r="J2030" s="9">
        <v>24.37</v>
      </c>
    </row>
    <row r="2031" spans="1:10" ht="15.75" x14ac:dyDescent="0.25">
      <c r="A2031" s="21">
        <v>45473</v>
      </c>
      <c r="B2031" t="str">
        <f>IFERROR(IF(VLOOKUP(C2031,Hoja1!$B$1:$C$6191,2,0)="",_xlfn.XLOOKUP(C2031,Hoja1!$B$2:$B$6191,Hoja1!$A$2:$A$6191),VLOOKUP(C2031,Hoja1!$B$1:$C$6191,2,0)),"No esta en Infor")</f>
        <v>NAC1211</v>
      </c>
      <c r="C2031" s="19" t="s">
        <v>284</v>
      </c>
      <c r="D2031" s="9">
        <v>34156.559999999998</v>
      </c>
      <c r="E2031" s="9">
        <v>55611.67</v>
      </c>
      <c r="F2031" s="9">
        <v>0</v>
      </c>
      <c r="G2031" s="9">
        <v>0</v>
      </c>
      <c r="H2031" s="9">
        <v>0</v>
      </c>
      <c r="I2031" s="9">
        <v>0</v>
      </c>
      <c r="J2031" s="9">
        <v>89768.23</v>
      </c>
    </row>
    <row r="2032" spans="1:10" ht="15.75" x14ac:dyDescent="0.25">
      <c r="A2032" s="21">
        <v>45473</v>
      </c>
      <c r="B2032" t="str">
        <f>IFERROR(IF(VLOOKUP(C2032,Hoja1!$B$1:$C$6191,2,0)="",_xlfn.XLOOKUP(C2032,Hoja1!$B$2:$B$6191,Hoja1!$A$2:$A$6191),VLOOKUP(C2032,Hoja1!$B$1:$C$6191,2,0)),"No esta en Infor")</f>
        <v>NAC1212</v>
      </c>
      <c r="C2032" s="19" t="s">
        <v>285</v>
      </c>
      <c r="D2032" s="9">
        <v>20200</v>
      </c>
      <c r="E2032" s="9">
        <v>0</v>
      </c>
      <c r="F2032" s="9">
        <v>0</v>
      </c>
      <c r="G2032" s="9">
        <v>0</v>
      </c>
      <c r="H2032" s="9">
        <v>0</v>
      </c>
      <c r="I2032" s="9">
        <v>0</v>
      </c>
      <c r="J2032" s="9">
        <v>20200</v>
      </c>
    </row>
    <row r="2033" spans="1:10" ht="15.75" x14ac:dyDescent="0.25">
      <c r="A2033" s="21">
        <v>45473</v>
      </c>
      <c r="B2033" t="str">
        <f>IFERROR(IF(VLOOKUP(C2033,Hoja1!$B$1:$C$6191,2,0)="",_xlfn.XLOOKUP(C2033,Hoja1!$B$2:$B$6191,Hoja1!$A$2:$A$6191),VLOOKUP(C2033,Hoja1!$B$1:$C$6191,2,0)),"No esta en Infor")</f>
        <v>NAC1216</v>
      </c>
      <c r="C2033" s="19" t="s">
        <v>287</v>
      </c>
      <c r="D2033" s="9">
        <v>0</v>
      </c>
      <c r="E2033" s="9">
        <v>32.979999999999997</v>
      </c>
      <c r="F2033" s="9">
        <v>0</v>
      </c>
      <c r="G2033" s="9">
        <v>0</v>
      </c>
      <c r="H2033" s="9">
        <v>0</v>
      </c>
      <c r="I2033" s="9">
        <v>0</v>
      </c>
      <c r="J2033" s="9">
        <v>32.979999999999997</v>
      </c>
    </row>
    <row r="2034" spans="1:10" ht="15.75" x14ac:dyDescent="0.25">
      <c r="A2034" s="21">
        <v>45473</v>
      </c>
      <c r="B2034" t="str">
        <f>IFERROR(IF(VLOOKUP(C2034,Hoja1!$B$1:$C$6191,2,0)="",_xlfn.XLOOKUP(C2034,Hoja1!$B$2:$B$6191,Hoja1!$A$2:$A$6191),VLOOKUP(C2034,Hoja1!$B$1:$C$6191,2,0)),"No esta en Infor")</f>
        <v>NAC1219</v>
      </c>
      <c r="C2034" s="19" t="s">
        <v>475</v>
      </c>
      <c r="D2034" s="9">
        <v>0</v>
      </c>
      <c r="E2034" s="9">
        <v>0</v>
      </c>
      <c r="F2034" s="9">
        <v>-299.55</v>
      </c>
      <c r="G2034" s="9">
        <v>0</v>
      </c>
      <c r="H2034" s="9">
        <v>0</v>
      </c>
      <c r="I2034" s="9">
        <v>0</v>
      </c>
      <c r="J2034" s="9">
        <v>-299.55</v>
      </c>
    </row>
    <row r="2035" spans="1:10" ht="15.75" x14ac:dyDescent="0.25">
      <c r="A2035" s="21">
        <v>45473</v>
      </c>
      <c r="B2035" t="str">
        <f>IFERROR(IF(VLOOKUP(C2035,Hoja1!$B$1:$C$6191,2,0)="",_xlfn.XLOOKUP(C2035,Hoja1!$B$2:$B$6191,Hoja1!$A$2:$A$6191),VLOOKUP(C2035,Hoja1!$B$1:$C$6191,2,0)),"No esta en Infor")</f>
        <v>CAN0049</v>
      </c>
      <c r="C2035" s="19" t="s">
        <v>289</v>
      </c>
      <c r="D2035" s="9">
        <v>10088.94</v>
      </c>
      <c r="E2035" s="9">
        <v>0</v>
      </c>
      <c r="F2035" s="9">
        <v>0</v>
      </c>
      <c r="G2035" s="9">
        <v>0</v>
      </c>
      <c r="H2035" s="9">
        <v>0</v>
      </c>
      <c r="I2035" s="9">
        <v>0</v>
      </c>
      <c r="J2035" s="9">
        <v>10088.94</v>
      </c>
    </row>
    <row r="2036" spans="1:10" ht="15.75" x14ac:dyDescent="0.25">
      <c r="A2036" s="21">
        <v>45473</v>
      </c>
      <c r="B2036" t="str">
        <f>IFERROR(IF(VLOOKUP(C2036,Hoja1!$B$1:$C$6191,2,0)="",_xlfn.XLOOKUP(C2036,Hoja1!$B$2:$B$6191,Hoja1!$A$2:$A$6191),VLOOKUP(C2036,Hoja1!$B$1:$C$6191,2,0)),"No esta en Infor")</f>
        <v>NAC1228</v>
      </c>
      <c r="C2036" s="19" t="s">
        <v>569</v>
      </c>
      <c r="D2036" s="9">
        <v>0</v>
      </c>
      <c r="E2036" s="9">
        <v>1287.8399999999999</v>
      </c>
      <c r="F2036" s="9">
        <v>0</v>
      </c>
      <c r="G2036" s="9">
        <v>0</v>
      </c>
      <c r="H2036" s="9">
        <v>0</v>
      </c>
      <c r="I2036" s="9">
        <v>0</v>
      </c>
      <c r="J2036" s="9">
        <v>1287.8399999999999</v>
      </c>
    </row>
    <row r="2037" spans="1:10" ht="15.75" x14ac:dyDescent="0.25">
      <c r="A2037" s="21">
        <v>45473</v>
      </c>
      <c r="B2037" t="str">
        <f>IFERROR(IF(VLOOKUP(C2037,Hoja1!$B$1:$C$6191,2,0)="",_xlfn.XLOOKUP(C2037,Hoja1!$B$2:$B$6191,Hoja1!$A$2:$A$6191),VLOOKUP(C2037,Hoja1!$B$1:$C$6191,2,0)),"No esta en Infor")</f>
        <v>CAN0050</v>
      </c>
      <c r="C2037" s="19" t="s">
        <v>291</v>
      </c>
      <c r="D2037" s="9">
        <v>1707</v>
      </c>
      <c r="E2037" s="9">
        <v>20544.3</v>
      </c>
      <c r="F2037" s="9">
        <v>0</v>
      </c>
      <c r="G2037" s="9">
        <v>0</v>
      </c>
      <c r="H2037" s="9">
        <v>0</v>
      </c>
      <c r="I2037" s="9">
        <v>0</v>
      </c>
      <c r="J2037" s="9">
        <v>22251.3</v>
      </c>
    </row>
    <row r="2038" spans="1:10" ht="15.75" x14ac:dyDescent="0.25">
      <c r="A2038" s="21">
        <v>45473</v>
      </c>
      <c r="B2038" t="str">
        <f>IFERROR(IF(VLOOKUP(C2038,Hoja1!$B$1:$C$6191,2,0)="",_xlfn.XLOOKUP(C2038,Hoja1!$B$2:$B$6191,Hoja1!$A$2:$A$6191),VLOOKUP(C2038,Hoja1!$B$1:$C$6191,2,0)),"No esta en Infor")</f>
        <v>NAC1234</v>
      </c>
      <c r="C2038" s="19" t="s">
        <v>293</v>
      </c>
      <c r="D2038" s="9">
        <v>389</v>
      </c>
      <c r="E2038" s="9">
        <v>0</v>
      </c>
      <c r="F2038" s="9">
        <v>0</v>
      </c>
      <c r="G2038" s="9">
        <v>0</v>
      </c>
      <c r="H2038" s="9">
        <v>0</v>
      </c>
      <c r="I2038" s="9">
        <v>0</v>
      </c>
      <c r="J2038" s="9">
        <v>389</v>
      </c>
    </row>
    <row r="2039" spans="1:10" ht="15.75" x14ac:dyDescent="0.25">
      <c r="A2039" s="21">
        <v>45473</v>
      </c>
      <c r="B2039" t="str">
        <f>IFERROR(IF(VLOOKUP(C2039,Hoja1!$B$1:$C$6191,2,0)="",_xlfn.XLOOKUP(C2039,Hoja1!$B$2:$B$6191,Hoja1!$A$2:$A$6191),VLOOKUP(C2039,Hoja1!$B$1:$C$6191,2,0)),"No esta en Infor")</f>
        <v>NAC1247</v>
      </c>
      <c r="C2039" s="19" t="s">
        <v>298</v>
      </c>
      <c r="D2039" s="9">
        <v>16397.38</v>
      </c>
      <c r="E2039" s="9">
        <v>0</v>
      </c>
      <c r="F2039" s="9">
        <v>0</v>
      </c>
      <c r="G2039" s="9">
        <v>0</v>
      </c>
      <c r="H2039" s="9">
        <v>0</v>
      </c>
      <c r="I2039" s="9">
        <v>0</v>
      </c>
      <c r="J2039" s="9">
        <v>16397.38</v>
      </c>
    </row>
    <row r="2040" spans="1:10" ht="15.75" x14ac:dyDescent="0.25">
      <c r="A2040" s="21">
        <v>45473</v>
      </c>
      <c r="B2040" t="str">
        <f>IFERROR(IF(VLOOKUP(C2040,Hoja1!$B$1:$C$6191,2,0)="",_xlfn.XLOOKUP(C2040,Hoja1!$B$2:$B$6191,Hoja1!$A$2:$A$6191),VLOOKUP(C2040,Hoja1!$B$1:$C$6191,2,0)),"No esta en Infor")</f>
        <v>NAC1248</v>
      </c>
      <c r="C2040" s="19" t="s">
        <v>589</v>
      </c>
      <c r="D2040" s="9">
        <v>2486.81</v>
      </c>
      <c r="E2040" s="9">
        <v>0</v>
      </c>
      <c r="F2040" s="9">
        <v>0</v>
      </c>
      <c r="G2040" s="9">
        <v>0</v>
      </c>
      <c r="H2040" s="9">
        <v>0</v>
      </c>
      <c r="I2040" s="9">
        <v>0</v>
      </c>
      <c r="J2040" s="9">
        <v>2486.81</v>
      </c>
    </row>
    <row r="2041" spans="1:10" ht="15.75" x14ac:dyDescent="0.25">
      <c r="A2041" s="21">
        <v>45473</v>
      </c>
      <c r="B2041" t="str">
        <f>IFERROR(IF(VLOOKUP(C2041,Hoja1!$B$1:$C$6191,2,0)="",_xlfn.XLOOKUP(C2041,Hoja1!$B$2:$B$6191,Hoja1!$A$2:$A$6191),VLOOKUP(C2041,Hoja1!$B$1:$C$6191,2,0)),"No esta en Infor")</f>
        <v>CAN0051</v>
      </c>
      <c r="C2041" s="19" t="s">
        <v>299</v>
      </c>
      <c r="D2041" s="9">
        <v>0</v>
      </c>
      <c r="E2041" s="9">
        <v>3916.98</v>
      </c>
      <c r="F2041" s="9">
        <v>-0.34</v>
      </c>
      <c r="G2041" s="9">
        <v>0</v>
      </c>
      <c r="H2041" s="9">
        <v>0</v>
      </c>
      <c r="I2041" s="9">
        <v>0</v>
      </c>
      <c r="J2041" s="9">
        <v>3916.64</v>
      </c>
    </row>
    <row r="2042" spans="1:10" ht="15.75" x14ac:dyDescent="0.25">
      <c r="A2042" s="21">
        <v>45473</v>
      </c>
      <c r="B2042" t="str">
        <f>IFERROR(IF(VLOOKUP(C2042,Hoja1!$B$1:$C$6191,2,0)="",_xlfn.XLOOKUP(C2042,Hoja1!$B$2:$B$6191,Hoja1!$A$2:$A$6191),VLOOKUP(C2042,Hoja1!$B$1:$C$6191,2,0)),"No esta en Infor")</f>
        <v>NAC1252</v>
      </c>
      <c r="C2042" s="19" t="s">
        <v>301</v>
      </c>
      <c r="D2042" s="9">
        <v>7731.2</v>
      </c>
      <c r="E2042" s="9">
        <v>0</v>
      </c>
      <c r="F2042" s="9">
        <v>0</v>
      </c>
      <c r="G2042" s="9">
        <v>0</v>
      </c>
      <c r="H2042" s="9">
        <v>0</v>
      </c>
      <c r="I2042" s="9">
        <v>0</v>
      </c>
      <c r="J2042" s="9">
        <v>7731.2</v>
      </c>
    </row>
    <row r="2043" spans="1:10" ht="15.75" x14ac:dyDescent="0.25">
      <c r="A2043" s="21">
        <v>45473</v>
      </c>
      <c r="B2043" t="str">
        <f>IFERROR(IF(VLOOKUP(C2043,Hoja1!$B$1:$C$6191,2,0)="",_xlfn.XLOOKUP(C2043,Hoja1!$B$2:$B$6191,Hoja1!$A$2:$A$6191),VLOOKUP(C2043,Hoja1!$B$1:$C$6191,2,0)),"No esta en Infor")</f>
        <v>NAC1615</v>
      </c>
      <c r="C2043" s="19" t="s">
        <v>520</v>
      </c>
      <c r="D2043" s="9">
        <v>-17.64</v>
      </c>
      <c r="E2043" s="9">
        <v>-234.36</v>
      </c>
      <c r="F2043" s="9">
        <v>0</v>
      </c>
      <c r="G2043" s="9">
        <v>0</v>
      </c>
      <c r="H2043" s="9">
        <v>0</v>
      </c>
      <c r="I2043" s="9">
        <v>0</v>
      </c>
      <c r="J2043" s="9">
        <v>-252</v>
      </c>
    </row>
    <row r="2044" spans="1:10" ht="15.75" x14ac:dyDescent="0.25">
      <c r="A2044" s="21">
        <v>45473</v>
      </c>
      <c r="B2044" t="str">
        <f>IFERROR(IF(VLOOKUP(C2044,Hoja1!$B$1:$C$6191,2,0)="",_xlfn.XLOOKUP(C2044,Hoja1!$B$2:$B$6191,Hoja1!$A$2:$A$6191),VLOOKUP(C2044,Hoja1!$B$1:$C$6191,2,0)),"No esta en Infor")</f>
        <v>NAC1260</v>
      </c>
      <c r="C2044" s="19" t="s">
        <v>571</v>
      </c>
      <c r="D2044" s="9">
        <v>-19694.63</v>
      </c>
      <c r="E2044" s="9">
        <v>-18110</v>
      </c>
      <c r="F2044" s="9">
        <v>0</v>
      </c>
      <c r="G2044" s="9">
        <v>0</v>
      </c>
      <c r="H2044" s="9">
        <v>0</v>
      </c>
      <c r="I2044" s="9">
        <v>0</v>
      </c>
      <c r="J2044" s="9">
        <v>-37804.629999999997</v>
      </c>
    </row>
    <row r="2045" spans="1:10" ht="15.75" x14ac:dyDescent="0.25">
      <c r="A2045" s="21">
        <v>45473</v>
      </c>
      <c r="B2045" t="str">
        <f>IFERROR(IF(VLOOKUP(C2045,Hoja1!$B$1:$C$6191,2,0)="",_xlfn.XLOOKUP(C2045,Hoja1!$B$2:$B$6191,Hoja1!$A$2:$A$6191),VLOOKUP(C2045,Hoja1!$B$1:$C$6191,2,0)),"No esta en Infor")</f>
        <v>NAC1283</v>
      </c>
      <c r="C2045" s="19" t="s">
        <v>308</v>
      </c>
      <c r="D2045" s="9">
        <v>0</v>
      </c>
      <c r="E2045" s="9">
        <v>692</v>
      </c>
      <c r="F2045" s="9">
        <v>-118</v>
      </c>
      <c r="G2045" s="9">
        <v>0</v>
      </c>
      <c r="H2045" s="9">
        <v>0</v>
      </c>
      <c r="I2045" s="9">
        <v>0</v>
      </c>
      <c r="J2045" s="9">
        <v>574</v>
      </c>
    </row>
    <row r="2046" spans="1:10" ht="15.75" x14ac:dyDescent="0.25">
      <c r="A2046" s="21">
        <v>45473</v>
      </c>
      <c r="B2046" t="str">
        <f>IFERROR(IF(VLOOKUP(C2046,Hoja1!$B$1:$C$6191,2,0)="",_xlfn.XLOOKUP(C2046,Hoja1!$B$2:$B$6191,Hoja1!$A$2:$A$6191),VLOOKUP(C2046,Hoja1!$B$1:$C$6191,2,0)),"No esta en Infor")</f>
        <v>CAN0056</v>
      </c>
      <c r="C2046" s="19" t="s">
        <v>590</v>
      </c>
      <c r="D2046" s="9">
        <v>6158.5</v>
      </c>
      <c r="E2046" s="9">
        <v>0</v>
      </c>
      <c r="F2046" s="9">
        <v>0</v>
      </c>
      <c r="G2046" s="9">
        <v>0</v>
      </c>
      <c r="H2046" s="9">
        <v>0</v>
      </c>
      <c r="I2046" s="9">
        <v>0</v>
      </c>
      <c r="J2046" s="9">
        <v>6158.5</v>
      </c>
    </row>
    <row r="2047" spans="1:10" ht="15.75" x14ac:dyDescent="0.25">
      <c r="A2047" s="21">
        <v>45473</v>
      </c>
      <c r="B2047" t="str">
        <f>IFERROR(IF(VLOOKUP(C2047,Hoja1!$B$1:$C$6191,2,0)="",_xlfn.XLOOKUP(C2047,Hoja1!$B$2:$B$6191,Hoja1!$A$2:$A$6191),VLOOKUP(C2047,Hoja1!$B$1:$C$6191,2,0)),"No esta en Infor")</f>
        <v>SH02679</v>
      </c>
      <c r="C2047" s="19" t="s">
        <v>591</v>
      </c>
      <c r="D2047" s="9">
        <v>0</v>
      </c>
      <c r="E2047" s="9">
        <v>65.510000000000005</v>
      </c>
      <c r="F2047" s="9">
        <v>0</v>
      </c>
      <c r="G2047" s="9">
        <v>0</v>
      </c>
      <c r="H2047" s="9">
        <v>0</v>
      </c>
      <c r="I2047" s="9">
        <v>0</v>
      </c>
      <c r="J2047" s="9">
        <v>65.510000000000005</v>
      </c>
    </row>
    <row r="2048" spans="1:10" ht="15.75" x14ac:dyDescent="0.25">
      <c r="A2048" s="21">
        <v>45473</v>
      </c>
      <c r="B2048" t="str">
        <f>IFERROR(IF(VLOOKUP(C2048,Hoja1!$B$1:$C$6191,2,0)="",_xlfn.XLOOKUP(C2048,Hoja1!$B$2:$B$6191,Hoja1!$A$2:$A$6191),VLOOKUP(C2048,Hoja1!$B$1:$C$6191,2,0)),"No esta en Infor")</f>
        <v>No esta en Infor</v>
      </c>
      <c r="C2048" s="19" t="s">
        <v>47</v>
      </c>
      <c r="D2048" s="9">
        <v>1600</v>
      </c>
      <c r="E2048" s="9">
        <v>0</v>
      </c>
      <c r="F2048" s="9">
        <v>0</v>
      </c>
      <c r="G2048" s="9">
        <v>0</v>
      </c>
      <c r="H2048" s="9">
        <v>0</v>
      </c>
      <c r="I2048" s="9">
        <v>0</v>
      </c>
      <c r="J2048" s="9">
        <v>1600</v>
      </c>
    </row>
    <row r="2049" spans="1:10" ht="15.75" x14ac:dyDescent="0.25">
      <c r="A2049" s="21">
        <v>45473</v>
      </c>
      <c r="B2049" t="str">
        <f>IFERROR(IF(VLOOKUP(C2049,Hoja1!$B$1:$C$6191,2,0)="",_xlfn.XLOOKUP(C2049,Hoja1!$B$2:$B$6191,Hoja1!$A$2:$A$6191),VLOOKUP(C2049,Hoja1!$B$1:$C$6191,2,0)),"No esta en Infor")</f>
        <v>NAC1609</v>
      </c>
      <c r="C2049" s="19" t="s">
        <v>48</v>
      </c>
      <c r="D2049" s="9">
        <v>254.67</v>
      </c>
      <c r="E2049" s="9">
        <v>377.29</v>
      </c>
      <c r="F2049" s="9">
        <v>0</v>
      </c>
      <c r="G2049" s="9">
        <v>0</v>
      </c>
      <c r="H2049" s="9">
        <v>0</v>
      </c>
      <c r="I2049" s="9">
        <v>0</v>
      </c>
      <c r="J2049" s="9">
        <v>631.96</v>
      </c>
    </row>
    <row r="2050" spans="1:10" ht="15.75" x14ac:dyDescent="0.25">
      <c r="A2050" s="21">
        <v>45473</v>
      </c>
      <c r="B2050" t="str">
        <f>IFERROR(IF(VLOOKUP(C2050,Hoja1!$B$1:$C$6191,2,0)="",_xlfn.XLOOKUP(C2050,Hoja1!$B$2:$B$6191,Hoja1!$A$2:$A$6191),VLOOKUP(C2050,Hoja1!$B$1:$C$6191,2,0)),"No esta en Infor")</f>
        <v>NAC1312</v>
      </c>
      <c r="C2050" s="19" t="s">
        <v>314</v>
      </c>
      <c r="D2050" s="9">
        <v>0</v>
      </c>
      <c r="E2050" s="9">
        <v>210964.39</v>
      </c>
      <c r="F2050" s="9">
        <v>25233.55</v>
      </c>
      <c r="G2050" s="9">
        <v>1743.04</v>
      </c>
      <c r="H2050" s="9">
        <v>4649.8900000000003</v>
      </c>
      <c r="I2050" s="9">
        <v>0</v>
      </c>
      <c r="J2050" s="9">
        <v>242590.87</v>
      </c>
    </row>
    <row r="2051" spans="1:10" ht="15.75" x14ac:dyDescent="0.25">
      <c r="A2051" s="21">
        <v>45473</v>
      </c>
      <c r="B2051" t="str">
        <f>IFERROR(IF(VLOOKUP(C2051,Hoja1!$B$1:$C$6191,2,0)="",_xlfn.XLOOKUP(C2051,Hoja1!$B$2:$B$6191,Hoja1!$A$2:$A$6191),VLOOKUP(C2051,Hoja1!$B$1:$C$6191,2,0)),"No esta en Infor")</f>
        <v>NAC1313</v>
      </c>
      <c r="C2051" s="19" t="s">
        <v>315</v>
      </c>
      <c r="D2051" s="9">
        <v>2400</v>
      </c>
      <c r="E2051" s="9">
        <v>0</v>
      </c>
      <c r="F2051" s="9">
        <v>0</v>
      </c>
      <c r="G2051" s="9">
        <v>0</v>
      </c>
      <c r="H2051" s="9">
        <v>0</v>
      </c>
      <c r="I2051" s="9">
        <v>0</v>
      </c>
      <c r="J2051" s="9">
        <v>2400</v>
      </c>
    </row>
    <row r="2052" spans="1:10" ht="15.75" x14ac:dyDescent="0.25">
      <c r="A2052" s="21">
        <v>45473</v>
      </c>
      <c r="B2052" t="str">
        <f>IFERROR(IF(VLOOKUP(C2052,Hoja1!$B$1:$C$6191,2,0)="",_xlfn.XLOOKUP(C2052,Hoja1!$B$2:$B$6191,Hoja1!$A$2:$A$6191),VLOOKUP(C2052,Hoja1!$B$1:$C$6191,2,0)),"No esta en Infor")</f>
        <v>CAN0060</v>
      </c>
      <c r="C2052" s="19" t="s">
        <v>422</v>
      </c>
      <c r="D2052" s="9">
        <v>0</v>
      </c>
      <c r="E2052" s="9">
        <v>-28.5</v>
      </c>
      <c r="F2052" s="9">
        <v>0</v>
      </c>
      <c r="G2052" s="9">
        <v>0</v>
      </c>
      <c r="H2052" s="9">
        <v>0</v>
      </c>
      <c r="I2052" s="9">
        <v>0</v>
      </c>
      <c r="J2052" s="9">
        <v>-28.5</v>
      </c>
    </row>
    <row r="2053" spans="1:10" ht="15.75" x14ac:dyDescent="0.25">
      <c r="A2053" s="21">
        <v>45473</v>
      </c>
      <c r="B2053" t="str">
        <f>IFERROR(IF(VLOOKUP(C2053,Hoja1!$B$1:$C$6191,2,0)="",_xlfn.XLOOKUP(C2053,Hoja1!$B$2:$B$6191,Hoja1!$A$2:$A$6191),VLOOKUP(C2053,Hoja1!$B$1:$C$6191,2,0)),"No esta en Infor")</f>
        <v>No esta en Infor</v>
      </c>
      <c r="C2053" s="19" t="s">
        <v>320</v>
      </c>
      <c r="D2053" s="9">
        <v>0</v>
      </c>
      <c r="E2053" s="9">
        <v>0</v>
      </c>
      <c r="F2053" s="9">
        <v>0</v>
      </c>
      <c r="G2053" s="9">
        <v>48.29</v>
      </c>
      <c r="H2053" s="9">
        <v>0</v>
      </c>
      <c r="I2053" s="9">
        <v>0</v>
      </c>
      <c r="J2053" s="9">
        <v>48.29</v>
      </c>
    </row>
    <row r="2054" spans="1:10" ht="15.75" x14ac:dyDescent="0.25">
      <c r="A2054" s="21">
        <v>45473</v>
      </c>
      <c r="B2054" t="str">
        <f>IFERROR(IF(VLOOKUP(C2054,Hoja1!$B$1:$C$6191,2,0)="",_xlfn.XLOOKUP(C2054,Hoja1!$B$2:$B$6191,Hoja1!$A$2:$A$6191),VLOOKUP(C2054,Hoja1!$B$1:$C$6191,2,0)),"No esta en Infor")</f>
        <v>NAC1346</v>
      </c>
      <c r="C2054" s="19" t="s">
        <v>321</v>
      </c>
      <c r="D2054" s="9">
        <v>1022.99</v>
      </c>
      <c r="E2054" s="9">
        <v>0</v>
      </c>
      <c r="F2054" s="9">
        <v>0</v>
      </c>
      <c r="G2054" s="9">
        <v>0</v>
      </c>
      <c r="H2054" s="9">
        <v>0</v>
      </c>
      <c r="I2054" s="9">
        <v>0</v>
      </c>
      <c r="J2054" s="9">
        <v>1022.99</v>
      </c>
    </row>
    <row r="2055" spans="1:10" ht="15.75" x14ac:dyDescent="0.25">
      <c r="A2055" s="21">
        <v>45473</v>
      </c>
      <c r="B2055" t="str">
        <f>IFERROR(IF(VLOOKUP(C2055,Hoja1!$B$1:$C$6191,2,0)="",_xlfn.XLOOKUP(C2055,Hoja1!$B$2:$B$6191,Hoja1!$A$2:$A$6191),VLOOKUP(C2055,Hoja1!$B$1:$C$6191,2,0)),"No esta en Infor")</f>
        <v>NAC1349</v>
      </c>
      <c r="C2055" s="19" t="s">
        <v>322</v>
      </c>
      <c r="D2055" s="9">
        <v>0</v>
      </c>
      <c r="E2055" s="9">
        <v>0</v>
      </c>
      <c r="F2055" s="9">
        <v>-178.85</v>
      </c>
      <c r="G2055" s="9">
        <v>-169.96</v>
      </c>
      <c r="H2055" s="9">
        <v>0</v>
      </c>
      <c r="I2055" s="9">
        <v>0</v>
      </c>
      <c r="J2055" s="9">
        <v>-348.81</v>
      </c>
    </row>
    <row r="2056" spans="1:10" ht="15.75" x14ac:dyDescent="0.25">
      <c r="A2056" s="21">
        <v>45473</v>
      </c>
      <c r="B2056" t="str">
        <f>IFERROR(IF(VLOOKUP(C2056,Hoja1!$B$1:$C$6191,2,0)="",_xlfn.XLOOKUP(C2056,Hoja1!$B$2:$B$6191,Hoja1!$A$2:$A$6191),VLOOKUP(C2056,Hoja1!$B$1:$C$6191,2,0)),"No esta en Infor")</f>
        <v>NAC1356</v>
      </c>
      <c r="C2056" s="19" t="s">
        <v>325</v>
      </c>
      <c r="D2056" s="9">
        <v>0</v>
      </c>
      <c r="E2056" s="9">
        <v>0</v>
      </c>
      <c r="F2056" s="9">
        <v>0</v>
      </c>
      <c r="G2056" s="9">
        <v>-421.28</v>
      </c>
      <c r="H2056" s="9">
        <v>0</v>
      </c>
      <c r="I2056" s="9">
        <v>0</v>
      </c>
      <c r="J2056" s="9">
        <v>-421.28</v>
      </c>
    </row>
    <row r="2057" spans="1:10" ht="15.75" x14ac:dyDescent="0.25">
      <c r="A2057" s="21">
        <v>45473</v>
      </c>
      <c r="B2057" t="str">
        <f>IFERROR(IF(VLOOKUP(C2057,Hoja1!$B$1:$C$6191,2,0)="",_xlfn.XLOOKUP(C2057,Hoja1!$B$2:$B$6191,Hoja1!$A$2:$A$6191),VLOOKUP(C2057,Hoja1!$B$1:$C$6191,2,0)),"No esta en Infor")</f>
        <v>NAC1367</v>
      </c>
      <c r="C2057" s="19" t="s">
        <v>424</v>
      </c>
      <c r="D2057" s="9">
        <v>255</v>
      </c>
      <c r="E2057" s="9">
        <v>0</v>
      </c>
      <c r="F2057" s="9">
        <v>0</v>
      </c>
      <c r="G2057" s="9">
        <v>0</v>
      </c>
      <c r="H2057" s="9">
        <v>0</v>
      </c>
      <c r="I2057" s="9">
        <v>0</v>
      </c>
      <c r="J2057" s="9">
        <v>255</v>
      </c>
    </row>
    <row r="2058" spans="1:10" ht="15.75" x14ac:dyDescent="0.25">
      <c r="A2058" s="21">
        <v>45473</v>
      </c>
      <c r="B2058" t="str">
        <f>IFERROR(IF(VLOOKUP(C2058,Hoja1!$B$1:$C$6191,2,0)="",_xlfn.XLOOKUP(C2058,Hoja1!$B$2:$B$6191,Hoja1!$A$2:$A$6191),VLOOKUP(C2058,Hoja1!$B$1:$C$6191,2,0)),"No esta en Infor")</f>
        <v>NAC1376</v>
      </c>
      <c r="C2058" s="19" t="s">
        <v>331</v>
      </c>
      <c r="D2058" s="9">
        <v>-14100</v>
      </c>
      <c r="E2058" s="9">
        <v>56455</v>
      </c>
      <c r="F2058" s="9">
        <v>0</v>
      </c>
      <c r="G2058" s="9">
        <v>0</v>
      </c>
      <c r="H2058" s="9">
        <v>0</v>
      </c>
      <c r="I2058" s="9">
        <v>0</v>
      </c>
      <c r="J2058" s="9">
        <v>42355</v>
      </c>
    </row>
    <row r="2059" spans="1:10" ht="15.75" x14ac:dyDescent="0.25">
      <c r="A2059" s="21">
        <v>45473</v>
      </c>
      <c r="B2059" t="str">
        <f>IFERROR(IF(VLOOKUP(C2059,Hoja1!$B$1:$C$6191,2,0)="",_xlfn.XLOOKUP(C2059,Hoja1!$B$2:$B$6191,Hoja1!$A$2:$A$6191),VLOOKUP(C2059,Hoja1!$B$1:$C$6191,2,0)),"No esta en Infor")</f>
        <v>NAC1381</v>
      </c>
      <c r="C2059" s="19" t="s">
        <v>478</v>
      </c>
      <c r="D2059" s="9">
        <v>0</v>
      </c>
      <c r="E2059" s="9">
        <v>-5.28</v>
      </c>
      <c r="F2059" s="9">
        <v>0</v>
      </c>
      <c r="G2059" s="9">
        <v>0</v>
      </c>
      <c r="H2059" s="9">
        <v>0</v>
      </c>
      <c r="I2059" s="9">
        <v>0</v>
      </c>
      <c r="J2059" s="9">
        <v>-5.28</v>
      </c>
    </row>
    <row r="2060" spans="1:10" ht="15.75" x14ac:dyDescent="0.25">
      <c r="A2060" s="21">
        <v>45473</v>
      </c>
      <c r="B2060" t="str">
        <f>IFERROR(IF(VLOOKUP(C2060,Hoja1!$B$1:$C$6191,2,0)="",_xlfn.XLOOKUP(C2060,Hoja1!$B$2:$B$6191,Hoja1!$A$2:$A$6191),VLOOKUP(C2060,Hoja1!$B$1:$C$6191,2,0)),"No esta en Infor")</f>
        <v>NAC1382</v>
      </c>
      <c r="C2060" s="19" t="s">
        <v>332</v>
      </c>
      <c r="D2060" s="9">
        <v>96540.51</v>
      </c>
      <c r="E2060" s="9">
        <v>4760</v>
      </c>
      <c r="F2060" s="9">
        <v>0</v>
      </c>
      <c r="G2060" s="9">
        <v>0</v>
      </c>
      <c r="H2060" s="9">
        <v>0</v>
      </c>
      <c r="I2060" s="9">
        <v>0</v>
      </c>
      <c r="J2060" s="9">
        <v>101300.51</v>
      </c>
    </row>
    <row r="2061" spans="1:10" ht="15.75" x14ac:dyDescent="0.25">
      <c r="A2061" s="21">
        <v>45473</v>
      </c>
      <c r="B2061" t="str">
        <f>IFERROR(IF(VLOOKUP(C2061,Hoja1!$B$1:$C$6191,2,0)="",_xlfn.XLOOKUP(C2061,Hoja1!$B$2:$B$6191,Hoja1!$A$2:$A$6191),VLOOKUP(C2061,Hoja1!$B$1:$C$6191,2,0)),"No esta en Infor")</f>
        <v>NAC1395</v>
      </c>
      <c r="C2061" s="19" t="s">
        <v>337</v>
      </c>
      <c r="D2061" s="9">
        <v>7046</v>
      </c>
      <c r="E2061" s="9">
        <v>10398.6</v>
      </c>
      <c r="F2061" s="9">
        <v>0</v>
      </c>
      <c r="G2061" s="9">
        <v>0</v>
      </c>
      <c r="H2061" s="9">
        <v>0</v>
      </c>
      <c r="I2061" s="9">
        <v>0</v>
      </c>
      <c r="J2061" s="9">
        <v>17444.599999999999</v>
      </c>
    </row>
    <row r="2062" spans="1:10" ht="15.75" x14ac:dyDescent="0.25">
      <c r="A2062" s="21">
        <v>45473</v>
      </c>
      <c r="B2062" t="str">
        <f>IFERROR(IF(VLOOKUP(C2062,Hoja1!$B$1:$C$6191,2,0)="",_xlfn.XLOOKUP(C2062,Hoja1!$B$2:$B$6191,Hoja1!$A$2:$A$6191),VLOOKUP(C2062,Hoja1!$B$1:$C$6191,2,0)),"No esta en Infor")</f>
        <v>No esta en Infor</v>
      </c>
      <c r="C2062" s="19" t="s">
        <v>338</v>
      </c>
      <c r="D2062" s="9">
        <v>0</v>
      </c>
      <c r="E2062" s="9">
        <v>0</v>
      </c>
      <c r="F2062" s="9">
        <v>0</v>
      </c>
      <c r="G2062" s="9">
        <v>0</v>
      </c>
      <c r="H2062" s="9">
        <v>0</v>
      </c>
      <c r="I2062" s="9">
        <v>-340.25</v>
      </c>
      <c r="J2062" s="9">
        <v>-340.25</v>
      </c>
    </row>
    <row r="2063" spans="1:10" ht="15.75" x14ac:dyDescent="0.25">
      <c r="A2063" s="21">
        <v>45473</v>
      </c>
      <c r="B2063" t="str">
        <f>IFERROR(IF(VLOOKUP(C2063,Hoja1!$B$1:$C$6191,2,0)="",_xlfn.XLOOKUP(C2063,Hoja1!$B$2:$B$6191,Hoja1!$A$2:$A$6191),VLOOKUP(C2063,Hoja1!$B$1:$C$6191,2,0)),"No esta en Infor")</f>
        <v>CAN0068</v>
      </c>
      <c r="C2063" s="19" t="s">
        <v>529</v>
      </c>
      <c r="D2063" s="9">
        <v>0</v>
      </c>
      <c r="E2063" s="9">
        <v>1051.8</v>
      </c>
      <c r="F2063" s="9">
        <v>0</v>
      </c>
      <c r="G2063" s="9">
        <v>0</v>
      </c>
      <c r="H2063" s="9">
        <v>0</v>
      </c>
      <c r="I2063" s="9">
        <v>0</v>
      </c>
      <c r="J2063" s="9">
        <v>1051.8</v>
      </c>
    </row>
    <row r="2064" spans="1:10" ht="15.75" x14ac:dyDescent="0.25">
      <c r="A2064" s="21">
        <v>45473</v>
      </c>
      <c r="B2064" t="str">
        <f>IFERROR(IF(VLOOKUP(C2064,Hoja1!$B$1:$C$6191,2,0)="",_xlfn.XLOOKUP(C2064,Hoja1!$B$2:$B$6191,Hoja1!$A$2:$A$6191),VLOOKUP(C2064,Hoja1!$B$1:$C$6191,2,0)),"No esta en Infor")</f>
        <v>NAC1404</v>
      </c>
      <c r="C2064" s="19" t="s">
        <v>592</v>
      </c>
      <c r="D2064" s="9">
        <v>0</v>
      </c>
      <c r="E2064" s="9">
        <v>-85.32</v>
      </c>
      <c r="F2064" s="9">
        <v>0</v>
      </c>
      <c r="G2064" s="9">
        <v>0</v>
      </c>
      <c r="H2064" s="9">
        <v>0</v>
      </c>
      <c r="I2064" s="9">
        <v>0</v>
      </c>
      <c r="J2064" s="9">
        <v>-85.32</v>
      </c>
    </row>
    <row r="2065" spans="1:10" ht="15.75" x14ac:dyDescent="0.25">
      <c r="A2065" s="21">
        <v>45473</v>
      </c>
      <c r="B2065" t="str">
        <f>IFERROR(IF(VLOOKUP(C2065,Hoja1!$B$1:$C$6191,2,0)="",_xlfn.XLOOKUP(C2065,Hoja1!$B$2:$B$6191,Hoja1!$A$2:$A$6191),VLOOKUP(C2065,Hoja1!$B$1:$C$6191,2,0)),"No esta en Infor")</f>
        <v>NAC1408</v>
      </c>
      <c r="C2065" s="19" t="s">
        <v>530</v>
      </c>
      <c r="D2065" s="9">
        <v>1717</v>
      </c>
      <c r="E2065" s="9">
        <v>1864</v>
      </c>
      <c r="F2065" s="9">
        <v>0</v>
      </c>
      <c r="G2065" s="9">
        <v>0</v>
      </c>
      <c r="H2065" s="9">
        <v>0</v>
      </c>
      <c r="I2065" s="9">
        <v>0</v>
      </c>
      <c r="J2065" s="9">
        <v>3581</v>
      </c>
    </row>
    <row r="2066" spans="1:10" ht="15.75" x14ac:dyDescent="0.25">
      <c r="A2066" s="21">
        <v>45473</v>
      </c>
      <c r="B2066" t="str">
        <f>IFERROR(IF(VLOOKUP(C2066,Hoja1!$B$1:$C$6191,2,0)="",_xlfn.XLOOKUP(C2066,Hoja1!$B$2:$B$6191,Hoja1!$A$2:$A$6191),VLOOKUP(C2066,Hoja1!$B$1:$C$6191,2,0)),"No esta en Infor")</f>
        <v>CAN0071</v>
      </c>
      <c r="C2066" s="19" t="s">
        <v>341</v>
      </c>
      <c r="D2066" s="9">
        <v>5209.2</v>
      </c>
      <c r="E2066" s="9">
        <v>0</v>
      </c>
      <c r="F2066" s="9">
        <v>0</v>
      </c>
      <c r="G2066" s="9">
        <v>0</v>
      </c>
      <c r="H2066" s="9">
        <v>0</v>
      </c>
      <c r="I2066" s="9">
        <v>0</v>
      </c>
      <c r="J2066" s="9">
        <v>5209.2</v>
      </c>
    </row>
    <row r="2067" spans="1:10" ht="15.75" x14ac:dyDescent="0.25">
      <c r="A2067" s="21">
        <v>45473</v>
      </c>
      <c r="B2067" t="str">
        <f>IFERROR(IF(VLOOKUP(C2067,Hoja1!$B$1:$C$6191,2,0)="",_xlfn.XLOOKUP(C2067,Hoja1!$B$2:$B$6191,Hoja1!$A$2:$A$6191),VLOOKUP(C2067,Hoja1!$B$1:$C$6191,2,0)),"No esta en Infor")</f>
        <v>NAC1424</v>
      </c>
      <c r="C2067" s="19" t="s">
        <v>345</v>
      </c>
      <c r="D2067" s="9">
        <v>9340.5499999999993</v>
      </c>
      <c r="E2067" s="9">
        <v>26558.15</v>
      </c>
      <c r="F2067" s="9">
        <v>0</v>
      </c>
      <c r="G2067" s="9">
        <v>0</v>
      </c>
      <c r="H2067" s="9">
        <v>0</v>
      </c>
      <c r="I2067" s="9">
        <v>0</v>
      </c>
      <c r="J2067" s="9">
        <v>35898.699999999997</v>
      </c>
    </row>
    <row r="2068" spans="1:10" ht="15.75" x14ac:dyDescent="0.25">
      <c r="A2068" s="21">
        <v>45473</v>
      </c>
      <c r="B2068" t="str">
        <f>IFERROR(IF(VLOOKUP(C2068,Hoja1!$B$1:$C$6191,2,0)="",_xlfn.XLOOKUP(C2068,Hoja1!$B$2:$B$6191,Hoja1!$A$2:$A$6191),VLOOKUP(C2068,Hoja1!$B$1:$C$6191,2,0)),"No esta en Infor")</f>
        <v>NAC1426</v>
      </c>
      <c r="C2068" s="19" t="s">
        <v>531</v>
      </c>
      <c r="D2068" s="9">
        <v>0</v>
      </c>
      <c r="E2068" s="9">
        <v>0.66</v>
      </c>
      <c r="F2068" s="9">
        <v>0</v>
      </c>
      <c r="G2068" s="9">
        <v>0</v>
      </c>
      <c r="H2068" s="9">
        <v>0</v>
      </c>
      <c r="I2068" s="9">
        <v>0</v>
      </c>
      <c r="J2068" s="9">
        <v>0.66</v>
      </c>
    </row>
    <row r="2069" spans="1:10" ht="15.75" x14ac:dyDescent="0.25">
      <c r="A2069" s="21">
        <v>45473</v>
      </c>
      <c r="B2069" t="str">
        <f>IFERROR(IF(VLOOKUP(C2069,Hoja1!$B$1:$C$6191,2,0)="",_xlfn.XLOOKUP(C2069,Hoja1!$B$2:$B$6191,Hoja1!$A$2:$A$6191),VLOOKUP(C2069,Hoja1!$B$1:$C$6191,2,0)),"No esta en Infor")</f>
        <v>NAC1429</v>
      </c>
      <c r="C2069" s="19" t="s">
        <v>347</v>
      </c>
      <c r="D2069" s="9">
        <v>0</v>
      </c>
      <c r="E2069" s="9">
        <v>43.6</v>
      </c>
      <c r="F2069" s="9">
        <v>0</v>
      </c>
      <c r="G2069" s="9">
        <v>0</v>
      </c>
      <c r="H2069" s="9">
        <v>0</v>
      </c>
      <c r="I2069" s="9">
        <v>0</v>
      </c>
      <c r="J2069" s="9">
        <v>43.6</v>
      </c>
    </row>
    <row r="2070" spans="1:10" ht="15.75" x14ac:dyDescent="0.25">
      <c r="A2070" s="21">
        <v>45473</v>
      </c>
      <c r="B2070" t="str">
        <f>IFERROR(IF(VLOOKUP(C2070,Hoja1!$B$1:$C$6191,2,0)="",_xlfn.XLOOKUP(C2070,Hoja1!$B$2:$B$6191,Hoja1!$A$2:$A$6191),VLOOKUP(C2070,Hoja1!$B$1:$C$6191,2,0)),"No esta en Infor")</f>
        <v>NAC1432</v>
      </c>
      <c r="C2070" s="19" t="s">
        <v>575</v>
      </c>
      <c r="D2070" s="9">
        <v>0</v>
      </c>
      <c r="E2070" s="9">
        <v>-536.64</v>
      </c>
      <c r="F2070" s="9">
        <v>0</v>
      </c>
      <c r="G2070" s="9">
        <v>0</v>
      </c>
      <c r="H2070" s="9">
        <v>0</v>
      </c>
      <c r="I2070" s="9">
        <v>0</v>
      </c>
      <c r="J2070" s="9">
        <v>-536.64</v>
      </c>
    </row>
    <row r="2071" spans="1:10" ht="15.75" x14ac:dyDescent="0.25">
      <c r="A2071" s="21">
        <v>45473</v>
      </c>
      <c r="B2071" t="str">
        <f>IFERROR(IF(VLOOKUP(C2071,Hoja1!$B$1:$C$6191,2,0)="",_xlfn.XLOOKUP(C2071,Hoja1!$B$2:$B$6191,Hoja1!$A$2:$A$6191),VLOOKUP(C2071,Hoja1!$B$1:$C$6191,2,0)),"No esta en Infor")</f>
        <v>NAC1434</v>
      </c>
      <c r="C2071" s="19" t="s">
        <v>348</v>
      </c>
      <c r="D2071" s="9">
        <v>6343</v>
      </c>
      <c r="E2071" s="9">
        <v>1433</v>
      </c>
      <c r="F2071" s="9">
        <v>0</v>
      </c>
      <c r="G2071" s="9">
        <v>0</v>
      </c>
      <c r="H2071" s="9">
        <v>0</v>
      </c>
      <c r="I2071" s="9">
        <v>0</v>
      </c>
      <c r="J2071" s="9">
        <v>7776</v>
      </c>
    </row>
    <row r="2072" spans="1:10" ht="15.75" x14ac:dyDescent="0.25">
      <c r="A2072" s="21">
        <v>45473</v>
      </c>
      <c r="B2072" t="str">
        <f>IFERROR(IF(VLOOKUP(C2072,Hoja1!$B$1:$C$6191,2,0)="",_xlfn.XLOOKUP(C2072,Hoja1!$B$2:$B$6191,Hoja1!$A$2:$A$6191),VLOOKUP(C2072,Hoja1!$B$1:$C$6191,2,0)),"No esta en Infor")</f>
        <v>CAN0074</v>
      </c>
      <c r="C2072" s="19" t="s">
        <v>350</v>
      </c>
      <c r="D2072" s="9">
        <v>0</v>
      </c>
      <c r="E2072" s="9">
        <v>-53667.199999999997</v>
      </c>
      <c r="F2072" s="9">
        <v>0</v>
      </c>
      <c r="G2072" s="9">
        <v>0</v>
      </c>
      <c r="H2072" s="9">
        <v>0</v>
      </c>
      <c r="I2072" s="9">
        <v>0</v>
      </c>
      <c r="J2072" s="9">
        <v>-53667.199999999997</v>
      </c>
    </row>
    <row r="2073" spans="1:10" ht="15.75" x14ac:dyDescent="0.25">
      <c r="A2073" s="21">
        <v>45473</v>
      </c>
      <c r="B2073" t="str">
        <f>IFERROR(IF(VLOOKUP(C2073,Hoja1!$B$1:$C$6191,2,0)="",_xlfn.XLOOKUP(C2073,Hoja1!$B$2:$B$6191,Hoja1!$A$2:$A$6191),VLOOKUP(C2073,Hoja1!$B$1:$C$6191,2,0)),"No esta en Infor")</f>
        <v>NAC1471</v>
      </c>
      <c r="C2073" s="19" t="s">
        <v>351</v>
      </c>
      <c r="D2073" s="9">
        <v>0</v>
      </c>
      <c r="E2073" s="9">
        <v>0</v>
      </c>
      <c r="F2073" s="9">
        <v>0</v>
      </c>
      <c r="G2073" s="9">
        <v>0</v>
      </c>
      <c r="H2073" s="9">
        <v>0</v>
      </c>
      <c r="I2073" s="9">
        <v>0</v>
      </c>
      <c r="J2073" s="9">
        <v>0</v>
      </c>
    </row>
    <row r="2074" spans="1:10" ht="15.75" x14ac:dyDescent="0.25">
      <c r="A2074" s="21">
        <v>45473</v>
      </c>
      <c r="B2074" t="str">
        <f>IFERROR(IF(VLOOKUP(C2074,Hoja1!$B$1:$C$6191,2,0)="",_xlfn.XLOOKUP(C2074,Hoja1!$B$2:$B$6191,Hoja1!$A$2:$A$6191),VLOOKUP(C2074,Hoja1!$B$1:$C$6191,2,0)),"No esta en Infor")</f>
        <v>CAN0080</v>
      </c>
      <c r="C2074" s="19" t="s">
        <v>533</v>
      </c>
      <c r="D2074" s="9">
        <v>0</v>
      </c>
      <c r="E2074" s="9">
        <v>-93.6</v>
      </c>
      <c r="F2074" s="9">
        <v>0</v>
      </c>
      <c r="G2074" s="9">
        <v>0</v>
      </c>
      <c r="H2074" s="9">
        <v>0</v>
      </c>
      <c r="I2074" s="9">
        <v>0</v>
      </c>
      <c r="J2074" s="9">
        <v>-93.6</v>
      </c>
    </row>
    <row r="2075" spans="1:10" ht="15.75" x14ac:dyDescent="0.25">
      <c r="A2075" s="21">
        <v>45473</v>
      </c>
      <c r="B2075" t="str">
        <f>IFERROR(IF(VLOOKUP(C2075,Hoja1!$B$1:$C$6191,2,0)="",_xlfn.XLOOKUP(C2075,Hoja1!$B$2:$B$6191,Hoja1!$A$2:$A$6191),VLOOKUP(C2075,Hoja1!$B$1:$C$6191,2,0)),"No esta en Infor")</f>
        <v>NAC1482</v>
      </c>
      <c r="C2075" s="19" t="s">
        <v>356</v>
      </c>
      <c r="D2075" s="9">
        <v>0</v>
      </c>
      <c r="E2075" s="9">
        <v>516.19000000000005</v>
      </c>
      <c r="F2075" s="9">
        <v>0</v>
      </c>
      <c r="G2075" s="9">
        <v>0</v>
      </c>
      <c r="H2075" s="9">
        <v>0</v>
      </c>
      <c r="I2075" s="9">
        <v>0</v>
      </c>
      <c r="J2075" s="9">
        <v>516.19000000000005</v>
      </c>
    </row>
    <row r="2076" spans="1:10" ht="15.75" x14ac:dyDescent="0.25">
      <c r="A2076" s="21">
        <v>45473</v>
      </c>
      <c r="B2076" t="str">
        <f>IFERROR(IF(VLOOKUP(C2076,Hoja1!$B$1:$C$6191,2,0)="",_xlfn.XLOOKUP(C2076,Hoja1!$B$2:$B$6191,Hoja1!$A$2:$A$6191),VLOOKUP(C2076,Hoja1!$B$1:$C$6191,2,0)),"No esta en Infor")</f>
        <v>CAN0081</v>
      </c>
      <c r="C2076" s="19" t="s">
        <v>431</v>
      </c>
      <c r="D2076" s="9">
        <v>0</v>
      </c>
      <c r="E2076" s="9">
        <v>-585</v>
      </c>
      <c r="F2076" s="9">
        <v>0</v>
      </c>
      <c r="G2076" s="9">
        <v>0</v>
      </c>
      <c r="H2076" s="9">
        <v>0</v>
      </c>
      <c r="I2076" s="9">
        <v>0</v>
      </c>
      <c r="J2076" s="9">
        <v>-585</v>
      </c>
    </row>
    <row r="2077" spans="1:10" ht="15.75" x14ac:dyDescent="0.25">
      <c r="A2077" s="21">
        <v>45473</v>
      </c>
      <c r="B2077" t="str">
        <f>IFERROR(IF(VLOOKUP(C2077,Hoja1!$B$1:$C$6191,2,0)="",_xlfn.XLOOKUP(C2077,Hoja1!$B$2:$B$6191,Hoja1!$A$2:$A$6191),VLOOKUP(C2077,Hoja1!$B$1:$C$6191,2,0)),"No esta en Infor")</f>
        <v>NAC1504</v>
      </c>
      <c r="C2077" s="19" t="s">
        <v>363</v>
      </c>
      <c r="D2077" s="9">
        <v>1805</v>
      </c>
      <c r="E2077" s="9">
        <v>0</v>
      </c>
      <c r="F2077" s="9">
        <v>0</v>
      </c>
      <c r="G2077" s="9">
        <v>0</v>
      </c>
      <c r="H2077" s="9">
        <v>0</v>
      </c>
      <c r="I2077" s="9">
        <v>0</v>
      </c>
      <c r="J2077" s="9">
        <v>1805</v>
      </c>
    </row>
    <row r="2078" spans="1:10" ht="15.75" x14ac:dyDescent="0.25">
      <c r="A2078" s="21">
        <v>45473</v>
      </c>
      <c r="B2078" t="str">
        <f>IFERROR(IF(VLOOKUP(C2078,Hoja1!$B$1:$C$6191,2,0)="",_xlfn.XLOOKUP(C2078,Hoja1!$B$2:$B$6191,Hoja1!$A$2:$A$6191),VLOOKUP(C2078,Hoja1!$B$1:$C$6191,2,0)),"No esta en Infor")</f>
        <v>CAN0083</v>
      </c>
      <c r="C2078" s="19" t="s">
        <v>433</v>
      </c>
      <c r="D2078" s="9">
        <v>0</v>
      </c>
      <c r="E2078" s="9">
        <v>1328.88</v>
      </c>
      <c r="F2078" s="9">
        <v>0</v>
      </c>
      <c r="G2078" s="9">
        <v>0</v>
      </c>
      <c r="H2078" s="9">
        <v>0</v>
      </c>
      <c r="I2078" s="9">
        <v>0</v>
      </c>
      <c r="J2078" s="9">
        <v>1328.88</v>
      </c>
    </row>
    <row r="2079" spans="1:10" ht="15.75" x14ac:dyDescent="0.25">
      <c r="A2079" s="21">
        <v>45473</v>
      </c>
      <c r="B2079" t="str">
        <f>IFERROR(IF(VLOOKUP(C2079,Hoja1!$B$1:$C$6191,2,0)="",_xlfn.XLOOKUP(C2079,Hoja1!$B$2:$B$6191,Hoja1!$A$2:$A$6191),VLOOKUP(C2079,Hoja1!$B$1:$C$6191,2,0)),"No esta en Infor")</f>
        <v>NAC1521</v>
      </c>
      <c r="C2079" s="19" t="s">
        <v>593</v>
      </c>
      <c r="D2079" s="9">
        <v>-100</v>
      </c>
      <c r="E2079" s="9">
        <v>0</v>
      </c>
      <c r="F2079" s="9">
        <v>0</v>
      </c>
      <c r="G2079" s="9">
        <v>0</v>
      </c>
      <c r="H2079" s="9">
        <v>0</v>
      </c>
      <c r="I2079" s="9">
        <v>0</v>
      </c>
      <c r="J2079" s="9">
        <v>-100</v>
      </c>
    </row>
    <row r="2080" spans="1:10" ht="15.75" x14ac:dyDescent="0.25">
      <c r="A2080" s="21">
        <v>45473</v>
      </c>
      <c r="B2080" t="str">
        <f>IFERROR(IF(VLOOKUP(C2080,Hoja1!$B$1:$C$6191,2,0)="",_xlfn.XLOOKUP(C2080,Hoja1!$B$2:$B$6191,Hoja1!$A$2:$A$6191),VLOOKUP(C2080,Hoja1!$B$1:$C$6191,2,0)),"No esta en Infor")</f>
        <v>NAC1523</v>
      </c>
      <c r="C2080" s="19" t="s">
        <v>594</v>
      </c>
      <c r="D2080" s="9">
        <v>462</v>
      </c>
      <c r="E2080" s="9">
        <v>0</v>
      </c>
      <c r="F2080" s="9">
        <v>0</v>
      </c>
      <c r="G2080" s="9">
        <v>0</v>
      </c>
      <c r="H2080" s="9">
        <v>0</v>
      </c>
      <c r="I2080" s="9">
        <v>0</v>
      </c>
      <c r="J2080" s="9">
        <v>462</v>
      </c>
    </row>
    <row r="2081" spans="1:10" ht="15.75" x14ac:dyDescent="0.25">
      <c r="A2081" s="21">
        <v>45473</v>
      </c>
      <c r="B2081" t="str">
        <f>IFERROR(IF(VLOOKUP(C2081,Hoja1!$B$1:$C$6191,2,0)="",_xlfn.XLOOKUP(C2081,Hoja1!$B$2:$B$6191,Hoja1!$A$2:$A$6191),VLOOKUP(C2081,Hoja1!$B$1:$C$6191,2,0)),"No esta en Infor")</f>
        <v>CAN0087</v>
      </c>
      <c r="C2081" s="19" t="s">
        <v>1091</v>
      </c>
      <c r="D2081" s="9">
        <v>3782.33</v>
      </c>
      <c r="E2081" s="9">
        <v>41089.480000000003</v>
      </c>
      <c r="F2081" s="9">
        <v>0</v>
      </c>
      <c r="G2081" s="9">
        <v>0</v>
      </c>
      <c r="H2081" s="9">
        <v>0</v>
      </c>
      <c r="I2081" s="9">
        <v>0</v>
      </c>
      <c r="J2081" s="9">
        <v>44871.81</v>
      </c>
    </row>
    <row r="2082" spans="1:10" ht="15.75" x14ac:dyDescent="0.25">
      <c r="A2082" s="21">
        <v>45473</v>
      </c>
      <c r="B2082" t="str">
        <f>IFERROR(IF(VLOOKUP(C2082,Hoja1!$B$1:$C$6191,2,0)="",_xlfn.XLOOKUP(C2082,Hoja1!$B$2:$B$6191,Hoja1!$A$2:$A$6191),VLOOKUP(C2082,Hoja1!$B$1:$C$6191,2,0)),"No esta en Infor")</f>
        <v>CAN0088</v>
      </c>
      <c r="C2082" s="19" t="s">
        <v>369</v>
      </c>
      <c r="D2082" s="9">
        <v>0</v>
      </c>
      <c r="E2082" s="9">
        <v>0</v>
      </c>
      <c r="F2082" s="9">
        <v>-891</v>
      </c>
      <c r="G2082" s="9">
        <v>0</v>
      </c>
      <c r="H2082" s="9">
        <v>0</v>
      </c>
      <c r="I2082" s="9">
        <v>0</v>
      </c>
      <c r="J2082" s="9">
        <v>-891</v>
      </c>
    </row>
    <row r="2083" spans="1:10" ht="15.75" x14ac:dyDescent="0.25">
      <c r="A2083" s="21">
        <v>45473</v>
      </c>
      <c r="B2083" t="str">
        <f>IFERROR(IF(VLOOKUP(C2083,Hoja1!$B$1:$C$6191,2,0)="",_xlfn.XLOOKUP(C2083,Hoja1!$B$2:$B$6191,Hoja1!$A$2:$A$6191),VLOOKUP(C2083,Hoja1!$B$1:$C$6191,2,0)),"No esta en Infor")</f>
        <v>NAC1533</v>
      </c>
      <c r="C2083" s="19" t="s">
        <v>483</v>
      </c>
      <c r="D2083" s="9">
        <v>0</v>
      </c>
      <c r="E2083" s="9">
        <v>144.59</v>
      </c>
      <c r="F2083" s="9">
        <v>0</v>
      </c>
      <c r="G2083" s="9">
        <v>0</v>
      </c>
      <c r="H2083" s="9">
        <v>0</v>
      </c>
      <c r="I2083" s="9">
        <v>0</v>
      </c>
      <c r="J2083" s="9">
        <v>144.59</v>
      </c>
    </row>
    <row r="2084" spans="1:10" ht="15.75" x14ac:dyDescent="0.25">
      <c r="A2084" s="21">
        <v>45473</v>
      </c>
      <c r="B2084" t="str">
        <f>IFERROR(IF(VLOOKUP(C2084,Hoja1!$B$1:$C$6191,2,0)="",_xlfn.XLOOKUP(C2084,Hoja1!$B$2:$B$6191,Hoja1!$A$2:$A$6191),VLOOKUP(C2084,Hoja1!$B$1:$C$6191,2,0)),"No esta en Infor")</f>
        <v>NAC1539</v>
      </c>
      <c r="C2084" s="19" t="s">
        <v>58</v>
      </c>
      <c r="D2084" s="9">
        <v>0</v>
      </c>
      <c r="E2084" s="9">
        <v>0</v>
      </c>
      <c r="F2084" s="9">
        <v>-3921</v>
      </c>
      <c r="G2084" s="9">
        <v>-1603.8</v>
      </c>
      <c r="H2084" s="9">
        <v>0</v>
      </c>
      <c r="I2084" s="9">
        <v>0</v>
      </c>
      <c r="J2084" s="9">
        <v>-5524.8</v>
      </c>
    </row>
    <row r="2085" spans="1:10" ht="15.75" x14ac:dyDescent="0.25">
      <c r="A2085" s="21">
        <v>45504</v>
      </c>
      <c r="B2085" t="str">
        <f>IFERROR(IF(VLOOKUP(C2085,Hoja1!$B$1:$C$6191,2,0)="",_xlfn.XLOOKUP(C2085,Hoja1!$B$2:$B$6191,Hoja1!$A$2:$A$6191),VLOOKUP(C2085,Hoja1!$B$1:$C$6191,2,0)),"No esta en Infor")</f>
        <v>NAC0474</v>
      </c>
      <c r="C2085" s="11" t="s">
        <v>375</v>
      </c>
      <c r="D2085" s="8">
        <v>0</v>
      </c>
      <c r="E2085" s="8">
        <v>0</v>
      </c>
      <c r="F2085" s="8">
        <v>195.46</v>
      </c>
      <c r="G2085" s="8">
        <v>0</v>
      </c>
      <c r="H2085" s="8">
        <v>0</v>
      </c>
      <c r="I2085" s="8">
        <v>0</v>
      </c>
      <c r="J2085" s="8">
        <v>195.46</v>
      </c>
    </row>
    <row r="2086" spans="1:10" ht="15.75" x14ac:dyDescent="0.25">
      <c r="A2086" s="21">
        <v>45504</v>
      </c>
      <c r="B2086" t="str">
        <f>IFERROR(IF(VLOOKUP(C2086,Hoja1!$B$1:$C$6191,2,0)="",_xlfn.XLOOKUP(C2086,Hoja1!$B$2:$B$6191,Hoja1!$A$2:$A$6191),VLOOKUP(C2086,Hoja1!$B$1:$C$6191,2,0)),"No esta en Infor")</f>
        <v>NAC0476</v>
      </c>
      <c r="C2086" s="11" t="s">
        <v>11</v>
      </c>
      <c r="D2086" s="8">
        <v>49582.39</v>
      </c>
      <c r="E2086" s="8">
        <v>25046.86</v>
      </c>
      <c r="F2086" s="8">
        <v>2700</v>
      </c>
      <c r="G2086" s="8">
        <v>-324.42</v>
      </c>
      <c r="H2086" s="8">
        <v>0</v>
      </c>
      <c r="I2086" s="8">
        <v>0</v>
      </c>
      <c r="J2086" s="8">
        <v>77004.83</v>
      </c>
    </row>
    <row r="2087" spans="1:10" ht="15.75" x14ac:dyDescent="0.25">
      <c r="A2087" s="21">
        <v>45504</v>
      </c>
      <c r="B2087" t="str">
        <f>IFERROR(IF(VLOOKUP(C2087,Hoja1!$B$1:$C$6191,2,0)="",_xlfn.XLOOKUP(C2087,Hoja1!$B$2:$B$6191,Hoja1!$A$2:$A$6191),VLOOKUP(C2087,Hoja1!$B$1:$C$6191,2,0)),"No esta en Infor")</f>
        <v>NAC0483</v>
      </c>
      <c r="C2087" s="11" t="s">
        <v>12</v>
      </c>
      <c r="D2087" s="8">
        <v>706.46</v>
      </c>
      <c r="E2087" s="8">
        <v>0</v>
      </c>
      <c r="F2087" s="8">
        <v>3399.84</v>
      </c>
      <c r="G2087" s="8">
        <v>3431.78</v>
      </c>
      <c r="H2087" s="8">
        <v>1402.04</v>
      </c>
      <c r="I2087" s="8">
        <v>17814.68</v>
      </c>
      <c r="J2087" s="8">
        <v>26754.799999999999</v>
      </c>
    </row>
    <row r="2088" spans="1:10" ht="15.75" x14ac:dyDescent="0.25">
      <c r="A2088" s="21">
        <v>45504</v>
      </c>
      <c r="B2088" t="str">
        <f>IFERROR(IF(VLOOKUP(C2088,Hoja1!$B$1:$C$6191,2,0)="",_xlfn.XLOOKUP(C2088,Hoja1!$B$2:$B$6191,Hoja1!$A$2:$A$6191),VLOOKUP(C2088,Hoja1!$B$1:$C$6191,2,0)),"No esta en Infor")</f>
        <v>NAC0525</v>
      </c>
      <c r="C2088" s="11" t="s">
        <v>71</v>
      </c>
      <c r="D2088" s="8">
        <v>0</v>
      </c>
      <c r="E2088" s="8">
        <v>0</v>
      </c>
      <c r="F2088" s="8">
        <v>636</v>
      </c>
      <c r="G2088" s="8">
        <v>0</v>
      </c>
      <c r="H2088" s="8">
        <v>0</v>
      </c>
      <c r="I2088" s="8">
        <v>0</v>
      </c>
      <c r="J2088" s="8">
        <v>636</v>
      </c>
    </row>
    <row r="2089" spans="1:10" ht="15.75" x14ac:dyDescent="0.25">
      <c r="A2089" s="21">
        <v>45504</v>
      </c>
      <c r="B2089" t="str">
        <f>IFERROR(IF(VLOOKUP(C2089,Hoja1!$B$1:$C$6191,2,0)="",_xlfn.XLOOKUP(C2089,Hoja1!$B$2:$B$6191,Hoja1!$A$2:$A$6191),VLOOKUP(C2089,Hoja1!$B$1:$C$6191,2,0)),"No esta en Infor")</f>
        <v>NAC0556</v>
      </c>
      <c r="C2089" s="11" t="s">
        <v>14</v>
      </c>
      <c r="D2089" s="8">
        <v>52461.5</v>
      </c>
      <c r="E2089" s="8">
        <v>0</v>
      </c>
      <c r="F2089" s="8">
        <v>-4020</v>
      </c>
      <c r="G2089" s="8">
        <v>133</v>
      </c>
      <c r="H2089" s="8">
        <v>2606.13</v>
      </c>
      <c r="I2089" s="8">
        <v>0</v>
      </c>
      <c r="J2089" s="8">
        <v>51180.63</v>
      </c>
    </row>
    <row r="2090" spans="1:10" ht="15.75" x14ac:dyDescent="0.25">
      <c r="A2090" s="21">
        <v>45504</v>
      </c>
      <c r="B2090" t="str">
        <f>IFERROR(IF(VLOOKUP(C2090,Hoja1!$B$1:$C$6191,2,0)="",_xlfn.XLOOKUP(C2090,Hoja1!$B$2:$B$6191,Hoja1!$A$2:$A$6191),VLOOKUP(C2090,Hoja1!$B$1:$C$6191,2,0)),"No esta en Infor")</f>
        <v>CAN0002</v>
      </c>
      <c r="C2090" s="11" t="s">
        <v>87</v>
      </c>
      <c r="D2090" s="8">
        <v>1586.52</v>
      </c>
      <c r="E2090" s="8">
        <v>771.23</v>
      </c>
      <c r="F2090" s="8">
        <v>-972</v>
      </c>
      <c r="G2090" s="8">
        <v>417.53</v>
      </c>
      <c r="H2090" s="8">
        <v>0</v>
      </c>
      <c r="I2090" s="8">
        <v>0</v>
      </c>
      <c r="J2090" s="8">
        <v>1803.28</v>
      </c>
    </row>
    <row r="2091" spans="1:10" ht="15.75" x14ac:dyDescent="0.25">
      <c r="A2091" s="21">
        <v>45504</v>
      </c>
      <c r="B2091" t="str">
        <f>IFERROR(IF(VLOOKUP(C2091,Hoja1!$B$1:$C$6191,2,0)="",_xlfn.XLOOKUP(C2091,Hoja1!$B$2:$B$6191,Hoja1!$A$2:$A$6191),VLOOKUP(C2091,Hoja1!$B$1:$C$6191,2,0)),"No esta en Infor")</f>
        <v>NAC0573</v>
      </c>
      <c r="C2091" s="11" t="s">
        <v>15</v>
      </c>
      <c r="D2091" s="8">
        <v>3785.39</v>
      </c>
      <c r="E2091" s="8">
        <v>126.86</v>
      </c>
      <c r="F2091" s="8">
        <v>251.66</v>
      </c>
      <c r="G2091" s="8">
        <v>228.22</v>
      </c>
      <c r="H2091" s="8">
        <v>2666.33</v>
      </c>
      <c r="I2091" s="8">
        <v>0</v>
      </c>
      <c r="J2091" s="8">
        <v>7058.46</v>
      </c>
    </row>
    <row r="2092" spans="1:10" ht="15.75" x14ac:dyDescent="0.25">
      <c r="A2092" s="21">
        <v>45504</v>
      </c>
      <c r="B2092" t="str">
        <f>IFERROR(IF(VLOOKUP(C2092,Hoja1!$B$1:$C$6191,2,0)="",_xlfn.XLOOKUP(C2092,Hoja1!$B$2:$B$6191,Hoja1!$A$2:$A$6191),VLOOKUP(C2092,Hoja1!$B$1:$C$6191,2,0)),"No esta en Infor")</f>
        <v>CAN0005</v>
      </c>
      <c r="C2092" s="11" t="s">
        <v>90</v>
      </c>
      <c r="D2092" s="8">
        <v>54134.400000000001</v>
      </c>
      <c r="E2092" s="8">
        <v>20</v>
      </c>
      <c r="F2092" s="8">
        <v>0</v>
      </c>
      <c r="G2092" s="8">
        <v>10260</v>
      </c>
      <c r="H2092" s="8">
        <v>0</v>
      </c>
      <c r="I2092" s="8">
        <v>0</v>
      </c>
      <c r="J2092" s="8">
        <v>64414.400000000001</v>
      </c>
    </row>
    <row r="2093" spans="1:10" ht="15.75" x14ac:dyDescent="0.25">
      <c r="A2093" s="21">
        <v>45504</v>
      </c>
      <c r="B2093" t="str">
        <f>IFERROR(IF(VLOOKUP(C2093,Hoja1!$B$1:$C$6191,2,0)="",_xlfn.XLOOKUP(C2093,Hoja1!$B$2:$B$6191,Hoja1!$A$2:$A$6191),VLOOKUP(C2093,Hoja1!$B$1:$C$6191,2,0)),"No esta en Infor")</f>
        <v>CAN0006</v>
      </c>
      <c r="C2093" s="11" t="s">
        <v>17</v>
      </c>
      <c r="D2093" s="8">
        <v>38425.800000000003</v>
      </c>
      <c r="E2093" s="8">
        <v>25835.25</v>
      </c>
      <c r="F2093" s="8">
        <v>-5155.07</v>
      </c>
      <c r="G2093" s="8">
        <v>2010.4</v>
      </c>
      <c r="H2093" s="8">
        <v>1961</v>
      </c>
      <c r="I2093" s="8">
        <v>0</v>
      </c>
      <c r="J2093" s="8">
        <v>63077.38</v>
      </c>
    </row>
    <row r="2094" spans="1:10" ht="15.75" x14ac:dyDescent="0.25">
      <c r="A2094" s="21">
        <v>45504</v>
      </c>
      <c r="B2094" t="str">
        <f>IFERROR(IF(VLOOKUP(C2094,Hoja1!$B$1:$C$6191,2,0)="",_xlfn.XLOOKUP(C2094,Hoja1!$B$2:$B$6191,Hoja1!$A$2:$A$6191),VLOOKUP(C2094,Hoja1!$B$1:$C$6191,2,0)),"No esta en Infor")</f>
        <v>NAC0613</v>
      </c>
      <c r="C2094" s="11" t="s">
        <v>101</v>
      </c>
      <c r="D2094" s="8">
        <v>811.33</v>
      </c>
      <c r="E2094" s="8">
        <v>0.3</v>
      </c>
      <c r="F2094" s="8">
        <v>12.3</v>
      </c>
      <c r="G2094" s="8">
        <v>-81.599999999999994</v>
      </c>
      <c r="H2094" s="8">
        <v>0</v>
      </c>
      <c r="I2094" s="8">
        <v>0</v>
      </c>
      <c r="J2094" s="8">
        <v>742.33</v>
      </c>
    </row>
    <row r="2095" spans="1:10" ht="15.75" x14ac:dyDescent="0.25">
      <c r="A2095" s="21">
        <v>45504</v>
      </c>
      <c r="B2095" t="str">
        <f>IFERROR(IF(VLOOKUP(C2095,Hoja1!$B$1:$C$6191,2,0)="",_xlfn.XLOOKUP(C2095,Hoja1!$B$2:$B$6191,Hoja1!$A$2:$A$6191),VLOOKUP(C2095,Hoja1!$B$1:$C$6191,2,0)),"No esta en Infor")</f>
        <v>NAC0618</v>
      </c>
      <c r="C2095" s="11" t="s">
        <v>488</v>
      </c>
      <c r="D2095" s="8">
        <v>0</v>
      </c>
      <c r="E2095" s="8">
        <v>0</v>
      </c>
      <c r="F2095" s="8">
        <v>120.02</v>
      </c>
      <c r="G2095" s="8">
        <v>0</v>
      </c>
      <c r="H2095" s="8">
        <v>0</v>
      </c>
      <c r="I2095" s="8">
        <v>0</v>
      </c>
      <c r="J2095" s="8">
        <v>120.02</v>
      </c>
    </row>
    <row r="2096" spans="1:10" ht="15.75" x14ac:dyDescent="0.25">
      <c r="A2096" s="21">
        <v>45504</v>
      </c>
      <c r="B2096" t="str">
        <f>IFERROR(IF(VLOOKUP(C2096,Hoja1!$B$1:$C$6191,2,0)="",_xlfn.XLOOKUP(C2096,Hoja1!$B$2:$B$6191,Hoja1!$A$2:$A$6191),VLOOKUP(C2096,Hoja1!$B$1:$C$6191,2,0)),"No esta en Infor")</f>
        <v>NAC0624</v>
      </c>
      <c r="C2096" s="11" t="s">
        <v>105</v>
      </c>
      <c r="D2096" s="8">
        <v>0</v>
      </c>
      <c r="E2096" s="8">
        <v>0</v>
      </c>
      <c r="F2096" s="8">
        <v>-231</v>
      </c>
      <c r="G2096" s="8">
        <v>52.88</v>
      </c>
      <c r="H2096" s="8">
        <v>0</v>
      </c>
      <c r="I2096" s="8">
        <v>0</v>
      </c>
      <c r="J2096" s="8">
        <v>-178.12</v>
      </c>
    </row>
    <row r="2097" spans="1:10" ht="15.75" x14ac:dyDescent="0.25">
      <c r="A2097" s="21">
        <v>45504</v>
      </c>
      <c r="B2097" t="str">
        <f>IFERROR(IF(VLOOKUP(C2097,Hoja1!$B$1:$C$6191,2,0)="",_xlfn.XLOOKUP(C2097,Hoja1!$B$2:$B$6191,Hoja1!$A$2:$A$6191),VLOOKUP(C2097,Hoja1!$B$1:$C$6191,2,0)),"No esta en Infor")</f>
        <v>NAC0641</v>
      </c>
      <c r="C2097" s="11" t="s">
        <v>18</v>
      </c>
      <c r="D2097" s="8">
        <v>0</v>
      </c>
      <c r="E2097" s="8">
        <v>0</v>
      </c>
      <c r="F2097" s="8">
        <v>0</v>
      </c>
      <c r="G2097" s="8">
        <v>0</v>
      </c>
      <c r="H2097" s="8">
        <v>363.64</v>
      </c>
      <c r="I2097" s="8">
        <v>0</v>
      </c>
      <c r="J2097" s="8">
        <v>363.64</v>
      </c>
    </row>
    <row r="2098" spans="1:10" ht="15.75" x14ac:dyDescent="0.25">
      <c r="A2098" s="21">
        <v>45504</v>
      </c>
      <c r="B2098" t="str">
        <f>IFERROR(IF(VLOOKUP(C2098,Hoja1!$B$1:$C$6191,2,0)="",_xlfn.XLOOKUP(C2098,Hoja1!$B$2:$B$6191,Hoja1!$A$2:$A$6191),VLOOKUP(C2098,Hoja1!$B$1:$C$6191,2,0)),"No esta en Infor")</f>
        <v>CAN0011</v>
      </c>
      <c r="C2098" s="11" t="s">
        <v>121</v>
      </c>
      <c r="D2098" s="8">
        <v>0</v>
      </c>
      <c r="E2098" s="8">
        <v>31157.49</v>
      </c>
      <c r="F2098" s="8">
        <v>8774.2199999999993</v>
      </c>
      <c r="G2098" s="8">
        <v>381.94</v>
      </c>
      <c r="H2098" s="8">
        <v>0</v>
      </c>
      <c r="I2098" s="8">
        <v>0</v>
      </c>
      <c r="J2098" s="8">
        <v>40313.65</v>
      </c>
    </row>
    <row r="2099" spans="1:10" ht="15.75" x14ac:dyDescent="0.25">
      <c r="A2099" s="21">
        <v>45504</v>
      </c>
      <c r="B2099" t="str">
        <f>IFERROR(IF(VLOOKUP(C2099,Hoja1!$B$1:$C$6191,2,0)="",_xlfn.XLOOKUP(C2099,Hoja1!$B$2:$B$6191,Hoja1!$A$2:$A$6191),VLOOKUP(C2099,Hoja1!$B$1:$C$6191,2,0)),"No esta en Infor")</f>
        <v>NAC0673</v>
      </c>
      <c r="C2099" s="11" t="s">
        <v>390</v>
      </c>
      <c r="D2099" s="8">
        <v>0</v>
      </c>
      <c r="E2099" s="8">
        <v>0</v>
      </c>
      <c r="F2099" s="8">
        <v>672.85</v>
      </c>
      <c r="G2099" s="8">
        <v>0</v>
      </c>
      <c r="H2099" s="8">
        <v>0</v>
      </c>
      <c r="I2099" s="8">
        <v>0</v>
      </c>
      <c r="J2099" s="8">
        <v>672.85</v>
      </c>
    </row>
    <row r="2100" spans="1:10" ht="15.75" x14ac:dyDescent="0.25">
      <c r="A2100" s="21">
        <v>45504</v>
      </c>
      <c r="B2100" t="str">
        <f>IFERROR(IF(VLOOKUP(C2100,Hoja1!$B$1:$C$6191,2,0)="",_xlfn.XLOOKUP(C2100,Hoja1!$B$2:$B$6191,Hoja1!$A$2:$A$6191),VLOOKUP(C2100,Hoja1!$B$1:$C$6191,2,0)),"No esta en Infor")</f>
        <v>NAC0706</v>
      </c>
      <c r="C2100" s="11" t="s">
        <v>139</v>
      </c>
      <c r="D2100" s="8">
        <v>0</v>
      </c>
      <c r="E2100" s="8">
        <v>0</v>
      </c>
      <c r="F2100" s="8">
        <v>0</v>
      </c>
      <c r="G2100" s="8">
        <v>667.38</v>
      </c>
      <c r="H2100" s="8">
        <v>0</v>
      </c>
      <c r="I2100" s="8">
        <v>0</v>
      </c>
      <c r="J2100" s="8">
        <v>667.38</v>
      </c>
    </row>
    <row r="2101" spans="1:10" ht="15.75" x14ac:dyDescent="0.25">
      <c r="A2101" s="21">
        <v>45504</v>
      </c>
      <c r="B2101" t="str">
        <f>IFERROR(IF(VLOOKUP(C2101,Hoja1!$B$1:$C$6191,2,0)="",_xlfn.XLOOKUP(C2101,Hoja1!$B$2:$B$6191,Hoja1!$A$2:$A$6191),VLOOKUP(C2101,Hoja1!$B$1:$C$6191,2,0)),"No esta en Infor")</f>
        <v>NAC0726</v>
      </c>
      <c r="C2101" s="11" t="s">
        <v>147</v>
      </c>
      <c r="D2101" s="8">
        <v>940</v>
      </c>
      <c r="E2101" s="8">
        <v>-13.2</v>
      </c>
      <c r="F2101" s="8">
        <v>84.48</v>
      </c>
      <c r="G2101" s="8">
        <v>0</v>
      </c>
      <c r="H2101" s="8">
        <v>0</v>
      </c>
      <c r="I2101" s="8">
        <v>0</v>
      </c>
      <c r="J2101" s="8">
        <v>1011.28</v>
      </c>
    </row>
    <row r="2102" spans="1:10" ht="15.75" x14ac:dyDescent="0.25">
      <c r="A2102" s="21">
        <v>45504</v>
      </c>
      <c r="B2102" t="str">
        <f>IFERROR(IF(VLOOKUP(C2102,Hoja1!$B$1:$C$6191,2,0)="",_xlfn.XLOOKUP(C2102,Hoja1!$B$2:$B$6191,Hoja1!$A$2:$A$6191),VLOOKUP(C2102,Hoja1!$B$1:$C$6191,2,0)),"No esta en Infor")</f>
        <v>NAC0729</v>
      </c>
      <c r="C2102" s="11" t="s">
        <v>148</v>
      </c>
      <c r="D2102" s="8">
        <v>0</v>
      </c>
      <c r="E2102" s="8">
        <v>0</v>
      </c>
      <c r="F2102" s="8">
        <v>316</v>
      </c>
      <c r="G2102" s="8">
        <v>0</v>
      </c>
      <c r="H2102" s="8">
        <v>0</v>
      </c>
      <c r="I2102" s="8">
        <v>0</v>
      </c>
      <c r="J2102" s="8">
        <v>316</v>
      </c>
    </row>
    <row r="2103" spans="1:10" ht="15.75" x14ac:dyDescent="0.25">
      <c r="A2103" s="21">
        <v>45504</v>
      </c>
      <c r="B2103" t="str">
        <f>IFERROR(IF(VLOOKUP(C2103,Hoja1!$B$1:$C$6191,2,0)="",_xlfn.XLOOKUP(C2103,Hoja1!$B$2:$B$6191,Hoja1!$A$2:$A$6191),VLOOKUP(C2103,Hoja1!$B$1:$C$6191,2,0)),"No esta en Infor")</f>
        <v>NAC1608</v>
      </c>
      <c r="C2103" s="11" t="s">
        <v>538</v>
      </c>
      <c r="D2103" s="8">
        <v>1890</v>
      </c>
      <c r="E2103" s="8">
        <v>330.83</v>
      </c>
      <c r="F2103" s="8">
        <v>510.33</v>
      </c>
      <c r="G2103" s="8">
        <v>-308</v>
      </c>
      <c r="H2103" s="8">
        <v>171.99</v>
      </c>
      <c r="I2103" s="8">
        <v>0</v>
      </c>
      <c r="J2103" s="8">
        <v>2595.15</v>
      </c>
    </row>
    <row r="2104" spans="1:10" ht="15.75" x14ac:dyDescent="0.25">
      <c r="A2104" s="21">
        <v>45504</v>
      </c>
      <c r="B2104" t="str">
        <f>IFERROR(IF(VLOOKUP(C2104,Hoja1!$B$1:$C$6191,2,0)="",_xlfn.XLOOKUP(C2104,Hoja1!$B$2:$B$6191,Hoja1!$A$2:$A$6191),VLOOKUP(C2104,Hoja1!$B$1:$C$6191,2,0)),"No esta en Infor")</f>
        <v>CAN0018</v>
      </c>
      <c r="C2104" s="11" t="s">
        <v>21</v>
      </c>
      <c r="D2104" s="8">
        <v>0</v>
      </c>
      <c r="E2104" s="8">
        <v>21986.69</v>
      </c>
      <c r="F2104" s="8">
        <v>18519.64</v>
      </c>
      <c r="G2104" s="8">
        <v>0</v>
      </c>
      <c r="H2104" s="8">
        <v>4564.38</v>
      </c>
      <c r="I2104" s="8">
        <v>0</v>
      </c>
      <c r="J2104" s="8">
        <v>45070.71</v>
      </c>
    </row>
    <row r="2105" spans="1:10" ht="15.75" x14ac:dyDescent="0.25">
      <c r="A2105" s="21">
        <v>45504</v>
      </c>
      <c r="B2105" t="str">
        <f>IFERROR(IF(VLOOKUP(C2105,Hoja1!$B$1:$C$6191,2,0)="",_xlfn.XLOOKUP(C2105,Hoja1!$B$2:$B$6191,Hoja1!$A$2:$A$6191),VLOOKUP(C2105,Hoja1!$B$1:$C$6191,2,0)),"No esta en Infor")</f>
        <v>NAC0823</v>
      </c>
      <c r="C2105" s="11" t="s">
        <v>497</v>
      </c>
      <c r="D2105" s="8">
        <v>0</v>
      </c>
      <c r="E2105" s="8">
        <v>25.01</v>
      </c>
      <c r="F2105" s="8">
        <v>39.479999999999997</v>
      </c>
      <c r="G2105" s="8">
        <v>0</v>
      </c>
      <c r="H2105" s="8">
        <v>0</v>
      </c>
      <c r="I2105" s="8">
        <v>0</v>
      </c>
      <c r="J2105" s="8">
        <v>64.489999999999995</v>
      </c>
    </row>
    <row r="2106" spans="1:10" ht="15.75" x14ac:dyDescent="0.25">
      <c r="A2106" s="21">
        <v>45504</v>
      </c>
      <c r="B2106" t="str">
        <f>IFERROR(IF(VLOOKUP(C2106,Hoja1!$B$1:$C$6191,2,0)="",_xlfn.XLOOKUP(C2106,Hoja1!$B$2:$B$6191,Hoja1!$A$2:$A$6191),VLOOKUP(C2106,Hoja1!$B$1:$C$6191,2,0)),"No esta en Infor")</f>
        <v>CAN0021</v>
      </c>
      <c r="C2106" s="11" t="s">
        <v>180</v>
      </c>
      <c r="D2106" s="8">
        <v>1990.75</v>
      </c>
      <c r="E2106" s="8">
        <v>0</v>
      </c>
      <c r="F2106" s="8">
        <v>314.64</v>
      </c>
      <c r="G2106" s="8">
        <v>18.38</v>
      </c>
      <c r="H2106" s="8">
        <v>0</v>
      </c>
      <c r="I2106" s="8">
        <v>0</v>
      </c>
      <c r="J2106" s="8">
        <v>2323.77</v>
      </c>
    </row>
    <row r="2107" spans="1:10" ht="15.75" x14ac:dyDescent="0.25">
      <c r="A2107" s="21">
        <v>45504</v>
      </c>
      <c r="B2107" t="str">
        <f>IFERROR(IF(VLOOKUP(C2107,Hoja1!$B$1:$C$6191,2,0)="",_xlfn.XLOOKUP(C2107,Hoja1!$B$2:$B$6191,Hoja1!$A$2:$A$6191),VLOOKUP(C2107,Hoja1!$B$1:$C$6191,2,0)),"No esta en Infor")</f>
        <v>NAC0838</v>
      </c>
      <c r="C2107" s="11" t="s">
        <v>396</v>
      </c>
      <c r="D2107" s="8">
        <v>-493.5</v>
      </c>
      <c r="E2107" s="8">
        <v>0</v>
      </c>
      <c r="F2107" s="8">
        <v>54</v>
      </c>
      <c r="G2107" s="8">
        <v>0</v>
      </c>
      <c r="H2107" s="8">
        <v>0</v>
      </c>
      <c r="I2107" s="8">
        <v>0</v>
      </c>
      <c r="J2107" s="8">
        <v>-439.5</v>
      </c>
    </row>
    <row r="2108" spans="1:10" ht="15.75" x14ac:dyDescent="0.25">
      <c r="A2108" s="21">
        <v>45504</v>
      </c>
      <c r="B2108" t="str">
        <f>IFERROR(IF(VLOOKUP(C2108,Hoja1!$B$1:$C$6191,2,0)="",_xlfn.XLOOKUP(C2108,Hoja1!$B$2:$B$6191,Hoja1!$A$2:$A$6191),VLOOKUP(C2108,Hoja1!$B$1:$C$6191,2,0)),"No esta en Infor")</f>
        <v>NAC0869</v>
      </c>
      <c r="C2108" s="11" t="s">
        <v>192</v>
      </c>
      <c r="D2108" s="8">
        <v>0</v>
      </c>
      <c r="E2108" s="8">
        <v>133.5</v>
      </c>
      <c r="F2108" s="8">
        <v>399</v>
      </c>
      <c r="G2108" s="8">
        <v>0</v>
      </c>
      <c r="H2108" s="8">
        <v>0</v>
      </c>
      <c r="I2108" s="8">
        <v>0</v>
      </c>
      <c r="J2108" s="8">
        <v>532.5</v>
      </c>
    </row>
    <row r="2109" spans="1:10" ht="15.75" x14ac:dyDescent="0.25">
      <c r="A2109" s="21">
        <v>45504</v>
      </c>
      <c r="B2109" t="str">
        <f>IFERROR(IF(VLOOKUP(C2109,Hoja1!$B$1:$C$6191,2,0)="",_xlfn.XLOOKUP(C2109,Hoja1!$B$2:$B$6191,Hoja1!$A$2:$A$6191),VLOOKUP(C2109,Hoja1!$B$1:$C$6191,2,0)),"No esta en Infor")</f>
        <v>NAC0880</v>
      </c>
      <c r="C2109" s="11" t="s">
        <v>24</v>
      </c>
      <c r="D2109" s="8">
        <v>6261.1</v>
      </c>
      <c r="E2109" s="8">
        <v>870.5</v>
      </c>
      <c r="F2109" s="8">
        <v>953.47</v>
      </c>
      <c r="G2109" s="8">
        <v>0</v>
      </c>
      <c r="H2109" s="8">
        <v>0</v>
      </c>
      <c r="I2109" s="8">
        <v>1402.48</v>
      </c>
      <c r="J2109" s="8">
        <v>9487.5499999999993</v>
      </c>
    </row>
    <row r="2110" spans="1:10" ht="15.75" x14ac:dyDescent="0.25">
      <c r="A2110" s="21">
        <v>45504</v>
      </c>
      <c r="B2110" t="str">
        <f>IFERROR(IF(VLOOKUP(C2110,Hoja1!$B$1:$C$6191,2,0)="",_xlfn.XLOOKUP(C2110,Hoja1!$B$2:$B$6191,Hoja1!$A$2:$A$6191),VLOOKUP(C2110,Hoja1!$B$1:$C$6191,2,0)),"No esta en Infor")</f>
        <v>NAC0894</v>
      </c>
      <c r="C2110" s="11" t="s">
        <v>199</v>
      </c>
      <c r="D2110" s="8">
        <v>3090</v>
      </c>
      <c r="E2110" s="8">
        <v>185.4</v>
      </c>
      <c r="F2110" s="8">
        <v>810</v>
      </c>
      <c r="G2110" s="8">
        <v>0</v>
      </c>
      <c r="H2110" s="8">
        <v>0</v>
      </c>
      <c r="I2110" s="8">
        <v>0</v>
      </c>
      <c r="J2110" s="8">
        <v>4085.4</v>
      </c>
    </row>
    <row r="2111" spans="1:10" ht="15.75" x14ac:dyDescent="0.25">
      <c r="A2111" s="21">
        <v>45504</v>
      </c>
      <c r="B2111" t="str">
        <f>IFERROR(IF(VLOOKUP(C2111,Hoja1!$B$1:$C$6191,2,0)="",_xlfn.XLOOKUP(C2111,Hoja1!$B$2:$B$6191,Hoja1!$A$2:$A$6191),VLOOKUP(C2111,Hoja1!$B$1:$C$6191,2,0)),"No esta en Infor")</f>
        <v>NAC0914</v>
      </c>
      <c r="C2111" s="11" t="s">
        <v>202</v>
      </c>
      <c r="D2111" s="8">
        <v>0</v>
      </c>
      <c r="E2111" s="8">
        <v>0</v>
      </c>
      <c r="F2111" s="8">
        <v>455</v>
      </c>
      <c r="G2111" s="8">
        <v>-100.21</v>
      </c>
      <c r="H2111" s="8">
        <v>0</v>
      </c>
      <c r="I2111" s="8">
        <v>0</v>
      </c>
      <c r="J2111" s="8">
        <v>354.79</v>
      </c>
    </row>
    <row r="2112" spans="1:10" ht="15.75" x14ac:dyDescent="0.25">
      <c r="A2112" s="21">
        <v>45504</v>
      </c>
      <c r="B2112" t="str">
        <f>IFERROR(IF(VLOOKUP(C2112,Hoja1!$B$1:$C$6191,2,0)="",_xlfn.XLOOKUP(C2112,Hoja1!$B$2:$B$6191,Hoja1!$A$2:$A$6191),VLOOKUP(C2112,Hoja1!$B$1:$C$6191,2,0)),"No esta en Infor")</f>
        <v>CAN0025</v>
      </c>
      <c r="C2112" s="11" t="s">
        <v>26</v>
      </c>
      <c r="D2112" s="8">
        <v>0</v>
      </c>
      <c r="E2112" s="8">
        <v>0</v>
      </c>
      <c r="F2112" s="8">
        <v>3757.41</v>
      </c>
      <c r="G2112" s="8">
        <v>161.44999999999999</v>
      </c>
      <c r="H2112" s="8">
        <v>0</v>
      </c>
      <c r="I2112" s="8">
        <v>0</v>
      </c>
      <c r="J2112" s="8">
        <v>3918.86</v>
      </c>
    </row>
    <row r="2113" spans="1:10" ht="15.75" x14ac:dyDescent="0.25">
      <c r="A2113" s="21">
        <v>45504</v>
      </c>
      <c r="B2113" t="str">
        <f>IFERROR(IF(VLOOKUP(C2113,Hoja1!$B$1:$C$6191,2,0)="",_xlfn.XLOOKUP(C2113,Hoja1!$B$2:$B$6191,Hoja1!$A$2:$A$6191),VLOOKUP(C2113,Hoja1!$B$1:$C$6191,2,0)),"No esta en Infor")</f>
        <v>NAC0920</v>
      </c>
      <c r="C2113" s="11" t="s">
        <v>204</v>
      </c>
      <c r="D2113" s="8">
        <v>0</v>
      </c>
      <c r="E2113" s="8">
        <v>0</v>
      </c>
      <c r="F2113" s="8">
        <v>0</v>
      </c>
      <c r="G2113" s="8">
        <v>591.91</v>
      </c>
      <c r="H2113" s="8">
        <v>0</v>
      </c>
      <c r="I2113" s="8">
        <v>0</v>
      </c>
      <c r="J2113" s="8">
        <v>591.91</v>
      </c>
    </row>
    <row r="2114" spans="1:10" ht="15.75" x14ac:dyDescent="0.25">
      <c r="A2114" s="21">
        <v>45504</v>
      </c>
      <c r="B2114" t="str">
        <f>IFERROR(IF(VLOOKUP(C2114,Hoja1!$B$1:$C$6191,2,0)="",_xlfn.XLOOKUP(C2114,Hoja1!$B$2:$B$6191,Hoja1!$A$2:$A$6191),VLOOKUP(C2114,Hoja1!$B$1:$C$6191,2,0)),"No esta en Infor")</f>
        <v>NAC0922</v>
      </c>
      <c r="C2114" s="11" t="s">
        <v>27</v>
      </c>
      <c r="D2114" s="8">
        <v>0</v>
      </c>
      <c r="E2114" s="8">
        <v>0</v>
      </c>
      <c r="F2114" s="8">
        <v>0</v>
      </c>
      <c r="G2114" s="8">
        <v>0</v>
      </c>
      <c r="H2114" s="8">
        <v>631.96</v>
      </c>
      <c r="I2114" s="8">
        <v>0</v>
      </c>
      <c r="J2114" s="8">
        <v>631.96</v>
      </c>
    </row>
    <row r="2115" spans="1:10" ht="15.75" x14ac:dyDescent="0.25">
      <c r="A2115" s="21">
        <v>45504</v>
      </c>
      <c r="B2115" t="str">
        <f>IFERROR(IF(VLOOKUP(C2115,Hoja1!$B$1:$C$6191,2,0)="",_xlfn.XLOOKUP(C2115,Hoja1!$B$2:$B$6191,Hoja1!$A$2:$A$6191),VLOOKUP(C2115,Hoja1!$B$1:$C$6191,2,0)),"No esta en Infor")</f>
        <v>NAC0924</v>
      </c>
      <c r="C2115" s="11" t="s">
        <v>205</v>
      </c>
      <c r="D2115" s="8">
        <v>13284</v>
      </c>
      <c r="E2115" s="8">
        <v>0</v>
      </c>
      <c r="F2115" s="8">
        <v>336.28</v>
      </c>
      <c r="G2115" s="8">
        <v>0</v>
      </c>
      <c r="H2115" s="8">
        <v>0</v>
      </c>
      <c r="I2115" s="8">
        <v>0</v>
      </c>
      <c r="J2115" s="8">
        <v>13620.28</v>
      </c>
    </row>
    <row r="2116" spans="1:10" ht="15.75" x14ac:dyDescent="0.25">
      <c r="A2116" s="21">
        <v>45504</v>
      </c>
      <c r="B2116" t="str">
        <f>IFERROR(IF(VLOOKUP(C2116,Hoja1!$B$1:$C$6191,2,0)="",_xlfn.XLOOKUP(C2116,Hoja1!$B$2:$B$6191,Hoja1!$A$2:$A$6191),VLOOKUP(C2116,Hoja1!$B$1:$C$6191,2,0)),"No esta en Infor")</f>
        <v>CAN0030</v>
      </c>
      <c r="C2116" s="11" t="s">
        <v>210</v>
      </c>
      <c r="D2116" s="8">
        <v>1342.44</v>
      </c>
      <c r="E2116" s="8">
        <v>1267.53</v>
      </c>
      <c r="F2116" s="8">
        <v>11712.06</v>
      </c>
      <c r="G2116" s="8">
        <v>0</v>
      </c>
      <c r="H2116" s="8">
        <v>0</v>
      </c>
      <c r="I2116" s="8">
        <v>0</v>
      </c>
      <c r="J2116" s="8">
        <v>14322.03</v>
      </c>
    </row>
    <row r="2117" spans="1:10" ht="15.75" x14ac:dyDescent="0.25">
      <c r="A2117" s="21">
        <v>45504</v>
      </c>
      <c r="B2117" t="str">
        <f>IFERROR(IF(VLOOKUP(C2117,Hoja1!$B$1:$C$6191,2,0)="",_xlfn.XLOOKUP(C2117,Hoja1!$B$2:$B$6191,Hoja1!$A$2:$A$6191),VLOOKUP(C2117,Hoja1!$B$1:$C$6191,2,0)),"No esta en Infor")</f>
        <v>NAC1607</v>
      </c>
      <c r="C2117" s="19" t="s">
        <v>668</v>
      </c>
      <c r="D2117" s="8">
        <v>0</v>
      </c>
      <c r="E2117" s="8">
        <v>38.49</v>
      </c>
      <c r="F2117" s="8">
        <v>424.61</v>
      </c>
      <c r="G2117" s="8">
        <v>219.09</v>
      </c>
      <c r="H2117" s="8">
        <v>0</v>
      </c>
      <c r="I2117" s="8">
        <v>0</v>
      </c>
      <c r="J2117" s="8">
        <v>682.19</v>
      </c>
    </row>
    <row r="2118" spans="1:10" ht="15.75" x14ac:dyDescent="0.25">
      <c r="A2118" s="21">
        <v>45504</v>
      </c>
      <c r="B2118" t="str">
        <f>IFERROR(IF(VLOOKUP(C2118,Hoja1!$B$1:$C$6191,2,0)="",_xlfn.XLOOKUP(C2118,Hoja1!$B$2:$B$6191,Hoja1!$A$2:$A$6191),VLOOKUP(C2118,Hoja1!$B$1:$C$6191,2,0)),"No esta en Infor")</f>
        <v>NAC0971</v>
      </c>
      <c r="C2118" s="11" t="s">
        <v>219</v>
      </c>
      <c r="D2118" s="8">
        <v>0</v>
      </c>
      <c r="E2118" s="8">
        <v>700.95</v>
      </c>
      <c r="F2118" s="8">
        <v>0</v>
      </c>
      <c r="G2118" s="8">
        <v>467.32</v>
      </c>
      <c r="H2118" s="8">
        <v>0</v>
      </c>
      <c r="I2118" s="8">
        <v>0</v>
      </c>
      <c r="J2118" s="8">
        <v>1168.27</v>
      </c>
    </row>
    <row r="2119" spans="1:10" ht="15.75" x14ac:dyDescent="0.25">
      <c r="A2119" s="21">
        <v>45504</v>
      </c>
      <c r="B2119" t="str">
        <f>IFERROR(IF(VLOOKUP(C2119,Hoja1!$B$1:$C$6191,2,0)="",_xlfn.XLOOKUP(C2119,Hoja1!$B$2:$B$6191,Hoja1!$A$2:$A$6191),VLOOKUP(C2119,Hoja1!$B$1:$C$6191,2,0)),"No esta en Infor")</f>
        <v>NAC0972</v>
      </c>
      <c r="C2119" s="11" t="s">
        <v>221</v>
      </c>
      <c r="D2119" s="8">
        <v>0</v>
      </c>
      <c r="E2119" s="8">
        <v>0</v>
      </c>
      <c r="F2119" s="8">
        <v>0</v>
      </c>
      <c r="G2119" s="8">
        <v>217.86</v>
      </c>
      <c r="H2119" s="8">
        <v>0</v>
      </c>
      <c r="I2119" s="8">
        <v>0</v>
      </c>
      <c r="J2119" s="8">
        <v>217.86</v>
      </c>
    </row>
    <row r="2120" spans="1:10" ht="15.75" x14ac:dyDescent="0.25">
      <c r="A2120" s="21">
        <v>45504</v>
      </c>
      <c r="B2120" t="str">
        <f>IFERROR(IF(VLOOKUP(C2120,Hoja1!$B$1:$C$6191,2,0)="",_xlfn.XLOOKUP(C2120,Hoja1!$B$2:$B$6191,Hoja1!$A$2:$A$6191),VLOOKUP(C2120,Hoja1!$B$1:$C$6191,2,0)),"No esta en Infor")</f>
        <v>NAC0988</v>
      </c>
      <c r="C2120" s="11" t="s">
        <v>29</v>
      </c>
      <c r="D2120" s="8">
        <v>0</v>
      </c>
      <c r="E2120" s="8">
        <v>7706</v>
      </c>
      <c r="F2120" s="8">
        <v>0</v>
      </c>
      <c r="G2120" s="8">
        <v>3630</v>
      </c>
      <c r="H2120" s="8">
        <v>9360</v>
      </c>
      <c r="I2120" s="8">
        <v>0</v>
      </c>
      <c r="J2120" s="8">
        <v>20696</v>
      </c>
    </row>
    <row r="2121" spans="1:10" ht="15.75" x14ac:dyDescent="0.25">
      <c r="A2121" s="21">
        <v>45504</v>
      </c>
      <c r="B2121" t="str">
        <f>IFERROR(IF(VLOOKUP(C2121,Hoja1!$B$1:$C$6191,2,0)="",_xlfn.XLOOKUP(C2121,Hoja1!$B$2:$B$6191,Hoja1!$A$2:$A$6191),VLOOKUP(C2121,Hoja1!$B$1:$C$6191,2,0)),"No esta en Infor")</f>
        <v>NAC0998</v>
      </c>
      <c r="C2121" s="11" t="s">
        <v>229</v>
      </c>
      <c r="D2121" s="8">
        <v>0</v>
      </c>
      <c r="E2121" s="8">
        <v>0</v>
      </c>
      <c r="F2121" s="8">
        <v>184.99</v>
      </c>
      <c r="G2121" s="8">
        <v>0</v>
      </c>
      <c r="H2121" s="8">
        <v>0</v>
      </c>
      <c r="I2121" s="8">
        <v>0</v>
      </c>
      <c r="J2121" s="8">
        <v>184.99</v>
      </c>
    </row>
    <row r="2122" spans="1:10" ht="15.75" x14ac:dyDescent="0.25">
      <c r="A2122" s="21">
        <v>45504</v>
      </c>
      <c r="B2122" t="str">
        <f>IFERROR(IF(VLOOKUP(C2122,Hoja1!$B$1:$C$6191,2,0)="",_xlfn.XLOOKUP(C2122,Hoja1!$B$2:$B$6191,Hoja1!$A$2:$A$6191),VLOOKUP(C2122,Hoja1!$B$1:$C$6191,2,0)),"No esta en Infor")</f>
        <v>NAC1606</v>
      </c>
      <c r="C2122" s="11" t="s">
        <v>561</v>
      </c>
      <c r="D2122" s="8">
        <v>0</v>
      </c>
      <c r="E2122" s="8">
        <v>0</v>
      </c>
      <c r="F2122" s="8">
        <v>5647.73</v>
      </c>
      <c r="G2122" s="8">
        <v>0</v>
      </c>
      <c r="H2122" s="8">
        <v>0</v>
      </c>
      <c r="I2122" s="8">
        <v>0</v>
      </c>
      <c r="J2122" s="8">
        <v>5647.73</v>
      </c>
    </row>
    <row r="2123" spans="1:10" ht="15.75" x14ac:dyDescent="0.25">
      <c r="A2123" s="21">
        <v>45504</v>
      </c>
      <c r="B2123" t="str">
        <f>IFERROR(IF(VLOOKUP(C2123,Hoja1!$B$1:$C$6191,2,0)="",_xlfn.XLOOKUP(C2123,Hoja1!$B$2:$B$6191,Hoja1!$A$2:$A$6191),VLOOKUP(C2123,Hoja1!$B$1:$C$6191,2,0)),"No esta en Infor")</f>
        <v>NAC1040</v>
      </c>
      <c r="C2123" s="11" t="s">
        <v>30</v>
      </c>
      <c r="D2123" s="8">
        <v>305365.83</v>
      </c>
      <c r="E2123" s="8">
        <v>62179.19</v>
      </c>
      <c r="F2123" s="8">
        <v>8599.2999999999993</v>
      </c>
      <c r="G2123" s="8">
        <v>-41.49</v>
      </c>
      <c r="H2123" s="8">
        <v>700</v>
      </c>
      <c r="I2123" s="8">
        <v>-0.2</v>
      </c>
      <c r="J2123" s="8">
        <v>376802.63</v>
      </c>
    </row>
    <row r="2124" spans="1:10" ht="15.75" x14ac:dyDescent="0.25">
      <c r="A2124" s="21">
        <v>45504</v>
      </c>
      <c r="B2124" t="str">
        <f>IFERROR(IF(VLOOKUP(C2124,Hoja1!$B$1:$C$6191,2,0)="",_xlfn.XLOOKUP(C2124,Hoja1!$B$2:$B$6191,Hoja1!$A$2:$A$6191),VLOOKUP(C2124,Hoja1!$B$1:$C$6191,2,0)),"No esta en Infor")</f>
        <v>CAN0035</v>
      </c>
      <c r="C2124" s="11" t="s">
        <v>31</v>
      </c>
      <c r="D2124" s="8">
        <v>13560.6</v>
      </c>
      <c r="E2124" s="8">
        <v>0</v>
      </c>
      <c r="F2124" s="8">
        <v>0</v>
      </c>
      <c r="G2124" s="8">
        <v>256.62</v>
      </c>
      <c r="H2124" s="8">
        <v>1075.24</v>
      </c>
      <c r="I2124" s="8">
        <v>0</v>
      </c>
      <c r="J2124" s="8">
        <v>14892.46</v>
      </c>
    </row>
    <row r="2125" spans="1:10" ht="15.75" x14ac:dyDescent="0.25">
      <c r="A2125" s="21">
        <v>45504</v>
      </c>
      <c r="B2125" t="str">
        <f>IFERROR(IF(VLOOKUP(C2125,Hoja1!$B$1:$C$6191,2,0)="",_xlfn.XLOOKUP(C2125,Hoja1!$B$2:$B$6191,Hoja1!$A$2:$A$6191),VLOOKUP(C2125,Hoja1!$B$1:$C$6191,2,0)),"No esta en Infor")</f>
        <v>NAC1105</v>
      </c>
      <c r="C2125" s="11" t="s">
        <v>32</v>
      </c>
      <c r="D2125" s="8">
        <v>380.88</v>
      </c>
      <c r="E2125" s="8">
        <v>2170.5500000000002</v>
      </c>
      <c r="F2125" s="8">
        <v>2152.5500000000002</v>
      </c>
      <c r="G2125" s="8">
        <v>4047.86</v>
      </c>
      <c r="H2125" s="8">
        <v>5777.63</v>
      </c>
      <c r="I2125" s="8">
        <v>672.77</v>
      </c>
      <c r="J2125" s="8">
        <v>15202.24</v>
      </c>
    </row>
    <row r="2126" spans="1:10" ht="15.75" x14ac:dyDescent="0.25">
      <c r="A2126" s="21">
        <v>45504</v>
      </c>
      <c r="B2126" t="str">
        <f>IFERROR(IF(VLOOKUP(C2126,Hoja1!$B$1:$C$6191,2,0)="",_xlfn.XLOOKUP(C2126,Hoja1!$B$2:$B$6191,Hoja1!$A$2:$A$6191),VLOOKUP(C2126,Hoja1!$B$1:$C$6191,2,0)),"No esta en Infor")</f>
        <v>NAC1108</v>
      </c>
      <c r="C2126" s="11" t="s">
        <v>468</v>
      </c>
      <c r="D2126" s="8">
        <v>0</v>
      </c>
      <c r="E2126" s="8">
        <v>0</v>
      </c>
      <c r="F2126" s="8">
        <v>194.84</v>
      </c>
      <c r="G2126" s="8">
        <v>0</v>
      </c>
      <c r="H2126" s="8">
        <v>0</v>
      </c>
      <c r="I2126" s="8">
        <v>0</v>
      </c>
      <c r="J2126" s="8">
        <v>194.84</v>
      </c>
    </row>
    <row r="2127" spans="1:10" ht="15.75" x14ac:dyDescent="0.25">
      <c r="A2127" s="21">
        <v>45504</v>
      </c>
      <c r="B2127" t="str">
        <f>IFERROR(IF(VLOOKUP(C2127,Hoja1!$B$1:$C$6191,2,0)="",_xlfn.XLOOKUP(C2127,Hoja1!$B$2:$B$6191,Hoja1!$A$2:$A$6191),VLOOKUP(C2127,Hoja1!$B$1:$C$6191,2,0)),"No esta en Infor")</f>
        <v>CAN0039</v>
      </c>
      <c r="C2127" s="11" t="s">
        <v>265</v>
      </c>
      <c r="D2127" s="8">
        <v>0</v>
      </c>
      <c r="E2127" s="8">
        <v>7624.4</v>
      </c>
      <c r="F2127" s="8">
        <v>15</v>
      </c>
      <c r="G2127" s="8">
        <v>0</v>
      </c>
      <c r="H2127" s="8">
        <v>0</v>
      </c>
      <c r="I2127" s="8">
        <v>0</v>
      </c>
      <c r="J2127" s="8">
        <v>7639.4</v>
      </c>
    </row>
    <row r="2128" spans="1:10" ht="15.75" x14ac:dyDescent="0.25">
      <c r="A2128" s="21">
        <v>45504</v>
      </c>
      <c r="B2128" t="str">
        <f>IFERROR(IF(VLOOKUP(C2128,Hoja1!$B$1:$C$6191,2,0)="",_xlfn.XLOOKUP(C2128,Hoja1!$B$2:$B$6191,Hoja1!$A$2:$A$6191),VLOOKUP(C2128,Hoja1!$B$1:$C$6191,2,0)),"No esta en Infor")</f>
        <v>NAC1611</v>
      </c>
      <c r="C2128" s="11" t="s">
        <v>565</v>
      </c>
      <c r="D2128" s="8">
        <v>33845.99</v>
      </c>
      <c r="E2128" s="8">
        <v>-3501.02</v>
      </c>
      <c r="F2128" s="8">
        <v>18557.72</v>
      </c>
      <c r="G2128" s="8">
        <v>0</v>
      </c>
      <c r="H2128" s="8">
        <v>0</v>
      </c>
      <c r="I2128" s="8">
        <v>-184</v>
      </c>
      <c r="J2128" s="8">
        <v>48718.69</v>
      </c>
    </row>
    <row r="2129" spans="1:10" ht="15.75" x14ac:dyDescent="0.25">
      <c r="A2129" s="21">
        <v>45504</v>
      </c>
      <c r="B2129" t="str">
        <f>IFERROR(IF(VLOOKUP(C2129,Hoja1!$B$1:$C$6191,2,0)="",_xlfn.XLOOKUP(C2129,Hoja1!$B$2:$B$6191,Hoja1!$A$2:$A$6191),VLOOKUP(C2129,Hoja1!$B$1:$C$6191,2,0)),"No esta en Infor")</f>
        <v>NAC1144</v>
      </c>
      <c r="C2129" s="11" t="s">
        <v>411</v>
      </c>
      <c r="D2129" s="8">
        <v>0</v>
      </c>
      <c r="E2129" s="8">
        <v>0</v>
      </c>
      <c r="F2129" s="8">
        <v>29.71</v>
      </c>
      <c r="G2129" s="8">
        <v>0</v>
      </c>
      <c r="H2129" s="8">
        <v>0</v>
      </c>
      <c r="I2129" s="8">
        <v>0</v>
      </c>
      <c r="J2129" s="8">
        <v>29.71</v>
      </c>
    </row>
    <row r="2130" spans="1:10" ht="15.75" x14ac:dyDescent="0.25">
      <c r="A2130" s="21">
        <v>45504</v>
      </c>
      <c r="B2130" t="str">
        <f>IFERROR(IF(VLOOKUP(C2130,Hoja1!$B$1:$C$6191,2,0)="",_xlfn.XLOOKUP(C2130,Hoja1!$B$2:$B$6191,Hoja1!$A$2:$A$6191),VLOOKUP(C2130,Hoja1!$B$1:$C$6191,2,0)),"No esta en Infor")</f>
        <v>NAC1146</v>
      </c>
      <c r="C2130" s="11" t="s">
        <v>33</v>
      </c>
      <c r="D2130" s="8">
        <v>0</v>
      </c>
      <c r="E2130" s="8">
        <v>0</v>
      </c>
      <c r="F2130" s="8">
        <v>0</v>
      </c>
      <c r="G2130" s="8">
        <v>1602.35</v>
      </c>
      <c r="H2130" s="8">
        <v>413.91</v>
      </c>
      <c r="I2130" s="8">
        <v>0</v>
      </c>
      <c r="J2130" s="8">
        <v>2016.26</v>
      </c>
    </row>
    <row r="2131" spans="1:10" ht="15.75" x14ac:dyDescent="0.25">
      <c r="A2131" s="21">
        <v>45504</v>
      </c>
      <c r="B2131" t="str">
        <f>IFERROR(IF(VLOOKUP(C2131,Hoja1!$B$1:$C$6191,2,0)="",_xlfn.XLOOKUP(C2131,Hoja1!$B$2:$B$6191,Hoja1!$A$2:$A$6191),VLOOKUP(C2131,Hoja1!$B$1:$C$6191,2,0)),"No esta en Infor")</f>
        <v>NAC1152</v>
      </c>
      <c r="C2131" s="11" t="s">
        <v>470</v>
      </c>
      <c r="D2131" s="8">
        <v>0</v>
      </c>
      <c r="E2131" s="8">
        <v>-0.13</v>
      </c>
      <c r="F2131" s="8">
        <v>1875.93</v>
      </c>
      <c r="G2131" s="8">
        <v>0</v>
      </c>
      <c r="H2131" s="8">
        <v>0</v>
      </c>
      <c r="I2131" s="8">
        <v>0</v>
      </c>
      <c r="J2131" s="8">
        <v>1875.8</v>
      </c>
    </row>
    <row r="2132" spans="1:10" ht="15.75" x14ac:dyDescent="0.25">
      <c r="A2132" s="21">
        <v>45504</v>
      </c>
      <c r="B2132" t="str">
        <f>IFERROR(IF(VLOOKUP(C2132,Hoja1!$B$1:$C$6191,2,0)="",_xlfn.XLOOKUP(C2132,Hoja1!$B$2:$B$6191,Hoja1!$A$2:$A$6191),VLOOKUP(C2132,Hoja1!$B$1:$C$6191,2,0)),"No esta en Infor")</f>
        <v>NAC1187</v>
      </c>
      <c r="C2132" s="11" t="s">
        <v>471</v>
      </c>
      <c r="D2132" s="8">
        <v>0</v>
      </c>
      <c r="E2132" s="8">
        <v>882</v>
      </c>
      <c r="F2132" s="8">
        <v>1127.5</v>
      </c>
      <c r="G2132" s="8">
        <v>0</v>
      </c>
      <c r="H2132" s="8">
        <v>0</v>
      </c>
      <c r="I2132" s="8">
        <v>0</v>
      </c>
      <c r="J2132" s="8">
        <v>2009.5</v>
      </c>
    </row>
    <row r="2133" spans="1:10" ht="15.75" x14ac:dyDescent="0.25">
      <c r="A2133" s="21">
        <v>45504</v>
      </c>
      <c r="B2133" t="str">
        <f>IFERROR(IF(VLOOKUP(C2133,Hoja1!$B$1:$C$6191,2,0)="",_xlfn.XLOOKUP(C2133,Hoja1!$B$2:$B$6191,Hoja1!$A$2:$A$6191),VLOOKUP(C2133,Hoja1!$B$1:$C$6191,2,0)),"No esta en Infor")</f>
        <v>CAN0044</v>
      </c>
      <c r="C2133" s="11" t="s">
        <v>35</v>
      </c>
      <c r="D2133" s="8">
        <v>-2034</v>
      </c>
      <c r="E2133" s="8">
        <v>0</v>
      </c>
      <c r="F2133" s="8">
        <v>68212.710000000006</v>
      </c>
      <c r="G2133" s="8">
        <v>836.4</v>
      </c>
      <c r="H2133" s="8">
        <v>0</v>
      </c>
      <c r="I2133" s="8">
        <v>0</v>
      </c>
      <c r="J2133" s="8">
        <v>67015.11</v>
      </c>
    </row>
    <row r="2134" spans="1:10" ht="15.75" x14ac:dyDescent="0.25">
      <c r="A2134" s="21">
        <v>45504</v>
      </c>
      <c r="B2134" t="str">
        <f>IFERROR(IF(VLOOKUP(C2134,Hoja1!$B$1:$C$6191,2,0)="",_xlfn.XLOOKUP(C2134,Hoja1!$B$2:$B$6191,Hoja1!$A$2:$A$6191),VLOOKUP(C2134,Hoja1!$B$1:$C$6191,2,0)),"No esta en Infor")</f>
        <v>CAN0045</v>
      </c>
      <c r="C2134" s="11" t="s">
        <v>472</v>
      </c>
      <c r="D2134" s="8">
        <v>0</v>
      </c>
      <c r="E2134" s="8">
        <v>0</v>
      </c>
      <c r="F2134" s="8">
        <v>894.96</v>
      </c>
      <c r="G2134" s="8">
        <v>0</v>
      </c>
      <c r="H2134" s="8">
        <v>0</v>
      </c>
      <c r="I2134" s="8">
        <v>0</v>
      </c>
      <c r="J2134" s="8">
        <v>894.96</v>
      </c>
    </row>
    <row r="2135" spans="1:10" ht="15.75" x14ac:dyDescent="0.25">
      <c r="A2135" s="21">
        <v>45504</v>
      </c>
      <c r="B2135" t="str">
        <f>IFERROR(IF(VLOOKUP(C2135,Hoja1!$B$1:$C$6191,2,0)="",_xlfn.XLOOKUP(C2135,Hoja1!$B$2:$B$6191,Hoja1!$A$2:$A$6191),VLOOKUP(C2135,Hoja1!$B$1:$C$6191,2,0)),"No esta en Infor")</f>
        <v>NAC1200</v>
      </c>
      <c r="C2135" s="11" t="s">
        <v>473</v>
      </c>
      <c r="D2135" s="8">
        <v>0</v>
      </c>
      <c r="E2135" s="8">
        <v>0</v>
      </c>
      <c r="F2135" s="8">
        <v>24.37</v>
      </c>
      <c r="G2135" s="8">
        <v>0</v>
      </c>
      <c r="H2135" s="8">
        <v>0</v>
      </c>
      <c r="I2135" s="8">
        <v>0</v>
      </c>
      <c r="J2135" s="8">
        <v>24.37</v>
      </c>
    </row>
    <row r="2136" spans="1:10" ht="15.75" x14ac:dyDescent="0.25">
      <c r="A2136" s="21">
        <v>45504</v>
      </c>
      <c r="B2136" t="str">
        <f>IFERROR(IF(VLOOKUP(C2136,Hoja1!$B$1:$C$6191,2,0)="",_xlfn.XLOOKUP(C2136,Hoja1!$B$2:$B$6191,Hoja1!$A$2:$A$6191),VLOOKUP(C2136,Hoja1!$B$1:$C$6191,2,0)),"No esta en Infor")</f>
        <v>NAC1229</v>
      </c>
      <c r="C2136" s="11" t="s">
        <v>418</v>
      </c>
      <c r="D2136" s="8">
        <v>0</v>
      </c>
      <c r="E2136" s="8">
        <v>0</v>
      </c>
      <c r="F2136" s="8">
        <v>505.49</v>
      </c>
      <c r="G2136" s="8">
        <v>0</v>
      </c>
      <c r="H2136" s="8">
        <v>0</v>
      </c>
      <c r="I2136" s="8">
        <v>0</v>
      </c>
      <c r="J2136" s="8">
        <v>505.49</v>
      </c>
    </row>
    <row r="2137" spans="1:10" ht="15.75" x14ac:dyDescent="0.25">
      <c r="A2137" s="21">
        <v>45504</v>
      </c>
      <c r="B2137" t="str">
        <f>IFERROR(IF(VLOOKUP(C2137,Hoja1!$B$1:$C$6191,2,0)="",_xlfn.XLOOKUP(C2137,Hoja1!$B$2:$B$6191,Hoja1!$A$2:$A$6191),VLOOKUP(C2137,Hoja1!$B$1:$C$6191,2,0)),"No esta en Infor")</f>
        <v>CAN0050</v>
      </c>
      <c r="C2137" s="11" t="s">
        <v>291</v>
      </c>
      <c r="D2137" s="8">
        <v>50589.31</v>
      </c>
      <c r="E2137" s="8">
        <v>1707</v>
      </c>
      <c r="F2137" s="8">
        <v>20544.3</v>
      </c>
      <c r="G2137" s="8">
        <v>0</v>
      </c>
      <c r="H2137" s="8">
        <v>0</v>
      </c>
      <c r="I2137" s="8">
        <v>0</v>
      </c>
      <c r="J2137" s="8">
        <v>72840.61</v>
      </c>
    </row>
    <row r="2138" spans="1:10" ht="15.75" x14ac:dyDescent="0.25">
      <c r="A2138" s="21">
        <v>45504</v>
      </c>
      <c r="B2138" t="str">
        <f>IFERROR(IF(VLOOKUP(C2138,Hoja1!$B$1:$C$6191,2,0)="",_xlfn.XLOOKUP(C2138,Hoja1!$B$2:$B$6191,Hoja1!$A$2:$A$6191),VLOOKUP(C2138,Hoja1!$B$1:$C$6191,2,0)),"No esta en Infor")</f>
        <v>NAC1233</v>
      </c>
      <c r="C2138" s="11" t="s">
        <v>292</v>
      </c>
      <c r="D2138" s="8">
        <v>0</v>
      </c>
      <c r="E2138" s="8">
        <v>0</v>
      </c>
      <c r="F2138" s="8">
        <v>0</v>
      </c>
      <c r="G2138" s="8">
        <v>10349.299999999999</v>
      </c>
      <c r="H2138" s="8">
        <v>0</v>
      </c>
      <c r="I2138" s="8">
        <v>-451.95</v>
      </c>
      <c r="J2138" s="8">
        <v>9897.35</v>
      </c>
    </row>
    <row r="2139" spans="1:10" ht="15.75" x14ac:dyDescent="0.25">
      <c r="A2139" s="21">
        <v>45504</v>
      </c>
      <c r="B2139" t="str">
        <f>IFERROR(IF(VLOOKUP(C2139,Hoja1!$B$1:$C$6191,2,0)="",_xlfn.XLOOKUP(C2139,Hoja1!$B$2:$B$6191,Hoja1!$A$2:$A$6191),VLOOKUP(C2139,Hoja1!$B$1:$C$6191,2,0)),"No esta en Infor")</f>
        <v>CAN0051</v>
      </c>
      <c r="C2139" s="11" t="s">
        <v>299</v>
      </c>
      <c r="D2139" s="8">
        <v>0</v>
      </c>
      <c r="E2139" s="8">
        <v>0</v>
      </c>
      <c r="F2139" s="8">
        <v>3916.98</v>
      </c>
      <c r="G2139" s="8">
        <v>-0.34</v>
      </c>
      <c r="H2139" s="8">
        <v>0</v>
      </c>
      <c r="I2139" s="8">
        <v>0</v>
      </c>
      <c r="J2139" s="8">
        <v>3916.64</v>
      </c>
    </row>
    <row r="2140" spans="1:10" ht="15.75" x14ac:dyDescent="0.25">
      <c r="A2140" s="21">
        <v>45504</v>
      </c>
      <c r="B2140" t="str">
        <f>IFERROR(IF(VLOOKUP(C2140,Hoja1!$B$1:$C$6191,2,0)="",_xlfn.XLOOKUP(C2140,Hoja1!$B$2:$B$6191,Hoja1!$A$2:$A$6191),VLOOKUP(C2140,Hoja1!$B$1:$C$6191,2,0)),"No esta en Infor")</f>
        <v>NAC1249</v>
      </c>
      <c r="C2140" s="11" t="s">
        <v>300</v>
      </c>
      <c r="D2140" s="8">
        <v>0</v>
      </c>
      <c r="E2140" s="8">
        <v>0</v>
      </c>
      <c r="F2140" s="8">
        <v>73.2</v>
      </c>
      <c r="G2140" s="8">
        <v>0</v>
      </c>
      <c r="H2140" s="8">
        <v>0</v>
      </c>
      <c r="I2140" s="8">
        <v>0</v>
      </c>
      <c r="J2140" s="8">
        <v>73.2</v>
      </c>
    </row>
    <row r="2141" spans="1:10" ht="15.75" x14ac:dyDescent="0.25">
      <c r="A2141" s="21">
        <v>45504</v>
      </c>
      <c r="B2141" t="str">
        <f>IFERROR(IF(VLOOKUP(C2141,Hoja1!$B$1:$C$6191,2,0)="",_xlfn.XLOOKUP(C2141,Hoja1!$B$2:$B$6191,Hoja1!$A$2:$A$6191),VLOOKUP(C2141,Hoja1!$B$1:$C$6191,2,0)),"No esta en Infor")</f>
        <v>CAN0054</v>
      </c>
      <c r="C2141" s="11" t="s">
        <v>36</v>
      </c>
      <c r="D2141" s="8">
        <v>-50000</v>
      </c>
      <c r="E2141" s="8">
        <v>0</v>
      </c>
      <c r="F2141" s="8">
        <v>645.78</v>
      </c>
      <c r="G2141" s="8">
        <v>-69</v>
      </c>
      <c r="H2141" s="8">
        <v>492.75</v>
      </c>
      <c r="I2141" s="8">
        <v>0</v>
      </c>
      <c r="J2141" s="8">
        <v>-48930.47</v>
      </c>
    </row>
    <row r="2142" spans="1:10" ht="15.75" x14ac:dyDescent="0.25">
      <c r="A2142" s="21">
        <v>45504</v>
      </c>
      <c r="B2142" t="str">
        <f>IFERROR(IF(VLOOKUP(C2142,Hoja1!$B$1:$C$6191,2,0)="",_xlfn.XLOOKUP(C2142,Hoja1!$B$2:$B$6191,Hoja1!$A$2:$A$6191),VLOOKUP(C2142,Hoja1!$B$1:$C$6191,2,0)),"No esta en Infor")</f>
        <v>NAC1281</v>
      </c>
      <c r="C2142" s="11" t="s">
        <v>37</v>
      </c>
      <c r="D2142" s="8">
        <v>2657.15</v>
      </c>
      <c r="E2142" s="8">
        <v>5781.64</v>
      </c>
      <c r="F2142" s="8">
        <v>9061.5300000000007</v>
      </c>
      <c r="G2142" s="8">
        <v>2510.61</v>
      </c>
      <c r="H2142" s="8">
        <v>1580.75</v>
      </c>
      <c r="I2142" s="8">
        <v>3897.44</v>
      </c>
      <c r="J2142" s="8">
        <v>25489.119999999999</v>
      </c>
    </row>
    <row r="2143" spans="1:10" ht="15.75" x14ac:dyDescent="0.25">
      <c r="A2143" s="21">
        <v>45504</v>
      </c>
      <c r="B2143" t="str">
        <f>IFERROR(IF(VLOOKUP(C2143,Hoja1!$B$1:$C$6191,2,0)="",_xlfn.XLOOKUP(C2143,Hoja1!$B$2:$B$6191,Hoja1!$A$2:$A$6191),VLOOKUP(C2143,Hoja1!$B$1:$C$6191,2,0)),"No esta en Infor")</f>
        <v>NAC1292</v>
      </c>
      <c r="C2143" s="11" t="s">
        <v>46</v>
      </c>
      <c r="D2143" s="8">
        <v>6100.42</v>
      </c>
      <c r="E2143" s="8">
        <v>0</v>
      </c>
      <c r="F2143" s="8">
        <v>3760</v>
      </c>
      <c r="G2143" s="8">
        <v>-1465</v>
      </c>
      <c r="H2143" s="8">
        <v>2625</v>
      </c>
      <c r="I2143" s="8">
        <v>0</v>
      </c>
      <c r="J2143" s="8">
        <v>11020.42</v>
      </c>
    </row>
    <row r="2144" spans="1:10" ht="15.75" x14ac:dyDescent="0.25">
      <c r="A2144" s="21">
        <v>45504</v>
      </c>
      <c r="B2144" t="str">
        <f>IFERROR(IF(VLOOKUP(C2144,Hoja1!$B$1:$C$6191,2,0)="",_xlfn.XLOOKUP(C2144,Hoja1!$B$2:$B$6191,Hoja1!$A$2:$A$6191),VLOOKUP(C2144,Hoja1!$B$1:$C$6191,2,0)),"No esta en Infor")</f>
        <v>NAC1609</v>
      </c>
      <c r="C2144" s="11" t="s">
        <v>48</v>
      </c>
      <c r="D2144" s="8">
        <v>0</v>
      </c>
      <c r="E2144" s="8">
        <v>248.3</v>
      </c>
      <c r="F2144" s="8">
        <v>128.99</v>
      </c>
      <c r="G2144" s="8">
        <v>0</v>
      </c>
      <c r="H2144" s="8">
        <v>0</v>
      </c>
      <c r="I2144" s="8">
        <v>0</v>
      </c>
      <c r="J2144" s="8">
        <v>377.29</v>
      </c>
    </row>
    <row r="2145" spans="1:10" ht="15.75" x14ac:dyDescent="0.25">
      <c r="A2145" s="21">
        <v>45504</v>
      </c>
      <c r="B2145" t="str">
        <f>IFERROR(IF(VLOOKUP(C2145,Hoja1!$B$1:$C$6191,2,0)="",_xlfn.XLOOKUP(C2145,Hoja1!$B$2:$B$6191,Hoja1!$A$2:$A$6191),VLOOKUP(C2145,Hoja1!$B$1:$C$6191,2,0)),"No esta en Infor")</f>
        <v>NAC1323</v>
      </c>
      <c r="C2145" s="11" t="s">
        <v>49</v>
      </c>
      <c r="D2145" s="8">
        <v>102387.13</v>
      </c>
      <c r="E2145" s="8">
        <v>4885.34</v>
      </c>
      <c r="F2145" s="8">
        <v>48218.26</v>
      </c>
      <c r="G2145" s="8">
        <v>22328.34</v>
      </c>
      <c r="H2145" s="8">
        <v>11513.12</v>
      </c>
      <c r="I2145" s="8">
        <v>0</v>
      </c>
      <c r="J2145" s="8">
        <v>189332.19</v>
      </c>
    </row>
    <row r="2146" spans="1:10" ht="15.75" x14ac:dyDescent="0.25">
      <c r="A2146" s="21">
        <v>45504</v>
      </c>
      <c r="B2146" t="str">
        <f>IFERROR(IF(VLOOKUP(C2146,Hoja1!$B$1:$C$6191,2,0)="",_xlfn.XLOOKUP(C2146,Hoja1!$B$2:$B$6191,Hoja1!$A$2:$A$6191),VLOOKUP(C2146,Hoja1!$B$1:$C$6191,2,0)),"No esta en Infor")</f>
        <v>NAC1327</v>
      </c>
      <c r="C2146" s="11" t="s">
        <v>50</v>
      </c>
      <c r="D2146" s="8">
        <v>91052.92</v>
      </c>
      <c r="E2146" s="8">
        <v>27387.919999999998</v>
      </c>
      <c r="F2146" s="8">
        <v>733.86</v>
      </c>
      <c r="G2146" s="8">
        <v>0</v>
      </c>
      <c r="H2146" s="8">
        <v>0</v>
      </c>
      <c r="I2146" s="8">
        <v>0</v>
      </c>
      <c r="J2146" s="8">
        <v>119174.7</v>
      </c>
    </row>
    <row r="2147" spans="1:10" ht="15.75" x14ac:dyDescent="0.25">
      <c r="A2147" s="21">
        <v>45504</v>
      </c>
      <c r="B2147" t="str">
        <f>IFERROR(IF(VLOOKUP(C2147,Hoja1!$B$1:$C$6191,2,0)="",_xlfn.XLOOKUP(C2147,Hoja1!$B$2:$B$6191,Hoja1!$A$2:$A$6191),VLOOKUP(C2147,Hoja1!$B$1:$C$6191,2,0)),"No esta en Infor")</f>
        <v>CAN0059</v>
      </c>
      <c r="C2147" s="11" t="s">
        <v>51</v>
      </c>
      <c r="D2147" s="8">
        <v>0</v>
      </c>
      <c r="E2147" s="8">
        <v>220.13</v>
      </c>
      <c r="F2147" s="8">
        <v>631.08000000000004</v>
      </c>
      <c r="G2147" s="8">
        <v>421.15</v>
      </c>
      <c r="H2147" s="8">
        <v>787.12</v>
      </c>
      <c r="I2147" s="8">
        <v>0</v>
      </c>
      <c r="J2147" s="8">
        <v>2059.48</v>
      </c>
    </row>
    <row r="2148" spans="1:10" ht="15.75" x14ac:dyDescent="0.25">
      <c r="A2148" s="21">
        <v>45504</v>
      </c>
      <c r="B2148" t="str">
        <f>IFERROR(IF(VLOOKUP(C2148,Hoja1!$B$1:$C$6191,2,0)="",_xlfn.XLOOKUP(C2148,Hoja1!$B$2:$B$6191,Hoja1!$A$2:$A$6191),VLOOKUP(C2148,Hoja1!$B$1:$C$6191,2,0)),"No esta en Infor")</f>
        <v>NAC1333</v>
      </c>
      <c r="C2148" s="11" t="s">
        <v>318</v>
      </c>
      <c r="D2148" s="8">
        <v>0</v>
      </c>
      <c r="E2148" s="8">
        <v>11376.92</v>
      </c>
      <c r="F2148" s="8">
        <v>374.08</v>
      </c>
      <c r="G2148" s="8">
        <v>-290.11</v>
      </c>
      <c r="H2148" s="8">
        <v>0</v>
      </c>
      <c r="I2148" s="8">
        <v>0</v>
      </c>
      <c r="J2148" s="8">
        <v>11460.89</v>
      </c>
    </row>
    <row r="2149" spans="1:10" ht="15.75" x14ac:dyDescent="0.25">
      <c r="A2149" s="21">
        <v>45504</v>
      </c>
      <c r="B2149" t="str">
        <f>IFERROR(IF(VLOOKUP(C2149,Hoja1!$B$1:$C$6191,2,0)="",_xlfn.XLOOKUP(C2149,Hoja1!$B$2:$B$6191,Hoja1!$A$2:$A$6191),VLOOKUP(C2149,Hoja1!$B$1:$C$6191,2,0)),"No esta en Infor")</f>
        <v>NAC1354</v>
      </c>
      <c r="C2149" s="11" t="s">
        <v>324</v>
      </c>
      <c r="D2149" s="8">
        <v>0</v>
      </c>
      <c r="E2149" s="8">
        <v>0</v>
      </c>
      <c r="F2149" s="8">
        <v>0</v>
      </c>
      <c r="G2149" s="8">
        <v>424.57</v>
      </c>
      <c r="H2149" s="8">
        <v>0</v>
      </c>
      <c r="I2149" s="8">
        <v>0</v>
      </c>
      <c r="J2149" s="8">
        <v>424.57</v>
      </c>
    </row>
    <row r="2150" spans="1:10" ht="15.75" x14ac:dyDescent="0.25">
      <c r="A2150" s="21">
        <v>45504</v>
      </c>
      <c r="B2150" t="str">
        <f>IFERROR(IF(VLOOKUP(C2150,Hoja1!$B$1:$C$6191,2,0)="",_xlfn.XLOOKUP(C2150,Hoja1!$B$2:$B$6191,Hoja1!$A$2:$A$6191),VLOOKUP(C2150,Hoja1!$B$1:$C$6191,2,0)),"No esta en Infor")</f>
        <v>NAC1610</v>
      </c>
      <c r="C2150" s="11" t="s">
        <v>540</v>
      </c>
      <c r="D2150" s="8">
        <v>0.3</v>
      </c>
      <c r="E2150" s="8">
        <v>0</v>
      </c>
      <c r="F2150" s="8">
        <v>0</v>
      </c>
      <c r="G2150" s="8">
        <v>744.05</v>
      </c>
      <c r="H2150" s="8">
        <v>0</v>
      </c>
      <c r="I2150" s="8">
        <v>0</v>
      </c>
      <c r="J2150" s="8">
        <v>744.35</v>
      </c>
    </row>
    <row r="2151" spans="1:10" ht="15.75" x14ac:dyDescent="0.25">
      <c r="A2151" s="21">
        <v>45504</v>
      </c>
      <c r="B2151" t="str">
        <f>IFERROR(IF(VLOOKUP(C2151,Hoja1!$B$1:$C$6191,2,0)="",_xlfn.XLOOKUP(C2151,Hoja1!$B$2:$B$6191,Hoja1!$A$2:$A$6191),VLOOKUP(C2151,Hoja1!$B$1:$C$6191,2,0)),"No esta en Infor")</f>
        <v>CAN0069</v>
      </c>
      <c r="C2151" s="11" t="s">
        <v>340</v>
      </c>
      <c r="D2151" s="8">
        <v>0</v>
      </c>
      <c r="E2151" s="8">
        <v>0</v>
      </c>
      <c r="F2151" s="8">
        <v>0</v>
      </c>
      <c r="G2151" s="8">
        <v>0</v>
      </c>
      <c r="H2151" s="8">
        <v>540.15</v>
      </c>
      <c r="I2151" s="8">
        <v>0</v>
      </c>
      <c r="J2151" s="8">
        <v>540.15</v>
      </c>
    </row>
    <row r="2152" spans="1:10" ht="15.75" x14ac:dyDescent="0.25">
      <c r="A2152" s="21">
        <v>45504</v>
      </c>
      <c r="B2152" t="str">
        <f>IFERROR(IF(VLOOKUP(C2152,Hoja1!$B$1:$C$6191,2,0)="",_xlfn.XLOOKUP(C2152,Hoja1!$B$2:$B$6191,Hoja1!$A$2:$A$6191),VLOOKUP(C2152,Hoja1!$B$1:$C$6191,2,0)),"No esta en Infor")</f>
        <v>NAC1413</v>
      </c>
      <c r="C2152" s="11" t="s">
        <v>342</v>
      </c>
      <c r="D2152" s="8">
        <v>0</v>
      </c>
      <c r="E2152" s="8">
        <v>0</v>
      </c>
      <c r="F2152" s="8">
        <v>0</v>
      </c>
      <c r="G2152" s="8">
        <v>17836.3</v>
      </c>
      <c r="H2152" s="8">
        <v>0</v>
      </c>
      <c r="I2152" s="8">
        <v>0</v>
      </c>
      <c r="J2152" s="8">
        <v>17836.3</v>
      </c>
    </row>
    <row r="2153" spans="1:10" ht="15.75" x14ac:dyDescent="0.25">
      <c r="A2153" s="21">
        <v>45504</v>
      </c>
      <c r="B2153" t="str">
        <f>IFERROR(IF(VLOOKUP(C2153,Hoja1!$B$1:$C$6191,2,0)="",_xlfn.XLOOKUP(C2153,Hoja1!$B$2:$B$6191,Hoja1!$A$2:$A$6191),VLOOKUP(C2153,Hoja1!$B$1:$C$6191,2,0)),"No esta en Infor")</f>
        <v>NAC1426</v>
      </c>
      <c r="C2153" s="11" t="s">
        <v>531</v>
      </c>
      <c r="D2153" s="8">
        <v>0</v>
      </c>
      <c r="E2153" s="8">
        <v>0</v>
      </c>
      <c r="F2153" s="8">
        <v>0.66</v>
      </c>
      <c r="G2153" s="8">
        <v>0</v>
      </c>
      <c r="H2153" s="8">
        <v>0</v>
      </c>
      <c r="I2153" s="8">
        <v>0</v>
      </c>
      <c r="J2153" s="8">
        <v>0.66</v>
      </c>
    </row>
    <row r="2154" spans="1:10" ht="15.75" x14ac:dyDescent="0.25">
      <c r="A2154" s="21">
        <v>45504</v>
      </c>
      <c r="B2154" t="str">
        <f>IFERROR(IF(VLOOKUP(C2154,Hoja1!$B$1:$C$6191,2,0)="",_xlfn.XLOOKUP(C2154,Hoja1!$B$2:$B$6191,Hoja1!$A$2:$A$6191),VLOOKUP(C2154,Hoja1!$B$1:$C$6191,2,0)),"No esta en Infor")</f>
        <v>NAC1429</v>
      </c>
      <c r="C2154" s="11" t="s">
        <v>347</v>
      </c>
      <c r="D2154" s="8">
        <v>0</v>
      </c>
      <c r="E2154" s="8">
        <v>0</v>
      </c>
      <c r="F2154" s="8">
        <v>43.6</v>
      </c>
      <c r="G2154" s="8">
        <v>0</v>
      </c>
      <c r="H2154" s="8">
        <v>0</v>
      </c>
      <c r="I2154" s="8">
        <v>0</v>
      </c>
      <c r="J2154" s="8">
        <v>43.6</v>
      </c>
    </row>
    <row r="2155" spans="1:10" ht="15.75" x14ac:dyDescent="0.25">
      <c r="A2155" s="21">
        <v>45504</v>
      </c>
      <c r="B2155" t="str">
        <f>IFERROR(IF(VLOOKUP(C2155,Hoja1!$B$1:$C$6191,2,0)="",_xlfn.XLOOKUP(C2155,Hoja1!$B$2:$B$6191,Hoja1!$A$2:$A$6191),VLOOKUP(C2155,Hoja1!$B$1:$C$6191,2,0)),"No esta en Infor")</f>
        <v>NAC1448</v>
      </c>
      <c r="C2155" s="11" t="s">
        <v>9</v>
      </c>
      <c r="D2155" s="8">
        <v>11913.51</v>
      </c>
      <c r="E2155" s="8">
        <v>5412.57</v>
      </c>
      <c r="F2155" s="8">
        <v>2615.8000000000002</v>
      </c>
      <c r="G2155" s="8">
        <v>2310</v>
      </c>
      <c r="H2155" s="8">
        <v>0</v>
      </c>
      <c r="I2155" s="8">
        <v>0</v>
      </c>
      <c r="J2155" s="8">
        <v>22251.88</v>
      </c>
    </row>
    <row r="2156" spans="1:10" ht="15.75" x14ac:dyDescent="0.25">
      <c r="A2156" s="21">
        <v>45504</v>
      </c>
      <c r="B2156" t="str">
        <f>IFERROR(IF(VLOOKUP(C2156,Hoja1!$B$1:$C$6191,2,0)="",_xlfn.XLOOKUP(C2156,Hoja1!$B$2:$B$6191,Hoja1!$A$2:$A$6191),VLOOKUP(C2156,Hoja1!$B$1:$C$6191,2,0)),"No esta en Infor")</f>
        <v>CAN0073</v>
      </c>
      <c r="C2156" s="11" t="s">
        <v>349</v>
      </c>
      <c r="D2156" s="8">
        <v>0</v>
      </c>
      <c r="E2156" s="8">
        <v>755.66</v>
      </c>
      <c r="F2156" s="8">
        <v>598.61</v>
      </c>
      <c r="G2156" s="8">
        <v>0</v>
      </c>
      <c r="H2156" s="8">
        <v>0</v>
      </c>
      <c r="I2156" s="8">
        <v>0</v>
      </c>
      <c r="J2156" s="8">
        <v>1354.27</v>
      </c>
    </row>
    <row r="2157" spans="1:10" ht="15.75" x14ac:dyDescent="0.25">
      <c r="A2157" s="21">
        <v>45504</v>
      </c>
      <c r="B2157" t="str">
        <f>IFERROR(IF(VLOOKUP(C2157,Hoja1!$B$1:$C$6191,2,0)="",_xlfn.XLOOKUP(C2157,Hoja1!$B$2:$B$6191,Hoja1!$A$2:$A$6191),VLOOKUP(C2157,Hoja1!$B$1:$C$6191,2,0)),"No esta en Infor")</f>
        <v>NAC1450</v>
      </c>
      <c r="C2157" s="11" t="s">
        <v>54</v>
      </c>
      <c r="D2157" s="8">
        <v>255.31</v>
      </c>
      <c r="E2157" s="8">
        <v>492.75</v>
      </c>
      <c r="F2157" s="8">
        <v>1712.77</v>
      </c>
      <c r="G2157" s="8">
        <v>1058</v>
      </c>
      <c r="H2157" s="8">
        <v>784.47</v>
      </c>
      <c r="I2157" s="8">
        <v>1099.1400000000001</v>
      </c>
      <c r="J2157" s="8">
        <v>5402.44</v>
      </c>
    </row>
    <row r="2158" spans="1:10" ht="15.75" x14ac:dyDescent="0.25">
      <c r="A2158" s="21">
        <v>45504</v>
      </c>
      <c r="B2158" t="str">
        <f>IFERROR(IF(VLOOKUP(C2158,Hoja1!$B$1:$C$6191,2,0)="",_xlfn.XLOOKUP(C2158,Hoja1!$B$2:$B$6191,Hoja1!$A$2:$A$6191),VLOOKUP(C2158,Hoja1!$B$1:$C$6191,2,0)),"No esta en Infor")</f>
        <v>NAC1488</v>
      </c>
      <c r="C2158" s="11" t="s">
        <v>359</v>
      </c>
      <c r="D2158" s="8">
        <v>0</v>
      </c>
      <c r="E2158" s="8">
        <v>0</v>
      </c>
      <c r="F2158" s="8">
        <v>0</v>
      </c>
      <c r="G2158" s="8">
        <v>260</v>
      </c>
      <c r="H2158" s="8">
        <v>0</v>
      </c>
      <c r="I2158" s="8">
        <v>0</v>
      </c>
      <c r="J2158" s="8">
        <v>260</v>
      </c>
    </row>
    <row r="2159" spans="1:10" ht="15.75" x14ac:dyDescent="0.25">
      <c r="A2159" s="21">
        <v>45504</v>
      </c>
      <c r="B2159" t="str">
        <f>IFERROR(IF(VLOOKUP(C2159,Hoja1!$B$1:$C$6191,2,0)="",_xlfn.XLOOKUP(C2159,Hoja1!$B$2:$B$6191,Hoja1!$A$2:$A$6191),VLOOKUP(C2159,Hoja1!$B$1:$C$6191,2,0)),"No esta en Infor")</f>
        <v>NAC1500</v>
      </c>
      <c r="C2159" s="11" t="s">
        <v>432</v>
      </c>
      <c r="D2159" s="8">
        <v>0</v>
      </c>
      <c r="E2159" s="8">
        <v>257.07</v>
      </c>
      <c r="F2159" s="8">
        <v>107.8</v>
      </c>
      <c r="G2159" s="8">
        <v>0</v>
      </c>
      <c r="H2159" s="8">
        <v>0</v>
      </c>
      <c r="I2159" s="8">
        <v>0</v>
      </c>
      <c r="J2159" s="8">
        <v>364.87</v>
      </c>
    </row>
    <row r="2160" spans="1:10" ht="15.75" x14ac:dyDescent="0.25">
      <c r="A2160" s="21">
        <v>45504</v>
      </c>
      <c r="B2160" t="str">
        <f>IFERROR(IF(VLOOKUP(C2160,Hoja1!$B$1:$C$6191,2,0)="",_xlfn.XLOOKUP(C2160,Hoja1!$B$2:$B$6191,Hoja1!$A$2:$A$6191),VLOOKUP(C2160,Hoja1!$B$1:$C$6191,2,0)),"No esta en Infor")</f>
        <v>NAC1506</v>
      </c>
      <c r="C2160" s="11" t="s">
        <v>364</v>
      </c>
      <c r="D2160" s="8">
        <v>701</v>
      </c>
      <c r="E2160" s="8">
        <v>0</v>
      </c>
      <c r="F2160" s="8">
        <v>0</v>
      </c>
      <c r="G2160" s="8">
        <v>838.5</v>
      </c>
      <c r="H2160" s="8">
        <v>0</v>
      </c>
      <c r="I2160" s="8">
        <v>0</v>
      </c>
      <c r="J2160" s="8">
        <v>1539.5</v>
      </c>
    </row>
    <row r="2161" spans="1:10" ht="15.75" x14ac:dyDescent="0.25">
      <c r="A2161" s="21">
        <v>45504</v>
      </c>
      <c r="B2161" t="str">
        <f>IFERROR(IF(VLOOKUP(C2161,Hoja1!$B$1:$C$6191,2,0)="",_xlfn.XLOOKUP(C2161,Hoja1!$B$2:$B$6191,Hoja1!$A$2:$A$6191),VLOOKUP(C2161,Hoja1!$B$1:$C$6191,2,0)),"No esta en Infor")</f>
        <v>NAC1512</v>
      </c>
      <c r="C2161" s="11" t="s">
        <v>56</v>
      </c>
      <c r="D2161" s="8">
        <v>0</v>
      </c>
      <c r="E2161" s="8">
        <v>0</v>
      </c>
      <c r="F2161" s="8">
        <v>0</v>
      </c>
      <c r="G2161" s="8">
        <v>4470</v>
      </c>
      <c r="H2161" s="8">
        <v>0</v>
      </c>
      <c r="I2161" s="8">
        <v>10020</v>
      </c>
      <c r="J2161" s="8">
        <v>14490</v>
      </c>
    </row>
    <row r="2162" spans="1:10" ht="15.75" x14ac:dyDescent="0.25">
      <c r="A2162" s="21">
        <v>45504</v>
      </c>
      <c r="B2162" t="str">
        <f>IFERROR(IF(VLOOKUP(C2162,Hoja1!$B$1:$C$6191,2,0)="",_xlfn.XLOOKUP(C2162,Hoja1!$B$2:$B$6191,Hoja1!$A$2:$A$6191),VLOOKUP(C2162,Hoja1!$B$1:$C$6191,2,0)),"No esta en Infor")</f>
        <v>NAC1522</v>
      </c>
      <c r="C2162" s="11" t="s">
        <v>366</v>
      </c>
      <c r="D2162" s="8">
        <v>0</v>
      </c>
      <c r="E2162" s="8">
        <v>0</v>
      </c>
      <c r="F2162" s="8">
        <v>0</v>
      </c>
      <c r="G2162" s="8">
        <v>421.58</v>
      </c>
      <c r="H2162" s="8">
        <v>0</v>
      </c>
      <c r="I2162" s="8">
        <v>0</v>
      </c>
      <c r="J2162" s="8">
        <v>421.58</v>
      </c>
    </row>
    <row r="2163" spans="1:10" ht="15.75" x14ac:dyDescent="0.25">
      <c r="A2163" s="21">
        <v>45504</v>
      </c>
      <c r="B2163" t="str">
        <f>IFERROR(IF(VLOOKUP(C2163,Hoja1!$B$1:$C$6191,2,0)="",_xlfn.XLOOKUP(C2163,Hoja1!$B$2:$B$6191,Hoja1!$A$2:$A$6191),VLOOKUP(C2163,Hoja1!$B$1:$C$6191,2,0)),"No esta en Infor")</f>
        <v>NAC1529</v>
      </c>
      <c r="C2163" s="11" t="s">
        <v>368</v>
      </c>
      <c r="D2163" s="8">
        <v>0</v>
      </c>
      <c r="E2163" s="8">
        <v>0</v>
      </c>
      <c r="F2163" s="8">
        <v>0</v>
      </c>
      <c r="G2163" s="8">
        <v>111.75</v>
      </c>
      <c r="H2163" s="8">
        <v>0</v>
      </c>
      <c r="I2163" s="8">
        <v>0</v>
      </c>
      <c r="J2163" s="8">
        <v>111.75</v>
      </c>
    </row>
    <row r="2164" spans="1:10" ht="15.75" x14ac:dyDescent="0.25">
      <c r="A2164" s="21">
        <v>45504</v>
      </c>
      <c r="B2164" t="str">
        <f>IFERROR(IF(VLOOKUP(C2164,Hoja1!$B$1:$C$6191,2,0)="",_xlfn.XLOOKUP(C2164,Hoja1!$B$2:$B$6191,Hoja1!$A$2:$A$6191),VLOOKUP(C2164,Hoja1!$B$1:$C$6191,2,0)),"No esta en Infor")</f>
        <v>NAC1533</v>
      </c>
      <c r="C2164" s="11" t="s">
        <v>483</v>
      </c>
      <c r="D2164" s="8">
        <v>1333.84</v>
      </c>
      <c r="E2164" s="8">
        <v>0</v>
      </c>
      <c r="F2164" s="8">
        <v>144.59</v>
      </c>
      <c r="G2164" s="8">
        <v>0</v>
      </c>
      <c r="H2164" s="8">
        <v>0</v>
      </c>
      <c r="I2164" s="8">
        <v>0</v>
      </c>
      <c r="J2164" s="8">
        <v>1478.43</v>
      </c>
    </row>
    <row r="2165" spans="1:10" ht="15.75" x14ac:dyDescent="0.25">
      <c r="A2165" s="21">
        <v>45504</v>
      </c>
      <c r="B2165" t="str">
        <f>IFERROR(IF(VLOOKUP(C2165,Hoja1!$B$1:$C$6191,2,0)="",_xlfn.XLOOKUP(C2165,Hoja1!$B$2:$B$6191,Hoja1!$A$2:$A$6191),VLOOKUP(C2165,Hoja1!$B$1:$C$6191,2,0)),"No esta en Infor")</f>
        <v>NAC0456</v>
      </c>
      <c r="C2165" s="19" t="s">
        <v>10</v>
      </c>
      <c r="D2165" s="9">
        <v>326.98</v>
      </c>
      <c r="E2165" s="9">
        <v>5.42</v>
      </c>
      <c r="F2165" s="9">
        <v>-42.12</v>
      </c>
      <c r="G2165" s="9">
        <v>0</v>
      </c>
      <c r="H2165" s="9">
        <v>0</v>
      </c>
      <c r="I2165" s="9">
        <v>0</v>
      </c>
      <c r="J2165" s="9">
        <v>290.27999999999997</v>
      </c>
    </row>
    <row r="2166" spans="1:10" ht="15.75" x14ac:dyDescent="0.25">
      <c r="A2166" s="21">
        <v>45504</v>
      </c>
      <c r="B2166" t="str">
        <f>IFERROR(IF(VLOOKUP(C2166,Hoja1!$B$1:$C$6191,2,0)="",_xlfn.XLOOKUP(C2166,Hoja1!$B$2:$B$6191,Hoja1!$A$2:$A$6191),VLOOKUP(C2166,Hoja1!$B$1:$C$6191,2,0)),"No esta en Infor")</f>
        <v>NAC0459</v>
      </c>
      <c r="C2166" s="19" t="s">
        <v>435</v>
      </c>
      <c r="D2166" s="9">
        <v>167.52</v>
      </c>
      <c r="E2166" s="9">
        <v>0</v>
      </c>
      <c r="F2166" s="9">
        <v>0</v>
      </c>
      <c r="G2166" s="9">
        <v>0</v>
      </c>
      <c r="H2166" s="9">
        <v>0</v>
      </c>
      <c r="I2166" s="9">
        <v>0</v>
      </c>
      <c r="J2166" s="9">
        <v>167.52</v>
      </c>
    </row>
    <row r="2167" spans="1:10" ht="15.75" x14ac:dyDescent="0.25">
      <c r="A2167" s="21">
        <v>45504</v>
      </c>
      <c r="B2167" t="str">
        <f>IFERROR(IF(VLOOKUP(C2167,Hoja1!$B$1:$C$6191,2,0)="",_xlfn.XLOOKUP(C2167,Hoja1!$B$2:$B$6191,Hoja1!$A$2:$A$6191),VLOOKUP(C2167,Hoja1!$B$1:$C$6191,2,0)),"No esta en Infor")</f>
        <v>NAC0475</v>
      </c>
      <c r="C2167" s="19" t="s">
        <v>63</v>
      </c>
      <c r="D2167" s="9">
        <v>890.96</v>
      </c>
      <c r="E2167" s="9">
        <v>0</v>
      </c>
      <c r="F2167" s="9">
        <v>0</v>
      </c>
      <c r="G2167" s="9">
        <v>0</v>
      </c>
      <c r="H2167" s="9">
        <v>0</v>
      </c>
      <c r="I2167" s="9">
        <v>0</v>
      </c>
      <c r="J2167" s="9">
        <v>890.96</v>
      </c>
    </row>
    <row r="2168" spans="1:10" ht="15.75" x14ac:dyDescent="0.25">
      <c r="A2168" s="21">
        <v>45504</v>
      </c>
      <c r="B2168" t="str">
        <f>IFERROR(IF(VLOOKUP(C2168,Hoja1!$B$1:$C$6191,2,0)="",_xlfn.XLOOKUP(C2168,Hoja1!$B$2:$B$6191,Hoja1!$A$2:$A$6191),VLOOKUP(C2168,Hoja1!$B$1:$C$6191,2,0)),"No esta en Infor")</f>
        <v>CAN0001</v>
      </c>
      <c r="C2168" s="19" t="s">
        <v>64</v>
      </c>
      <c r="D2168" s="9">
        <v>13348.69</v>
      </c>
      <c r="E2168" s="9">
        <v>33886.29</v>
      </c>
      <c r="F2168" s="9">
        <v>0</v>
      </c>
      <c r="G2168" s="9">
        <v>0</v>
      </c>
      <c r="H2168" s="9">
        <v>0</v>
      </c>
      <c r="I2168" s="9">
        <v>0</v>
      </c>
      <c r="J2168" s="9">
        <v>47234.98</v>
      </c>
    </row>
    <row r="2169" spans="1:10" ht="15.75" x14ac:dyDescent="0.25">
      <c r="A2169" s="21">
        <v>45504</v>
      </c>
      <c r="B2169" t="str">
        <f>IFERROR(IF(VLOOKUP(C2169,Hoja1!$B$1:$C$6191,2,0)="",_xlfn.XLOOKUP(C2169,Hoja1!$B$2:$B$6191,Hoja1!$A$2:$A$6191),VLOOKUP(C2169,Hoja1!$B$1:$C$6191,2,0)),"No esta en Infor")</f>
        <v>NAC0513</v>
      </c>
      <c r="C2169" s="19" t="s">
        <v>377</v>
      </c>
      <c r="D2169" s="9">
        <v>0</v>
      </c>
      <c r="E2169" s="9">
        <v>0</v>
      </c>
      <c r="F2169" s="9">
        <v>-220.24</v>
      </c>
      <c r="G2169" s="9">
        <v>0</v>
      </c>
      <c r="H2169" s="9">
        <v>0</v>
      </c>
      <c r="I2169" s="9">
        <v>0</v>
      </c>
      <c r="J2169" s="9">
        <v>-220.24</v>
      </c>
    </row>
    <row r="2170" spans="1:10" ht="15.75" x14ac:dyDescent="0.25">
      <c r="A2170" s="21">
        <v>45504</v>
      </c>
      <c r="B2170" t="str">
        <f>IFERROR(IF(VLOOKUP(C2170,Hoja1!$B$1:$C$6191,2,0)="",_xlfn.XLOOKUP(C2170,Hoja1!$B$2:$B$6191,Hoja1!$A$2:$A$6191),VLOOKUP(C2170,Hoja1!$B$1:$C$6191,2,0)),"No esta en Infor")</f>
        <v>NAC0520</v>
      </c>
      <c r="C2170" s="19" t="s">
        <v>68</v>
      </c>
      <c r="D2170" s="9">
        <v>3024.7</v>
      </c>
      <c r="E2170" s="9">
        <v>0</v>
      </c>
      <c r="F2170" s="9">
        <v>-13.6</v>
      </c>
      <c r="G2170" s="9">
        <v>-458.32</v>
      </c>
      <c r="H2170" s="9">
        <v>0</v>
      </c>
      <c r="I2170" s="9">
        <v>-0.01</v>
      </c>
      <c r="J2170" s="9">
        <v>2552.77</v>
      </c>
    </row>
    <row r="2171" spans="1:10" ht="15.75" x14ac:dyDescent="0.25">
      <c r="A2171" s="21">
        <v>45504</v>
      </c>
      <c r="B2171" t="str">
        <f>IFERROR(IF(VLOOKUP(C2171,Hoja1!$B$1:$C$6191,2,0)="",_xlfn.XLOOKUP(C2171,Hoja1!$B$2:$B$6191,Hoja1!$A$2:$A$6191),VLOOKUP(C2171,Hoja1!$B$1:$C$6191,2,0)),"No esta en Infor")</f>
        <v>NAC1617</v>
      </c>
      <c r="C2171" s="19" t="s">
        <v>70</v>
      </c>
      <c r="D2171" s="9">
        <v>0</v>
      </c>
      <c r="E2171" s="9">
        <v>0</v>
      </c>
      <c r="F2171" s="9">
        <v>0</v>
      </c>
      <c r="G2171" s="9">
        <v>0</v>
      </c>
      <c r="H2171" s="9">
        <v>0</v>
      </c>
      <c r="I2171" s="9">
        <v>8803.11</v>
      </c>
      <c r="J2171" s="9">
        <v>8803.11</v>
      </c>
    </row>
    <row r="2172" spans="1:10" ht="15.75" x14ac:dyDescent="0.25">
      <c r="A2172" s="21">
        <v>45504</v>
      </c>
      <c r="B2172" t="str">
        <f>IFERROR(IF(VLOOKUP(C2172,Hoja1!$B$1:$C$6191,2,0)="",_xlfn.XLOOKUP(C2172,Hoja1!$B$2:$B$6191,Hoja1!$A$2:$A$6191),VLOOKUP(C2172,Hoja1!$B$1:$C$6191,2,0)),"No esta en Infor")</f>
        <v>NAC0550</v>
      </c>
      <c r="C2172" s="19" t="s">
        <v>84</v>
      </c>
      <c r="D2172" s="9">
        <v>67961.25</v>
      </c>
      <c r="E2172" s="9">
        <v>0</v>
      </c>
      <c r="F2172" s="9">
        <v>0</v>
      </c>
      <c r="G2172" s="9">
        <v>0</v>
      </c>
      <c r="H2172" s="9">
        <v>0</v>
      </c>
      <c r="I2172" s="9">
        <v>0</v>
      </c>
      <c r="J2172" s="9">
        <v>67961.25</v>
      </c>
    </row>
    <row r="2173" spans="1:10" ht="15.75" x14ac:dyDescent="0.25">
      <c r="A2173" s="21">
        <v>45504</v>
      </c>
      <c r="B2173" t="str">
        <f>IFERROR(IF(VLOOKUP(C2173,Hoja1!$B$1:$C$6191,2,0)="",_xlfn.XLOOKUP(C2173,Hoja1!$B$2:$B$6191,Hoja1!$A$2:$A$6191),VLOOKUP(C2173,Hoja1!$B$1:$C$6191,2,0)),"No esta en Infor")</f>
        <v>NAC0551</v>
      </c>
      <c r="C2173" s="19" t="s">
        <v>85</v>
      </c>
      <c r="D2173" s="9">
        <v>0</v>
      </c>
      <c r="E2173" s="9">
        <v>2262</v>
      </c>
      <c r="F2173" s="9">
        <v>0</v>
      </c>
      <c r="G2173" s="9">
        <v>0</v>
      </c>
      <c r="H2173" s="9">
        <v>0</v>
      </c>
      <c r="I2173" s="9">
        <v>0</v>
      </c>
      <c r="J2173" s="9">
        <v>2262</v>
      </c>
    </row>
    <row r="2174" spans="1:10" ht="15.75" x14ac:dyDescent="0.25">
      <c r="A2174" s="21">
        <v>45504</v>
      </c>
      <c r="B2174" t="str">
        <f>IFERROR(IF(VLOOKUP(C2174,Hoja1!$B$1:$C$6191,2,0)="",_xlfn.XLOOKUP(C2174,Hoja1!$B$2:$B$6191,Hoja1!$A$2:$A$6191),VLOOKUP(C2174,Hoja1!$B$1:$C$6191,2,0)),"No esta en Infor")</f>
        <v>NAC0558</v>
      </c>
      <c r="C2174" s="19" t="s">
        <v>86</v>
      </c>
      <c r="D2174" s="9">
        <v>4712</v>
      </c>
      <c r="E2174" s="9">
        <v>2110</v>
      </c>
      <c r="F2174" s="9">
        <v>0</v>
      </c>
      <c r="G2174" s="9">
        <v>0</v>
      </c>
      <c r="H2174" s="9">
        <v>0</v>
      </c>
      <c r="I2174" s="9">
        <v>0</v>
      </c>
      <c r="J2174" s="9">
        <v>6822</v>
      </c>
    </row>
    <row r="2175" spans="1:10" ht="15.75" x14ac:dyDescent="0.25">
      <c r="A2175" s="21">
        <v>45504</v>
      </c>
      <c r="B2175" t="str">
        <f>IFERROR(IF(VLOOKUP(C2175,Hoja1!$B$1:$C$6191,2,0)="",_xlfn.XLOOKUP(C2175,Hoja1!$B$2:$B$6191,Hoja1!$A$2:$A$6191),VLOOKUP(C2175,Hoja1!$B$1:$C$6191,2,0)),"No esta en Infor")</f>
        <v>NAC0569</v>
      </c>
      <c r="C2175" s="19" t="s">
        <v>382</v>
      </c>
      <c r="D2175" s="9">
        <v>0</v>
      </c>
      <c r="E2175" s="9">
        <v>-3500</v>
      </c>
      <c r="F2175" s="9">
        <v>0</v>
      </c>
      <c r="G2175" s="9">
        <v>0</v>
      </c>
      <c r="H2175" s="9">
        <v>0</v>
      </c>
      <c r="I2175" s="9">
        <v>0</v>
      </c>
      <c r="J2175" s="9">
        <v>-3500</v>
      </c>
    </row>
    <row r="2176" spans="1:10" ht="15.75" x14ac:dyDescent="0.25">
      <c r="A2176" s="21">
        <v>45504</v>
      </c>
      <c r="B2176" t="str">
        <f>IFERROR(IF(VLOOKUP(C2176,Hoja1!$B$1:$C$6191,2,0)="",_xlfn.XLOOKUP(C2176,Hoja1!$B$2:$B$6191,Hoja1!$A$2:$A$6191),VLOOKUP(C2176,Hoja1!$B$1:$C$6191,2,0)),"No esta en Infor")</f>
        <v>NAC0592</v>
      </c>
      <c r="C2176" s="19" t="s">
        <v>93</v>
      </c>
      <c r="D2176" s="9">
        <v>0</v>
      </c>
      <c r="E2176" s="9">
        <v>0</v>
      </c>
      <c r="F2176" s="9">
        <v>0</v>
      </c>
      <c r="G2176" s="9">
        <v>-2547.65</v>
      </c>
      <c r="H2176" s="9">
        <v>0</v>
      </c>
      <c r="I2176" s="9">
        <v>0</v>
      </c>
      <c r="J2176" s="9">
        <v>-2547.65</v>
      </c>
    </row>
    <row r="2177" spans="1:10" ht="15.75" x14ac:dyDescent="0.25">
      <c r="A2177" s="21">
        <v>45504</v>
      </c>
      <c r="B2177" t="str">
        <f>IFERROR(IF(VLOOKUP(C2177,Hoja1!$B$1:$C$6191,2,0)="",_xlfn.XLOOKUP(C2177,Hoja1!$B$2:$B$6191,Hoja1!$A$2:$A$6191),VLOOKUP(C2177,Hoja1!$B$1:$C$6191,2,0)),"No esta en Infor")</f>
        <v>NAC0594</v>
      </c>
      <c r="C2177" s="19" t="s">
        <v>94</v>
      </c>
      <c r="D2177" s="9">
        <v>29688.04</v>
      </c>
      <c r="E2177" s="9">
        <v>0</v>
      </c>
      <c r="F2177" s="9">
        <v>0</v>
      </c>
      <c r="G2177" s="9">
        <v>0</v>
      </c>
      <c r="H2177" s="9">
        <v>0</v>
      </c>
      <c r="I2177" s="9">
        <v>0</v>
      </c>
      <c r="J2177" s="9">
        <v>29688.04</v>
      </c>
    </row>
    <row r="2178" spans="1:10" ht="15.75" x14ac:dyDescent="0.25">
      <c r="A2178" s="21">
        <v>45504</v>
      </c>
      <c r="B2178" t="str">
        <f>IFERROR(IF(VLOOKUP(C2178,Hoja1!$B$1:$C$6191,2,0)="",_xlfn.XLOOKUP(C2178,Hoja1!$B$2:$B$6191,Hoja1!$A$2:$A$6191),VLOOKUP(C2178,Hoja1!$B$1:$C$6191,2,0)),"No esta en Infor")</f>
        <v>NAC0607</v>
      </c>
      <c r="C2178" s="19" t="s">
        <v>99</v>
      </c>
      <c r="D2178" s="9">
        <v>3430</v>
      </c>
      <c r="E2178" s="9">
        <v>0</v>
      </c>
      <c r="F2178" s="9">
        <v>0</v>
      </c>
      <c r="G2178" s="9">
        <v>0</v>
      </c>
      <c r="H2178" s="9">
        <v>0</v>
      </c>
      <c r="I2178" s="9">
        <v>0</v>
      </c>
      <c r="J2178" s="9">
        <v>3430</v>
      </c>
    </row>
    <row r="2179" spans="1:10" ht="15.75" x14ac:dyDescent="0.25">
      <c r="A2179" s="21">
        <v>45504</v>
      </c>
      <c r="B2179" t="str">
        <f>IFERROR(IF(VLOOKUP(C2179,Hoja1!$B$1:$C$6191,2,0)="",_xlfn.XLOOKUP(C2179,Hoja1!$B$2:$B$6191,Hoja1!$A$2:$A$6191),VLOOKUP(C2179,Hoja1!$B$1:$C$6191,2,0)),"No esta en Infor")</f>
        <v>NAC0610</v>
      </c>
      <c r="C2179" s="19" t="s">
        <v>16</v>
      </c>
      <c r="D2179" s="9">
        <v>83611.33</v>
      </c>
      <c r="E2179" s="9">
        <v>6000</v>
      </c>
      <c r="F2179" s="9">
        <v>0</v>
      </c>
      <c r="G2179" s="9">
        <v>0</v>
      </c>
      <c r="H2179" s="9">
        <v>0</v>
      </c>
      <c r="I2179" s="9">
        <v>0</v>
      </c>
      <c r="J2179" s="9">
        <v>89611.33</v>
      </c>
    </row>
    <row r="2180" spans="1:10" ht="15.75" x14ac:dyDescent="0.25">
      <c r="A2180" s="21">
        <v>45504</v>
      </c>
      <c r="B2180" t="str">
        <f>IFERROR(IF(VLOOKUP(C2180,Hoja1!$B$1:$C$6191,2,0)="",_xlfn.XLOOKUP(C2180,Hoja1!$B$2:$B$6191,Hoja1!$A$2:$A$6191),VLOOKUP(C2180,Hoja1!$B$1:$C$6191,2,0)),"No esta en Infor")</f>
        <v>NAC0612</v>
      </c>
      <c r="C2180" s="19" t="s">
        <v>100</v>
      </c>
      <c r="D2180" s="9">
        <v>14542.82</v>
      </c>
      <c r="E2180" s="9">
        <v>0</v>
      </c>
      <c r="F2180" s="9">
        <v>0</v>
      </c>
      <c r="G2180" s="9">
        <v>0</v>
      </c>
      <c r="H2180" s="9">
        <v>0</v>
      </c>
      <c r="I2180" s="9">
        <v>0</v>
      </c>
      <c r="J2180" s="9">
        <v>14542.82</v>
      </c>
    </row>
    <row r="2181" spans="1:10" ht="15.75" x14ac:dyDescent="0.25">
      <c r="A2181" s="21">
        <v>45504</v>
      </c>
      <c r="B2181" t="str">
        <f>IFERROR(IF(VLOOKUP(C2181,Hoja1!$B$1:$C$6191,2,0)="",_xlfn.XLOOKUP(C2181,Hoja1!$B$2:$B$6191,Hoja1!$A$2:$A$6191),VLOOKUP(C2181,Hoja1!$B$1:$C$6191,2,0)),"No esta en Infor")</f>
        <v>NAC0614</v>
      </c>
      <c r="C2181" s="19" t="s">
        <v>102</v>
      </c>
      <c r="D2181" s="9">
        <v>0</v>
      </c>
      <c r="E2181" s="9">
        <v>150</v>
      </c>
      <c r="F2181" s="9">
        <v>0</v>
      </c>
      <c r="G2181" s="9">
        <v>0</v>
      </c>
      <c r="H2181" s="9">
        <v>0</v>
      </c>
      <c r="I2181" s="9">
        <v>0</v>
      </c>
      <c r="J2181" s="9">
        <v>150</v>
      </c>
    </row>
    <row r="2182" spans="1:10" ht="15.75" x14ac:dyDescent="0.25">
      <c r="A2182" s="21">
        <v>45504</v>
      </c>
      <c r="B2182" t="str">
        <f>IFERROR(IF(VLOOKUP(C2182,Hoja1!$B$1:$C$6191,2,0)="",_xlfn.XLOOKUP(C2182,Hoja1!$B$2:$B$6191,Hoja1!$A$2:$A$6191),VLOOKUP(C2182,Hoja1!$B$1:$C$6191,2,0)),"No esta en Infor")</f>
        <v>NAC0633</v>
      </c>
      <c r="C2182" s="19" t="s">
        <v>595</v>
      </c>
      <c r="D2182" s="9">
        <v>11571</v>
      </c>
      <c r="E2182" s="9">
        <v>0</v>
      </c>
      <c r="F2182" s="9">
        <v>0</v>
      </c>
      <c r="G2182" s="9">
        <v>0</v>
      </c>
      <c r="H2182" s="9">
        <v>0</v>
      </c>
      <c r="I2182" s="9">
        <v>0</v>
      </c>
      <c r="J2182" s="9">
        <v>11571</v>
      </c>
    </row>
    <row r="2183" spans="1:10" ht="15.75" x14ac:dyDescent="0.25">
      <c r="A2183" s="21">
        <v>45504</v>
      </c>
      <c r="B2183" t="str">
        <f>IFERROR(IF(VLOOKUP(C2183,Hoja1!$B$1:$C$6191,2,0)="",_xlfn.XLOOKUP(C2183,Hoja1!$B$2:$B$6191,Hoja1!$A$2:$A$6191),VLOOKUP(C2183,Hoja1!$B$1:$C$6191,2,0)),"No esta en Infor")</f>
        <v>CAN0008</v>
      </c>
      <c r="C2183" s="19" t="s">
        <v>115</v>
      </c>
      <c r="D2183" s="9">
        <v>0</v>
      </c>
      <c r="E2183" s="9">
        <v>8950.57</v>
      </c>
      <c r="F2183" s="9">
        <v>0</v>
      </c>
      <c r="G2183" s="9">
        <v>0</v>
      </c>
      <c r="H2183" s="9">
        <v>0</v>
      </c>
      <c r="I2183" s="9">
        <v>0</v>
      </c>
      <c r="J2183" s="9">
        <v>8950.57</v>
      </c>
    </row>
    <row r="2184" spans="1:10" ht="15.75" x14ac:dyDescent="0.25">
      <c r="A2184" s="21">
        <v>45504</v>
      </c>
      <c r="B2184" t="str">
        <f>IFERROR(IF(VLOOKUP(C2184,Hoja1!$B$1:$C$6191,2,0)="",_xlfn.XLOOKUP(C2184,Hoja1!$B$2:$B$6191,Hoja1!$A$2:$A$6191),VLOOKUP(C2184,Hoja1!$B$1:$C$6191,2,0)),"No esta en Infor")</f>
        <v>NAC0666</v>
      </c>
      <c r="C2184" s="19" t="s">
        <v>118</v>
      </c>
      <c r="D2184" s="9">
        <v>13967.2</v>
      </c>
      <c r="E2184" s="9">
        <v>7919</v>
      </c>
      <c r="F2184" s="9">
        <v>0</v>
      </c>
      <c r="G2184" s="9">
        <v>0</v>
      </c>
      <c r="H2184" s="9">
        <v>0</v>
      </c>
      <c r="I2184" s="9">
        <v>0</v>
      </c>
      <c r="J2184" s="9">
        <v>21886.2</v>
      </c>
    </row>
    <row r="2185" spans="1:10" ht="15.75" x14ac:dyDescent="0.25">
      <c r="A2185" s="21">
        <v>45504</v>
      </c>
      <c r="B2185" t="str">
        <f>IFERROR(IF(VLOOKUP(C2185,Hoja1!$B$1:$C$6191,2,0)="",_xlfn.XLOOKUP(C2185,Hoja1!$B$2:$B$6191,Hoja1!$A$2:$A$6191),VLOOKUP(C2185,Hoja1!$B$1:$C$6191,2,0)),"No esta en Infor")</f>
        <v>NAC0672</v>
      </c>
      <c r="C2185" s="19" t="s">
        <v>122</v>
      </c>
      <c r="D2185" s="9">
        <v>0</v>
      </c>
      <c r="E2185" s="9">
        <v>327.8</v>
      </c>
      <c r="F2185" s="9">
        <v>0</v>
      </c>
      <c r="G2185" s="9">
        <v>0</v>
      </c>
      <c r="H2185" s="9">
        <v>0</v>
      </c>
      <c r="I2185" s="9">
        <v>0</v>
      </c>
      <c r="J2185" s="9">
        <v>327.8</v>
      </c>
    </row>
    <row r="2186" spans="1:10" ht="15.75" x14ac:dyDescent="0.25">
      <c r="A2186" s="21">
        <v>45504</v>
      </c>
      <c r="B2186" t="str">
        <f>IFERROR(IF(VLOOKUP(C2186,Hoja1!$B$1:$C$6191,2,0)="",_xlfn.XLOOKUP(C2186,Hoja1!$B$2:$B$6191,Hoja1!$A$2:$A$6191),VLOOKUP(C2186,Hoja1!$B$1:$C$6191,2,0)),"No esta en Infor")</f>
        <v>NAC0675</v>
      </c>
      <c r="C2186" s="19" t="s">
        <v>124</v>
      </c>
      <c r="D2186" s="9">
        <v>0</v>
      </c>
      <c r="E2186" s="9">
        <v>0</v>
      </c>
      <c r="F2186" s="9">
        <v>0</v>
      </c>
      <c r="G2186" s="9">
        <v>-787.89</v>
      </c>
      <c r="H2186" s="9">
        <v>0</v>
      </c>
      <c r="I2186" s="9">
        <v>0</v>
      </c>
      <c r="J2186" s="9">
        <v>-787.89</v>
      </c>
    </row>
    <row r="2187" spans="1:10" ht="15.75" x14ac:dyDescent="0.25">
      <c r="A2187" s="21">
        <v>45504</v>
      </c>
      <c r="B2187" t="str">
        <f>IFERROR(IF(VLOOKUP(C2187,Hoja1!$B$1:$C$6191,2,0)="",_xlfn.XLOOKUP(C2187,Hoja1!$B$2:$B$6191,Hoja1!$A$2:$A$6191),VLOOKUP(C2187,Hoja1!$B$1:$C$6191,2,0)),"No esta en Infor")</f>
        <v>NAC0682</v>
      </c>
      <c r="C2187" s="19" t="s">
        <v>127</v>
      </c>
      <c r="D2187" s="9">
        <v>726</v>
      </c>
      <c r="E2187" s="9">
        <v>0</v>
      </c>
      <c r="F2187" s="9">
        <v>0</v>
      </c>
      <c r="G2187" s="9">
        <v>0</v>
      </c>
      <c r="H2187" s="9">
        <v>0</v>
      </c>
      <c r="I2187" s="9">
        <v>0</v>
      </c>
      <c r="J2187" s="9">
        <v>726</v>
      </c>
    </row>
    <row r="2188" spans="1:10" ht="15.75" x14ac:dyDescent="0.25">
      <c r="A2188" s="21">
        <v>45504</v>
      </c>
      <c r="B2188" t="str">
        <f>IFERROR(IF(VLOOKUP(C2188,Hoja1!$B$1:$C$6191,2,0)="",_xlfn.XLOOKUP(C2188,Hoja1!$B$2:$B$6191,Hoja1!$A$2:$A$6191),VLOOKUP(C2188,Hoja1!$B$1:$C$6191,2,0)),"No esta en Infor")</f>
        <v>SH00596</v>
      </c>
      <c r="C2188" s="19" t="s">
        <v>547</v>
      </c>
      <c r="D2188" s="9">
        <v>0</v>
      </c>
      <c r="E2188" s="9">
        <v>231.12</v>
      </c>
      <c r="F2188" s="9">
        <v>0</v>
      </c>
      <c r="G2188" s="9">
        <v>0</v>
      </c>
      <c r="H2188" s="9">
        <v>0</v>
      </c>
      <c r="I2188" s="9">
        <v>0</v>
      </c>
      <c r="J2188" s="9">
        <v>231.12</v>
      </c>
    </row>
    <row r="2189" spans="1:10" ht="15.75" x14ac:dyDescent="0.25">
      <c r="A2189" s="21">
        <v>45504</v>
      </c>
      <c r="B2189" t="str">
        <f>IFERROR(IF(VLOOKUP(C2189,Hoja1!$B$1:$C$6191,2,0)="",_xlfn.XLOOKUP(C2189,Hoja1!$B$2:$B$6191,Hoja1!$A$2:$A$6191),VLOOKUP(C2189,Hoja1!$B$1:$C$6191,2,0)),"No esta en Infor")</f>
        <v>SH00610</v>
      </c>
      <c r="C2189" s="19" t="s">
        <v>129</v>
      </c>
      <c r="D2189" s="9">
        <v>0</v>
      </c>
      <c r="E2189" s="9">
        <v>0</v>
      </c>
      <c r="F2189" s="9">
        <v>0</v>
      </c>
      <c r="G2189" s="9">
        <v>53.53</v>
      </c>
      <c r="H2189" s="9">
        <v>0</v>
      </c>
      <c r="I2189" s="9">
        <v>0</v>
      </c>
      <c r="J2189" s="9">
        <v>53.53</v>
      </c>
    </row>
    <row r="2190" spans="1:10" ht="15.75" x14ac:dyDescent="0.25">
      <c r="A2190" s="21">
        <v>45504</v>
      </c>
      <c r="B2190" t="str">
        <f>IFERROR(IF(VLOOKUP(C2190,Hoja1!$B$1:$C$6191,2,0)="",_xlfn.XLOOKUP(C2190,Hoja1!$B$2:$B$6191,Hoja1!$A$2:$A$6191),VLOOKUP(C2190,Hoja1!$B$1:$C$6191,2,0)),"No esta en Infor")</f>
        <v>INT0052</v>
      </c>
      <c r="C2190" s="19" t="s">
        <v>130</v>
      </c>
      <c r="D2190" s="9">
        <v>12810.14</v>
      </c>
      <c r="E2190" s="9">
        <v>241.53</v>
      </c>
      <c r="F2190" s="9">
        <v>10556.6</v>
      </c>
      <c r="G2190" s="9">
        <v>3586.95</v>
      </c>
      <c r="H2190" s="9">
        <v>11415.76</v>
      </c>
      <c r="I2190" s="9">
        <v>34.28</v>
      </c>
      <c r="J2190" s="9">
        <v>38645.26</v>
      </c>
    </row>
    <row r="2191" spans="1:10" ht="15.75" x14ac:dyDescent="0.25">
      <c r="A2191" s="21">
        <v>45504</v>
      </c>
      <c r="B2191" t="str">
        <f>IFERROR(IF(VLOOKUP(C2191,Hoja1!$B$1:$C$6191,2,0)="",_xlfn.XLOOKUP(C2191,Hoja1!$B$2:$B$6191,Hoja1!$A$2:$A$6191),VLOOKUP(C2191,Hoja1!$B$1:$C$6191,2,0)),"No esta en Infor")</f>
        <v>INT0007</v>
      </c>
      <c r="C2191" s="19" t="s">
        <v>131</v>
      </c>
      <c r="D2191" s="9">
        <v>607575.97</v>
      </c>
      <c r="E2191" s="9">
        <v>1100589.03</v>
      </c>
      <c r="F2191" s="9">
        <v>108066.04</v>
      </c>
      <c r="G2191" s="9">
        <v>-605870.81000000006</v>
      </c>
      <c r="H2191" s="9">
        <v>-401.32</v>
      </c>
      <c r="I2191" s="9">
        <v>603914.18000000005</v>
      </c>
      <c r="J2191" s="9">
        <v>1813873.09</v>
      </c>
    </row>
    <row r="2192" spans="1:10" ht="15.75" x14ac:dyDescent="0.25">
      <c r="A2192" s="21">
        <v>45504</v>
      </c>
      <c r="B2192" t="str">
        <f>IFERROR(IF(VLOOKUP(C2192,Hoja1!$B$1:$C$6191,2,0)="",_xlfn.XLOOKUP(C2192,Hoja1!$B$2:$B$6191,Hoja1!$A$2:$A$6191),VLOOKUP(C2192,Hoja1!$B$1:$C$6191,2,0)),"No esta en Infor")</f>
        <v>INT0006</v>
      </c>
      <c r="C2192" s="19" t="s">
        <v>132</v>
      </c>
      <c r="D2192" s="9">
        <v>41152.97</v>
      </c>
      <c r="E2192" s="9">
        <v>55753.7</v>
      </c>
      <c r="F2192" s="9">
        <v>157237.49</v>
      </c>
      <c r="G2192" s="9">
        <v>20749.68</v>
      </c>
      <c r="H2192" s="9">
        <v>0</v>
      </c>
      <c r="I2192" s="9">
        <v>14.18</v>
      </c>
      <c r="J2192" s="9">
        <v>274908.02</v>
      </c>
    </row>
    <row r="2193" spans="1:10" ht="15.75" x14ac:dyDescent="0.25">
      <c r="A2193" s="21">
        <v>45504</v>
      </c>
      <c r="B2193" t="str">
        <f>IFERROR(IF(VLOOKUP(C2193,Hoja1!$B$1:$C$6191,2,0)="",_xlfn.XLOOKUP(C2193,Hoja1!$B$2:$B$6191,Hoja1!$A$2:$A$6191),VLOOKUP(C2193,Hoja1!$B$1:$C$6191,2,0)),"No esta en Infor")</f>
        <v>INT0002</v>
      </c>
      <c r="C2193" s="19" t="s">
        <v>133</v>
      </c>
      <c r="D2193" s="9">
        <v>105189.42</v>
      </c>
      <c r="E2193" s="9">
        <v>21.08</v>
      </c>
      <c r="F2193" s="9">
        <v>13000</v>
      </c>
      <c r="G2193" s="9">
        <v>-13000</v>
      </c>
      <c r="H2193" s="9">
        <v>0</v>
      </c>
      <c r="I2193" s="9">
        <v>0</v>
      </c>
      <c r="J2193" s="9">
        <v>105210.5</v>
      </c>
    </row>
    <row r="2194" spans="1:10" ht="15.75" x14ac:dyDescent="0.25">
      <c r="A2194" s="21">
        <v>45504</v>
      </c>
      <c r="B2194" t="str">
        <f>IFERROR(IF(VLOOKUP(C2194,Hoja1!$B$1:$C$6191,2,0)="",_xlfn.XLOOKUP(C2194,Hoja1!$B$2:$B$6191,Hoja1!$A$2:$A$6191),VLOOKUP(C2194,Hoja1!$B$1:$C$6191,2,0)),"No esta en Infor")</f>
        <v>INT0001</v>
      </c>
      <c r="C2194" s="19" t="s">
        <v>134</v>
      </c>
      <c r="D2194" s="9">
        <v>94069.51</v>
      </c>
      <c r="E2194" s="9">
        <v>0</v>
      </c>
      <c r="F2194" s="9">
        <v>0</v>
      </c>
      <c r="G2194" s="9">
        <v>0</v>
      </c>
      <c r="H2194" s="9">
        <v>-531.94000000000005</v>
      </c>
      <c r="I2194" s="9">
        <v>0</v>
      </c>
      <c r="J2194" s="9">
        <v>93537.57</v>
      </c>
    </row>
    <row r="2195" spans="1:10" ht="15.75" x14ac:dyDescent="0.25">
      <c r="A2195" s="21">
        <v>45504</v>
      </c>
      <c r="B2195" t="str">
        <f>IFERROR(IF(VLOOKUP(C2195,Hoja1!$B$1:$C$6191,2,0)="",_xlfn.XLOOKUP(C2195,Hoja1!$B$2:$B$6191,Hoja1!$A$2:$A$6191),VLOOKUP(C2195,Hoja1!$B$1:$C$6191,2,0)),"No esta en Infor")</f>
        <v>INT0065</v>
      </c>
      <c r="C2195" s="19" t="s">
        <v>135</v>
      </c>
      <c r="D2195" s="9">
        <v>17969.419999999998</v>
      </c>
      <c r="E2195" s="9">
        <v>14374.78</v>
      </c>
      <c r="F2195" s="9">
        <v>0</v>
      </c>
      <c r="G2195" s="9">
        <v>-3019.42</v>
      </c>
      <c r="H2195" s="9">
        <v>0</v>
      </c>
      <c r="I2195" s="9">
        <v>-14950</v>
      </c>
      <c r="J2195" s="9">
        <v>14374.78</v>
      </c>
    </row>
    <row r="2196" spans="1:10" ht="15.75" x14ac:dyDescent="0.25">
      <c r="A2196" s="21">
        <v>45504</v>
      </c>
      <c r="B2196" t="str">
        <f>IFERROR(IF(VLOOKUP(C2196,Hoja1!$B$1:$C$6191,2,0)="",_xlfn.XLOOKUP(C2196,Hoja1!$B$2:$B$6191,Hoja1!$A$2:$A$6191),VLOOKUP(C2196,Hoja1!$B$1:$C$6191,2,0)),"No esta en Infor")</f>
        <v>INT0009</v>
      </c>
      <c r="C2196" t="s">
        <v>658</v>
      </c>
      <c r="D2196" s="9">
        <v>22354.63</v>
      </c>
      <c r="E2196" s="9">
        <v>23939.93</v>
      </c>
      <c r="F2196" s="9">
        <v>16788.07</v>
      </c>
      <c r="G2196" s="9">
        <v>852.38</v>
      </c>
      <c r="H2196" s="9">
        <v>0</v>
      </c>
      <c r="I2196" s="9">
        <v>-14950</v>
      </c>
      <c r="J2196" s="9">
        <v>48985.01</v>
      </c>
    </row>
    <row r="2197" spans="1:10" ht="15.75" x14ac:dyDescent="0.25">
      <c r="A2197" s="21">
        <v>45504</v>
      </c>
      <c r="B2197" t="str">
        <f>IFERROR(IF(VLOOKUP(C2197,Hoja1!$B$1:$C$6191,2,0)="",_xlfn.XLOOKUP(C2197,Hoja1!$B$2:$B$6191,Hoja1!$A$2:$A$6191),VLOOKUP(C2197,Hoja1!$B$1:$C$6191,2,0)),"No esta en Infor")</f>
        <v>INT0060</v>
      </c>
      <c r="C2197" s="19" t="s">
        <v>136</v>
      </c>
      <c r="D2197" s="9">
        <v>-3761</v>
      </c>
      <c r="E2197" s="9">
        <v>19113.14</v>
      </c>
      <c r="F2197" s="9">
        <v>1400.6</v>
      </c>
      <c r="G2197" s="9">
        <v>5624.76</v>
      </c>
      <c r="H2197" s="9">
        <v>1224</v>
      </c>
      <c r="I2197" s="9">
        <v>19227.93</v>
      </c>
      <c r="J2197" s="9">
        <v>42829.43</v>
      </c>
    </row>
    <row r="2198" spans="1:10" ht="15.75" x14ac:dyDescent="0.25">
      <c r="A2198" s="21">
        <v>45504</v>
      </c>
      <c r="B2198" t="str">
        <f>IFERROR(IF(VLOOKUP(C2198,Hoja1!$B$1:$C$6191,2,0)="",_xlfn.XLOOKUP(C2198,Hoja1!$B$2:$B$6191,Hoja1!$A$2:$A$6191),VLOOKUP(C2198,Hoja1!$B$1:$C$6191,2,0)),"No esta en Infor")</f>
        <v>NAC0704</v>
      </c>
      <c r="C2198" s="19" t="s">
        <v>138</v>
      </c>
      <c r="D2198" s="9">
        <v>3918</v>
      </c>
      <c r="E2198" s="9">
        <v>0</v>
      </c>
      <c r="F2198" s="9">
        <v>0</v>
      </c>
      <c r="G2198" s="9">
        <v>0</v>
      </c>
      <c r="H2198" s="9">
        <v>0</v>
      </c>
      <c r="I2198" s="9">
        <v>0</v>
      </c>
      <c r="J2198" s="9">
        <v>3918</v>
      </c>
    </row>
    <row r="2199" spans="1:10" ht="15.75" x14ac:dyDescent="0.25">
      <c r="A2199" s="21">
        <v>45504</v>
      </c>
      <c r="B2199" t="str">
        <f>IFERROR(IF(VLOOKUP(C2199,Hoja1!$B$1:$C$6191,2,0)="",_xlfn.XLOOKUP(C2199,Hoja1!$B$2:$B$6191,Hoja1!$A$2:$A$6191),VLOOKUP(C2199,Hoja1!$B$1:$C$6191,2,0)),"No esta en Infor")</f>
        <v>NAC0708</v>
      </c>
      <c r="C2199" s="19" t="s">
        <v>549</v>
      </c>
      <c r="D2199" s="9">
        <v>0</v>
      </c>
      <c r="E2199" s="9">
        <v>0</v>
      </c>
      <c r="F2199" s="9">
        <v>-1015</v>
      </c>
      <c r="G2199" s="9">
        <v>0</v>
      </c>
      <c r="H2199" s="9">
        <v>0</v>
      </c>
      <c r="I2199" s="9">
        <v>0</v>
      </c>
      <c r="J2199" s="9">
        <v>-1015</v>
      </c>
    </row>
    <row r="2200" spans="1:10" ht="15.75" x14ac:dyDescent="0.25">
      <c r="A2200" s="21">
        <v>45504</v>
      </c>
      <c r="B2200" t="str">
        <f>IFERROR(IF(VLOOKUP(C2200,Hoja1!$B$1:$C$6191,2,0)="",_xlfn.XLOOKUP(C2200,Hoja1!$B$2:$B$6191,Hoja1!$A$2:$A$6191),VLOOKUP(C2200,Hoja1!$B$1:$C$6191,2,0)),"No esta en Infor")</f>
        <v>NAC0710</v>
      </c>
      <c r="C2200" s="19" t="s">
        <v>140</v>
      </c>
      <c r="D2200" s="9">
        <v>888</v>
      </c>
      <c r="E2200" s="9">
        <v>2276</v>
      </c>
      <c r="F2200" s="9">
        <v>0</v>
      </c>
      <c r="G2200" s="9">
        <v>0</v>
      </c>
      <c r="H2200" s="9">
        <v>0</v>
      </c>
      <c r="I2200" s="9">
        <v>0</v>
      </c>
      <c r="J2200" s="9">
        <v>3164</v>
      </c>
    </row>
    <row r="2201" spans="1:10" ht="15.75" x14ac:dyDescent="0.25">
      <c r="A2201" s="21">
        <v>45504</v>
      </c>
      <c r="B2201" t="str">
        <f>IFERROR(IF(VLOOKUP(C2201,Hoja1!$B$1:$C$6191,2,0)="",_xlfn.XLOOKUP(C2201,Hoja1!$B$2:$B$6191,Hoja1!$A$2:$A$6191),VLOOKUP(C2201,Hoja1!$B$1:$C$6191,2,0)),"No esta en Infor")</f>
        <v>CAN0014</v>
      </c>
      <c r="C2201" s="19" t="s">
        <v>141</v>
      </c>
      <c r="D2201" s="9">
        <v>3360</v>
      </c>
      <c r="E2201" s="9">
        <v>0</v>
      </c>
      <c r="F2201" s="9">
        <v>0</v>
      </c>
      <c r="G2201" s="9">
        <v>0</v>
      </c>
      <c r="H2201" s="9">
        <v>0</v>
      </c>
      <c r="I2201" s="9">
        <v>0</v>
      </c>
      <c r="J2201" s="9">
        <v>3360</v>
      </c>
    </row>
    <row r="2202" spans="1:10" ht="15.75" x14ac:dyDescent="0.25">
      <c r="A2202" s="21">
        <v>45504</v>
      </c>
      <c r="B2202" t="str">
        <f>IFERROR(IF(VLOOKUP(C2202,Hoja1!$B$1:$C$6191,2,0)="",_xlfn.XLOOKUP(C2202,Hoja1!$B$2:$B$6191,Hoja1!$A$2:$A$6191),VLOOKUP(C2202,Hoja1!$B$1:$C$6191,2,0)),"No esta en Infor")</f>
        <v>FOC0023</v>
      </c>
      <c r="C2202" s="19" t="s">
        <v>143</v>
      </c>
      <c r="D2202" s="9">
        <v>-9945</v>
      </c>
      <c r="E2202" s="9">
        <v>2936.25</v>
      </c>
      <c r="F2202" s="9">
        <v>0</v>
      </c>
      <c r="G2202" s="9">
        <v>19997.16</v>
      </c>
      <c r="H2202" s="9">
        <v>-18335</v>
      </c>
      <c r="I2202" s="9">
        <v>20523.25</v>
      </c>
      <c r="J2202" s="9">
        <v>15176.66</v>
      </c>
    </row>
    <row r="2203" spans="1:10" ht="15.75" x14ac:dyDescent="0.25">
      <c r="A2203" s="21">
        <v>45504</v>
      </c>
      <c r="B2203" t="str">
        <f>IFERROR(IF(VLOOKUP(C2203,Hoja1!$B$1:$C$6191,2,0)="",_xlfn.XLOOKUP(C2203,Hoja1!$B$2:$B$6191,Hoja1!$A$2:$A$6191),VLOOKUP(C2203,Hoja1!$B$1:$C$6191,2,0)),"No esta en Infor")</f>
        <v>SH00642</v>
      </c>
      <c r="C2203" s="19" t="s">
        <v>144</v>
      </c>
      <c r="D2203" s="9">
        <v>0</v>
      </c>
      <c r="E2203" s="9">
        <v>0</v>
      </c>
      <c r="F2203" s="9">
        <v>0</v>
      </c>
      <c r="G2203" s="9">
        <v>323.89</v>
      </c>
      <c r="H2203" s="9">
        <v>0</v>
      </c>
      <c r="I2203" s="9">
        <v>0</v>
      </c>
      <c r="J2203" s="9">
        <v>323.89</v>
      </c>
    </row>
    <row r="2204" spans="1:10" ht="15.75" x14ac:dyDescent="0.25">
      <c r="A2204" s="21">
        <v>45504</v>
      </c>
      <c r="B2204" t="str">
        <f>IFERROR(IF(VLOOKUP(C2204,Hoja1!$B$1:$C$6191,2,0)="",_xlfn.XLOOKUP(C2204,Hoja1!$B$2:$B$6191,Hoja1!$A$2:$A$6191),VLOOKUP(C2204,Hoja1!$B$1:$C$6191,2,0)),"No esta en Infor")</f>
        <v>NAC0734</v>
      </c>
      <c r="C2204" s="19" t="s">
        <v>149</v>
      </c>
      <c r="D2204" s="9">
        <v>0</v>
      </c>
      <c r="E2204" s="9">
        <v>547.29999999999995</v>
      </c>
      <c r="F2204" s="9">
        <v>0</v>
      </c>
      <c r="G2204" s="9">
        <v>0</v>
      </c>
      <c r="H2204" s="9">
        <v>0</v>
      </c>
      <c r="I2204" s="9">
        <v>0</v>
      </c>
      <c r="J2204" s="9">
        <v>547.29999999999995</v>
      </c>
    </row>
    <row r="2205" spans="1:10" ht="15.75" x14ac:dyDescent="0.25">
      <c r="A2205" s="21">
        <v>45504</v>
      </c>
      <c r="B2205" t="str">
        <f>IFERROR(IF(VLOOKUP(C2205,Hoja1!$B$1:$C$6191,2,0)="",_xlfn.XLOOKUP(C2205,Hoja1!$B$2:$B$6191,Hoja1!$A$2:$A$6191),VLOOKUP(C2205,Hoja1!$B$1:$C$6191,2,0)),"No esta en Infor")</f>
        <v>NAC0738</v>
      </c>
      <c r="C2205" s="19" t="s">
        <v>150</v>
      </c>
      <c r="D2205" s="9">
        <v>0</v>
      </c>
      <c r="E2205" s="9">
        <v>452</v>
      </c>
      <c r="F2205" s="9">
        <v>0</v>
      </c>
      <c r="G2205" s="9">
        <v>0</v>
      </c>
      <c r="H2205" s="9">
        <v>0</v>
      </c>
      <c r="I2205" s="9">
        <v>0</v>
      </c>
      <c r="J2205" s="9">
        <v>452</v>
      </c>
    </row>
    <row r="2206" spans="1:10" ht="15.75" x14ac:dyDescent="0.25">
      <c r="A2206" s="21">
        <v>45504</v>
      </c>
      <c r="B2206" t="str">
        <f>IFERROR(IF(VLOOKUP(C2206,Hoja1!$B$1:$C$6191,2,0)="",_xlfn.XLOOKUP(C2206,Hoja1!$B$2:$B$6191,Hoja1!$A$2:$A$6191),VLOOKUP(C2206,Hoja1!$B$1:$C$6191,2,0)),"No esta en Infor")</f>
        <v>NAC0740</v>
      </c>
      <c r="C2206" s="19" t="s">
        <v>151</v>
      </c>
      <c r="D2206" s="9">
        <v>0</v>
      </c>
      <c r="E2206" s="9">
        <v>0</v>
      </c>
      <c r="F2206" s="9">
        <v>60</v>
      </c>
      <c r="G2206" s="9">
        <v>0</v>
      </c>
      <c r="H2206" s="9">
        <v>0</v>
      </c>
      <c r="I2206" s="9">
        <v>96.38</v>
      </c>
      <c r="J2206" s="9">
        <v>156.38</v>
      </c>
    </row>
    <row r="2207" spans="1:10" ht="15.75" x14ac:dyDescent="0.25">
      <c r="A2207" s="21">
        <v>45504</v>
      </c>
      <c r="B2207" t="str">
        <f>IFERROR(IF(VLOOKUP(C2207,Hoja1!$B$1:$C$6191,2,0)="",_xlfn.XLOOKUP(C2207,Hoja1!$B$2:$B$6191,Hoja1!$A$2:$A$6191),VLOOKUP(C2207,Hoja1!$B$1:$C$6191,2,0)),"No esta en Infor")</f>
        <v>NAC0756</v>
      </c>
      <c r="C2207" s="19" t="s">
        <v>154</v>
      </c>
      <c r="D2207" s="9">
        <v>0</v>
      </c>
      <c r="E2207" s="9">
        <v>0</v>
      </c>
      <c r="F2207" s="9">
        <v>0</v>
      </c>
      <c r="G2207" s="9">
        <v>0</v>
      </c>
      <c r="H2207" s="9">
        <v>-3.79</v>
      </c>
      <c r="I2207" s="9">
        <v>0</v>
      </c>
      <c r="J2207" s="9">
        <v>-3.79</v>
      </c>
    </row>
    <row r="2208" spans="1:10" ht="15.75" x14ac:dyDescent="0.25">
      <c r="A2208" s="21">
        <v>45504</v>
      </c>
      <c r="B2208" t="str">
        <f>IFERROR(IF(VLOOKUP(C2208,Hoja1!$B$1:$C$6191,2,0)="",_xlfn.XLOOKUP(C2208,Hoja1!$B$2:$B$6191,Hoja1!$A$2:$A$6191),VLOOKUP(C2208,Hoja1!$B$1:$C$6191,2,0)),"No esta en Infor")</f>
        <v>NAC0767</v>
      </c>
      <c r="C2208" s="19" t="s">
        <v>155</v>
      </c>
      <c r="D2208" s="9">
        <v>0</v>
      </c>
      <c r="E2208" s="9">
        <v>-10757</v>
      </c>
      <c r="F2208" s="9">
        <v>0</v>
      </c>
      <c r="G2208" s="9">
        <v>0</v>
      </c>
      <c r="H2208" s="9">
        <v>0</v>
      </c>
      <c r="I2208" s="9">
        <v>-20987.9</v>
      </c>
      <c r="J2208" s="9">
        <v>-31744.9</v>
      </c>
    </row>
    <row r="2209" spans="1:10" ht="15.75" x14ac:dyDescent="0.25">
      <c r="A2209" s="21">
        <v>45504</v>
      </c>
      <c r="B2209" t="str">
        <f>IFERROR(IF(VLOOKUP(C2209,Hoja1!$B$1:$C$6191,2,0)="",_xlfn.XLOOKUP(C2209,Hoja1!$B$2:$B$6191,Hoja1!$A$2:$A$6191),VLOOKUP(C2209,Hoja1!$B$1:$C$6191,2,0)),"No esta en Infor")</f>
        <v>NAC0769</v>
      </c>
      <c r="C2209" s="19" t="s">
        <v>156</v>
      </c>
      <c r="D2209" s="9">
        <v>0</v>
      </c>
      <c r="E2209" s="9">
        <v>0</v>
      </c>
      <c r="F2209" s="9">
        <v>-297.89</v>
      </c>
      <c r="G2209" s="9">
        <v>0</v>
      </c>
      <c r="H2209" s="9">
        <v>0</v>
      </c>
      <c r="I2209" s="9">
        <v>0</v>
      </c>
      <c r="J2209" s="9">
        <v>-297.89</v>
      </c>
    </row>
    <row r="2210" spans="1:10" ht="15.75" x14ac:dyDescent="0.25">
      <c r="A2210" s="21">
        <v>45504</v>
      </c>
      <c r="B2210" t="str">
        <f>IFERROR(IF(VLOOKUP(C2210,Hoja1!$B$1:$C$6191,2,0)="",_xlfn.XLOOKUP(C2210,Hoja1!$B$2:$B$6191,Hoja1!$A$2:$A$6191),VLOOKUP(C2210,Hoja1!$B$1:$C$6191,2,0)),"No esta en Infor")</f>
        <v>NAC0773</v>
      </c>
      <c r="C2210" s="19" t="s">
        <v>157</v>
      </c>
      <c r="D2210" s="9">
        <v>0</v>
      </c>
      <c r="E2210" s="9">
        <v>202.63</v>
      </c>
      <c r="F2210" s="9">
        <v>0</v>
      </c>
      <c r="G2210" s="9">
        <v>0</v>
      </c>
      <c r="H2210" s="9">
        <v>0</v>
      </c>
      <c r="I2210" s="9">
        <v>0</v>
      </c>
      <c r="J2210" s="9">
        <v>202.63</v>
      </c>
    </row>
    <row r="2211" spans="1:10" ht="15.75" x14ac:dyDescent="0.25">
      <c r="A2211" s="21">
        <v>45504</v>
      </c>
      <c r="B2211" t="str">
        <f>IFERROR(IF(VLOOKUP(C2211,Hoja1!$B$1:$C$6191,2,0)="",_xlfn.XLOOKUP(C2211,Hoja1!$B$2:$B$6191,Hoja1!$A$2:$A$6191),VLOOKUP(C2211,Hoja1!$B$1:$C$6191,2,0)),"No esta en Infor")</f>
        <v>NAC0778</v>
      </c>
      <c r="C2211" s="19" t="s">
        <v>159</v>
      </c>
      <c r="D2211" s="9">
        <v>0</v>
      </c>
      <c r="E2211" s="9">
        <v>0</v>
      </c>
      <c r="F2211" s="9">
        <v>0</v>
      </c>
      <c r="G2211" s="9">
        <v>-781.38</v>
      </c>
      <c r="H2211" s="9">
        <v>0</v>
      </c>
      <c r="I2211" s="9">
        <v>0</v>
      </c>
      <c r="J2211" s="9">
        <v>-781.38</v>
      </c>
    </row>
    <row r="2212" spans="1:10" ht="15.75" x14ac:dyDescent="0.25">
      <c r="A2212" s="21">
        <v>45504</v>
      </c>
      <c r="B2212" t="str">
        <f>IFERROR(IF(VLOOKUP(C2212,Hoja1!$B$1:$C$6191,2,0)="",_xlfn.XLOOKUP(C2212,Hoja1!$B$2:$B$6191,Hoja1!$A$2:$A$6191),VLOOKUP(C2212,Hoja1!$B$1:$C$6191,2,0)),"No esta en Infor")</f>
        <v>NAC0781</v>
      </c>
      <c r="C2212" s="19" t="s">
        <v>162</v>
      </c>
      <c r="D2212" s="9">
        <v>0</v>
      </c>
      <c r="E2212" s="9">
        <v>0</v>
      </c>
      <c r="F2212" s="9">
        <v>0</v>
      </c>
      <c r="G2212" s="9">
        <v>-340</v>
      </c>
      <c r="H2212" s="9">
        <v>0</v>
      </c>
      <c r="I2212" s="9">
        <v>-390</v>
      </c>
      <c r="J2212" s="9">
        <v>-730</v>
      </c>
    </row>
    <row r="2213" spans="1:10" ht="15.75" x14ac:dyDescent="0.25">
      <c r="A2213" s="21">
        <v>45504</v>
      </c>
      <c r="B2213" t="str">
        <f>IFERROR(IF(VLOOKUP(C2213,Hoja1!$B$1:$C$6191,2,0)="",_xlfn.XLOOKUP(C2213,Hoja1!$B$2:$B$6191,Hoja1!$A$2:$A$6191),VLOOKUP(C2213,Hoja1!$B$1:$C$6191,2,0)),"No esta en Infor")</f>
        <v>NAC0782</v>
      </c>
      <c r="C2213" s="19" t="s">
        <v>496</v>
      </c>
      <c r="D2213" s="9">
        <v>84</v>
      </c>
      <c r="E2213" s="9">
        <v>0</v>
      </c>
      <c r="F2213" s="9">
        <v>0</v>
      </c>
      <c r="G2213" s="9">
        <v>0</v>
      </c>
      <c r="H2213" s="9">
        <v>0</v>
      </c>
      <c r="I2213" s="9">
        <v>0</v>
      </c>
      <c r="J2213" s="9">
        <v>84</v>
      </c>
    </row>
    <row r="2214" spans="1:10" ht="15.75" x14ac:dyDescent="0.25">
      <c r="A2214" s="21">
        <v>45504</v>
      </c>
      <c r="B2214" t="str">
        <f>IFERROR(IF(VLOOKUP(C2214,Hoja1!$B$1:$C$6191,2,0)="",_xlfn.XLOOKUP(C2214,Hoja1!$B$2:$B$6191,Hoja1!$A$2:$A$6191),VLOOKUP(C2214,Hoja1!$B$1:$C$6191,2,0)),"No esta en Infor")</f>
        <v>NAC0792</v>
      </c>
      <c r="C2214" s="19" t="s">
        <v>164</v>
      </c>
      <c r="D2214" s="9">
        <v>18952.2</v>
      </c>
      <c r="E2214" s="9">
        <v>1056.2</v>
      </c>
      <c r="F2214" s="9">
        <v>0</v>
      </c>
      <c r="G2214" s="9">
        <v>0</v>
      </c>
      <c r="H2214" s="9">
        <v>0</v>
      </c>
      <c r="I2214" s="9">
        <v>0</v>
      </c>
      <c r="J2214" s="9">
        <v>20008.400000000001</v>
      </c>
    </row>
    <row r="2215" spans="1:10" ht="15.75" x14ac:dyDescent="0.25">
      <c r="A2215" s="21">
        <v>45504</v>
      </c>
      <c r="B2215" t="str">
        <f>IFERROR(IF(VLOOKUP(C2215,Hoja1!$B$1:$C$6191,2,0)="",_xlfn.XLOOKUP(C2215,Hoja1!$B$2:$B$6191,Hoja1!$A$2:$A$6191),VLOOKUP(C2215,Hoja1!$B$1:$C$6191,2,0)),"No esta en Infor")</f>
        <v>NAC1612</v>
      </c>
      <c r="C2215" s="19" t="s">
        <v>551</v>
      </c>
      <c r="D2215" s="9">
        <v>0</v>
      </c>
      <c r="E2215" s="9">
        <v>0</v>
      </c>
      <c r="F2215" s="9">
        <v>0</v>
      </c>
      <c r="G2215" s="9">
        <v>-0.02</v>
      </c>
      <c r="H2215" s="9">
        <v>0</v>
      </c>
      <c r="I2215" s="9">
        <v>0</v>
      </c>
      <c r="J2215" s="9">
        <v>-0.02</v>
      </c>
    </row>
    <row r="2216" spans="1:10" ht="15.75" x14ac:dyDescent="0.25">
      <c r="A2216" s="21">
        <v>45504</v>
      </c>
      <c r="B2216" t="str">
        <f>IFERROR(IF(VLOOKUP(C2216,Hoja1!$B$1:$C$6191,2,0)="",_xlfn.XLOOKUP(C2216,Hoja1!$B$2:$B$6191,Hoja1!$A$2:$A$6191),VLOOKUP(C2216,Hoja1!$B$1:$C$6191,2,0)),"No esta en Infor")</f>
        <v>NAC0804</v>
      </c>
      <c r="C2216" s="19" t="s">
        <v>169</v>
      </c>
      <c r="D2216" s="9">
        <v>0</v>
      </c>
      <c r="E2216" s="9">
        <v>412.45</v>
      </c>
      <c r="F2216" s="9">
        <v>0</v>
      </c>
      <c r="G2216" s="9">
        <v>0</v>
      </c>
      <c r="H2216" s="9">
        <v>0</v>
      </c>
      <c r="I2216" s="9">
        <v>0</v>
      </c>
      <c r="J2216" s="9">
        <v>412.45</v>
      </c>
    </row>
    <row r="2217" spans="1:10" ht="15.75" x14ac:dyDescent="0.25">
      <c r="A2217" s="21">
        <v>45504</v>
      </c>
      <c r="B2217" t="str">
        <f>IFERROR(IF(VLOOKUP(C2217,Hoja1!$B$1:$C$6191,2,0)="",_xlfn.XLOOKUP(C2217,Hoja1!$B$2:$B$6191,Hoja1!$A$2:$A$6191),VLOOKUP(C2217,Hoja1!$B$1:$C$6191,2,0)),"No esta en Infor")</f>
        <v>NAC0809</v>
      </c>
      <c r="C2217" s="19" t="s">
        <v>171</v>
      </c>
      <c r="D2217" s="9">
        <v>674.32</v>
      </c>
      <c r="E2217" s="9">
        <v>0</v>
      </c>
      <c r="F2217" s="9">
        <v>0</v>
      </c>
      <c r="G2217" s="9">
        <v>0</v>
      </c>
      <c r="H2217" s="9">
        <v>0</v>
      </c>
      <c r="I2217" s="9">
        <v>0</v>
      </c>
      <c r="J2217" s="9">
        <v>674.32</v>
      </c>
    </row>
    <row r="2218" spans="1:10" ht="15.75" x14ac:dyDescent="0.25">
      <c r="A2218" s="21">
        <v>45504</v>
      </c>
      <c r="B2218" t="str">
        <f>IFERROR(IF(VLOOKUP(C2218,Hoja1!$B$1:$C$6191,2,0)="",_xlfn.XLOOKUP(C2218,Hoja1!$B$2:$B$6191,Hoja1!$A$2:$A$6191),VLOOKUP(C2218,Hoja1!$B$1:$C$6191,2,0)),"No esta en Infor")</f>
        <v>CAN0019</v>
      </c>
      <c r="C2218" s="19" t="s">
        <v>172</v>
      </c>
      <c r="D2218" s="9">
        <v>-3439.27</v>
      </c>
      <c r="E2218" s="9">
        <v>0</v>
      </c>
      <c r="F2218" s="9">
        <v>0</v>
      </c>
      <c r="G2218" s="9">
        <v>0</v>
      </c>
      <c r="H2218" s="9">
        <v>0</v>
      </c>
      <c r="I2218" s="9">
        <v>0</v>
      </c>
      <c r="J2218" s="9">
        <v>-3439.27</v>
      </c>
    </row>
    <row r="2219" spans="1:10" ht="15.75" x14ac:dyDescent="0.25">
      <c r="A2219" s="21">
        <v>45504</v>
      </c>
      <c r="B2219" t="str">
        <f>IFERROR(IF(VLOOKUP(C2219,Hoja1!$B$1:$C$6191,2,0)="",_xlfn.XLOOKUP(C2219,Hoja1!$B$2:$B$6191,Hoja1!$A$2:$A$6191),VLOOKUP(C2219,Hoja1!$B$1:$C$6191,2,0)),"No esta en Infor")</f>
        <v>No esta en Infor</v>
      </c>
      <c r="C2219" s="19" t="s">
        <v>552</v>
      </c>
      <c r="D2219" s="9">
        <v>0</v>
      </c>
      <c r="E2219" s="9">
        <v>-6.34</v>
      </c>
      <c r="F2219" s="9">
        <v>0</v>
      </c>
      <c r="G2219" s="9">
        <v>0</v>
      </c>
      <c r="H2219" s="9">
        <v>0</v>
      </c>
      <c r="I2219" s="9">
        <v>0</v>
      </c>
      <c r="J2219" s="9">
        <v>-6.34</v>
      </c>
    </row>
    <row r="2220" spans="1:10" ht="15.75" x14ac:dyDescent="0.25">
      <c r="A2220" s="21">
        <v>45504</v>
      </c>
      <c r="B2220" t="str">
        <f>IFERROR(IF(VLOOKUP(C2220,Hoja1!$B$1:$C$6191,2,0)="",_xlfn.XLOOKUP(C2220,Hoja1!$B$2:$B$6191,Hoja1!$A$2:$A$6191),VLOOKUP(C2220,Hoja1!$B$1:$C$6191,2,0)),"No esta en Infor")</f>
        <v>CAN0020</v>
      </c>
      <c r="C2220" s="19" t="s">
        <v>174</v>
      </c>
      <c r="D2220" s="9">
        <v>2668.38</v>
      </c>
      <c r="E2220" s="9">
        <v>-1326.6</v>
      </c>
      <c r="F2220" s="9">
        <v>0</v>
      </c>
      <c r="G2220" s="9">
        <v>0</v>
      </c>
      <c r="H2220" s="9">
        <v>0</v>
      </c>
      <c r="I2220" s="9">
        <v>0</v>
      </c>
      <c r="J2220" s="9">
        <v>1341.78</v>
      </c>
    </row>
    <row r="2221" spans="1:10" ht="15.75" x14ac:dyDescent="0.25">
      <c r="A2221" s="21">
        <v>45504</v>
      </c>
      <c r="B2221" t="str">
        <f>IFERROR(IF(VLOOKUP(C2221,Hoja1!$B$1:$C$6191,2,0)="",_xlfn.XLOOKUP(C2221,Hoja1!$B$2:$B$6191,Hoja1!$A$2:$A$6191),VLOOKUP(C2221,Hoja1!$B$1:$C$6191,2,0)),"No esta en Infor")</f>
        <v>NAC0824</v>
      </c>
      <c r="C2221" s="19" t="s">
        <v>178</v>
      </c>
      <c r="D2221" s="9">
        <v>0</v>
      </c>
      <c r="E2221" s="9">
        <v>1672</v>
      </c>
      <c r="F2221" s="9">
        <v>0</v>
      </c>
      <c r="G2221" s="9">
        <v>0</v>
      </c>
      <c r="H2221" s="9">
        <v>0</v>
      </c>
      <c r="I2221" s="9">
        <v>0</v>
      </c>
      <c r="J2221" s="9">
        <v>1672</v>
      </c>
    </row>
    <row r="2222" spans="1:10" ht="15.75" x14ac:dyDescent="0.25">
      <c r="A2222" s="21">
        <v>45504</v>
      </c>
      <c r="B2222" t="str">
        <f>IFERROR(IF(VLOOKUP(C2222,Hoja1!$B$1:$C$6191,2,0)="",_xlfn.XLOOKUP(C2222,Hoja1!$B$2:$B$6191,Hoja1!$A$2:$A$6191),VLOOKUP(C2222,Hoja1!$B$1:$C$6191,2,0)),"No esta en Infor")</f>
        <v>NAC0825</v>
      </c>
      <c r="C2222" s="19" t="s">
        <v>179</v>
      </c>
      <c r="D2222" s="9">
        <v>42804</v>
      </c>
      <c r="E2222" s="9">
        <v>0</v>
      </c>
      <c r="F2222" s="9">
        <v>0</v>
      </c>
      <c r="G2222" s="9">
        <v>0</v>
      </c>
      <c r="H2222" s="9">
        <v>0</v>
      </c>
      <c r="I2222" s="9">
        <v>0</v>
      </c>
      <c r="J2222" s="9">
        <v>42804</v>
      </c>
    </row>
    <row r="2223" spans="1:10" ht="15.75" x14ac:dyDescent="0.25">
      <c r="A2223" s="21">
        <v>45504</v>
      </c>
      <c r="B2223" t="str">
        <f>IFERROR(IF(VLOOKUP(C2223,Hoja1!$B$1:$C$6191,2,0)="",_xlfn.XLOOKUP(C2223,Hoja1!$B$2:$B$6191,Hoja1!$A$2:$A$6191),VLOOKUP(C2223,Hoja1!$B$1:$C$6191,2,0)),"No esta en Infor")</f>
        <v>NAC0841</v>
      </c>
      <c r="C2223" s="19" t="s">
        <v>183</v>
      </c>
      <c r="D2223" s="9">
        <v>2353.4299999999998</v>
      </c>
      <c r="E2223" s="9">
        <v>0</v>
      </c>
      <c r="F2223" s="9">
        <v>0</v>
      </c>
      <c r="G2223" s="9">
        <v>0</v>
      </c>
      <c r="H2223" s="9">
        <v>0</v>
      </c>
      <c r="I2223" s="9">
        <v>0</v>
      </c>
      <c r="J2223" s="9">
        <v>2353.4299999999998</v>
      </c>
    </row>
    <row r="2224" spans="1:10" ht="15.75" x14ac:dyDescent="0.25">
      <c r="A2224" s="21">
        <v>45504</v>
      </c>
      <c r="B2224" t="str">
        <f>IFERROR(IF(VLOOKUP(C2224,Hoja1!$B$1:$C$6191,2,0)="",_xlfn.XLOOKUP(C2224,Hoja1!$B$2:$B$6191,Hoja1!$A$2:$A$6191),VLOOKUP(C2224,Hoja1!$B$1:$C$6191,2,0)),"No esta en Infor")</f>
        <v>NAC0847</v>
      </c>
      <c r="C2224" s="19" t="s">
        <v>184</v>
      </c>
      <c r="D2224" s="9">
        <v>0</v>
      </c>
      <c r="E2224" s="9">
        <v>0</v>
      </c>
      <c r="F2224" s="9">
        <v>0</v>
      </c>
      <c r="G2224" s="9">
        <v>0</v>
      </c>
      <c r="H2224" s="9">
        <v>0</v>
      </c>
      <c r="I2224" s="9">
        <v>-1</v>
      </c>
      <c r="J2224" s="9">
        <v>-1</v>
      </c>
    </row>
    <row r="2225" spans="1:10" ht="15.75" x14ac:dyDescent="0.25">
      <c r="A2225" s="21">
        <v>45504</v>
      </c>
      <c r="B2225" t="str">
        <f>IFERROR(IF(VLOOKUP(C2225,Hoja1!$B$1:$C$6191,2,0)="",_xlfn.XLOOKUP(C2225,Hoja1!$B$2:$B$6191,Hoja1!$A$2:$A$6191),VLOOKUP(C2225,Hoja1!$B$1:$C$6191,2,0)),"No esta en Infor")</f>
        <v>NAC0851</v>
      </c>
      <c r="C2225" s="19" t="s">
        <v>185</v>
      </c>
      <c r="D2225" s="9">
        <v>0</v>
      </c>
      <c r="E2225" s="9">
        <v>0</v>
      </c>
      <c r="F2225" s="9">
        <v>-75.599999999999994</v>
      </c>
      <c r="G2225" s="9">
        <v>-756</v>
      </c>
      <c r="H2225" s="9">
        <v>0</v>
      </c>
      <c r="I2225" s="9">
        <v>0</v>
      </c>
      <c r="J2225" s="9">
        <v>-831.6</v>
      </c>
    </row>
    <row r="2226" spans="1:10" ht="15.75" x14ac:dyDescent="0.25">
      <c r="A2226" s="21">
        <v>45504</v>
      </c>
      <c r="B2226" t="str">
        <f>IFERROR(IF(VLOOKUP(C2226,Hoja1!$B$1:$C$6191,2,0)="",_xlfn.XLOOKUP(C2226,Hoja1!$B$2:$B$6191,Hoja1!$A$2:$A$6191),VLOOKUP(C2226,Hoja1!$B$1:$C$6191,2,0)),"No esta en Infor")</f>
        <v>SH00787</v>
      </c>
      <c r="C2226" s="19" t="s">
        <v>186</v>
      </c>
      <c r="D2226" s="9">
        <v>0</v>
      </c>
      <c r="E2226" s="9">
        <v>0</v>
      </c>
      <c r="F2226" s="9">
        <v>0</v>
      </c>
      <c r="G2226" s="9">
        <v>174.63</v>
      </c>
      <c r="H2226" s="9">
        <v>0</v>
      </c>
      <c r="I2226" s="9">
        <v>0</v>
      </c>
      <c r="J2226" s="9">
        <v>174.63</v>
      </c>
    </row>
    <row r="2227" spans="1:10" ht="15.75" x14ac:dyDescent="0.25">
      <c r="A2227" s="21">
        <v>45504</v>
      </c>
      <c r="B2227" t="str">
        <f>IFERROR(IF(VLOOKUP(C2227,Hoja1!$B$1:$C$6191,2,0)="",_xlfn.XLOOKUP(C2227,Hoja1!$B$2:$B$6191,Hoja1!$A$2:$A$6191),VLOOKUP(C2227,Hoja1!$B$1:$C$6191,2,0)),"No esta en Infor")</f>
        <v>NAC0858</v>
      </c>
      <c r="C2227" s="19" t="s">
        <v>188</v>
      </c>
      <c r="D2227" s="9">
        <v>12736</v>
      </c>
      <c r="E2227" s="9">
        <v>0</v>
      </c>
      <c r="F2227" s="9">
        <v>0</v>
      </c>
      <c r="G2227" s="9">
        <v>0</v>
      </c>
      <c r="H2227" s="9">
        <v>0</v>
      </c>
      <c r="I2227" s="9">
        <v>0</v>
      </c>
      <c r="J2227" s="9">
        <v>12736</v>
      </c>
    </row>
    <row r="2228" spans="1:10" ht="15.75" x14ac:dyDescent="0.25">
      <c r="A2228" s="21">
        <v>45504</v>
      </c>
      <c r="B2228" t="str">
        <f>IFERROR(IF(VLOOKUP(C2228,Hoja1!$B$1:$C$6191,2,0)="",_xlfn.XLOOKUP(C2228,Hoja1!$B$2:$B$6191,Hoja1!$A$2:$A$6191),VLOOKUP(C2228,Hoja1!$B$1:$C$6191,2,0)),"No esta en Infor")</f>
        <v>NAC0862</v>
      </c>
      <c r="C2228" s="19" t="s">
        <v>190</v>
      </c>
      <c r="D2228" s="9">
        <v>0</v>
      </c>
      <c r="E2228" s="9">
        <v>106.3</v>
      </c>
      <c r="F2228" s="9">
        <v>0</v>
      </c>
      <c r="G2228" s="9">
        <v>0</v>
      </c>
      <c r="H2228" s="9">
        <v>0</v>
      </c>
      <c r="I2228" s="9">
        <v>0</v>
      </c>
      <c r="J2228" s="9">
        <v>106.3</v>
      </c>
    </row>
    <row r="2229" spans="1:10" ht="15.75" x14ac:dyDescent="0.25">
      <c r="A2229" s="21">
        <v>45504</v>
      </c>
      <c r="B2229" t="str">
        <f>IFERROR(IF(VLOOKUP(C2229,Hoja1!$B$1:$C$6191,2,0)="",_xlfn.XLOOKUP(C2229,Hoja1!$B$2:$B$6191,Hoja1!$A$2:$A$6191),VLOOKUP(C2229,Hoja1!$B$1:$C$6191,2,0)),"No esta en Infor")</f>
        <v>NAC0863</v>
      </c>
      <c r="C2229" s="19" t="s">
        <v>398</v>
      </c>
      <c r="D2229" s="9">
        <v>0</v>
      </c>
      <c r="E2229" s="9">
        <v>0</v>
      </c>
      <c r="F2229" s="9">
        <v>-49.92</v>
      </c>
      <c r="G2229" s="9">
        <v>0</v>
      </c>
      <c r="H2229" s="9">
        <v>0</v>
      </c>
      <c r="I2229" s="9">
        <v>0</v>
      </c>
      <c r="J2229" s="9">
        <v>-49.92</v>
      </c>
    </row>
    <row r="2230" spans="1:10" ht="15.75" x14ac:dyDescent="0.25">
      <c r="A2230" s="21">
        <v>45504</v>
      </c>
      <c r="B2230" t="str">
        <f>IFERROR(IF(VLOOKUP(C2230,Hoja1!$B$1:$C$6191,2,0)="",_xlfn.XLOOKUP(C2230,Hoja1!$B$2:$B$6191,Hoja1!$A$2:$A$6191),VLOOKUP(C2230,Hoja1!$B$1:$C$6191,2,0)),"No esta en Infor")</f>
        <v>NAC0865</v>
      </c>
      <c r="C2230" s="19" t="s">
        <v>23</v>
      </c>
      <c r="D2230" s="9">
        <v>0</v>
      </c>
      <c r="E2230" s="9">
        <v>4150</v>
      </c>
      <c r="F2230" s="9">
        <v>0</v>
      </c>
      <c r="G2230" s="9">
        <v>0</v>
      </c>
      <c r="H2230" s="9">
        <v>0</v>
      </c>
      <c r="I2230" s="9">
        <v>0</v>
      </c>
      <c r="J2230" s="9">
        <v>4150</v>
      </c>
    </row>
    <row r="2231" spans="1:10" ht="15.75" x14ac:dyDescent="0.25">
      <c r="A2231" s="21">
        <v>45504</v>
      </c>
      <c r="B2231" t="str">
        <f>IFERROR(IF(VLOOKUP(C2231,Hoja1!$B$1:$C$6191,2,0)="",_xlfn.XLOOKUP(C2231,Hoja1!$B$2:$B$6191,Hoja1!$A$2:$A$6191),VLOOKUP(C2231,Hoja1!$B$1:$C$6191,2,0)),"No esta en Infor")</f>
        <v>NAC0871</v>
      </c>
      <c r="C2231" s="19" t="s">
        <v>193</v>
      </c>
      <c r="D2231" s="9">
        <v>5748.8</v>
      </c>
      <c r="E2231" s="9">
        <v>0</v>
      </c>
      <c r="F2231" s="9">
        <v>0</v>
      </c>
      <c r="G2231" s="9">
        <v>0</v>
      </c>
      <c r="H2231" s="9">
        <v>0</v>
      </c>
      <c r="I2231" s="9">
        <v>0</v>
      </c>
      <c r="J2231" s="9">
        <v>5748.8</v>
      </c>
    </row>
    <row r="2232" spans="1:10" ht="15.75" x14ac:dyDescent="0.25">
      <c r="A2232" s="21">
        <v>45504</v>
      </c>
      <c r="B2232" t="str">
        <f>IFERROR(IF(VLOOKUP(C2232,Hoja1!$B$1:$C$6191,2,0)="",_xlfn.XLOOKUP(C2232,Hoja1!$B$2:$B$6191,Hoja1!$A$2:$A$6191),VLOOKUP(C2232,Hoja1!$B$1:$C$6191,2,0)),"No esta en Infor")</f>
        <v>NAC0873</v>
      </c>
      <c r="C2232" s="19" t="s">
        <v>455</v>
      </c>
      <c r="D2232" s="9">
        <v>196.42</v>
      </c>
      <c r="E2232" s="9">
        <v>0</v>
      </c>
      <c r="F2232" s="9">
        <v>0</v>
      </c>
      <c r="G2232" s="9">
        <v>0</v>
      </c>
      <c r="H2232" s="9">
        <v>0</v>
      </c>
      <c r="I2232" s="9">
        <v>0</v>
      </c>
      <c r="J2232" s="9">
        <v>196.42</v>
      </c>
    </row>
    <row r="2233" spans="1:10" ht="15.75" x14ac:dyDescent="0.25">
      <c r="A2233" s="21">
        <v>45504</v>
      </c>
      <c r="B2233" t="str">
        <f>IFERROR(IF(VLOOKUP(C2233,Hoja1!$B$1:$C$6191,2,0)="",_xlfn.XLOOKUP(C2233,Hoja1!$B$2:$B$6191,Hoja1!$A$2:$A$6191),VLOOKUP(C2233,Hoja1!$B$1:$C$6191,2,0)),"No esta en Infor")</f>
        <v>NAC0879</v>
      </c>
      <c r="C2233" s="19" t="s">
        <v>194</v>
      </c>
      <c r="D2233" s="9">
        <v>668.52</v>
      </c>
      <c r="E2233" s="9">
        <v>0</v>
      </c>
      <c r="F2233" s="9">
        <v>-117.9</v>
      </c>
      <c r="G2233" s="9">
        <v>0</v>
      </c>
      <c r="H2233" s="9">
        <v>0</v>
      </c>
      <c r="I2233" s="9">
        <v>0</v>
      </c>
      <c r="J2233" s="9">
        <v>550.62</v>
      </c>
    </row>
    <row r="2234" spans="1:10" ht="15.75" x14ac:dyDescent="0.25">
      <c r="A2234" s="21">
        <v>45504</v>
      </c>
      <c r="B2234" t="str">
        <f>IFERROR(IF(VLOOKUP(C2234,Hoja1!$B$1:$C$6191,2,0)="",_xlfn.XLOOKUP(C2234,Hoja1!$B$2:$B$6191,Hoja1!$A$2:$A$6191),VLOOKUP(C2234,Hoja1!$B$1:$C$6191,2,0)),"No esta en Infor")</f>
        <v>NAC0881</v>
      </c>
      <c r="C2234" s="19" t="s">
        <v>195</v>
      </c>
      <c r="D2234" s="9">
        <v>146.55000000000001</v>
      </c>
      <c r="E2234" s="9">
        <v>12384.5</v>
      </c>
      <c r="F2234" s="9">
        <v>0</v>
      </c>
      <c r="G2234" s="9">
        <v>0</v>
      </c>
      <c r="H2234" s="9">
        <v>0</v>
      </c>
      <c r="I2234" s="9">
        <v>0</v>
      </c>
      <c r="J2234" s="9">
        <v>12531.05</v>
      </c>
    </row>
    <row r="2235" spans="1:10" ht="15.75" x14ac:dyDescent="0.25">
      <c r="A2235" s="21">
        <v>45504</v>
      </c>
      <c r="B2235" t="str">
        <f>IFERROR(IF(VLOOKUP(C2235,Hoja1!$B$1:$C$6191,2,0)="",_xlfn.XLOOKUP(C2235,Hoja1!$B$2:$B$6191,Hoja1!$A$2:$A$6191),VLOOKUP(C2235,Hoja1!$B$1:$C$6191,2,0)),"No esta en Infor")</f>
        <v>NAC0886</v>
      </c>
      <c r="C2235" s="19" t="s">
        <v>196</v>
      </c>
      <c r="D2235" s="9">
        <v>0</v>
      </c>
      <c r="E2235" s="9">
        <v>-0.1</v>
      </c>
      <c r="F2235" s="9">
        <v>0</v>
      </c>
      <c r="G2235" s="9">
        <v>0</v>
      </c>
      <c r="H2235" s="9">
        <v>0</v>
      </c>
      <c r="I2235" s="9">
        <v>0</v>
      </c>
      <c r="J2235" s="9">
        <v>-0.1</v>
      </c>
    </row>
    <row r="2236" spans="1:10" ht="15.75" x14ac:dyDescent="0.25">
      <c r="A2236" s="21">
        <v>45504</v>
      </c>
      <c r="B2236" t="str">
        <f>IFERROR(IF(VLOOKUP(C2236,Hoja1!$B$1:$C$6191,2,0)="",_xlfn.XLOOKUP(C2236,Hoja1!$B$2:$B$6191,Hoja1!$A$2:$A$6191),VLOOKUP(C2236,Hoja1!$B$1:$C$6191,2,0)),"No esta en Infor")</f>
        <v>NAC0888</v>
      </c>
      <c r="C2236" s="19" t="s">
        <v>198</v>
      </c>
      <c r="D2236" s="9">
        <v>82488</v>
      </c>
      <c r="E2236" s="9">
        <v>0</v>
      </c>
      <c r="F2236" s="9">
        <v>0</v>
      </c>
      <c r="G2236" s="9">
        <v>0</v>
      </c>
      <c r="H2236" s="9">
        <v>0</v>
      </c>
      <c r="I2236" s="9">
        <v>0</v>
      </c>
      <c r="J2236" s="9">
        <v>82488</v>
      </c>
    </row>
    <row r="2237" spans="1:10" ht="15.75" x14ac:dyDescent="0.25">
      <c r="A2237" s="21">
        <v>45504</v>
      </c>
      <c r="B2237" t="str">
        <f>IFERROR(IF(VLOOKUP(C2237,Hoja1!$B$1:$C$6191,2,0)="",_xlfn.XLOOKUP(C2237,Hoja1!$B$2:$B$6191,Hoja1!$A$2:$A$6191),VLOOKUP(C2237,Hoja1!$B$1:$C$6191,2,0)),"No esta en Infor")</f>
        <v>NAC0897</v>
      </c>
      <c r="C2237" s="19" t="s">
        <v>25</v>
      </c>
      <c r="D2237" s="9">
        <v>0</v>
      </c>
      <c r="E2237" s="9">
        <v>0</v>
      </c>
      <c r="F2237" s="9">
        <v>-303.5</v>
      </c>
      <c r="G2237" s="9">
        <v>0</v>
      </c>
      <c r="H2237" s="9">
        <v>0</v>
      </c>
      <c r="I2237" s="9">
        <v>0</v>
      </c>
      <c r="J2237" s="9">
        <v>-303.5</v>
      </c>
    </row>
    <row r="2238" spans="1:10" ht="15.75" x14ac:dyDescent="0.25">
      <c r="A2238" s="21">
        <v>45504</v>
      </c>
      <c r="B2238" t="str">
        <f>IFERROR(IF(VLOOKUP(C2238,Hoja1!$B$1:$C$6191,2,0)="",_xlfn.XLOOKUP(C2238,Hoja1!$B$2:$B$6191,Hoja1!$A$2:$A$6191),VLOOKUP(C2238,Hoja1!$B$1:$C$6191,2,0)),"No esta en Infor")</f>
        <v>NAC0898</v>
      </c>
      <c r="C2238" s="19" t="s">
        <v>200</v>
      </c>
      <c r="D2238" s="9">
        <v>212.5</v>
      </c>
      <c r="E2238" s="9">
        <v>0</v>
      </c>
      <c r="F2238" s="9">
        <v>0</v>
      </c>
      <c r="G2238" s="9">
        <v>0</v>
      </c>
      <c r="H2238" s="9">
        <v>0</v>
      </c>
      <c r="I2238" s="9">
        <v>0</v>
      </c>
      <c r="J2238" s="9">
        <v>212.5</v>
      </c>
    </row>
    <row r="2239" spans="1:10" ht="15.75" x14ac:dyDescent="0.25">
      <c r="A2239" s="21">
        <v>45504</v>
      </c>
      <c r="B2239" t="str">
        <f>IFERROR(IF(VLOOKUP(C2239,Hoja1!$B$1:$C$6191,2,0)="",_xlfn.XLOOKUP(C2239,Hoja1!$B$2:$B$6191,Hoja1!$A$2:$A$6191),VLOOKUP(C2239,Hoja1!$B$1:$C$6191,2,0)),"No esta en Infor")</f>
        <v>NAC0900</v>
      </c>
      <c r="C2239" s="19" t="s">
        <v>201</v>
      </c>
      <c r="D2239" s="9">
        <v>0</v>
      </c>
      <c r="E2239" s="9">
        <v>1800.28</v>
      </c>
      <c r="F2239" s="9">
        <v>0</v>
      </c>
      <c r="G2239" s="9">
        <v>0</v>
      </c>
      <c r="H2239" s="9">
        <v>0</v>
      </c>
      <c r="I2239" s="9">
        <v>0</v>
      </c>
      <c r="J2239" s="9">
        <v>1800.28</v>
      </c>
    </row>
    <row r="2240" spans="1:10" ht="15.75" x14ac:dyDescent="0.25">
      <c r="A2240" s="21">
        <v>45504</v>
      </c>
      <c r="B2240" t="str">
        <f>IFERROR(IF(VLOOKUP(C2240,Hoja1!$B$1:$C$6191,2,0)="",_xlfn.XLOOKUP(C2240,Hoja1!$B$2:$B$6191,Hoja1!$A$2:$A$6191),VLOOKUP(C2240,Hoja1!$B$1:$C$6191,2,0)),"No esta en Infor")</f>
        <v>NAC0906</v>
      </c>
      <c r="C2240" s="19" t="s">
        <v>456</v>
      </c>
      <c r="D2240" s="9">
        <v>0</v>
      </c>
      <c r="E2240" s="9">
        <v>0</v>
      </c>
      <c r="F2240" s="9">
        <v>-8.93</v>
      </c>
      <c r="G2240" s="9">
        <v>0</v>
      </c>
      <c r="H2240" s="9">
        <v>0</v>
      </c>
      <c r="I2240" s="9">
        <v>0</v>
      </c>
      <c r="J2240" s="9">
        <v>-8.93</v>
      </c>
    </row>
    <row r="2241" spans="1:10" ht="15.75" x14ac:dyDescent="0.25">
      <c r="A2241" s="21">
        <v>45504</v>
      </c>
      <c r="B2241" t="str">
        <f>IFERROR(IF(VLOOKUP(C2241,Hoja1!$B$1:$C$6191,2,0)="",_xlfn.XLOOKUP(C2241,Hoja1!$B$2:$B$6191,Hoja1!$A$2:$A$6191),VLOOKUP(C2241,Hoja1!$B$1:$C$6191,2,0)),"No esta en Infor")</f>
        <v>CAN0023</v>
      </c>
      <c r="C2241" s="19" t="s">
        <v>554</v>
      </c>
      <c r="D2241" s="9">
        <v>0</v>
      </c>
      <c r="E2241" s="9">
        <v>508.5</v>
      </c>
      <c r="F2241" s="9">
        <v>0</v>
      </c>
      <c r="G2241" s="9">
        <v>0</v>
      </c>
      <c r="H2241" s="9">
        <v>0</v>
      </c>
      <c r="I2241" s="9">
        <v>0</v>
      </c>
      <c r="J2241" s="9">
        <v>508.5</v>
      </c>
    </row>
    <row r="2242" spans="1:10" ht="15.75" x14ac:dyDescent="0.25">
      <c r="A2242" s="21">
        <v>45504</v>
      </c>
      <c r="B2242" t="str">
        <f>IFERROR(IF(VLOOKUP(C2242,Hoja1!$B$1:$C$6191,2,0)="",_xlfn.XLOOKUP(C2242,Hoja1!$B$2:$B$6191,Hoja1!$A$2:$A$6191),VLOOKUP(C2242,Hoja1!$B$1:$C$6191,2,0)),"No esta en Infor")</f>
        <v>CAN0092</v>
      </c>
      <c r="C2242" s="19" t="s">
        <v>555</v>
      </c>
      <c r="D2242" s="9">
        <v>0</v>
      </c>
      <c r="E2242" s="9">
        <v>-508.5</v>
      </c>
      <c r="F2242" s="9">
        <v>0</v>
      </c>
      <c r="G2242" s="9">
        <v>0</v>
      </c>
      <c r="H2242" s="9">
        <v>0</v>
      </c>
      <c r="I2242" s="9">
        <v>0</v>
      </c>
      <c r="J2242" s="9">
        <v>-508.5</v>
      </c>
    </row>
    <row r="2243" spans="1:10" ht="15.75" x14ac:dyDescent="0.25">
      <c r="A2243" s="21">
        <v>45504</v>
      </c>
      <c r="B2243" t="str">
        <f>IFERROR(IF(VLOOKUP(C2243,Hoja1!$B$1:$C$6191,2,0)="",_xlfn.XLOOKUP(C2243,Hoja1!$B$2:$B$6191,Hoja1!$A$2:$A$6191),VLOOKUP(C2243,Hoja1!$B$1:$C$6191,2,0)),"No esta en Infor")</f>
        <v>NAC0929</v>
      </c>
      <c r="C2243" s="19" t="s">
        <v>207</v>
      </c>
      <c r="D2243" s="9">
        <v>1712.5</v>
      </c>
      <c r="E2243" s="9">
        <v>0</v>
      </c>
      <c r="F2243" s="9">
        <v>0</v>
      </c>
      <c r="G2243" s="9">
        <v>0</v>
      </c>
      <c r="H2243" s="9">
        <v>0</v>
      </c>
      <c r="I2243" s="9">
        <v>0</v>
      </c>
      <c r="J2243" s="9">
        <v>1712.5</v>
      </c>
    </row>
    <row r="2244" spans="1:10" ht="15.75" x14ac:dyDescent="0.25">
      <c r="A2244" s="21">
        <v>45504</v>
      </c>
      <c r="B2244" t="str">
        <f>IFERROR(IF(VLOOKUP(C2244,Hoja1!$B$1:$C$6191,2,0)="",_xlfn.XLOOKUP(C2244,Hoja1!$B$2:$B$6191,Hoja1!$A$2:$A$6191),VLOOKUP(C2244,Hoja1!$B$1:$C$6191,2,0)),"No esta en Infor")</f>
        <v>CAN0028</v>
      </c>
      <c r="C2244" s="19" t="s">
        <v>208</v>
      </c>
      <c r="D2244" s="9">
        <v>0</v>
      </c>
      <c r="E2244" s="9">
        <v>0</v>
      </c>
      <c r="F2244" s="9">
        <v>0</v>
      </c>
      <c r="G2244" s="9">
        <v>0</v>
      </c>
      <c r="H2244" s="9">
        <v>0</v>
      </c>
      <c r="I2244" s="9">
        <v>0</v>
      </c>
      <c r="J2244" s="9">
        <v>0</v>
      </c>
    </row>
    <row r="2245" spans="1:10" ht="15.75" x14ac:dyDescent="0.25">
      <c r="A2245" s="21">
        <v>45504</v>
      </c>
      <c r="B2245" t="str">
        <f>IFERROR(IF(VLOOKUP(C2245,Hoja1!$B$1:$C$6191,2,0)="",_xlfn.XLOOKUP(C2245,Hoja1!$B$2:$B$6191,Hoja1!$A$2:$A$6191),VLOOKUP(C2245,Hoja1!$B$1:$C$6191,2,0)),"No esta en Infor")</f>
        <v>NAC0953</v>
      </c>
      <c r="C2245" s="19" t="s">
        <v>28</v>
      </c>
      <c r="D2245" s="9">
        <v>0</v>
      </c>
      <c r="E2245" s="9">
        <v>-144</v>
      </c>
      <c r="F2245" s="9">
        <v>-537.29999999999995</v>
      </c>
      <c r="G2245" s="9">
        <v>-52.79</v>
      </c>
      <c r="H2245" s="9">
        <v>0</v>
      </c>
      <c r="I2245" s="9">
        <v>0</v>
      </c>
      <c r="J2245" s="9">
        <v>-734.09</v>
      </c>
    </row>
    <row r="2246" spans="1:10" ht="15.75" x14ac:dyDescent="0.25">
      <c r="A2246" s="21">
        <v>45504</v>
      </c>
      <c r="B2246" t="str">
        <f>IFERROR(IF(VLOOKUP(C2246,Hoja1!$B$1:$C$6191,2,0)="",_xlfn.XLOOKUP(C2246,Hoja1!$B$2:$B$6191,Hoja1!$A$2:$A$6191),VLOOKUP(C2246,Hoja1!$B$1:$C$6191,2,0)),"No esta en Infor")</f>
        <v>NAC0955</v>
      </c>
      <c r="C2246" s="19" t="s">
        <v>539</v>
      </c>
      <c r="D2246" s="9">
        <v>0</v>
      </c>
      <c r="E2246" s="9">
        <v>473.25</v>
      </c>
      <c r="F2246" s="9">
        <v>0</v>
      </c>
      <c r="G2246" s="9">
        <v>0</v>
      </c>
      <c r="H2246" s="9">
        <v>0</v>
      </c>
      <c r="I2246" s="9">
        <v>0</v>
      </c>
      <c r="J2246" s="9">
        <v>473.25</v>
      </c>
    </row>
    <row r="2247" spans="1:10" ht="15.75" x14ac:dyDescent="0.25">
      <c r="A2247" s="21">
        <v>45504</v>
      </c>
      <c r="B2247" t="str">
        <f>IFERROR(IF(VLOOKUP(C2247,Hoja1!$B$1:$C$6191,2,0)="",_xlfn.XLOOKUP(C2247,Hoja1!$B$2:$B$6191,Hoja1!$A$2:$A$6191),VLOOKUP(C2247,Hoja1!$B$1:$C$6191,2,0)),"No esta en Infor")</f>
        <v>NAC0986</v>
      </c>
      <c r="C2247" s="19" t="s">
        <v>224</v>
      </c>
      <c r="D2247" s="9">
        <v>0</v>
      </c>
      <c r="E2247" s="9">
        <v>-5078.6000000000004</v>
      </c>
      <c r="F2247" s="9">
        <v>2149.36</v>
      </c>
      <c r="G2247" s="9">
        <v>283.58999999999997</v>
      </c>
      <c r="H2247" s="9">
        <v>16.079999999999998</v>
      </c>
      <c r="I2247" s="9">
        <v>0</v>
      </c>
      <c r="J2247" s="9">
        <v>-2629.57</v>
      </c>
    </row>
    <row r="2248" spans="1:10" ht="15.75" x14ac:dyDescent="0.25">
      <c r="A2248" s="21">
        <v>45504</v>
      </c>
      <c r="B2248" t="str">
        <f>IFERROR(IF(VLOOKUP(C2248,Hoja1!$B$1:$C$6191,2,0)="",_xlfn.XLOOKUP(C2248,Hoja1!$B$2:$B$6191,Hoja1!$A$2:$A$6191),VLOOKUP(C2248,Hoja1!$B$1:$C$6191,2,0)),"No esta en Infor")</f>
        <v>NAC0987</v>
      </c>
      <c r="C2248" s="19" t="s">
        <v>225</v>
      </c>
      <c r="D2248" s="9">
        <v>0</v>
      </c>
      <c r="E2248" s="9">
        <v>0</v>
      </c>
      <c r="F2248" s="9">
        <v>0</v>
      </c>
      <c r="G2248" s="9">
        <v>0</v>
      </c>
      <c r="H2248" s="9">
        <v>0</v>
      </c>
      <c r="I2248" s="9">
        <v>2040.5</v>
      </c>
      <c r="J2248" s="9">
        <v>2040.5</v>
      </c>
    </row>
    <row r="2249" spans="1:10" ht="15.75" x14ac:dyDescent="0.25">
      <c r="A2249" s="21">
        <v>45504</v>
      </c>
      <c r="B2249" t="str">
        <f>IFERROR(IF(VLOOKUP(C2249,Hoja1!$B$1:$C$6191,2,0)="",_xlfn.XLOOKUP(C2249,Hoja1!$B$2:$B$6191,Hoja1!$A$2:$A$6191),VLOOKUP(C2249,Hoja1!$B$1:$C$6191,2,0)),"No esta en Infor")</f>
        <v>NAC1007</v>
      </c>
      <c r="C2249" s="19" t="s">
        <v>233</v>
      </c>
      <c r="D2249" s="9">
        <v>0</v>
      </c>
      <c r="E2249" s="9">
        <v>0</v>
      </c>
      <c r="F2249" s="9">
        <v>-1440</v>
      </c>
      <c r="G2249" s="9">
        <v>0</v>
      </c>
      <c r="H2249" s="9">
        <v>0</v>
      </c>
      <c r="I2249" s="9">
        <v>0</v>
      </c>
      <c r="J2249" s="9">
        <v>-1440</v>
      </c>
    </row>
    <row r="2250" spans="1:10" ht="15.75" x14ac:dyDescent="0.25">
      <c r="A2250" s="21">
        <v>45504</v>
      </c>
      <c r="B2250" t="str">
        <f>IFERROR(IF(VLOOKUP(C2250,Hoja1!$B$1:$C$6191,2,0)="",_xlfn.XLOOKUP(C2250,Hoja1!$B$2:$B$6191,Hoja1!$A$2:$A$6191),VLOOKUP(C2250,Hoja1!$B$1:$C$6191,2,0)),"No esta en Infor")</f>
        <v>SH02799</v>
      </c>
      <c r="C2250" s="19" t="s">
        <v>596</v>
      </c>
      <c r="D2250" s="9">
        <v>0</v>
      </c>
      <c r="E2250" s="9">
        <v>127.51</v>
      </c>
      <c r="F2250" s="9">
        <v>0</v>
      </c>
      <c r="G2250" s="9">
        <v>0</v>
      </c>
      <c r="H2250" s="9">
        <v>0</v>
      </c>
      <c r="I2250" s="9">
        <v>0</v>
      </c>
      <c r="J2250" s="9">
        <v>127.51</v>
      </c>
    </row>
    <row r="2251" spans="1:10" ht="15.75" x14ac:dyDescent="0.25">
      <c r="A2251" s="21">
        <v>45504</v>
      </c>
      <c r="B2251" t="str">
        <f>IFERROR(IF(VLOOKUP(C2251,Hoja1!$B$1:$C$6191,2,0)="",_xlfn.XLOOKUP(C2251,Hoja1!$B$2:$B$6191,Hoja1!$A$2:$A$6191),VLOOKUP(C2251,Hoja1!$B$1:$C$6191,2,0)),"No esta en Infor")</f>
        <v>NAC1024</v>
      </c>
      <c r="C2251" s="19" t="s">
        <v>241</v>
      </c>
      <c r="D2251" s="9">
        <v>5505.32</v>
      </c>
      <c r="E2251" s="9">
        <v>0</v>
      </c>
      <c r="F2251" s="9">
        <v>0</v>
      </c>
      <c r="G2251" s="9">
        <v>0</v>
      </c>
      <c r="H2251" s="9">
        <v>0</v>
      </c>
      <c r="I2251" s="9">
        <v>0</v>
      </c>
      <c r="J2251" s="9">
        <v>5505.32</v>
      </c>
    </row>
    <row r="2252" spans="1:10" ht="15.75" x14ac:dyDescent="0.25">
      <c r="A2252" s="21">
        <v>45504</v>
      </c>
      <c r="B2252" t="str">
        <f>IFERROR(IF(VLOOKUP(C2252,Hoja1!$B$1:$C$6191,2,0)="",_xlfn.XLOOKUP(C2252,Hoja1!$B$2:$B$6191,Hoja1!$A$2:$A$6191),VLOOKUP(C2252,Hoja1!$B$1:$C$6191,2,0)),"No esta en Infor")</f>
        <v>NAC1027</v>
      </c>
      <c r="C2252" s="19" t="s">
        <v>243</v>
      </c>
      <c r="D2252" s="9">
        <v>0</v>
      </c>
      <c r="E2252" s="9">
        <v>0</v>
      </c>
      <c r="F2252" s="9">
        <v>0</v>
      </c>
      <c r="G2252" s="9">
        <v>0</v>
      </c>
      <c r="H2252" s="9">
        <v>0</v>
      </c>
      <c r="I2252" s="9">
        <v>-2408</v>
      </c>
      <c r="J2252" s="9">
        <v>-2408</v>
      </c>
    </row>
    <row r="2253" spans="1:10" ht="15.75" x14ac:dyDescent="0.25">
      <c r="A2253" s="21">
        <v>45504</v>
      </c>
      <c r="B2253" t="str">
        <f>IFERROR(IF(VLOOKUP(C2253,Hoja1!$B$1:$C$6191,2,0)="",_xlfn.XLOOKUP(C2253,Hoja1!$B$2:$B$6191,Hoja1!$A$2:$A$6191),VLOOKUP(C2253,Hoja1!$B$1:$C$6191,2,0)),"No esta en Infor")</f>
        <v>SH01408</v>
      </c>
      <c r="C2253" s="19" t="s">
        <v>597</v>
      </c>
      <c r="D2253" s="9">
        <v>0</v>
      </c>
      <c r="E2253" s="9">
        <v>85.81</v>
      </c>
      <c r="F2253" s="9">
        <v>0</v>
      </c>
      <c r="G2253" s="9">
        <v>0</v>
      </c>
      <c r="H2253" s="9">
        <v>0</v>
      </c>
      <c r="I2253" s="9">
        <v>0</v>
      </c>
      <c r="J2253" s="9">
        <v>85.81</v>
      </c>
    </row>
    <row r="2254" spans="1:10" ht="15.75" x14ac:dyDescent="0.25">
      <c r="A2254" s="21">
        <v>45504</v>
      </c>
      <c r="B2254" t="str">
        <f>IFERROR(IF(VLOOKUP(C2254,Hoja1!$B$1:$C$6191,2,0)="",_xlfn.XLOOKUP(C2254,Hoja1!$B$2:$B$6191,Hoja1!$A$2:$A$6191),VLOOKUP(C2254,Hoja1!$B$1:$C$6191,2,0)),"No esta en Infor")</f>
        <v>SH02737</v>
      </c>
      <c r="C2254" s="19" t="s">
        <v>598</v>
      </c>
      <c r="D2254" s="9">
        <v>0</v>
      </c>
      <c r="E2254" s="9">
        <v>240.44</v>
      </c>
      <c r="F2254" s="9">
        <v>0</v>
      </c>
      <c r="G2254" s="9">
        <v>0</v>
      </c>
      <c r="H2254" s="9">
        <v>0</v>
      </c>
      <c r="I2254" s="9">
        <v>0</v>
      </c>
      <c r="J2254" s="9">
        <v>240.44</v>
      </c>
    </row>
    <row r="2255" spans="1:10" ht="15.75" x14ac:dyDescent="0.25">
      <c r="A2255" s="21">
        <v>45504</v>
      </c>
      <c r="B2255" t="str">
        <f>IFERROR(IF(VLOOKUP(C2255,Hoja1!$B$1:$C$6191,2,0)="",_xlfn.XLOOKUP(C2255,Hoja1!$B$2:$B$6191,Hoja1!$A$2:$A$6191),VLOOKUP(C2255,Hoja1!$B$1:$C$6191,2,0)),"No esta en Infor")</f>
        <v>NAC1051</v>
      </c>
      <c r="C2255" s="19" t="s">
        <v>246</v>
      </c>
      <c r="D2255" s="9">
        <v>0</v>
      </c>
      <c r="E2255" s="9">
        <v>964.91</v>
      </c>
      <c r="F2255" s="9">
        <v>0</v>
      </c>
      <c r="G2255" s="9">
        <v>0</v>
      </c>
      <c r="H2255" s="9">
        <v>0</v>
      </c>
      <c r="I2255" s="9">
        <v>0</v>
      </c>
      <c r="J2255" s="9">
        <v>964.91</v>
      </c>
    </row>
    <row r="2256" spans="1:10" ht="15.75" x14ac:dyDescent="0.25">
      <c r="A2256" s="21">
        <v>45504</v>
      </c>
      <c r="B2256" t="str">
        <f>IFERROR(IF(VLOOKUP(C2256,Hoja1!$B$1:$C$6191,2,0)="",_xlfn.XLOOKUP(C2256,Hoja1!$B$2:$B$6191,Hoja1!$A$2:$A$6191),VLOOKUP(C2256,Hoja1!$B$1:$C$6191,2,0)),"No esta en Infor")</f>
        <v>NAC1054</v>
      </c>
      <c r="C2256" s="19" t="s">
        <v>248</v>
      </c>
      <c r="D2256" s="9">
        <v>6280</v>
      </c>
      <c r="E2256" s="9">
        <v>756</v>
      </c>
      <c r="F2256" s="9">
        <v>0</v>
      </c>
      <c r="G2256" s="9">
        <v>0</v>
      </c>
      <c r="H2256" s="9">
        <v>0</v>
      </c>
      <c r="I2256" s="9">
        <v>0</v>
      </c>
      <c r="J2256" s="9">
        <v>7036</v>
      </c>
    </row>
    <row r="2257" spans="1:10" ht="15.75" x14ac:dyDescent="0.25">
      <c r="A2257" s="21">
        <v>45504</v>
      </c>
      <c r="B2257" t="str">
        <f>IFERROR(IF(VLOOKUP(C2257,Hoja1!$B$1:$C$6191,2,0)="",_xlfn.XLOOKUP(C2257,Hoja1!$B$2:$B$6191,Hoja1!$A$2:$A$6191),VLOOKUP(C2257,Hoja1!$B$1:$C$6191,2,0)),"No esta en Infor")</f>
        <v>NAC1056</v>
      </c>
      <c r="C2257" s="19" t="s">
        <v>465</v>
      </c>
      <c r="D2257" s="9">
        <v>724</v>
      </c>
      <c r="E2257" s="9">
        <v>0</v>
      </c>
      <c r="F2257" s="9">
        <v>0</v>
      </c>
      <c r="G2257" s="9">
        <v>0</v>
      </c>
      <c r="H2257" s="9">
        <v>0</v>
      </c>
      <c r="I2257" s="9">
        <v>0</v>
      </c>
      <c r="J2257" s="9">
        <v>724</v>
      </c>
    </row>
    <row r="2258" spans="1:10" ht="15.75" x14ac:dyDescent="0.25">
      <c r="A2258" s="21">
        <v>45504</v>
      </c>
      <c r="B2258" t="str">
        <f>IFERROR(IF(VLOOKUP(C2258,Hoja1!$B$1:$C$6191,2,0)="",_xlfn.XLOOKUP(C2258,Hoja1!$B$2:$B$6191,Hoja1!$A$2:$A$6191),VLOOKUP(C2258,Hoja1!$B$1:$C$6191,2,0)),"No esta en Infor")</f>
        <v>NAC1074</v>
      </c>
      <c r="C2258" s="19" t="s">
        <v>252</v>
      </c>
      <c r="D2258" s="9">
        <v>0</v>
      </c>
      <c r="E2258" s="9">
        <v>116.02</v>
      </c>
      <c r="F2258" s="9">
        <v>0</v>
      </c>
      <c r="G2258" s="9">
        <v>0</v>
      </c>
      <c r="H2258" s="9">
        <v>0</v>
      </c>
      <c r="I2258" s="9">
        <v>0</v>
      </c>
      <c r="J2258" s="9">
        <v>116.02</v>
      </c>
    </row>
    <row r="2259" spans="1:10" ht="15.75" x14ac:dyDescent="0.25">
      <c r="A2259" s="21">
        <v>45504</v>
      </c>
      <c r="B2259" t="str">
        <f>IFERROR(IF(VLOOKUP(C2259,Hoja1!$B$1:$C$6191,2,0)="",_xlfn.XLOOKUP(C2259,Hoja1!$B$2:$B$6191,Hoja1!$A$2:$A$6191),VLOOKUP(C2259,Hoja1!$B$1:$C$6191,2,0)),"No esta en Infor")</f>
        <v>NAC1077</v>
      </c>
      <c r="C2259" s="19" t="s">
        <v>254</v>
      </c>
      <c r="D2259" s="9">
        <v>4080.3</v>
      </c>
      <c r="E2259" s="9">
        <v>0</v>
      </c>
      <c r="F2259" s="9">
        <v>0</v>
      </c>
      <c r="G2259" s="9">
        <v>0</v>
      </c>
      <c r="H2259" s="9">
        <v>0</v>
      </c>
      <c r="I2259" s="9">
        <v>0</v>
      </c>
      <c r="J2259" s="9">
        <v>4080.3</v>
      </c>
    </row>
    <row r="2260" spans="1:10" ht="15.75" x14ac:dyDescent="0.25">
      <c r="A2260" s="21">
        <v>45504</v>
      </c>
      <c r="B2260" t="str">
        <f>IFERROR(IF(VLOOKUP(C2260,Hoja1!$B$1:$C$6191,2,0)="",_xlfn.XLOOKUP(C2260,Hoja1!$B$2:$B$6191,Hoja1!$A$2:$A$6191),VLOOKUP(C2260,Hoja1!$B$1:$C$6191,2,0)),"No esta en Infor")</f>
        <v>CAN0091</v>
      </c>
      <c r="C2260" s="19" t="s">
        <v>586</v>
      </c>
      <c r="D2260" s="9">
        <v>0</v>
      </c>
      <c r="E2260" s="9">
        <v>-646.09</v>
      </c>
      <c r="F2260" s="9">
        <v>0</v>
      </c>
      <c r="G2260" s="9">
        <v>0</v>
      </c>
      <c r="H2260" s="9">
        <v>0</v>
      </c>
      <c r="I2260" s="9">
        <v>0</v>
      </c>
      <c r="J2260" s="9">
        <v>-646.09</v>
      </c>
    </row>
    <row r="2261" spans="1:10" ht="15.75" x14ac:dyDescent="0.25">
      <c r="A2261" s="21">
        <v>45504</v>
      </c>
      <c r="B2261" t="str">
        <f>IFERROR(IF(VLOOKUP(C2261,Hoja1!$B$1:$C$6191,2,0)="",_xlfn.XLOOKUP(C2261,Hoja1!$B$2:$B$6191,Hoja1!$A$2:$A$6191),VLOOKUP(C2261,Hoja1!$B$1:$C$6191,2,0)),"No esta en Infor")</f>
        <v>CAN0036</v>
      </c>
      <c r="C2261" s="19" t="s">
        <v>256</v>
      </c>
      <c r="D2261" s="9">
        <v>0</v>
      </c>
      <c r="E2261" s="9">
        <v>5289.08</v>
      </c>
      <c r="F2261" s="9">
        <v>0</v>
      </c>
      <c r="G2261" s="9">
        <v>0</v>
      </c>
      <c r="H2261" s="9">
        <v>0</v>
      </c>
      <c r="I2261" s="9">
        <v>0</v>
      </c>
      <c r="J2261" s="9">
        <v>5289.08</v>
      </c>
    </row>
    <row r="2262" spans="1:10" ht="15.75" x14ac:dyDescent="0.25">
      <c r="A2262" s="21">
        <v>45504</v>
      </c>
      <c r="B2262" t="str">
        <f>IFERROR(IF(VLOOKUP(C2262,Hoja1!$B$1:$C$6191,2,0)="",_xlfn.XLOOKUP(C2262,Hoja1!$B$2:$B$6191,Hoja1!$A$2:$A$6191),VLOOKUP(C2262,Hoja1!$B$1:$C$6191,2,0)),"No esta en Infor")</f>
        <v>NAC1084</v>
      </c>
      <c r="C2262" s="19" t="s">
        <v>257</v>
      </c>
      <c r="D2262" s="9">
        <v>0</v>
      </c>
      <c r="E2262" s="9">
        <v>51</v>
      </c>
      <c r="F2262" s="9">
        <v>0</v>
      </c>
      <c r="G2262" s="9">
        <v>0</v>
      </c>
      <c r="H2262" s="9">
        <v>0</v>
      </c>
      <c r="I2262" s="9">
        <v>0</v>
      </c>
      <c r="J2262" s="9">
        <v>51</v>
      </c>
    </row>
    <row r="2263" spans="1:10" ht="15.75" x14ac:dyDescent="0.25">
      <c r="A2263" s="21">
        <v>45504</v>
      </c>
      <c r="B2263" t="str">
        <f>IFERROR(IF(VLOOKUP(C2263,Hoja1!$B$1:$C$6191,2,0)="",_xlfn.XLOOKUP(C2263,Hoja1!$B$2:$B$6191,Hoja1!$A$2:$A$6191),VLOOKUP(C2263,Hoja1!$B$1:$C$6191,2,0)),"No esta en Infor")</f>
        <v>NAC1106</v>
      </c>
      <c r="C2263" s="19" t="s">
        <v>259</v>
      </c>
      <c r="D2263" s="9">
        <v>239.02</v>
      </c>
      <c r="E2263" s="9">
        <v>-36.64</v>
      </c>
      <c r="F2263" s="9">
        <v>0</v>
      </c>
      <c r="G2263" s="9">
        <v>0</v>
      </c>
      <c r="H2263" s="9">
        <v>0</v>
      </c>
      <c r="I2263" s="9">
        <v>0</v>
      </c>
      <c r="J2263" s="9">
        <v>202.38</v>
      </c>
    </row>
    <row r="2264" spans="1:10" ht="15.75" x14ac:dyDescent="0.25">
      <c r="A2264" s="21">
        <v>45504</v>
      </c>
      <c r="B2264" t="str">
        <f>IFERROR(IF(VLOOKUP(C2264,Hoja1!$B$1:$C$6191,2,0)="",_xlfn.XLOOKUP(C2264,Hoja1!$B$2:$B$6191,Hoja1!$A$2:$A$6191),VLOOKUP(C2264,Hoja1!$B$1:$C$6191,2,0)),"No esta en Infor")</f>
        <v>NAC1113</v>
      </c>
      <c r="C2264" s="19" t="s">
        <v>599</v>
      </c>
      <c r="D2264" s="9">
        <v>567</v>
      </c>
      <c r="E2264" s="9">
        <v>0</v>
      </c>
      <c r="F2264" s="9">
        <v>0</v>
      </c>
      <c r="G2264" s="9">
        <v>0</v>
      </c>
      <c r="H2264" s="9">
        <v>0</v>
      </c>
      <c r="I2264" s="9">
        <v>0</v>
      </c>
      <c r="J2264" s="9">
        <v>567</v>
      </c>
    </row>
    <row r="2265" spans="1:10" ht="15.75" x14ac:dyDescent="0.25">
      <c r="A2265" s="21">
        <v>45504</v>
      </c>
      <c r="B2265" t="str">
        <f>IFERROR(IF(VLOOKUP(C2265,Hoja1!$B$1:$C$6191,2,0)="",_xlfn.XLOOKUP(C2265,Hoja1!$B$2:$B$6191,Hoja1!$A$2:$A$6191),VLOOKUP(C2265,Hoja1!$B$1:$C$6191,2,0)),"No esta en Infor")</f>
        <v>NAC1114</v>
      </c>
      <c r="C2265" s="19" t="s">
        <v>408</v>
      </c>
      <c r="D2265" s="9">
        <v>0</v>
      </c>
      <c r="E2265" s="9">
        <v>0</v>
      </c>
      <c r="F2265" s="9">
        <v>-196.34</v>
      </c>
      <c r="G2265" s="9">
        <v>0</v>
      </c>
      <c r="H2265" s="9">
        <v>0</v>
      </c>
      <c r="I2265" s="9">
        <v>0</v>
      </c>
      <c r="J2265" s="9">
        <v>-196.34</v>
      </c>
    </row>
    <row r="2266" spans="1:10" ht="15.75" x14ac:dyDescent="0.25">
      <c r="A2266" s="21">
        <v>45504</v>
      </c>
      <c r="B2266" t="str">
        <f>IFERROR(IF(VLOOKUP(C2266,Hoja1!$B$1:$C$6191,2,0)="",_xlfn.XLOOKUP(C2266,Hoja1!$B$2:$B$6191,Hoja1!$A$2:$A$6191),VLOOKUP(C2266,Hoja1!$B$1:$C$6191,2,0)),"No esta en Infor")</f>
        <v>NAC1119</v>
      </c>
      <c r="C2266" s="19" t="s">
        <v>514</v>
      </c>
      <c r="D2266" s="9">
        <v>0</v>
      </c>
      <c r="E2266" s="9">
        <v>11749.4</v>
      </c>
      <c r="F2266" s="9">
        <v>0</v>
      </c>
      <c r="G2266" s="9">
        <v>0</v>
      </c>
      <c r="H2266" s="9">
        <v>0</v>
      </c>
      <c r="I2266" s="9">
        <v>0</v>
      </c>
      <c r="J2266" s="9">
        <v>11749.4</v>
      </c>
    </row>
    <row r="2267" spans="1:10" ht="15.75" x14ac:dyDescent="0.25">
      <c r="A2267" s="21">
        <v>45504</v>
      </c>
      <c r="B2267" t="str">
        <f>IFERROR(IF(VLOOKUP(C2267,Hoja1!$B$1:$C$6191,2,0)="",_xlfn.XLOOKUP(C2267,Hoja1!$B$2:$B$6191,Hoja1!$A$2:$A$6191),VLOOKUP(C2267,Hoja1!$B$1:$C$6191,2,0)),"No esta en Infor")</f>
        <v>NAC1122</v>
      </c>
      <c r="C2267" s="19" t="s">
        <v>515</v>
      </c>
      <c r="D2267" s="9">
        <v>0</v>
      </c>
      <c r="E2267" s="9">
        <v>10424</v>
      </c>
      <c r="F2267" s="9">
        <v>0</v>
      </c>
      <c r="G2267" s="9">
        <v>0</v>
      </c>
      <c r="H2267" s="9">
        <v>0</v>
      </c>
      <c r="I2267" s="9">
        <v>0</v>
      </c>
      <c r="J2267" s="9">
        <v>10424</v>
      </c>
    </row>
    <row r="2268" spans="1:10" ht="15.75" x14ac:dyDescent="0.25">
      <c r="A2268" s="21">
        <v>45504</v>
      </c>
      <c r="B2268" t="str">
        <f>IFERROR(IF(VLOOKUP(C2268,Hoja1!$B$1:$C$6191,2,0)="",_xlfn.XLOOKUP(C2268,Hoja1!$B$2:$B$6191,Hoja1!$A$2:$A$6191),VLOOKUP(C2268,Hoja1!$B$1:$C$6191,2,0)),"No esta en Infor")</f>
        <v>NAC1614</v>
      </c>
      <c r="C2268" s="19" t="s">
        <v>563</v>
      </c>
      <c r="D2268" s="9">
        <v>0</v>
      </c>
      <c r="E2268" s="9">
        <v>106.09</v>
      </c>
      <c r="F2268" s="9">
        <v>9.34</v>
      </c>
      <c r="G2268" s="9">
        <v>0</v>
      </c>
      <c r="H2268" s="9">
        <v>0</v>
      </c>
      <c r="I2268" s="9">
        <v>0</v>
      </c>
      <c r="J2268" s="9">
        <v>115.43</v>
      </c>
    </row>
    <row r="2269" spans="1:10" ht="15.75" x14ac:dyDescent="0.25">
      <c r="A2269" s="21">
        <v>45504</v>
      </c>
      <c r="B2269" t="str">
        <f>IFERROR(IF(VLOOKUP(C2269,Hoja1!$B$1:$C$6191,2,0)="",_xlfn.XLOOKUP(C2269,Hoja1!$B$2:$B$6191,Hoja1!$A$2:$A$6191),VLOOKUP(C2269,Hoja1!$B$1:$C$6191,2,0)),"No esta en Infor")</f>
        <v>CAN0037</v>
      </c>
      <c r="C2269" s="11" t="s">
        <v>687</v>
      </c>
      <c r="D2269" s="9">
        <v>21263.439999999999</v>
      </c>
      <c r="E2269" s="9">
        <v>214.55</v>
      </c>
      <c r="F2269" s="9">
        <v>-4056.13</v>
      </c>
      <c r="G2269" s="9">
        <v>0</v>
      </c>
      <c r="H2269" s="9">
        <v>0</v>
      </c>
      <c r="I2269" s="9">
        <v>0</v>
      </c>
      <c r="J2269" s="9">
        <v>17421.86</v>
      </c>
    </row>
    <row r="2270" spans="1:10" ht="15.75" x14ac:dyDescent="0.25">
      <c r="A2270" s="21">
        <v>45504</v>
      </c>
      <c r="B2270" t="str">
        <f>IFERROR(IF(VLOOKUP(C2270,Hoja1!$B$1:$C$6191,2,0)="",_xlfn.XLOOKUP(C2270,Hoja1!$B$2:$B$6191,Hoja1!$A$2:$A$6191),VLOOKUP(C2270,Hoja1!$B$1:$C$6191,2,0)),"No esta en Infor")</f>
        <v>NAC1128</v>
      </c>
      <c r="C2270" s="19" t="s">
        <v>263</v>
      </c>
      <c r="D2270" s="9">
        <v>5748.4</v>
      </c>
      <c r="E2270" s="9">
        <v>0</v>
      </c>
      <c r="F2270" s="9">
        <v>0</v>
      </c>
      <c r="G2270" s="9">
        <v>0</v>
      </c>
      <c r="H2270" s="9">
        <v>0</v>
      </c>
      <c r="I2270" s="9">
        <v>0</v>
      </c>
      <c r="J2270" s="9">
        <v>5748.4</v>
      </c>
    </row>
    <row r="2271" spans="1:10" ht="15.75" x14ac:dyDescent="0.25">
      <c r="A2271" s="21">
        <v>45504</v>
      </c>
      <c r="B2271" t="str">
        <f>IFERROR(IF(VLOOKUP(C2271,Hoja1!$B$1:$C$6191,2,0)="",_xlfn.XLOOKUP(C2271,Hoja1!$B$2:$B$6191,Hoja1!$A$2:$A$6191),VLOOKUP(C2271,Hoja1!$B$1:$C$6191,2,0)),"No esta en Infor")</f>
        <v>SH02761</v>
      </c>
      <c r="C2271" s="19" t="s">
        <v>600</v>
      </c>
      <c r="D2271" s="9">
        <v>221.21</v>
      </c>
      <c r="E2271" s="9">
        <v>0</v>
      </c>
      <c r="F2271" s="9">
        <v>0</v>
      </c>
      <c r="G2271" s="9">
        <v>0</v>
      </c>
      <c r="H2271" s="9">
        <v>0</v>
      </c>
      <c r="I2271" s="9">
        <v>0</v>
      </c>
      <c r="J2271" s="9">
        <v>221.21</v>
      </c>
    </row>
    <row r="2272" spans="1:10" ht="15.75" x14ac:dyDescent="0.25">
      <c r="A2272" s="21">
        <v>45504</v>
      </c>
      <c r="B2272" t="str">
        <f>IFERROR(IF(VLOOKUP(C2272,Hoja1!$B$1:$C$6191,2,0)="",_xlfn.XLOOKUP(C2272,Hoja1!$B$2:$B$6191,Hoja1!$A$2:$A$6191),VLOOKUP(C2272,Hoja1!$B$1:$C$6191,2,0)),"No esta en Infor")</f>
        <v>NAC1143</v>
      </c>
      <c r="C2272" s="19" t="s">
        <v>268</v>
      </c>
      <c r="D2272" s="9">
        <v>256</v>
      </c>
      <c r="E2272" s="9">
        <v>0</v>
      </c>
      <c r="F2272" s="9">
        <v>0</v>
      </c>
      <c r="G2272" s="9">
        <v>0</v>
      </c>
      <c r="H2272" s="9">
        <v>0</v>
      </c>
      <c r="I2272" s="9">
        <v>0</v>
      </c>
      <c r="J2272" s="9">
        <v>256</v>
      </c>
    </row>
    <row r="2273" spans="1:10" ht="15.75" x14ac:dyDescent="0.25">
      <c r="A2273" s="21">
        <v>45504</v>
      </c>
      <c r="B2273" t="str">
        <f>IFERROR(IF(VLOOKUP(C2273,Hoja1!$B$1:$C$6191,2,0)="",_xlfn.XLOOKUP(C2273,Hoja1!$B$2:$B$6191,Hoja1!$A$2:$A$6191),VLOOKUP(C2273,Hoja1!$B$1:$C$6191,2,0)),"No esta en Infor")</f>
        <v>NAC1148</v>
      </c>
      <c r="C2273" s="19" t="s">
        <v>270</v>
      </c>
      <c r="D2273" s="9">
        <v>10017.459999999999</v>
      </c>
      <c r="E2273" s="9">
        <v>0</v>
      </c>
      <c r="F2273" s="9">
        <v>0</v>
      </c>
      <c r="G2273" s="9">
        <v>0</v>
      </c>
      <c r="H2273" s="9">
        <v>0</v>
      </c>
      <c r="I2273" s="9">
        <v>0</v>
      </c>
      <c r="J2273" s="9">
        <v>10017.459999999999</v>
      </c>
    </row>
    <row r="2274" spans="1:10" ht="15.75" x14ac:dyDescent="0.25">
      <c r="A2274" s="21">
        <v>45504</v>
      </c>
      <c r="B2274" t="str">
        <f>IFERROR(IF(VLOOKUP(C2274,Hoja1!$B$1:$C$6191,2,0)="",_xlfn.XLOOKUP(C2274,Hoja1!$B$2:$B$6191,Hoja1!$A$2:$A$6191),VLOOKUP(C2274,Hoja1!$B$1:$C$6191,2,0)),"No esta en Infor")</f>
        <v>NAC1151</v>
      </c>
      <c r="C2274" s="19" t="s">
        <v>271</v>
      </c>
      <c r="D2274" s="9">
        <v>3224.5</v>
      </c>
      <c r="E2274" s="9">
        <v>-1172</v>
      </c>
      <c r="F2274" s="9">
        <v>0</v>
      </c>
      <c r="G2274" s="9">
        <v>0</v>
      </c>
      <c r="H2274" s="9">
        <v>0</v>
      </c>
      <c r="I2274" s="9">
        <v>0</v>
      </c>
      <c r="J2274" s="9">
        <v>2052.5</v>
      </c>
    </row>
    <row r="2275" spans="1:10" ht="15.75" x14ac:dyDescent="0.25">
      <c r="A2275" s="21">
        <v>45504</v>
      </c>
      <c r="B2275" t="str">
        <f>IFERROR(IF(VLOOKUP(C2275,Hoja1!$B$1:$C$6191,2,0)="",_xlfn.XLOOKUP(C2275,Hoja1!$B$2:$B$6191,Hoja1!$A$2:$A$6191),VLOOKUP(C2275,Hoja1!$B$1:$C$6191,2,0)),"No esta en Infor")</f>
        <v>NAC1158</v>
      </c>
      <c r="C2275" s="19" t="s">
        <v>272</v>
      </c>
      <c r="D2275" s="9">
        <v>731</v>
      </c>
      <c r="E2275" s="9">
        <v>0</v>
      </c>
      <c r="F2275" s="9">
        <v>0</v>
      </c>
      <c r="G2275" s="9">
        <v>0</v>
      </c>
      <c r="H2275" s="9">
        <v>0</v>
      </c>
      <c r="I2275" s="9">
        <v>0</v>
      </c>
      <c r="J2275" s="9">
        <v>731</v>
      </c>
    </row>
    <row r="2276" spans="1:10" ht="15.75" x14ac:dyDescent="0.25">
      <c r="A2276" s="21">
        <v>45504</v>
      </c>
      <c r="B2276" t="str">
        <f>IFERROR(IF(VLOOKUP(C2276,Hoja1!$B$1:$C$6191,2,0)="",_xlfn.XLOOKUP(C2276,Hoja1!$B$2:$B$6191,Hoja1!$A$2:$A$6191),VLOOKUP(C2276,Hoja1!$B$1:$C$6191,2,0)),"No esta en Infor")</f>
        <v>NAC1604</v>
      </c>
      <c r="C2276" s="19" t="s">
        <v>12389</v>
      </c>
      <c r="D2276" s="9">
        <v>3593.58</v>
      </c>
      <c r="E2276" s="9">
        <v>1683.38</v>
      </c>
      <c r="F2276" s="9">
        <v>0</v>
      </c>
      <c r="G2276" s="9">
        <v>-280</v>
      </c>
      <c r="H2276" s="9">
        <v>0</v>
      </c>
      <c r="I2276" s="9">
        <v>-362.8</v>
      </c>
      <c r="J2276" s="9">
        <v>4634.16</v>
      </c>
    </row>
    <row r="2277" spans="1:10" ht="15.75" x14ac:dyDescent="0.25">
      <c r="A2277" s="21">
        <v>45504</v>
      </c>
      <c r="B2277" t="str">
        <f>IFERROR(IF(VLOOKUP(C2277,Hoja1!$B$1:$C$6191,2,0)="",_xlfn.XLOOKUP(C2277,Hoja1!$B$2:$B$6191,Hoja1!$A$2:$A$6191),VLOOKUP(C2277,Hoja1!$B$1:$C$6191,2,0)),"No esta en Infor")</f>
        <v>NAC1166</v>
      </c>
      <c r="C2277" s="19" t="s">
        <v>516</v>
      </c>
      <c r="D2277" s="9">
        <v>0</v>
      </c>
      <c r="E2277" s="9">
        <v>1817</v>
      </c>
      <c r="F2277" s="9">
        <v>0</v>
      </c>
      <c r="G2277" s="9">
        <v>0</v>
      </c>
      <c r="H2277" s="9">
        <v>0</v>
      </c>
      <c r="I2277" s="9">
        <v>0</v>
      </c>
      <c r="J2277" s="9">
        <v>1817</v>
      </c>
    </row>
    <row r="2278" spans="1:10" ht="15.75" x14ac:dyDescent="0.25">
      <c r="A2278" s="21">
        <v>45504</v>
      </c>
      <c r="B2278" t="str">
        <f>IFERROR(IF(VLOOKUP(C2278,Hoja1!$B$1:$C$6191,2,0)="",_xlfn.XLOOKUP(C2278,Hoja1!$B$2:$B$6191,Hoja1!$A$2:$A$6191),VLOOKUP(C2278,Hoja1!$B$1:$C$6191,2,0)),"No esta en Infor")</f>
        <v>NAC1167</v>
      </c>
      <c r="C2278" s="19" t="s">
        <v>34</v>
      </c>
      <c r="D2278" s="9">
        <v>1602</v>
      </c>
      <c r="E2278" s="9">
        <v>0</v>
      </c>
      <c r="F2278" s="9">
        <v>0</v>
      </c>
      <c r="G2278" s="9">
        <v>0</v>
      </c>
      <c r="H2278" s="9">
        <v>0</v>
      </c>
      <c r="I2278" s="9">
        <v>0</v>
      </c>
      <c r="J2278" s="9">
        <v>1602</v>
      </c>
    </row>
    <row r="2279" spans="1:10" ht="15.75" x14ac:dyDescent="0.25">
      <c r="A2279" s="21">
        <v>45504</v>
      </c>
      <c r="B2279" t="str">
        <f>IFERROR(IF(VLOOKUP(C2279,Hoja1!$B$1:$C$6191,2,0)="",_xlfn.XLOOKUP(C2279,Hoja1!$B$2:$B$6191,Hoja1!$A$2:$A$6191),VLOOKUP(C2279,Hoja1!$B$1:$C$6191,2,0)),"No esta en Infor")</f>
        <v>NAC1170</v>
      </c>
      <c r="C2279" s="19" t="s">
        <v>278</v>
      </c>
      <c r="D2279" s="9">
        <v>0</v>
      </c>
      <c r="E2279" s="9">
        <v>9390</v>
      </c>
      <c r="F2279" s="9">
        <v>0</v>
      </c>
      <c r="G2279" s="9">
        <v>0</v>
      </c>
      <c r="H2279" s="9">
        <v>0</v>
      </c>
      <c r="I2279" s="9">
        <v>0</v>
      </c>
      <c r="J2279" s="9">
        <v>9390</v>
      </c>
    </row>
    <row r="2280" spans="1:10" ht="15.75" x14ac:dyDescent="0.25">
      <c r="A2280" s="21">
        <v>45504</v>
      </c>
      <c r="B2280" t="str">
        <f>IFERROR(IF(VLOOKUP(C2280,Hoja1!$B$1:$C$6191,2,0)="",_xlfn.XLOOKUP(C2280,Hoja1!$B$2:$B$6191,Hoja1!$A$2:$A$6191),VLOOKUP(C2280,Hoja1!$B$1:$C$6191,2,0)),"No esta en Infor")</f>
        <v>NAC1177</v>
      </c>
      <c r="C2280" s="19" t="s">
        <v>566</v>
      </c>
      <c r="D2280" s="9">
        <v>0</v>
      </c>
      <c r="E2280" s="9">
        <v>-14.41</v>
      </c>
      <c r="F2280" s="9">
        <v>0</v>
      </c>
      <c r="G2280" s="9">
        <v>0</v>
      </c>
      <c r="H2280" s="9">
        <v>0</v>
      </c>
      <c r="I2280" s="9">
        <v>0</v>
      </c>
      <c r="J2280" s="9">
        <v>-14.41</v>
      </c>
    </row>
    <row r="2281" spans="1:10" ht="15.75" x14ac:dyDescent="0.25">
      <c r="A2281" s="21">
        <v>45504</v>
      </c>
      <c r="B2281" t="str">
        <f>IFERROR(IF(VLOOKUP(C2281,Hoja1!$B$1:$C$6191,2,0)="",_xlfn.XLOOKUP(C2281,Hoja1!$B$2:$B$6191,Hoja1!$A$2:$A$6191),VLOOKUP(C2281,Hoja1!$B$1:$C$6191,2,0)),"No esta en Infor")</f>
        <v>CAN0043</v>
      </c>
      <c r="C2281" s="19" t="s">
        <v>280</v>
      </c>
      <c r="D2281" s="9">
        <v>38562.36</v>
      </c>
      <c r="E2281" s="9">
        <v>0</v>
      </c>
      <c r="F2281" s="9">
        <v>0</v>
      </c>
      <c r="G2281" s="9">
        <v>0</v>
      </c>
      <c r="H2281" s="9">
        <v>0</v>
      </c>
      <c r="I2281" s="9">
        <v>0</v>
      </c>
      <c r="J2281" s="9">
        <v>38562.36</v>
      </c>
    </row>
    <row r="2282" spans="1:10" ht="15.75" x14ac:dyDescent="0.25">
      <c r="A2282" s="21">
        <v>45504</v>
      </c>
      <c r="B2282" t="str">
        <f>IFERROR(IF(VLOOKUP(C2282,Hoja1!$B$1:$C$6191,2,0)="",_xlfn.XLOOKUP(C2282,Hoja1!$B$2:$B$6191,Hoja1!$A$2:$A$6191),VLOOKUP(C2282,Hoja1!$B$1:$C$6191,2,0)),"No esta en Infor")</f>
        <v>NAC1192</v>
      </c>
      <c r="C2282" s="19" t="s">
        <v>588</v>
      </c>
      <c r="D2282" s="9">
        <v>0</v>
      </c>
      <c r="E2282" s="9">
        <v>968</v>
      </c>
      <c r="F2282" s="9">
        <v>0</v>
      </c>
      <c r="G2282" s="9">
        <v>0</v>
      </c>
      <c r="H2282" s="9">
        <v>0</v>
      </c>
      <c r="I2282" s="9">
        <v>0</v>
      </c>
      <c r="J2282" s="9">
        <v>968</v>
      </c>
    </row>
    <row r="2283" spans="1:10" ht="15.75" x14ac:dyDescent="0.25">
      <c r="A2283" s="21">
        <v>45504</v>
      </c>
      <c r="B2283" t="str">
        <f>IFERROR(IF(VLOOKUP(C2283,Hoja1!$B$1:$C$6191,2,0)="",_xlfn.XLOOKUP(C2283,Hoja1!$B$2:$B$6191,Hoja1!$A$2:$A$6191),VLOOKUP(C2283,Hoja1!$B$1:$C$6191,2,0)),"No esta en Infor")</f>
        <v>CAN0048</v>
      </c>
      <c r="C2283" s="19" t="s">
        <v>567</v>
      </c>
      <c r="D2283" s="9">
        <v>0</v>
      </c>
      <c r="E2283" s="9">
        <v>-12463.9</v>
      </c>
      <c r="F2283" s="9">
        <v>0</v>
      </c>
      <c r="G2283" s="9">
        <v>0</v>
      </c>
      <c r="H2283" s="9">
        <v>0</v>
      </c>
      <c r="I2283" s="9">
        <v>0</v>
      </c>
      <c r="J2283" s="9">
        <v>-12463.9</v>
      </c>
    </row>
    <row r="2284" spans="1:10" ht="15.75" x14ac:dyDescent="0.25">
      <c r="A2284" s="21">
        <v>45504</v>
      </c>
      <c r="B2284" t="str">
        <f>IFERROR(IF(VLOOKUP(C2284,Hoja1!$B$1:$C$6191,2,0)="",_xlfn.XLOOKUP(C2284,Hoja1!$B$2:$B$6191,Hoja1!$A$2:$A$6191),VLOOKUP(C2284,Hoja1!$B$1:$C$6191,2,0)),"No esta en Infor")</f>
        <v>SH01984</v>
      </c>
      <c r="C2284" s="19" t="s">
        <v>601</v>
      </c>
      <c r="D2284" s="9">
        <v>0</v>
      </c>
      <c r="E2284" s="9">
        <v>197.89</v>
      </c>
      <c r="F2284" s="9">
        <v>0</v>
      </c>
      <c r="G2284" s="9">
        <v>0</v>
      </c>
      <c r="H2284" s="9">
        <v>0</v>
      </c>
      <c r="I2284" s="9">
        <v>0</v>
      </c>
      <c r="J2284" s="9">
        <v>197.89</v>
      </c>
    </row>
    <row r="2285" spans="1:10" ht="15.75" x14ac:dyDescent="0.25">
      <c r="A2285" s="21">
        <v>45504</v>
      </c>
      <c r="B2285" t="str">
        <f>IFERROR(IF(VLOOKUP(C2285,Hoja1!$B$1:$C$6191,2,0)="",_xlfn.XLOOKUP(C2285,Hoja1!$B$2:$B$6191,Hoja1!$A$2:$A$6191),VLOOKUP(C2285,Hoja1!$B$1:$C$6191,2,0)),"No esta en Infor")</f>
        <v>NAC1205</v>
      </c>
      <c r="C2285" s="19" t="s">
        <v>568</v>
      </c>
      <c r="D2285" s="9">
        <v>0</v>
      </c>
      <c r="E2285" s="9">
        <v>-316.68</v>
      </c>
      <c r="F2285" s="9">
        <v>0</v>
      </c>
      <c r="G2285" s="9">
        <v>0</v>
      </c>
      <c r="H2285" s="9">
        <v>0</v>
      </c>
      <c r="I2285" s="9">
        <v>0</v>
      </c>
      <c r="J2285" s="9">
        <v>-316.68</v>
      </c>
    </row>
    <row r="2286" spans="1:10" ht="15.75" x14ac:dyDescent="0.25">
      <c r="A2286" s="21">
        <v>45504</v>
      </c>
      <c r="B2286" t="str">
        <f>IFERROR(IF(VLOOKUP(C2286,Hoja1!$B$1:$C$6191,2,0)="",_xlfn.XLOOKUP(C2286,Hoja1!$B$2:$B$6191,Hoja1!$A$2:$A$6191),VLOOKUP(C2286,Hoja1!$B$1:$C$6191,2,0)),"No esta en Infor")</f>
        <v>NAC1207</v>
      </c>
      <c r="C2286" s="19" t="s">
        <v>417</v>
      </c>
      <c r="D2286" s="9">
        <v>1505.05</v>
      </c>
      <c r="E2286" s="9">
        <v>0</v>
      </c>
      <c r="F2286" s="9">
        <v>0</v>
      </c>
      <c r="G2286" s="9">
        <v>0</v>
      </c>
      <c r="H2286" s="9">
        <v>0</v>
      </c>
      <c r="I2286" s="9">
        <v>0</v>
      </c>
      <c r="J2286" s="9">
        <v>1505.05</v>
      </c>
    </row>
    <row r="2287" spans="1:10" ht="15.75" x14ac:dyDescent="0.25">
      <c r="A2287" s="21">
        <v>45504</v>
      </c>
      <c r="B2287" t="str">
        <f>IFERROR(IF(VLOOKUP(C2287,Hoja1!$B$1:$C$6191,2,0)="",_xlfn.XLOOKUP(C2287,Hoja1!$B$2:$B$6191,Hoja1!$A$2:$A$6191),VLOOKUP(C2287,Hoja1!$B$1:$C$6191,2,0)),"No esta en Infor")</f>
        <v>NAC1211</v>
      </c>
      <c r="C2287" s="19" t="s">
        <v>284</v>
      </c>
      <c r="D2287" s="9">
        <v>37326.639999999999</v>
      </c>
      <c r="E2287" s="9">
        <v>0</v>
      </c>
      <c r="F2287" s="9">
        <v>0</v>
      </c>
      <c r="G2287" s="9">
        <v>0</v>
      </c>
      <c r="H2287" s="9">
        <v>0</v>
      </c>
      <c r="I2287" s="9">
        <v>0</v>
      </c>
      <c r="J2287" s="9">
        <v>37326.639999999999</v>
      </c>
    </row>
    <row r="2288" spans="1:10" ht="15.75" x14ac:dyDescent="0.25">
      <c r="A2288" s="21">
        <v>45504</v>
      </c>
      <c r="B2288" t="str">
        <f>IFERROR(IF(VLOOKUP(C2288,Hoja1!$B$1:$C$6191,2,0)="",_xlfn.XLOOKUP(C2288,Hoja1!$B$2:$B$6191,Hoja1!$A$2:$A$6191),VLOOKUP(C2288,Hoja1!$B$1:$C$6191,2,0)),"No esta en Infor")</f>
        <v>NAC1212</v>
      </c>
      <c r="C2288" s="19" t="s">
        <v>285</v>
      </c>
      <c r="D2288" s="9">
        <v>2152.08</v>
      </c>
      <c r="E2288" s="9">
        <v>-0.1</v>
      </c>
      <c r="F2288" s="9">
        <v>0</v>
      </c>
      <c r="G2288" s="9">
        <v>0</v>
      </c>
      <c r="H2288" s="9">
        <v>0</v>
      </c>
      <c r="I2288" s="9">
        <v>0</v>
      </c>
      <c r="J2288" s="9">
        <v>2151.98</v>
      </c>
    </row>
    <row r="2289" spans="1:10" ht="15.75" x14ac:dyDescent="0.25">
      <c r="A2289" s="21">
        <v>45504</v>
      </c>
      <c r="B2289" t="str">
        <f>IFERROR(IF(VLOOKUP(C2289,Hoja1!$B$1:$C$6191,2,0)="",_xlfn.XLOOKUP(C2289,Hoja1!$B$2:$B$6191,Hoja1!$A$2:$A$6191),VLOOKUP(C2289,Hoja1!$B$1:$C$6191,2,0)),"No esta en Infor")</f>
        <v>NAC1216</v>
      </c>
      <c r="C2289" s="19" t="s">
        <v>287</v>
      </c>
      <c r="D2289" s="9">
        <v>0</v>
      </c>
      <c r="E2289" s="9">
        <v>32.979999999999997</v>
      </c>
      <c r="F2289" s="9">
        <v>0</v>
      </c>
      <c r="G2289" s="9">
        <v>0</v>
      </c>
      <c r="H2289" s="9">
        <v>0</v>
      </c>
      <c r="I2289" s="9">
        <v>0</v>
      </c>
      <c r="J2289" s="9">
        <v>32.979999999999997</v>
      </c>
    </row>
    <row r="2290" spans="1:10" ht="15.75" x14ac:dyDescent="0.25">
      <c r="A2290" s="21">
        <v>45504</v>
      </c>
      <c r="B2290" t="str">
        <f>IFERROR(IF(VLOOKUP(C2290,Hoja1!$B$1:$C$6191,2,0)="",_xlfn.XLOOKUP(C2290,Hoja1!$B$2:$B$6191,Hoja1!$A$2:$A$6191),VLOOKUP(C2290,Hoja1!$B$1:$C$6191,2,0)),"No esta en Infor")</f>
        <v>NAC1219</v>
      </c>
      <c r="C2290" s="19" t="s">
        <v>475</v>
      </c>
      <c r="D2290" s="9">
        <v>0</v>
      </c>
      <c r="E2290" s="9">
        <v>0</v>
      </c>
      <c r="F2290" s="9">
        <v>-299.55</v>
      </c>
      <c r="G2290" s="9">
        <v>0</v>
      </c>
      <c r="H2290" s="9">
        <v>0</v>
      </c>
      <c r="I2290" s="9">
        <v>0</v>
      </c>
      <c r="J2290" s="9">
        <v>-299.55</v>
      </c>
    </row>
    <row r="2291" spans="1:10" ht="15.75" x14ac:dyDescent="0.25">
      <c r="A2291" s="21">
        <v>45504</v>
      </c>
      <c r="B2291" t="str">
        <f>IFERROR(IF(VLOOKUP(C2291,Hoja1!$B$1:$C$6191,2,0)="",_xlfn.XLOOKUP(C2291,Hoja1!$B$2:$B$6191,Hoja1!$A$2:$A$6191),VLOOKUP(C2291,Hoja1!$B$1:$C$6191,2,0)),"No esta en Infor")</f>
        <v>SH02805</v>
      </c>
      <c r="C2291" s="19" t="s">
        <v>602</v>
      </c>
      <c r="D2291" s="9">
        <v>0</v>
      </c>
      <c r="E2291" s="9">
        <v>125.27</v>
      </c>
      <c r="F2291" s="9">
        <v>0</v>
      </c>
      <c r="G2291" s="9">
        <v>0</v>
      </c>
      <c r="H2291" s="9">
        <v>0</v>
      </c>
      <c r="I2291" s="9">
        <v>0</v>
      </c>
      <c r="J2291" s="9">
        <v>125.27</v>
      </c>
    </row>
    <row r="2292" spans="1:10" ht="15.75" x14ac:dyDescent="0.25">
      <c r="A2292" s="21">
        <v>45504</v>
      </c>
      <c r="B2292" t="str">
        <f>IFERROR(IF(VLOOKUP(C2292,Hoja1!$B$1:$C$6191,2,0)="",_xlfn.XLOOKUP(C2292,Hoja1!$B$2:$B$6191,Hoja1!$A$2:$A$6191),VLOOKUP(C2292,Hoja1!$B$1:$C$6191,2,0)),"No esta en Infor")</f>
        <v>NAC1228</v>
      </c>
      <c r="C2292" s="19" t="s">
        <v>569</v>
      </c>
      <c r="D2292" s="9">
        <v>11264.22</v>
      </c>
      <c r="E2292" s="9">
        <v>0</v>
      </c>
      <c r="F2292" s="9">
        <v>0</v>
      </c>
      <c r="G2292" s="9">
        <v>0</v>
      </c>
      <c r="H2292" s="9">
        <v>0</v>
      </c>
      <c r="I2292" s="9">
        <v>0</v>
      </c>
      <c r="J2292" s="9">
        <v>11264.22</v>
      </c>
    </row>
    <row r="2293" spans="1:10" ht="15.75" x14ac:dyDescent="0.25">
      <c r="A2293" s="21">
        <v>45504</v>
      </c>
      <c r="B2293" t="str">
        <f>IFERROR(IF(VLOOKUP(C2293,Hoja1!$B$1:$C$6191,2,0)="",_xlfn.XLOOKUP(C2293,Hoja1!$B$2:$B$6191,Hoja1!$A$2:$A$6191),VLOOKUP(C2293,Hoja1!$B$1:$C$6191,2,0)),"No esta en Infor")</f>
        <v>NAC1232</v>
      </c>
      <c r="C2293" s="19" t="s">
        <v>603</v>
      </c>
      <c r="D2293" s="9">
        <v>58380</v>
      </c>
      <c r="E2293" s="9">
        <v>0</v>
      </c>
      <c r="F2293" s="9">
        <v>0</v>
      </c>
      <c r="G2293" s="9">
        <v>0</v>
      </c>
      <c r="H2293" s="9">
        <v>0</v>
      </c>
      <c r="I2293" s="9">
        <v>0</v>
      </c>
      <c r="J2293" s="9">
        <v>58380</v>
      </c>
    </row>
    <row r="2294" spans="1:10" ht="15.75" x14ac:dyDescent="0.25">
      <c r="A2294" s="21">
        <v>45504</v>
      </c>
      <c r="B2294" t="str">
        <f>IFERROR(IF(VLOOKUP(C2294,Hoja1!$B$1:$C$6191,2,0)="",_xlfn.XLOOKUP(C2294,Hoja1!$B$2:$B$6191,Hoja1!$A$2:$A$6191),VLOOKUP(C2294,Hoja1!$B$1:$C$6191,2,0)),"No esta en Infor")</f>
        <v>NAC1234</v>
      </c>
      <c r="C2294" s="19" t="s">
        <v>293</v>
      </c>
      <c r="D2294" s="9">
        <v>10088</v>
      </c>
      <c r="E2294" s="9">
        <v>389</v>
      </c>
      <c r="F2294" s="9">
        <v>0</v>
      </c>
      <c r="G2294" s="9">
        <v>0</v>
      </c>
      <c r="H2294" s="9">
        <v>0</v>
      </c>
      <c r="I2294" s="9">
        <v>0</v>
      </c>
      <c r="J2294" s="9">
        <v>10477</v>
      </c>
    </row>
    <row r="2295" spans="1:10" ht="15.75" x14ac:dyDescent="0.25">
      <c r="A2295" s="21">
        <v>45504</v>
      </c>
      <c r="B2295" t="str">
        <f>IFERROR(IF(VLOOKUP(C2295,Hoja1!$B$1:$C$6191,2,0)="",_xlfn.XLOOKUP(C2295,Hoja1!$B$2:$B$6191,Hoja1!$A$2:$A$6191),VLOOKUP(C2295,Hoja1!$B$1:$C$6191,2,0)),"No esta en Infor")</f>
        <v>NAC1241</v>
      </c>
      <c r="C2295" s="19" t="s">
        <v>295</v>
      </c>
      <c r="D2295" s="9">
        <v>2754</v>
      </c>
      <c r="E2295" s="9">
        <v>0</v>
      </c>
      <c r="F2295" s="9">
        <v>0</v>
      </c>
      <c r="G2295" s="9">
        <v>0</v>
      </c>
      <c r="H2295" s="9">
        <v>0</v>
      </c>
      <c r="I2295" s="9">
        <v>0</v>
      </c>
      <c r="J2295" s="9">
        <v>2754</v>
      </c>
    </row>
    <row r="2296" spans="1:10" ht="15.75" x14ac:dyDescent="0.25">
      <c r="A2296" s="21">
        <v>45504</v>
      </c>
      <c r="B2296" t="str">
        <f>IFERROR(IF(VLOOKUP(C2296,Hoja1!$B$1:$C$6191,2,0)="",_xlfn.XLOOKUP(C2296,Hoja1!$B$2:$B$6191,Hoja1!$A$2:$A$6191),VLOOKUP(C2296,Hoja1!$B$1:$C$6191,2,0)),"No esta en Infor")</f>
        <v>NAC1247</v>
      </c>
      <c r="C2296" s="19" t="s">
        <v>298</v>
      </c>
      <c r="D2296" s="9">
        <v>7282.4</v>
      </c>
      <c r="E2296" s="9">
        <v>0</v>
      </c>
      <c r="F2296" s="9">
        <v>0</v>
      </c>
      <c r="G2296" s="9">
        <v>0</v>
      </c>
      <c r="H2296" s="9">
        <v>0</v>
      </c>
      <c r="I2296" s="9">
        <v>0</v>
      </c>
      <c r="J2296" s="9">
        <v>7282.4</v>
      </c>
    </row>
    <row r="2297" spans="1:10" ht="15.75" x14ac:dyDescent="0.25">
      <c r="A2297" s="21">
        <v>45504</v>
      </c>
      <c r="B2297" t="str">
        <f>IFERROR(IF(VLOOKUP(C2297,Hoja1!$B$1:$C$6191,2,0)="",_xlfn.XLOOKUP(C2297,Hoja1!$B$2:$B$6191,Hoja1!$A$2:$A$6191),VLOOKUP(C2297,Hoja1!$B$1:$C$6191,2,0)),"No esta en Infor")</f>
        <v>NAC1248</v>
      </c>
      <c r="C2297" s="19" t="s">
        <v>589</v>
      </c>
      <c r="D2297" s="9">
        <v>0</v>
      </c>
      <c r="E2297" s="9">
        <v>128.1</v>
      </c>
      <c r="F2297" s="9">
        <v>0</v>
      </c>
      <c r="G2297" s="9">
        <v>0</v>
      </c>
      <c r="H2297" s="9">
        <v>0</v>
      </c>
      <c r="I2297" s="9">
        <v>0</v>
      </c>
      <c r="J2297" s="9">
        <v>128.1</v>
      </c>
    </row>
    <row r="2298" spans="1:10" ht="15.75" x14ac:dyDescent="0.25">
      <c r="A2298" s="21">
        <v>45504</v>
      </c>
      <c r="B2298" t="str">
        <f>IFERROR(IF(VLOOKUP(C2298,Hoja1!$B$1:$C$6191,2,0)="",_xlfn.XLOOKUP(C2298,Hoja1!$B$2:$B$6191,Hoja1!$A$2:$A$6191),VLOOKUP(C2298,Hoja1!$B$1:$C$6191,2,0)),"No esta en Infor")</f>
        <v>NAC1252</v>
      </c>
      <c r="C2298" s="19" t="s">
        <v>301</v>
      </c>
      <c r="D2298" s="9">
        <v>16076.95</v>
      </c>
      <c r="E2298" s="9">
        <v>0</v>
      </c>
      <c r="F2298" s="9">
        <v>0</v>
      </c>
      <c r="G2298" s="9">
        <v>0</v>
      </c>
      <c r="H2298" s="9">
        <v>0</v>
      </c>
      <c r="I2298" s="9">
        <v>0</v>
      </c>
      <c r="J2298" s="9">
        <v>16076.95</v>
      </c>
    </row>
    <row r="2299" spans="1:10" ht="15.75" x14ac:dyDescent="0.25">
      <c r="A2299" s="21">
        <v>45504</v>
      </c>
      <c r="B2299" t="str">
        <f>IFERROR(IF(VLOOKUP(C2299,Hoja1!$B$1:$C$6191,2,0)="",_xlfn.XLOOKUP(C2299,Hoja1!$B$2:$B$6191,Hoja1!$A$2:$A$6191),VLOOKUP(C2299,Hoja1!$B$1:$C$6191,2,0)),"No esta en Infor")</f>
        <v>NAC1615</v>
      </c>
      <c r="C2299" s="19" t="s">
        <v>520</v>
      </c>
      <c r="D2299" s="9">
        <v>0</v>
      </c>
      <c r="E2299" s="9">
        <v>-17.64</v>
      </c>
      <c r="F2299" s="9">
        <v>-234.36</v>
      </c>
      <c r="G2299" s="9">
        <v>0</v>
      </c>
      <c r="H2299" s="9">
        <v>0</v>
      </c>
      <c r="I2299" s="9">
        <v>0</v>
      </c>
      <c r="J2299" s="9">
        <v>-252</v>
      </c>
    </row>
    <row r="2300" spans="1:10" ht="15.75" x14ac:dyDescent="0.25">
      <c r="A2300" s="21">
        <v>45504</v>
      </c>
      <c r="B2300" t="str">
        <f>IFERROR(IF(VLOOKUP(C2300,Hoja1!$B$1:$C$6191,2,0)="",_xlfn.XLOOKUP(C2300,Hoja1!$B$2:$B$6191,Hoja1!$A$2:$A$6191),VLOOKUP(C2300,Hoja1!$B$1:$C$6191,2,0)),"No esta en Infor")</f>
        <v>NAC1260</v>
      </c>
      <c r="C2300" s="19" t="s">
        <v>571</v>
      </c>
      <c r="D2300" s="9">
        <v>0</v>
      </c>
      <c r="E2300" s="9">
        <v>-37804.629999999997</v>
      </c>
      <c r="F2300" s="9">
        <v>0</v>
      </c>
      <c r="G2300" s="9">
        <v>0</v>
      </c>
      <c r="H2300" s="9">
        <v>0</v>
      </c>
      <c r="I2300" s="9">
        <v>0</v>
      </c>
      <c r="J2300" s="9">
        <v>-37804.629999999997</v>
      </c>
    </row>
    <row r="2301" spans="1:10" ht="15.75" x14ac:dyDescent="0.25">
      <c r="A2301" s="21">
        <v>45504</v>
      </c>
      <c r="B2301" t="str">
        <f>IFERROR(IF(VLOOKUP(C2301,Hoja1!$B$1:$C$6191,2,0)="",_xlfn.XLOOKUP(C2301,Hoja1!$B$2:$B$6191,Hoja1!$A$2:$A$6191),VLOOKUP(C2301,Hoja1!$B$1:$C$6191,2,0)),"No esta en Infor")</f>
        <v>SH02688</v>
      </c>
      <c r="C2301" s="19" t="s">
        <v>604</v>
      </c>
      <c r="D2301" s="9">
        <v>0</v>
      </c>
      <c r="E2301" s="9">
        <v>0</v>
      </c>
      <c r="F2301" s="9">
        <v>0</v>
      </c>
      <c r="G2301" s="9">
        <v>0</v>
      </c>
      <c r="H2301" s="9">
        <v>0</v>
      </c>
      <c r="I2301" s="9">
        <v>0</v>
      </c>
      <c r="J2301" s="9">
        <v>0</v>
      </c>
    </row>
    <row r="2302" spans="1:10" ht="15.75" x14ac:dyDescent="0.25">
      <c r="A2302" s="21">
        <v>45504</v>
      </c>
      <c r="B2302" t="str">
        <f>IFERROR(IF(VLOOKUP(C2302,Hoja1!$B$1:$C$6191,2,0)="",_xlfn.XLOOKUP(C2302,Hoja1!$B$2:$B$6191,Hoja1!$A$2:$A$6191),VLOOKUP(C2302,Hoja1!$B$1:$C$6191,2,0)),"No esta en Infor")</f>
        <v>NAC1283</v>
      </c>
      <c r="C2302" s="19" t="s">
        <v>308</v>
      </c>
      <c r="D2302" s="9">
        <v>0</v>
      </c>
      <c r="E2302" s="9">
        <v>692</v>
      </c>
      <c r="F2302" s="9">
        <v>-118</v>
      </c>
      <c r="G2302" s="9">
        <v>0</v>
      </c>
      <c r="H2302" s="9">
        <v>0</v>
      </c>
      <c r="I2302" s="9">
        <v>0</v>
      </c>
      <c r="J2302" s="9">
        <v>574</v>
      </c>
    </row>
    <row r="2303" spans="1:10" ht="15.75" x14ac:dyDescent="0.25">
      <c r="A2303" s="21">
        <v>45504</v>
      </c>
      <c r="B2303" t="str">
        <f>IFERROR(IF(VLOOKUP(C2303,Hoja1!$B$1:$C$6191,2,0)="",_xlfn.XLOOKUP(C2303,Hoja1!$B$2:$B$6191,Hoja1!$A$2:$A$6191),VLOOKUP(C2303,Hoja1!$B$1:$C$6191,2,0)),"No esta en Infor")</f>
        <v>No esta en Infor</v>
      </c>
      <c r="C2303" s="19" t="s">
        <v>47</v>
      </c>
      <c r="D2303" s="9">
        <v>800</v>
      </c>
      <c r="E2303" s="9">
        <v>0</v>
      </c>
      <c r="F2303" s="9">
        <v>0</v>
      </c>
      <c r="G2303" s="9">
        <v>0</v>
      </c>
      <c r="H2303" s="9">
        <v>0</v>
      </c>
      <c r="I2303" s="9">
        <v>0</v>
      </c>
      <c r="J2303" s="9">
        <v>800</v>
      </c>
    </row>
    <row r="2304" spans="1:10" ht="15.75" x14ac:dyDescent="0.25">
      <c r="A2304" s="21">
        <v>45504</v>
      </c>
      <c r="B2304" t="str">
        <f>IFERROR(IF(VLOOKUP(C2304,Hoja1!$B$1:$C$6191,2,0)="",_xlfn.XLOOKUP(C2304,Hoja1!$B$2:$B$6191,Hoja1!$A$2:$A$6191),VLOOKUP(C2304,Hoja1!$B$1:$C$6191,2,0)),"No esta en Infor")</f>
        <v>NAC1312</v>
      </c>
      <c r="C2304" s="19" t="s">
        <v>314</v>
      </c>
      <c r="D2304" s="9">
        <v>0</v>
      </c>
      <c r="E2304" s="9">
        <v>157235.17000000001</v>
      </c>
      <c r="F2304" s="9">
        <v>78962.77</v>
      </c>
      <c r="G2304" s="9">
        <v>0</v>
      </c>
      <c r="H2304" s="9">
        <v>6392.93</v>
      </c>
      <c r="I2304" s="9">
        <v>0</v>
      </c>
      <c r="J2304" s="9">
        <v>242590.87</v>
      </c>
    </row>
    <row r="2305" spans="1:10" ht="15.75" x14ac:dyDescent="0.25">
      <c r="A2305" s="21">
        <v>45504</v>
      </c>
      <c r="B2305" t="str">
        <f>IFERROR(IF(VLOOKUP(C2305,Hoja1!$B$1:$C$6191,2,0)="",_xlfn.XLOOKUP(C2305,Hoja1!$B$2:$B$6191,Hoja1!$A$2:$A$6191),VLOOKUP(C2305,Hoja1!$B$1:$C$6191,2,0)),"No esta en Infor")</f>
        <v>SH02202</v>
      </c>
      <c r="C2305" s="19" t="s">
        <v>605</v>
      </c>
      <c r="D2305" s="9">
        <v>43.15</v>
      </c>
      <c r="E2305" s="9">
        <v>0</v>
      </c>
      <c r="F2305" s="9">
        <v>0</v>
      </c>
      <c r="G2305" s="9">
        <v>0</v>
      </c>
      <c r="H2305" s="9">
        <v>0</v>
      </c>
      <c r="I2305" s="9">
        <v>0</v>
      </c>
      <c r="J2305" s="9">
        <v>43.15</v>
      </c>
    </row>
    <row r="2306" spans="1:10" ht="15.75" x14ac:dyDescent="0.25">
      <c r="A2306" s="21">
        <v>45504</v>
      </c>
      <c r="B2306" t="str">
        <f>IFERROR(IF(VLOOKUP(C2306,Hoja1!$B$1:$C$6191,2,0)="",_xlfn.XLOOKUP(C2306,Hoja1!$B$2:$B$6191,Hoja1!$A$2:$A$6191),VLOOKUP(C2306,Hoja1!$B$1:$C$6191,2,0)),"No esta en Infor")</f>
        <v>CAN0060</v>
      </c>
      <c r="C2306" s="19" t="s">
        <v>422</v>
      </c>
      <c r="D2306" s="9">
        <v>0</v>
      </c>
      <c r="E2306" s="9">
        <v>0</v>
      </c>
      <c r="F2306" s="9">
        <v>-28.5</v>
      </c>
      <c r="G2306" s="9">
        <v>0</v>
      </c>
      <c r="H2306" s="9">
        <v>0</v>
      </c>
      <c r="I2306" s="9">
        <v>0</v>
      </c>
      <c r="J2306" s="9">
        <v>-28.5</v>
      </c>
    </row>
    <row r="2307" spans="1:10" ht="15.75" x14ac:dyDescent="0.25">
      <c r="A2307" s="21">
        <v>45504</v>
      </c>
      <c r="B2307" t="str">
        <f>IFERROR(IF(VLOOKUP(C2307,Hoja1!$B$1:$C$6191,2,0)="",_xlfn.XLOOKUP(C2307,Hoja1!$B$2:$B$6191,Hoja1!$A$2:$A$6191),VLOOKUP(C2307,Hoja1!$B$1:$C$6191,2,0)),"No esta en Infor")</f>
        <v>No esta en Infor</v>
      </c>
      <c r="C2307" s="19" t="s">
        <v>320</v>
      </c>
      <c r="D2307" s="9">
        <v>0</v>
      </c>
      <c r="E2307" s="9">
        <v>0</v>
      </c>
      <c r="F2307" s="9">
        <v>0</v>
      </c>
      <c r="G2307" s="9">
        <v>48.29</v>
      </c>
      <c r="H2307" s="9">
        <v>0</v>
      </c>
      <c r="I2307" s="9">
        <v>0</v>
      </c>
      <c r="J2307" s="9">
        <v>48.29</v>
      </c>
    </row>
    <row r="2308" spans="1:10" ht="15.75" x14ac:dyDescent="0.25">
      <c r="A2308" s="21">
        <v>45504</v>
      </c>
      <c r="B2308" t="str">
        <f>IFERROR(IF(VLOOKUP(C2308,Hoja1!$B$1:$C$6191,2,0)="",_xlfn.XLOOKUP(C2308,Hoja1!$B$2:$B$6191,Hoja1!$A$2:$A$6191),VLOOKUP(C2308,Hoja1!$B$1:$C$6191,2,0)),"No esta en Infor")</f>
        <v>NAC1347</v>
      </c>
      <c r="C2308" s="19" t="s">
        <v>606</v>
      </c>
      <c r="D2308" s="9">
        <v>1000</v>
      </c>
      <c r="E2308" s="9">
        <v>0</v>
      </c>
      <c r="F2308" s="9">
        <v>0</v>
      </c>
      <c r="G2308" s="9">
        <v>0</v>
      </c>
      <c r="H2308" s="9">
        <v>0</v>
      </c>
      <c r="I2308" s="9">
        <v>0</v>
      </c>
      <c r="J2308" s="9">
        <v>1000</v>
      </c>
    </row>
    <row r="2309" spans="1:10" ht="15.75" x14ac:dyDescent="0.25">
      <c r="A2309" s="21">
        <v>45504</v>
      </c>
      <c r="B2309" t="str">
        <f>IFERROR(IF(VLOOKUP(C2309,Hoja1!$B$1:$C$6191,2,0)="",_xlfn.XLOOKUP(C2309,Hoja1!$B$2:$B$6191,Hoja1!$A$2:$A$6191),VLOOKUP(C2309,Hoja1!$B$1:$C$6191,2,0)),"No esta en Infor")</f>
        <v>NAC1349</v>
      </c>
      <c r="C2309" s="19" t="s">
        <v>322</v>
      </c>
      <c r="D2309" s="9">
        <v>0</v>
      </c>
      <c r="E2309" s="9">
        <v>0</v>
      </c>
      <c r="F2309" s="9">
        <v>-178.85</v>
      </c>
      <c r="G2309" s="9">
        <v>-169.96</v>
      </c>
      <c r="H2309" s="9">
        <v>0</v>
      </c>
      <c r="I2309" s="9">
        <v>0</v>
      </c>
      <c r="J2309" s="9">
        <v>-348.81</v>
      </c>
    </row>
    <row r="2310" spans="1:10" ht="15.75" x14ac:dyDescent="0.25">
      <c r="A2310" s="21">
        <v>45504</v>
      </c>
      <c r="B2310" t="str">
        <f>IFERROR(IF(VLOOKUP(C2310,Hoja1!$B$1:$C$6191,2,0)="",_xlfn.XLOOKUP(C2310,Hoja1!$B$2:$B$6191,Hoja1!$A$2:$A$6191),VLOOKUP(C2310,Hoja1!$B$1:$C$6191,2,0)),"No esta en Infor")</f>
        <v>NAC1348</v>
      </c>
      <c r="C2310" s="19" t="s">
        <v>323</v>
      </c>
      <c r="D2310" s="9">
        <v>3055.43</v>
      </c>
      <c r="E2310" s="9">
        <v>0</v>
      </c>
      <c r="F2310" s="9">
        <v>0</v>
      </c>
      <c r="G2310" s="9">
        <v>0</v>
      </c>
      <c r="H2310" s="9">
        <v>0</v>
      </c>
      <c r="I2310" s="9">
        <v>0</v>
      </c>
      <c r="J2310" s="9">
        <v>3055.43</v>
      </c>
    </row>
    <row r="2311" spans="1:10" ht="15.75" x14ac:dyDescent="0.25">
      <c r="A2311" s="21">
        <v>45504</v>
      </c>
      <c r="B2311" t="str">
        <f>IFERROR(IF(VLOOKUP(C2311,Hoja1!$B$1:$C$6191,2,0)="",_xlfn.XLOOKUP(C2311,Hoja1!$B$2:$B$6191,Hoja1!$A$2:$A$6191),VLOOKUP(C2311,Hoja1!$B$1:$C$6191,2,0)),"No esta en Infor")</f>
        <v>NAC1356</v>
      </c>
      <c r="C2311" s="19" t="s">
        <v>325</v>
      </c>
      <c r="D2311" s="9">
        <v>0</v>
      </c>
      <c r="E2311" s="9">
        <v>0</v>
      </c>
      <c r="F2311" s="9">
        <v>0</v>
      </c>
      <c r="G2311" s="9">
        <v>-421.28</v>
      </c>
      <c r="H2311" s="9">
        <v>0</v>
      </c>
      <c r="I2311" s="9">
        <v>0</v>
      </c>
      <c r="J2311" s="9">
        <v>-421.28</v>
      </c>
    </row>
    <row r="2312" spans="1:10" ht="15.75" x14ac:dyDescent="0.25">
      <c r="A2312" s="21">
        <v>45504</v>
      </c>
      <c r="B2312" t="str">
        <f>IFERROR(IF(VLOOKUP(C2312,Hoja1!$B$1:$C$6191,2,0)="",_xlfn.XLOOKUP(C2312,Hoja1!$B$2:$B$6191,Hoja1!$A$2:$A$6191),VLOOKUP(C2312,Hoja1!$B$1:$C$6191,2,0)),"No esta en Infor")</f>
        <v>NAC1359</v>
      </c>
      <c r="C2312" s="19" t="s">
        <v>524</v>
      </c>
      <c r="D2312" s="9">
        <v>19320</v>
      </c>
      <c r="E2312" s="9">
        <v>0</v>
      </c>
      <c r="F2312" s="9">
        <v>0</v>
      </c>
      <c r="G2312" s="9">
        <v>0</v>
      </c>
      <c r="H2312" s="9">
        <v>0</v>
      </c>
      <c r="I2312" s="9">
        <v>0</v>
      </c>
      <c r="J2312" s="9">
        <v>19320</v>
      </c>
    </row>
    <row r="2313" spans="1:10" ht="15.75" x14ac:dyDescent="0.25">
      <c r="A2313" s="21">
        <v>45504</v>
      </c>
      <c r="B2313" t="str">
        <f>IFERROR(IF(VLOOKUP(C2313,Hoja1!$B$1:$C$6191,2,0)="",_xlfn.XLOOKUP(C2313,Hoja1!$B$2:$B$6191,Hoja1!$A$2:$A$6191),VLOOKUP(C2313,Hoja1!$B$1:$C$6191,2,0)),"No esta en Infor")</f>
        <v>NAC1372</v>
      </c>
      <c r="C2313" s="19" t="s">
        <v>607</v>
      </c>
      <c r="D2313" s="9">
        <v>2288.1</v>
      </c>
      <c r="E2313" s="9">
        <v>0</v>
      </c>
      <c r="F2313" s="9">
        <v>0</v>
      </c>
      <c r="G2313" s="9">
        <v>0</v>
      </c>
      <c r="H2313" s="9">
        <v>0</v>
      </c>
      <c r="I2313" s="9">
        <v>0</v>
      </c>
      <c r="J2313" s="9">
        <v>2288.1</v>
      </c>
    </row>
    <row r="2314" spans="1:10" ht="15.75" x14ac:dyDescent="0.25">
      <c r="A2314" s="21">
        <v>45504</v>
      </c>
      <c r="B2314" t="str">
        <f>IFERROR(IF(VLOOKUP(C2314,Hoja1!$B$1:$C$6191,2,0)="",_xlfn.XLOOKUP(C2314,Hoja1!$B$2:$B$6191,Hoja1!$A$2:$A$6191),VLOOKUP(C2314,Hoja1!$B$1:$C$6191,2,0)),"No esta en Infor")</f>
        <v>NAC1376</v>
      </c>
      <c r="C2314" s="19" t="s">
        <v>331</v>
      </c>
      <c r="D2314" s="9">
        <v>0</v>
      </c>
      <c r="E2314" s="9">
        <v>42355</v>
      </c>
      <c r="F2314" s="9">
        <v>0</v>
      </c>
      <c r="G2314" s="9">
        <v>0</v>
      </c>
      <c r="H2314" s="9">
        <v>0</v>
      </c>
      <c r="I2314" s="9">
        <v>0</v>
      </c>
      <c r="J2314" s="9">
        <v>42355</v>
      </c>
    </row>
    <row r="2315" spans="1:10" ht="15.75" x14ac:dyDescent="0.25">
      <c r="A2315" s="21">
        <v>45504</v>
      </c>
      <c r="B2315" t="str">
        <f>IFERROR(IF(VLOOKUP(C2315,Hoja1!$B$1:$C$6191,2,0)="",_xlfn.XLOOKUP(C2315,Hoja1!$B$2:$B$6191,Hoja1!$A$2:$A$6191),VLOOKUP(C2315,Hoja1!$B$1:$C$6191,2,0)),"No esta en Infor")</f>
        <v>NAC1381</v>
      </c>
      <c r="C2315" s="19" t="s">
        <v>478</v>
      </c>
      <c r="D2315" s="9">
        <v>0</v>
      </c>
      <c r="E2315" s="9">
        <v>-5.28</v>
      </c>
      <c r="F2315" s="9">
        <v>0</v>
      </c>
      <c r="G2315" s="9">
        <v>0</v>
      </c>
      <c r="H2315" s="9">
        <v>0</v>
      </c>
      <c r="I2315" s="9">
        <v>0</v>
      </c>
      <c r="J2315" s="9">
        <v>-5.28</v>
      </c>
    </row>
    <row r="2316" spans="1:10" ht="15.75" x14ac:dyDescent="0.25">
      <c r="A2316" s="21">
        <v>45504</v>
      </c>
      <c r="B2316" t="str">
        <f>IFERROR(IF(VLOOKUP(C2316,Hoja1!$B$1:$C$6191,2,0)="",_xlfn.XLOOKUP(C2316,Hoja1!$B$2:$B$6191,Hoja1!$A$2:$A$6191),VLOOKUP(C2316,Hoja1!$B$1:$C$6191,2,0)),"No esta en Infor")</f>
        <v>NAC1382</v>
      </c>
      <c r="C2316" s="19" t="s">
        <v>332</v>
      </c>
      <c r="D2316" s="9">
        <v>72060</v>
      </c>
      <c r="E2316" s="9">
        <v>59549.07</v>
      </c>
      <c r="F2316" s="9">
        <v>0</v>
      </c>
      <c r="G2316" s="9">
        <v>0</v>
      </c>
      <c r="H2316" s="9">
        <v>0</v>
      </c>
      <c r="I2316" s="9">
        <v>0</v>
      </c>
      <c r="J2316" s="9">
        <v>131609.07</v>
      </c>
    </row>
    <row r="2317" spans="1:10" ht="15.75" x14ac:dyDescent="0.25">
      <c r="A2317" s="21">
        <v>45504</v>
      </c>
      <c r="B2317" t="str">
        <f>IFERROR(IF(VLOOKUP(C2317,Hoja1!$B$1:$C$6191,2,0)="",_xlfn.XLOOKUP(C2317,Hoja1!$B$2:$B$6191,Hoja1!$A$2:$A$6191),VLOOKUP(C2317,Hoja1!$B$1:$C$6191,2,0)),"No esta en Infor")</f>
        <v>NAC1395</v>
      </c>
      <c r="C2317" s="19" t="s">
        <v>337</v>
      </c>
      <c r="D2317" s="9">
        <v>9874</v>
      </c>
      <c r="E2317" s="9">
        <v>7046</v>
      </c>
      <c r="F2317" s="9">
        <v>0</v>
      </c>
      <c r="G2317" s="9">
        <v>0</v>
      </c>
      <c r="H2317" s="9">
        <v>0</v>
      </c>
      <c r="I2317" s="9">
        <v>0</v>
      </c>
      <c r="J2317" s="9">
        <v>16920</v>
      </c>
    </row>
    <row r="2318" spans="1:10" ht="15.75" x14ac:dyDescent="0.25">
      <c r="A2318" s="21">
        <v>45504</v>
      </c>
      <c r="B2318" t="str">
        <f>IFERROR(IF(VLOOKUP(C2318,Hoja1!$B$1:$C$6191,2,0)="",_xlfn.XLOOKUP(C2318,Hoja1!$B$2:$B$6191,Hoja1!$A$2:$A$6191),VLOOKUP(C2318,Hoja1!$B$1:$C$6191,2,0)),"No esta en Infor")</f>
        <v>No esta en Infor</v>
      </c>
      <c r="C2318" s="19" t="s">
        <v>338</v>
      </c>
      <c r="D2318" s="9">
        <v>0</v>
      </c>
      <c r="E2318" s="9">
        <v>0</v>
      </c>
      <c r="F2318" s="9">
        <v>0</v>
      </c>
      <c r="G2318" s="9">
        <v>0</v>
      </c>
      <c r="H2318" s="9">
        <v>0</v>
      </c>
      <c r="I2318" s="9">
        <v>-340.25</v>
      </c>
      <c r="J2318" s="9">
        <v>-340.25</v>
      </c>
    </row>
    <row r="2319" spans="1:10" ht="15.75" x14ac:dyDescent="0.25">
      <c r="A2319" s="21">
        <v>45504</v>
      </c>
      <c r="B2319" t="str">
        <f>IFERROR(IF(VLOOKUP(C2319,Hoja1!$B$1:$C$6191,2,0)="",_xlfn.XLOOKUP(C2319,Hoja1!$B$2:$B$6191,Hoja1!$A$2:$A$6191),VLOOKUP(C2319,Hoja1!$B$1:$C$6191,2,0)),"No esta en Infor")</f>
        <v>NAC1404</v>
      </c>
      <c r="C2319" s="19" t="s">
        <v>592</v>
      </c>
      <c r="D2319" s="9">
        <v>0</v>
      </c>
      <c r="E2319" s="9">
        <v>-85.32</v>
      </c>
      <c r="F2319" s="9">
        <v>0</v>
      </c>
      <c r="G2319" s="9">
        <v>0</v>
      </c>
      <c r="H2319" s="9">
        <v>0</v>
      </c>
      <c r="I2319" s="9">
        <v>0</v>
      </c>
      <c r="J2319" s="9">
        <v>-85.32</v>
      </c>
    </row>
    <row r="2320" spans="1:10" ht="15.75" x14ac:dyDescent="0.25">
      <c r="A2320" s="21">
        <v>45504</v>
      </c>
      <c r="B2320" t="str">
        <f>IFERROR(IF(VLOOKUP(C2320,Hoja1!$B$1:$C$6191,2,0)="",_xlfn.XLOOKUP(C2320,Hoja1!$B$2:$B$6191,Hoja1!$A$2:$A$6191),VLOOKUP(C2320,Hoja1!$B$1:$C$6191,2,0)),"No esta en Infor")</f>
        <v>NAC1408</v>
      </c>
      <c r="C2320" s="19" t="s">
        <v>530</v>
      </c>
      <c r="D2320" s="9">
        <v>662</v>
      </c>
      <c r="E2320" s="9">
        <v>708</v>
      </c>
      <c r="F2320" s="9">
        <v>0</v>
      </c>
      <c r="G2320" s="9">
        <v>0</v>
      </c>
      <c r="H2320" s="9">
        <v>0</v>
      </c>
      <c r="I2320" s="9">
        <v>0</v>
      </c>
      <c r="J2320" s="9">
        <v>1370</v>
      </c>
    </row>
    <row r="2321" spans="1:10" ht="15.75" x14ac:dyDescent="0.25">
      <c r="A2321" s="21">
        <v>45504</v>
      </c>
      <c r="B2321" t="str">
        <f>IFERROR(IF(VLOOKUP(C2321,Hoja1!$B$1:$C$6191,2,0)="",_xlfn.XLOOKUP(C2321,Hoja1!$B$2:$B$6191,Hoja1!$A$2:$A$6191),VLOOKUP(C2321,Hoja1!$B$1:$C$6191,2,0)),"No esta en Infor")</f>
        <v>NAC1424</v>
      </c>
      <c r="C2321" s="19" t="s">
        <v>345</v>
      </c>
      <c r="D2321" s="9">
        <v>21883.599999999999</v>
      </c>
      <c r="E2321" s="9">
        <v>0</v>
      </c>
      <c r="F2321" s="9">
        <v>0</v>
      </c>
      <c r="G2321" s="9">
        <v>0</v>
      </c>
      <c r="H2321" s="9">
        <v>0</v>
      </c>
      <c r="I2321" s="9">
        <v>0</v>
      </c>
      <c r="J2321" s="9">
        <v>21883.599999999999</v>
      </c>
    </row>
    <row r="2322" spans="1:10" ht="15.75" x14ac:dyDescent="0.25">
      <c r="A2322" s="21">
        <v>45504</v>
      </c>
      <c r="B2322" t="str">
        <f>IFERROR(IF(VLOOKUP(C2322,Hoja1!$B$1:$C$6191,2,0)="",_xlfn.XLOOKUP(C2322,Hoja1!$B$2:$B$6191,Hoja1!$A$2:$A$6191),VLOOKUP(C2322,Hoja1!$B$1:$C$6191,2,0)),"No esta en Infor")</f>
        <v>NAC1432</v>
      </c>
      <c r="C2322" s="19" t="s">
        <v>575</v>
      </c>
      <c r="D2322" s="9">
        <v>0</v>
      </c>
      <c r="E2322" s="9">
        <v>-536.64</v>
      </c>
      <c r="F2322" s="9">
        <v>0</v>
      </c>
      <c r="G2322" s="9">
        <v>0</v>
      </c>
      <c r="H2322" s="9">
        <v>0</v>
      </c>
      <c r="I2322" s="9">
        <v>0</v>
      </c>
      <c r="J2322" s="9">
        <v>-536.64</v>
      </c>
    </row>
    <row r="2323" spans="1:10" ht="15.75" x14ac:dyDescent="0.25">
      <c r="A2323" s="21">
        <v>45504</v>
      </c>
      <c r="B2323" t="str">
        <f>IFERROR(IF(VLOOKUP(C2323,Hoja1!$B$1:$C$6191,2,0)="",_xlfn.XLOOKUP(C2323,Hoja1!$B$2:$B$6191,Hoja1!$A$2:$A$6191),VLOOKUP(C2323,Hoja1!$B$1:$C$6191,2,0)),"No esta en Infor")</f>
        <v>NAC1445</v>
      </c>
      <c r="C2323" s="19" t="s">
        <v>481</v>
      </c>
      <c r="D2323" s="9">
        <v>25</v>
      </c>
      <c r="E2323" s="9">
        <v>0</v>
      </c>
      <c r="F2323" s="9">
        <v>0</v>
      </c>
      <c r="G2323" s="9">
        <v>0</v>
      </c>
      <c r="H2323" s="9">
        <v>0</v>
      </c>
      <c r="I2323" s="9">
        <v>0</v>
      </c>
      <c r="J2323" s="9">
        <v>25</v>
      </c>
    </row>
    <row r="2324" spans="1:10" ht="15.75" x14ac:dyDescent="0.25">
      <c r="A2324" s="21">
        <v>45504</v>
      </c>
      <c r="B2324" t="str">
        <f>IFERROR(IF(VLOOKUP(C2324,Hoja1!$B$1:$C$6191,2,0)="",_xlfn.XLOOKUP(C2324,Hoja1!$B$2:$B$6191,Hoja1!$A$2:$A$6191),VLOOKUP(C2324,Hoja1!$B$1:$C$6191,2,0)),"No esta en Infor")</f>
        <v>CAN0074</v>
      </c>
      <c r="C2324" s="19" t="s">
        <v>350</v>
      </c>
      <c r="D2324" s="9">
        <v>0</v>
      </c>
      <c r="E2324" s="9">
        <v>63402.15</v>
      </c>
      <c r="F2324" s="9">
        <v>0</v>
      </c>
      <c r="G2324" s="9">
        <v>0</v>
      </c>
      <c r="H2324" s="9">
        <v>0</v>
      </c>
      <c r="I2324" s="9">
        <v>0</v>
      </c>
      <c r="J2324" s="9">
        <v>63402.15</v>
      </c>
    </row>
    <row r="2325" spans="1:10" ht="15.75" x14ac:dyDescent="0.25">
      <c r="A2325" s="21">
        <v>45504</v>
      </c>
      <c r="B2325" t="str">
        <f>IFERROR(IF(VLOOKUP(C2325,Hoja1!$B$1:$C$6191,2,0)="",_xlfn.XLOOKUP(C2325,Hoja1!$B$2:$B$6191,Hoja1!$A$2:$A$6191),VLOOKUP(C2325,Hoja1!$B$1:$C$6191,2,0)),"No esta en Infor")</f>
        <v>CAN0078</v>
      </c>
      <c r="C2325" s="19" t="s">
        <v>55</v>
      </c>
      <c r="D2325" s="9">
        <v>2497.3000000000002</v>
      </c>
      <c r="E2325" s="9">
        <v>0</v>
      </c>
      <c r="F2325" s="9">
        <v>0</v>
      </c>
      <c r="G2325" s="9">
        <v>0</v>
      </c>
      <c r="H2325" s="9">
        <v>0</v>
      </c>
      <c r="I2325" s="9">
        <v>0</v>
      </c>
      <c r="J2325" s="9">
        <v>2497.3000000000002</v>
      </c>
    </row>
    <row r="2326" spans="1:10" ht="15.75" x14ac:dyDescent="0.25">
      <c r="A2326" s="21">
        <v>45504</v>
      </c>
      <c r="B2326" t="str">
        <f>IFERROR(IF(VLOOKUP(C2326,Hoja1!$B$1:$C$6191,2,0)="",_xlfn.XLOOKUP(C2326,Hoja1!$B$2:$B$6191,Hoja1!$A$2:$A$6191),VLOOKUP(C2326,Hoja1!$B$1:$C$6191,2,0)),"No esta en Infor")</f>
        <v>CAN0080</v>
      </c>
      <c r="C2326" s="19" t="s">
        <v>533</v>
      </c>
      <c r="D2326" s="9">
        <v>0</v>
      </c>
      <c r="E2326" s="9">
        <v>0</v>
      </c>
      <c r="F2326" s="9">
        <v>-93.6</v>
      </c>
      <c r="G2326" s="9">
        <v>0</v>
      </c>
      <c r="H2326" s="9">
        <v>0</v>
      </c>
      <c r="I2326" s="9">
        <v>0</v>
      </c>
      <c r="J2326" s="9">
        <v>-93.6</v>
      </c>
    </row>
    <row r="2327" spans="1:10" ht="15.75" x14ac:dyDescent="0.25">
      <c r="A2327" s="21">
        <v>45504</v>
      </c>
      <c r="B2327" t="str">
        <f>IFERROR(IF(VLOOKUP(C2327,Hoja1!$B$1:$C$6191,2,0)="",_xlfn.XLOOKUP(C2327,Hoja1!$B$2:$B$6191,Hoja1!$A$2:$A$6191),VLOOKUP(C2327,Hoja1!$B$1:$C$6191,2,0)),"No esta en Infor")</f>
        <v>SH02813</v>
      </c>
      <c r="C2327" s="19" t="s">
        <v>608</v>
      </c>
      <c r="D2327" s="9">
        <v>0</v>
      </c>
      <c r="E2327" s="9">
        <v>211.44</v>
      </c>
      <c r="F2327" s="9">
        <v>0</v>
      </c>
      <c r="G2327" s="9">
        <v>0</v>
      </c>
      <c r="H2327" s="9">
        <v>0</v>
      </c>
      <c r="I2327" s="9">
        <v>0</v>
      </c>
      <c r="J2327" s="9">
        <v>211.44</v>
      </c>
    </row>
    <row r="2328" spans="1:10" ht="15.75" x14ac:dyDescent="0.25">
      <c r="A2328" s="21">
        <v>45504</v>
      </c>
      <c r="B2328" t="str">
        <f>IFERROR(IF(VLOOKUP(C2328,Hoja1!$B$1:$C$6191,2,0)="",_xlfn.XLOOKUP(C2328,Hoja1!$B$2:$B$6191,Hoja1!$A$2:$A$6191),VLOOKUP(C2328,Hoja1!$B$1:$C$6191,2,0)),"No esta en Infor")</f>
        <v>NAC1482</v>
      </c>
      <c r="C2328" s="19" t="s">
        <v>356</v>
      </c>
      <c r="D2328" s="9">
        <v>0</v>
      </c>
      <c r="E2328" s="9">
        <v>516.19000000000005</v>
      </c>
      <c r="F2328" s="9">
        <v>0</v>
      </c>
      <c r="G2328" s="9">
        <v>0</v>
      </c>
      <c r="H2328" s="9">
        <v>0</v>
      </c>
      <c r="I2328" s="9">
        <v>0</v>
      </c>
      <c r="J2328" s="9">
        <v>516.19000000000005</v>
      </c>
    </row>
    <row r="2329" spans="1:10" ht="15.75" x14ac:dyDescent="0.25">
      <c r="A2329" s="21">
        <v>45504</v>
      </c>
      <c r="B2329" t="str">
        <f>IFERROR(IF(VLOOKUP(C2329,Hoja1!$B$1:$C$6191,2,0)="",_xlfn.XLOOKUP(C2329,Hoja1!$B$2:$B$6191,Hoja1!$A$2:$A$6191),VLOOKUP(C2329,Hoja1!$B$1:$C$6191,2,0)),"No esta en Infor")</f>
        <v>NAC1483</v>
      </c>
      <c r="C2329" s="19" t="s">
        <v>357</v>
      </c>
      <c r="D2329" s="9">
        <v>6573.12</v>
      </c>
      <c r="E2329" s="9">
        <v>0</v>
      </c>
      <c r="F2329" s="9">
        <v>0</v>
      </c>
      <c r="G2329" s="9">
        <v>0</v>
      </c>
      <c r="H2329" s="9">
        <v>0</v>
      </c>
      <c r="I2329" s="9">
        <v>0</v>
      </c>
      <c r="J2329" s="9">
        <v>6573.12</v>
      </c>
    </row>
    <row r="2330" spans="1:10" ht="15.75" x14ac:dyDescent="0.25">
      <c r="A2330" s="21">
        <v>45504</v>
      </c>
      <c r="B2330" t="str">
        <f>IFERROR(IF(VLOOKUP(C2330,Hoja1!$B$1:$C$6191,2,0)="",_xlfn.XLOOKUP(C2330,Hoja1!$B$2:$B$6191,Hoja1!$A$2:$A$6191),VLOOKUP(C2330,Hoja1!$B$1:$C$6191,2,0)),"No esta en Infor")</f>
        <v>NAC1486</v>
      </c>
      <c r="C2330" s="19" t="s">
        <v>609</v>
      </c>
      <c r="D2330" s="9">
        <v>1454.38</v>
      </c>
      <c r="E2330" s="9">
        <v>0</v>
      </c>
      <c r="F2330" s="9">
        <v>0</v>
      </c>
      <c r="G2330" s="9">
        <v>0</v>
      </c>
      <c r="H2330" s="9">
        <v>0</v>
      </c>
      <c r="I2330" s="9">
        <v>0</v>
      </c>
      <c r="J2330" s="9">
        <v>1454.38</v>
      </c>
    </row>
    <row r="2331" spans="1:10" ht="15.75" x14ac:dyDescent="0.25">
      <c r="A2331" s="21">
        <v>45504</v>
      </c>
      <c r="B2331" t="str">
        <f>IFERROR(IF(VLOOKUP(C2331,Hoja1!$B$1:$C$6191,2,0)="",_xlfn.XLOOKUP(C2331,Hoja1!$B$2:$B$6191,Hoja1!$A$2:$A$6191),VLOOKUP(C2331,Hoja1!$B$1:$C$6191,2,0)),"No esta en Infor")</f>
        <v>CAN0081</v>
      </c>
      <c r="C2331" s="19" t="s">
        <v>431</v>
      </c>
      <c r="D2331" s="9">
        <v>0</v>
      </c>
      <c r="E2331" s="9">
        <v>-585</v>
      </c>
      <c r="F2331" s="9">
        <v>0</v>
      </c>
      <c r="G2331" s="9">
        <v>0</v>
      </c>
      <c r="H2331" s="9">
        <v>0</v>
      </c>
      <c r="I2331" s="9">
        <v>0</v>
      </c>
      <c r="J2331" s="9">
        <v>-585</v>
      </c>
    </row>
    <row r="2332" spans="1:10" ht="15.75" x14ac:dyDescent="0.25">
      <c r="A2332" s="21">
        <v>45504</v>
      </c>
      <c r="B2332" t="str">
        <f>IFERROR(IF(VLOOKUP(C2332,Hoja1!$B$1:$C$6191,2,0)="",_xlfn.XLOOKUP(C2332,Hoja1!$B$2:$B$6191,Hoja1!$A$2:$A$6191),VLOOKUP(C2332,Hoja1!$B$1:$C$6191,2,0)),"No esta en Infor")</f>
        <v>NAC1498</v>
      </c>
      <c r="C2332" s="19" t="s">
        <v>610</v>
      </c>
      <c r="D2332" s="9">
        <v>3557</v>
      </c>
      <c r="E2332" s="9">
        <v>0</v>
      </c>
      <c r="F2332" s="9">
        <v>0</v>
      </c>
      <c r="G2332" s="9">
        <v>0</v>
      </c>
      <c r="H2332" s="9">
        <v>0</v>
      </c>
      <c r="I2332" s="9">
        <v>0</v>
      </c>
      <c r="J2332" s="9">
        <v>3557</v>
      </c>
    </row>
    <row r="2333" spans="1:10" ht="15.75" x14ac:dyDescent="0.25">
      <c r="A2333" s="21">
        <v>45504</v>
      </c>
      <c r="B2333" t="str">
        <f>IFERROR(IF(VLOOKUP(C2333,Hoja1!$B$1:$C$6191,2,0)="",_xlfn.XLOOKUP(C2333,Hoja1!$B$2:$B$6191,Hoja1!$A$2:$A$6191),VLOOKUP(C2333,Hoja1!$B$1:$C$6191,2,0)),"No esta en Infor")</f>
        <v>NAC1504</v>
      </c>
      <c r="C2333" s="19" t="s">
        <v>363</v>
      </c>
      <c r="D2333" s="9">
        <v>0</v>
      </c>
      <c r="E2333" s="9">
        <v>1805</v>
      </c>
      <c r="F2333" s="9">
        <v>0</v>
      </c>
      <c r="G2333" s="9">
        <v>0</v>
      </c>
      <c r="H2333" s="9">
        <v>0</v>
      </c>
      <c r="I2333" s="9">
        <v>0</v>
      </c>
      <c r="J2333" s="9">
        <v>1805</v>
      </c>
    </row>
    <row r="2334" spans="1:10" ht="15.75" x14ac:dyDescent="0.25">
      <c r="A2334" s="21">
        <v>45504</v>
      </c>
      <c r="B2334" t="str">
        <f>IFERROR(IF(VLOOKUP(C2334,Hoja1!$B$1:$C$6191,2,0)="",_xlfn.XLOOKUP(C2334,Hoja1!$B$2:$B$6191,Hoja1!$A$2:$A$6191),VLOOKUP(C2334,Hoja1!$B$1:$C$6191,2,0)),"No esta en Infor")</f>
        <v>NAC1517</v>
      </c>
      <c r="C2334" s="19" t="s">
        <v>365</v>
      </c>
      <c r="D2334" s="9">
        <v>14759.37</v>
      </c>
      <c r="E2334" s="9">
        <v>-808.92</v>
      </c>
      <c r="F2334" s="9">
        <v>-127.3</v>
      </c>
      <c r="G2334" s="9">
        <v>-501.9</v>
      </c>
      <c r="H2334" s="9">
        <v>0</v>
      </c>
      <c r="I2334" s="9">
        <v>0</v>
      </c>
      <c r="J2334" s="9">
        <v>13321.25</v>
      </c>
    </row>
    <row r="2335" spans="1:10" ht="15.75" x14ac:dyDescent="0.25">
      <c r="A2335" s="21">
        <v>45504</v>
      </c>
      <c r="B2335" t="str">
        <f>IFERROR(IF(VLOOKUP(C2335,Hoja1!$B$1:$C$6191,2,0)="",_xlfn.XLOOKUP(C2335,Hoja1!$B$2:$B$6191,Hoja1!$A$2:$A$6191),VLOOKUP(C2335,Hoja1!$B$1:$C$6191,2,0)),"No esta en Infor")</f>
        <v>NAC1521</v>
      </c>
      <c r="C2335" s="19" t="s">
        <v>593</v>
      </c>
      <c r="D2335" s="9">
        <v>0</v>
      </c>
      <c r="E2335" s="9">
        <v>-100</v>
      </c>
      <c r="F2335" s="9">
        <v>0</v>
      </c>
      <c r="G2335" s="9">
        <v>0</v>
      </c>
      <c r="H2335" s="9">
        <v>0</v>
      </c>
      <c r="I2335" s="9">
        <v>0</v>
      </c>
      <c r="J2335" s="9">
        <v>-100</v>
      </c>
    </row>
    <row r="2336" spans="1:10" ht="15.75" x14ac:dyDescent="0.25">
      <c r="A2336" s="21">
        <v>45504</v>
      </c>
      <c r="B2336" t="str">
        <f>IFERROR(IF(VLOOKUP(C2336,Hoja1!$B$1:$C$6191,2,0)="",_xlfn.XLOOKUP(C2336,Hoja1!$B$2:$B$6191,Hoja1!$A$2:$A$6191),VLOOKUP(C2336,Hoja1!$B$1:$C$6191,2,0)),"No esta en Infor")</f>
        <v>CAN0087</v>
      </c>
      <c r="C2336" s="19" t="s">
        <v>1091</v>
      </c>
      <c r="D2336" s="9">
        <v>5527.96</v>
      </c>
      <c r="E2336" s="9">
        <v>34681.919999999998</v>
      </c>
      <c r="F2336" s="9">
        <v>0</v>
      </c>
      <c r="G2336" s="9">
        <v>0</v>
      </c>
      <c r="H2336" s="9">
        <v>0</v>
      </c>
      <c r="I2336" s="9">
        <v>0</v>
      </c>
      <c r="J2336" s="9">
        <v>40209.879999999997</v>
      </c>
    </row>
    <row r="2337" spans="1:10" ht="15.75" x14ac:dyDescent="0.25">
      <c r="A2337" s="21">
        <v>45504</v>
      </c>
      <c r="B2337" t="str">
        <f>IFERROR(IF(VLOOKUP(C2337,Hoja1!$B$1:$C$6191,2,0)="",_xlfn.XLOOKUP(C2337,Hoja1!$B$2:$B$6191,Hoja1!$A$2:$A$6191),VLOOKUP(C2337,Hoja1!$B$1:$C$6191,2,0)),"No esta en Infor")</f>
        <v>CAN0088</v>
      </c>
      <c r="C2337" s="19" t="s">
        <v>369</v>
      </c>
      <c r="D2337" s="9">
        <v>0</v>
      </c>
      <c r="E2337" s="9">
        <v>0</v>
      </c>
      <c r="F2337" s="9">
        <v>-891</v>
      </c>
      <c r="G2337" s="9">
        <v>0</v>
      </c>
      <c r="H2337" s="9">
        <v>0</v>
      </c>
      <c r="I2337" s="9">
        <v>0</v>
      </c>
      <c r="J2337" s="9">
        <v>-891</v>
      </c>
    </row>
    <row r="2338" spans="1:10" ht="15.75" x14ac:dyDescent="0.25">
      <c r="A2338" s="21">
        <v>45504</v>
      </c>
      <c r="B2338" t="str">
        <f>IFERROR(IF(VLOOKUP(C2338,Hoja1!$B$1:$C$6191,2,0)="",_xlfn.XLOOKUP(C2338,Hoja1!$B$2:$B$6191,Hoja1!$A$2:$A$6191),VLOOKUP(C2338,Hoja1!$B$1:$C$6191,2,0)),"No esta en Infor")</f>
        <v>NAC1530</v>
      </c>
      <c r="C2338" s="19" t="s">
        <v>611</v>
      </c>
      <c r="D2338" s="9">
        <v>0</v>
      </c>
      <c r="E2338" s="9">
        <v>24.71</v>
      </c>
      <c r="F2338" s="9">
        <v>0</v>
      </c>
      <c r="G2338" s="9">
        <v>0</v>
      </c>
      <c r="H2338" s="9">
        <v>0</v>
      </c>
      <c r="I2338" s="9">
        <v>0</v>
      </c>
      <c r="J2338" s="9">
        <v>24.71</v>
      </c>
    </row>
    <row r="2339" spans="1:10" ht="15.75" x14ac:dyDescent="0.25">
      <c r="A2339" s="21">
        <v>45504</v>
      </c>
      <c r="B2339" t="str">
        <f>IFERROR(IF(VLOOKUP(C2339,Hoja1!$B$1:$C$6191,2,0)="",_xlfn.XLOOKUP(C2339,Hoja1!$B$2:$B$6191,Hoja1!$A$2:$A$6191),VLOOKUP(C2339,Hoja1!$B$1:$C$6191,2,0)),"No esta en Infor")</f>
        <v>NAC1538</v>
      </c>
      <c r="C2339" s="19" t="s">
        <v>536</v>
      </c>
      <c r="D2339" s="9">
        <v>82.58</v>
      </c>
      <c r="E2339" s="9">
        <v>0</v>
      </c>
      <c r="F2339" s="9">
        <v>0</v>
      </c>
      <c r="G2339" s="9">
        <v>0</v>
      </c>
      <c r="H2339" s="9">
        <v>0</v>
      </c>
      <c r="I2339" s="9">
        <v>0</v>
      </c>
      <c r="J2339" s="9">
        <v>82.58</v>
      </c>
    </row>
    <row r="2340" spans="1:10" ht="15.75" x14ac:dyDescent="0.25">
      <c r="A2340" s="21">
        <v>45504</v>
      </c>
      <c r="B2340" t="str">
        <f>IFERROR(IF(VLOOKUP(C2340,Hoja1!$B$1:$C$6191,2,0)="",_xlfn.XLOOKUP(C2340,Hoja1!$B$2:$B$6191,Hoja1!$A$2:$A$6191),VLOOKUP(C2340,Hoja1!$B$1:$C$6191,2,0)),"No esta en Infor")</f>
        <v>NAC1539</v>
      </c>
      <c r="C2340" s="19" t="s">
        <v>58</v>
      </c>
      <c r="D2340" s="9">
        <v>0</v>
      </c>
      <c r="E2340" s="9">
        <v>0</v>
      </c>
      <c r="F2340" s="9">
        <v>0</v>
      </c>
      <c r="G2340" s="9">
        <v>-5524.8</v>
      </c>
      <c r="H2340" s="9">
        <v>0</v>
      </c>
      <c r="I2340" s="9">
        <v>0</v>
      </c>
      <c r="J2340" s="9">
        <v>-5524.8</v>
      </c>
    </row>
    <row r="2341" spans="1:10" ht="15.75" x14ac:dyDescent="0.25">
      <c r="A2341" s="21">
        <v>45535</v>
      </c>
      <c r="B2341" t="str">
        <f>IFERROR(IF(VLOOKUP(C2341,Hoja1!$B$1:$C$6191,2,0)="",_xlfn.XLOOKUP(C2341,Hoja1!$B$2:$B$6191,Hoja1!$A$2:$A$6191),VLOOKUP(C2341,Hoja1!$B$1:$C$6191,2,0)),"No esta en Infor")</f>
        <v>NAC0474</v>
      </c>
      <c r="C2341" s="11" t="s">
        <v>375</v>
      </c>
      <c r="D2341" s="8">
        <v>0</v>
      </c>
      <c r="E2341" s="8">
        <v>0</v>
      </c>
      <c r="F2341" s="8">
        <v>195.46</v>
      </c>
      <c r="G2341" s="8">
        <v>0</v>
      </c>
      <c r="H2341" s="8">
        <v>0</v>
      </c>
      <c r="I2341" s="8">
        <v>0</v>
      </c>
      <c r="J2341" s="8">
        <v>195.46</v>
      </c>
    </row>
    <row r="2342" spans="1:10" ht="15.75" x14ac:dyDescent="0.25">
      <c r="A2342" s="21">
        <v>45535</v>
      </c>
      <c r="B2342" t="str">
        <f>IFERROR(IF(VLOOKUP(C2342,Hoja1!$B$1:$C$6191,2,0)="",_xlfn.XLOOKUP(C2342,Hoja1!$B$2:$B$6191,Hoja1!$A$2:$A$6191),VLOOKUP(C2342,Hoja1!$B$1:$C$6191,2,0)),"No esta en Infor")</f>
        <v>NAC0476</v>
      </c>
      <c r="C2342" s="11" t="s">
        <v>11</v>
      </c>
      <c r="D2342" s="8">
        <v>163244.96</v>
      </c>
      <c r="E2342" s="8">
        <v>35090.58</v>
      </c>
      <c r="F2342" s="8">
        <v>2700</v>
      </c>
      <c r="G2342" s="8">
        <v>-345.39</v>
      </c>
      <c r="H2342" s="8">
        <v>0</v>
      </c>
      <c r="I2342" s="8">
        <v>0</v>
      </c>
      <c r="J2342" s="8">
        <v>200690.15</v>
      </c>
    </row>
    <row r="2343" spans="1:10" ht="15.75" x14ac:dyDescent="0.25">
      <c r="A2343" s="21">
        <v>45535</v>
      </c>
      <c r="B2343" t="str">
        <f>IFERROR(IF(VLOOKUP(C2343,Hoja1!$B$1:$C$6191,2,0)="",_xlfn.XLOOKUP(C2343,Hoja1!$B$2:$B$6191,Hoja1!$A$2:$A$6191),VLOOKUP(C2343,Hoja1!$B$1:$C$6191,2,0)),"No esta en Infor")</f>
        <v>NAC0483</v>
      </c>
      <c r="C2343" s="11" t="s">
        <v>12</v>
      </c>
      <c r="D2343" s="8">
        <v>1218.97</v>
      </c>
      <c r="E2343" s="8">
        <v>0</v>
      </c>
      <c r="F2343" s="8">
        <v>810</v>
      </c>
      <c r="G2343" s="8">
        <v>4383.6400000000003</v>
      </c>
      <c r="H2343" s="8">
        <v>3040.02</v>
      </c>
      <c r="I2343" s="8">
        <v>17814.68</v>
      </c>
      <c r="J2343" s="8">
        <v>27267.31</v>
      </c>
    </row>
    <row r="2344" spans="1:10" ht="15.75" x14ac:dyDescent="0.25">
      <c r="A2344" s="21">
        <v>45535</v>
      </c>
      <c r="B2344" t="str">
        <f>IFERROR(IF(VLOOKUP(C2344,Hoja1!$B$1:$C$6191,2,0)="",_xlfn.XLOOKUP(C2344,Hoja1!$B$2:$B$6191,Hoja1!$A$2:$A$6191),VLOOKUP(C2344,Hoja1!$B$1:$C$6191,2,0)),"No esta en Infor")</f>
        <v>CAN0002</v>
      </c>
      <c r="C2344" s="11" t="s">
        <v>87</v>
      </c>
      <c r="D2344" s="8">
        <v>0</v>
      </c>
      <c r="E2344" s="8">
        <v>1586.52</v>
      </c>
      <c r="F2344" s="8">
        <v>-1102</v>
      </c>
      <c r="G2344" s="8">
        <v>547.53</v>
      </c>
      <c r="H2344" s="8">
        <v>0</v>
      </c>
      <c r="I2344" s="8">
        <v>0</v>
      </c>
      <c r="J2344" s="8">
        <v>1032.05</v>
      </c>
    </row>
    <row r="2345" spans="1:10" ht="15.75" x14ac:dyDescent="0.25">
      <c r="A2345" s="21">
        <v>45535</v>
      </c>
      <c r="B2345" t="str">
        <f>IFERROR(IF(VLOOKUP(C2345,Hoja1!$B$1:$C$6191,2,0)="",_xlfn.XLOOKUP(C2345,Hoja1!$B$2:$B$6191,Hoja1!$A$2:$A$6191),VLOOKUP(C2345,Hoja1!$B$1:$C$6191,2,0)),"No esta en Infor")</f>
        <v>NAC0573</v>
      </c>
      <c r="C2345" s="11" t="s">
        <v>15</v>
      </c>
      <c r="D2345" s="8">
        <v>30614.04</v>
      </c>
      <c r="E2345" s="8">
        <v>2228.5700000000002</v>
      </c>
      <c r="F2345" s="8">
        <v>213.4</v>
      </c>
      <c r="G2345" s="8">
        <v>-197.39</v>
      </c>
      <c r="H2345" s="8">
        <v>283.5</v>
      </c>
      <c r="I2345" s="8">
        <v>0</v>
      </c>
      <c r="J2345" s="8">
        <v>33142.120000000003</v>
      </c>
    </row>
    <row r="2346" spans="1:10" ht="15.75" x14ac:dyDescent="0.25">
      <c r="A2346" s="21">
        <v>45535</v>
      </c>
      <c r="B2346" t="str">
        <f>IFERROR(IF(VLOOKUP(C2346,Hoja1!$B$1:$C$6191,2,0)="",_xlfn.XLOOKUP(C2346,Hoja1!$B$2:$B$6191,Hoja1!$A$2:$A$6191),VLOOKUP(C2346,Hoja1!$B$1:$C$6191,2,0)),"No esta en Infor")</f>
        <v>CAN0005</v>
      </c>
      <c r="C2346" s="11" t="s">
        <v>90</v>
      </c>
      <c r="D2346" s="8">
        <v>79349.23</v>
      </c>
      <c r="E2346" s="8">
        <v>54134.400000000001</v>
      </c>
      <c r="F2346" s="8">
        <v>20</v>
      </c>
      <c r="G2346" s="8">
        <v>0</v>
      </c>
      <c r="H2346" s="8">
        <v>10260</v>
      </c>
      <c r="I2346" s="8">
        <v>0</v>
      </c>
      <c r="J2346" s="8">
        <v>143763.63</v>
      </c>
    </row>
    <row r="2347" spans="1:10" ht="15.75" x14ac:dyDescent="0.25">
      <c r="A2347" s="21">
        <v>45535</v>
      </c>
      <c r="B2347" t="str">
        <f>IFERROR(IF(VLOOKUP(C2347,Hoja1!$B$1:$C$6191,2,0)="",_xlfn.XLOOKUP(C2347,Hoja1!$B$2:$B$6191,Hoja1!$A$2:$A$6191),VLOOKUP(C2347,Hoja1!$B$1:$C$6191,2,0)),"No esta en Infor")</f>
        <v>CAN0006</v>
      </c>
      <c r="C2347" s="11" t="s">
        <v>17</v>
      </c>
      <c r="D2347" s="8">
        <v>17027.849999999999</v>
      </c>
      <c r="E2347" s="8">
        <v>158.02000000000001</v>
      </c>
      <c r="F2347" s="8">
        <v>147</v>
      </c>
      <c r="G2347" s="8">
        <v>-5738.17</v>
      </c>
      <c r="H2347" s="8">
        <v>4554.5</v>
      </c>
      <c r="I2347" s="8">
        <v>0</v>
      </c>
      <c r="J2347" s="8">
        <v>16149.2</v>
      </c>
    </row>
    <row r="2348" spans="1:10" ht="15.75" x14ac:dyDescent="0.25">
      <c r="A2348" s="21">
        <v>45535</v>
      </c>
      <c r="B2348" t="str">
        <f>IFERROR(IF(VLOOKUP(C2348,Hoja1!$B$1:$C$6191,2,0)="",_xlfn.XLOOKUP(C2348,Hoja1!$B$2:$B$6191,Hoja1!$A$2:$A$6191),VLOOKUP(C2348,Hoja1!$B$1:$C$6191,2,0)),"No esta en Infor")</f>
        <v>NAC0613</v>
      </c>
      <c r="C2348" s="11" t="s">
        <v>101</v>
      </c>
      <c r="D2348" s="8">
        <v>440.78</v>
      </c>
      <c r="E2348" s="8">
        <v>11.6</v>
      </c>
      <c r="F2348" s="8">
        <v>12.3</v>
      </c>
      <c r="G2348" s="8">
        <v>-81.599999999999994</v>
      </c>
      <c r="H2348" s="8">
        <v>0</v>
      </c>
      <c r="I2348" s="8">
        <v>0</v>
      </c>
      <c r="J2348" s="8">
        <v>383.08</v>
      </c>
    </row>
    <row r="2349" spans="1:10" ht="15.75" x14ac:dyDescent="0.25">
      <c r="A2349" s="21">
        <v>45535</v>
      </c>
      <c r="B2349" t="str">
        <f>IFERROR(IF(VLOOKUP(C2349,Hoja1!$B$1:$C$6191,2,0)="",_xlfn.XLOOKUP(C2349,Hoja1!$B$2:$B$6191,Hoja1!$A$2:$A$6191),VLOOKUP(C2349,Hoja1!$B$1:$C$6191,2,0)),"No esta en Infor")</f>
        <v>NAC0618</v>
      </c>
      <c r="C2349" s="11" t="s">
        <v>488</v>
      </c>
      <c r="D2349" s="8">
        <v>0</v>
      </c>
      <c r="E2349" s="8">
        <v>0</v>
      </c>
      <c r="F2349" s="8">
        <v>120.02</v>
      </c>
      <c r="G2349" s="8">
        <v>0</v>
      </c>
      <c r="H2349" s="8">
        <v>0</v>
      </c>
      <c r="I2349" s="8">
        <v>0</v>
      </c>
      <c r="J2349" s="8">
        <v>120.02</v>
      </c>
    </row>
    <row r="2350" spans="1:10" ht="15.75" x14ac:dyDescent="0.25">
      <c r="A2350" s="21">
        <v>45535</v>
      </c>
      <c r="B2350" t="str">
        <f>IFERROR(IF(VLOOKUP(C2350,Hoja1!$B$1:$C$6191,2,0)="",_xlfn.XLOOKUP(C2350,Hoja1!$B$2:$B$6191,Hoja1!$A$2:$A$6191),VLOOKUP(C2350,Hoja1!$B$1:$C$6191,2,0)),"No esta en Infor")</f>
        <v>CAN0011</v>
      </c>
      <c r="C2350" s="11" t="s">
        <v>121</v>
      </c>
      <c r="D2350" s="8">
        <v>0</v>
      </c>
      <c r="E2350" s="8">
        <v>0</v>
      </c>
      <c r="F2350" s="8">
        <v>39931.71</v>
      </c>
      <c r="G2350" s="8">
        <v>381.94</v>
      </c>
      <c r="H2350" s="8">
        <v>0</v>
      </c>
      <c r="I2350" s="8">
        <v>0</v>
      </c>
      <c r="J2350" s="8">
        <v>40313.65</v>
      </c>
    </row>
    <row r="2351" spans="1:10" ht="15.75" x14ac:dyDescent="0.25">
      <c r="A2351" s="21">
        <v>45535</v>
      </c>
      <c r="B2351" t="str">
        <f>IFERROR(IF(VLOOKUP(C2351,Hoja1!$B$1:$C$6191,2,0)="",_xlfn.XLOOKUP(C2351,Hoja1!$B$2:$B$6191,Hoja1!$A$2:$A$6191),VLOOKUP(C2351,Hoja1!$B$1:$C$6191,2,0)),"No esta en Infor")</f>
        <v>NAC0672</v>
      </c>
      <c r="C2351" s="11" t="s">
        <v>122</v>
      </c>
      <c r="D2351" s="8">
        <v>9310</v>
      </c>
      <c r="E2351" s="8">
        <v>222</v>
      </c>
      <c r="F2351" s="8">
        <v>105.8</v>
      </c>
      <c r="G2351" s="8">
        <v>0</v>
      </c>
      <c r="H2351" s="8">
        <v>0</v>
      </c>
      <c r="I2351" s="8">
        <v>0</v>
      </c>
      <c r="J2351" s="8">
        <v>9637.7999999999993</v>
      </c>
    </row>
    <row r="2352" spans="1:10" ht="15.75" x14ac:dyDescent="0.25">
      <c r="A2352" s="21">
        <v>45535</v>
      </c>
      <c r="B2352" t="str">
        <f>IFERROR(IF(VLOOKUP(C2352,Hoja1!$B$1:$C$6191,2,0)="",_xlfn.XLOOKUP(C2352,Hoja1!$B$2:$B$6191,Hoja1!$A$2:$A$6191),VLOOKUP(C2352,Hoja1!$B$1:$C$6191,2,0)),"No esta en Infor")</f>
        <v>NAC0673</v>
      </c>
      <c r="C2352" s="11" t="s">
        <v>390</v>
      </c>
      <c r="D2352" s="8">
        <v>0</v>
      </c>
      <c r="E2352" s="8">
        <v>0</v>
      </c>
      <c r="F2352" s="8">
        <v>32.729999999999997</v>
      </c>
      <c r="G2352" s="8">
        <v>0</v>
      </c>
      <c r="H2352" s="8">
        <v>0</v>
      </c>
      <c r="I2352" s="8">
        <v>0</v>
      </c>
      <c r="J2352" s="8">
        <v>32.729999999999997</v>
      </c>
    </row>
    <row r="2353" spans="1:10" ht="15.75" x14ac:dyDescent="0.25">
      <c r="A2353" s="21">
        <v>45535</v>
      </c>
      <c r="B2353" t="str">
        <f>IFERROR(IF(VLOOKUP(C2353,Hoja1!$B$1:$C$6191,2,0)="",_xlfn.XLOOKUP(C2353,Hoja1!$B$2:$B$6191,Hoja1!$A$2:$A$6191),VLOOKUP(C2353,Hoja1!$B$1:$C$6191,2,0)),"No esta en Infor")</f>
        <v>NAC0729</v>
      </c>
      <c r="C2353" s="11" t="s">
        <v>148</v>
      </c>
      <c r="D2353" s="8">
        <v>0</v>
      </c>
      <c r="E2353" s="8">
        <v>0</v>
      </c>
      <c r="F2353" s="8">
        <v>0</v>
      </c>
      <c r="G2353" s="8">
        <v>316</v>
      </c>
      <c r="H2353" s="8">
        <v>0</v>
      </c>
      <c r="I2353" s="8">
        <v>0</v>
      </c>
      <c r="J2353" s="8">
        <v>316</v>
      </c>
    </row>
    <row r="2354" spans="1:10" ht="15.75" x14ac:dyDescent="0.25">
      <c r="A2354" s="21">
        <v>45535</v>
      </c>
      <c r="B2354" t="str">
        <f>IFERROR(IF(VLOOKUP(C2354,Hoja1!$B$1:$C$6191,2,0)="",_xlfn.XLOOKUP(C2354,Hoja1!$B$2:$B$6191,Hoja1!$A$2:$A$6191),VLOOKUP(C2354,Hoja1!$B$1:$C$6191,2,0)),"No esta en Infor")</f>
        <v>NAC1608</v>
      </c>
      <c r="C2354" s="11" t="s">
        <v>538</v>
      </c>
      <c r="D2354" s="8">
        <v>563</v>
      </c>
      <c r="E2354" s="8">
        <v>-62.57</v>
      </c>
      <c r="F2354" s="8">
        <v>142</v>
      </c>
      <c r="G2354" s="8">
        <v>0</v>
      </c>
      <c r="H2354" s="8">
        <v>-308</v>
      </c>
      <c r="I2354" s="8">
        <v>0</v>
      </c>
      <c r="J2354" s="8">
        <v>334.43</v>
      </c>
    </row>
    <row r="2355" spans="1:10" ht="15.75" x14ac:dyDescent="0.25">
      <c r="A2355" s="21">
        <v>45535</v>
      </c>
      <c r="B2355" t="str">
        <f>IFERROR(IF(VLOOKUP(C2355,Hoja1!$B$1:$C$6191,2,0)="",_xlfn.XLOOKUP(C2355,Hoja1!$B$2:$B$6191,Hoja1!$A$2:$A$6191),VLOOKUP(C2355,Hoja1!$B$1:$C$6191,2,0)),"No esta en Infor")</f>
        <v>CAN0018</v>
      </c>
      <c r="C2355" s="11" t="s">
        <v>21</v>
      </c>
      <c r="D2355" s="8">
        <v>-49.78</v>
      </c>
      <c r="E2355" s="8">
        <v>21986.69</v>
      </c>
      <c r="F2355" s="8">
        <v>18519.64</v>
      </c>
      <c r="G2355" s="8">
        <v>0</v>
      </c>
      <c r="H2355" s="8">
        <v>4564.38</v>
      </c>
      <c r="I2355" s="8">
        <v>0</v>
      </c>
      <c r="J2355" s="8">
        <v>45020.93</v>
      </c>
    </row>
    <row r="2356" spans="1:10" ht="15.75" x14ac:dyDescent="0.25">
      <c r="A2356" s="21">
        <v>45535</v>
      </c>
      <c r="B2356" t="str">
        <f>IFERROR(IF(VLOOKUP(C2356,Hoja1!$B$1:$C$6191,2,0)="",_xlfn.XLOOKUP(C2356,Hoja1!$B$2:$B$6191,Hoja1!$A$2:$A$6191),VLOOKUP(C2356,Hoja1!$B$1:$C$6191,2,0)),"No esta en Infor")</f>
        <v>NAC0823</v>
      </c>
      <c r="C2356" s="11" t="s">
        <v>497</v>
      </c>
      <c r="D2356" s="8">
        <v>0</v>
      </c>
      <c r="E2356" s="8">
        <v>0</v>
      </c>
      <c r="F2356" s="8">
        <v>64.489999999999995</v>
      </c>
      <c r="G2356" s="8">
        <v>0</v>
      </c>
      <c r="H2356" s="8">
        <v>0</v>
      </c>
      <c r="I2356" s="8">
        <v>0</v>
      </c>
      <c r="J2356" s="8">
        <v>64.489999999999995</v>
      </c>
    </row>
    <row r="2357" spans="1:10" ht="15.75" x14ac:dyDescent="0.25">
      <c r="A2357" s="21">
        <v>45535</v>
      </c>
      <c r="B2357" t="str">
        <f>IFERROR(IF(VLOOKUP(C2357,Hoja1!$B$1:$C$6191,2,0)="",_xlfn.XLOOKUP(C2357,Hoja1!$B$2:$B$6191,Hoja1!$A$2:$A$6191),VLOOKUP(C2357,Hoja1!$B$1:$C$6191,2,0)),"No esta en Infor")</f>
        <v>NAC0838</v>
      </c>
      <c r="C2357" s="11" t="s">
        <v>396</v>
      </c>
      <c r="D2357" s="8">
        <v>0</v>
      </c>
      <c r="E2357" s="8">
        <v>0</v>
      </c>
      <c r="F2357" s="8">
        <v>0</v>
      </c>
      <c r="G2357" s="8">
        <v>54</v>
      </c>
      <c r="H2357" s="8">
        <v>0</v>
      </c>
      <c r="I2357" s="8">
        <v>0</v>
      </c>
      <c r="J2357" s="8">
        <v>54</v>
      </c>
    </row>
    <row r="2358" spans="1:10" ht="15.75" x14ac:dyDescent="0.25">
      <c r="A2358" s="21">
        <v>45535</v>
      </c>
      <c r="B2358" t="str">
        <f>IFERROR(IF(VLOOKUP(C2358,Hoja1!$B$1:$C$6191,2,0)="",_xlfn.XLOOKUP(C2358,Hoja1!$B$2:$B$6191,Hoja1!$A$2:$A$6191),VLOOKUP(C2358,Hoja1!$B$1:$C$6191,2,0)),"No esta en Infor")</f>
        <v>NAC0862</v>
      </c>
      <c r="C2358" s="11" t="s">
        <v>190</v>
      </c>
      <c r="D2358" s="8">
        <v>8.98</v>
      </c>
      <c r="E2358" s="8">
        <v>10</v>
      </c>
      <c r="F2358" s="8">
        <v>96.3</v>
      </c>
      <c r="G2358" s="8">
        <v>0</v>
      </c>
      <c r="H2358" s="8">
        <v>0</v>
      </c>
      <c r="I2358" s="8">
        <v>0</v>
      </c>
      <c r="J2358" s="8">
        <v>115.28</v>
      </c>
    </row>
    <row r="2359" spans="1:10" ht="15.75" x14ac:dyDescent="0.25">
      <c r="A2359" s="21">
        <v>45535</v>
      </c>
      <c r="B2359" t="str">
        <f>IFERROR(IF(VLOOKUP(C2359,Hoja1!$B$1:$C$6191,2,0)="",_xlfn.XLOOKUP(C2359,Hoja1!$B$2:$B$6191,Hoja1!$A$2:$A$6191),VLOOKUP(C2359,Hoja1!$B$1:$C$6191,2,0)),"No esta en Infor")</f>
        <v>NAC0869</v>
      </c>
      <c r="C2359" s="11" t="s">
        <v>192</v>
      </c>
      <c r="D2359" s="8">
        <v>0</v>
      </c>
      <c r="E2359" s="8">
        <v>46.2</v>
      </c>
      <c r="F2359" s="8">
        <v>440.2</v>
      </c>
      <c r="G2359" s="8">
        <v>46.1</v>
      </c>
      <c r="H2359" s="8">
        <v>0</v>
      </c>
      <c r="I2359" s="8">
        <v>0</v>
      </c>
      <c r="J2359" s="8">
        <v>532.5</v>
      </c>
    </row>
    <row r="2360" spans="1:10" ht="15.75" x14ac:dyDescent="0.25">
      <c r="A2360" s="21">
        <v>45535</v>
      </c>
      <c r="B2360" t="str">
        <f>IFERROR(IF(VLOOKUP(C2360,Hoja1!$B$1:$C$6191,2,0)="",_xlfn.XLOOKUP(C2360,Hoja1!$B$2:$B$6191,Hoja1!$A$2:$A$6191),VLOOKUP(C2360,Hoja1!$B$1:$C$6191,2,0)),"No esta en Infor")</f>
        <v>NAC0880</v>
      </c>
      <c r="C2360" s="11" t="s">
        <v>24</v>
      </c>
      <c r="D2360" s="8">
        <v>-532.67999999999995</v>
      </c>
      <c r="E2360" s="8">
        <v>11</v>
      </c>
      <c r="F2360" s="8">
        <v>389.84</v>
      </c>
      <c r="G2360" s="8">
        <v>431.33</v>
      </c>
      <c r="H2360" s="8">
        <v>0</v>
      </c>
      <c r="I2360" s="8">
        <v>1402.48</v>
      </c>
      <c r="J2360" s="8">
        <v>1701.97</v>
      </c>
    </row>
    <row r="2361" spans="1:10" ht="15.75" x14ac:dyDescent="0.25">
      <c r="A2361" s="21">
        <v>45535</v>
      </c>
      <c r="B2361" t="str">
        <f>IFERROR(IF(VLOOKUP(C2361,Hoja1!$B$1:$C$6191,2,0)="",_xlfn.XLOOKUP(C2361,Hoja1!$B$2:$B$6191,Hoja1!$A$2:$A$6191),VLOOKUP(C2361,Hoja1!$B$1:$C$6191,2,0)),"No esta en Infor")</f>
        <v>NAC0894</v>
      </c>
      <c r="C2361" s="11" t="s">
        <v>199</v>
      </c>
      <c r="D2361" s="8">
        <v>3090</v>
      </c>
      <c r="E2361" s="8">
        <v>3275.4</v>
      </c>
      <c r="F2361" s="8">
        <v>-4.97</v>
      </c>
      <c r="G2361" s="8">
        <v>814.97</v>
      </c>
      <c r="H2361" s="8">
        <v>0</v>
      </c>
      <c r="I2361" s="8">
        <v>0</v>
      </c>
      <c r="J2361" s="8">
        <v>7175.4</v>
      </c>
    </row>
    <row r="2362" spans="1:10" ht="15.75" x14ac:dyDescent="0.25">
      <c r="A2362" s="21">
        <v>45535</v>
      </c>
      <c r="B2362" t="str">
        <f>IFERROR(IF(VLOOKUP(C2362,Hoja1!$B$1:$C$6191,2,0)="",_xlfn.XLOOKUP(C2362,Hoja1!$B$2:$B$6191,Hoja1!$A$2:$A$6191),VLOOKUP(C2362,Hoja1!$B$1:$C$6191,2,0)),"No esta en Infor")</f>
        <v>NAC0900</v>
      </c>
      <c r="C2362" s="11" t="s">
        <v>201</v>
      </c>
      <c r="D2362" s="8">
        <v>0</v>
      </c>
      <c r="E2362" s="8">
        <v>942.53</v>
      </c>
      <c r="F2362" s="8">
        <v>857.75</v>
      </c>
      <c r="G2362" s="8">
        <v>0</v>
      </c>
      <c r="H2362" s="8">
        <v>0</v>
      </c>
      <c r="I2362" s="8">
        <v>0</v>
      </c>
      <c r="J2362" s="8">
        <v>1800.28</v>
      </c>
    </row>
    <row r="2363" spans="1:10" ht="15.75" x14ac:dyDescent="0.25">
      <c r="A2363" s="21">
        <v>45535</v>
      </c>
      <c r="B2363" t="str">
        <f>IFERROR(IF(VLOOKUP(C2363,Hoja1!$B$1:$C$6191,2,0)="",_xlfn.XLOOKUP(C2363,Hoja1!$B$2:$B$6191,Hoja1!$A$2:$A$6191),VLOOKUP(C2363,Hoja1!$B$1:$C$6191,2,0)),"No esta en Infor")</f>
        <v>CAN0023</v>
      </c>
      <c r="C2363" s="11" t="s">
        <v>554</v>
      </c>
      <c r="D2363" s="8">
        <v>0</v>
      </c>
      <c r="E2363" s="8">
        <v>0</v>
      </c>
      <c r="F2363" s="8">
        <v>508.5</v>
      </c>
      <c r="G2363" s="8">
        <v>0</v>
      </c>
      <c r="H2363" s="8">
        <v>0</v>
      </c>
      <c r="I2363" s="8">
        <v>0</v>
      </c>
      <c r="J2363" s="8">
        <v>508.5</v>
      </c>
    </row>
    <row r="2364" spans="1:10" ht="15.75" x14ac:dyDescent="0.25">
      <c r="A2364" s="21">
        <v>45535</v>
      </c>
      <c r="B2364" t="str">
        <f>IFERROR(IF(VLOOKUP(C2364,Hoja1!$B$1:$C$6191,2,0)="",_xlfn.XLOOKUP(C2364,Hoja1!$B$2:$B$6191,Hoja1!$A$2:$A$6191),VLOOKUP(C2364,Hoja1!$B$1:$C$6191,2,0)),"No esta en Infor")</f>
        <v>NAC0914</v>
      </c>
      <c r="C2364" s="11" t="s">
        <v>202</v>
      </c>
      <c r="D2364" s="8">
        <v>0</v>
      </c>
      <c r="E2364" s="8">
        <v>0</v>
      </c>
      <c r="F2364" s="8">
        <v>354.79</v>
      </c>
      <c r="G2364" s="8">
        <v>0</v>
      </c>
      <c r="H2364" s="8">
        <v>0</v>
      </c>
      <c r="I2364" s="8">
        <v>0</v>
      </c>
      <c r="J2364" s="8">
        <v>354.79</v>
      </c>
    </row>
    <row r="2365" spans="1:10" ht="15.75" x14ac:dyDescent="0.25">
      <c r="A2365" s="21">
        <v>45535</v>
      </c>
      <c r="B2365" t="str">
        <f>IFERROR(IF(VLOOKUP(C2365,Hoja1!$B$1:$C$6191,2,0)="",_xlfn.XLOOKUP(C2365,Hoja1!$B$2:$B$6191,Hoja1!$A$2:$A$6191),VLOOKUP(C2365,Hoja1!$B$1:$C$6191,2,0)),"No esta en Infor")</f>
        <v>CAN0025</v>
      </c>
      <c r="C2365" s="11" t="s">
        <v>26</v>
      </c>
      <c r="D2365" s="8">
        <v>0</v>
      </c>
      <c r="E2365" s="8">
        <v>0</v>
      </c>
      <c r="F2365" s="8">
        <v>3757.41</v>
      </c>
      <c r="G2365" s="8">
        <v>0</v>
      </c>
      <c r="H2365" s="8">
        <v>161.44999999999999</v>
      </c>
      <c r="I2365" s="8">
        <v>0</v>
      </c>
      <c r="J2365" s="8">
        <v>3918.86</v>
      </c>
    </row>
    <row r="2366" spans="1:10" ht="15.75" x14ac:dyDescent="0.25">
      <c r="A2366" s="21">
        <v>45535</v>
      </c>
      <c r="B2366" t="str">
        <f>IFERROR(IF(VLOOKUP(C2366,Hoja1!$B$1:$C$6191,2,0)="",_xlfn.XLOOKUP(C2366,Hoja1!$B$2:$B$6191,Hoja1!$A$2:$A$6191),VLOOKUP(C2366,Hoja1!$B$1:$C$6191,2,0)),"No esta en Infor")</f>
        <v>NAC0924</v>
      </c>
      <c r="C2366" s="11" t="s">
        <v>205</v>
      </c>
      <c r="D2366" s="8">
        <v>109012.88</v>
      </c>
      <c r="E2366" s="8">
        <v>0</v>
      </c>
      <c r="F2366" s="8">
        <v>336.28</v>
      </c>
      <c r="G2366" s="8">
        <v>0</v>
      </c>
      <c r="H2366" s="8">
        <v>0</v>
      </c>
      <c r="I2366" s="8">
        <v>0</v>
      </c>
      <c r="J2366" s="8">
        <v>109349.16</v>
      </c>
    </row>
    <row r="2367" spans="1:10" ht="15.75" x14ac:dyDescent="0.25">
      <c r="A2367" s="21">
        <v>45535</v>
      </c>
      <c r="B2367" t="str">
        <f>IFERROR(IF(VLOOKUP(C2367,Hoja1!$B$1:$C$6191,2,0)="",_xlfn.XLOOKUP(C2367,Hoja1!$B$2:$B$6191,Hoja1!$A$2:$A$6191),VLOOKUP(C2367,Hoja1!$B$1:$C$6191,2,0)),"No esta en Infor")</f>
        <v>CAN0030</v>
      </c>
      <c r="C2367" s="11" t="s">
        <v>210</v>
      </c>
      <c r="D2367" s="8">
        <v>23074.74</v>
      </c>
      <c r="E2367" s="8">
        <v>885.5</v>
      </c>
      <c r="F2367" s="8">
        <v>8855.2800000000007</v>
      </c>
      <c r="G2367" s="8">
        <v>0</v>
      </c>
      <c r="H2367" s="8">
        <v>0</v>
      </c>
      <c r="I2367" s="8">
        <v>0</v>
      </c>
      <c r="J2367" s="8">
        <v>32815.519999999997</v>
      </c>
    </row>
    <row r="2368" spans="1:10" ht="15.75" x14ac:dyDescent="0.25">
      <c r="A2368" s="21">
        <v>45535</v>
      </c>
      <c r="B2368" t="str">
        <f>IFERROR(IF(VLOOKUP(C2368,Hoja1!$B$1:$C$6191,2,0)="",_xlfn.XLOOKUP(C2368,Hoja1!$B$2:$B$6191,Hoja1!$A$2:$A$6191),VLOOKUP(C2368,Hoja1!$B$1:$C$6191,2,0)),"No esta en Infor")</f>
        <v>NAC0971</v>
      </c>
      <c r="C2368" s="11" t="s">
        <v>219</v>
      </c>
      <c r="D2368" s="8">
        <v>407.97</v>
      </c>
      <c r="E2368" s="8">
        <v>0</v>
      </c>
      <c r="F2368" s="8">
        <v>0</v>
      </c>
      <c r="G2368" s="8">
        <v>0</v>
      </c>
      <c r="H2368" s="8">
        <v>429</v>
      </c>
      <c r="I2368" s="8">
        <v>0</v>
      </c>
      <c r="J2368" s="8">
        <v>836.97</v>
      </c>
    </row>
    <row r="2369" spans="1:10" ht="15.75" x14ac:dyDescent="0.25">
      <c r="A2369" s="21">
        <v>45535</v>
      </c>
      <c r="B2369" t="str">
        <f>IFERROR(IF(VLOOKUP(C2369,Hoja1!$B$1:$C$6191,2,0)="",_xlfn.XLOOKUP(C2369,Hoja1!$B$2:$B$6191,Hoja1!$A$2:$A$6191),VLOOKUP(C2369,Hoja1!$B$1:$C$6191,2,0)),"No esta en Infor")</f>
        <v>NAC0972</v>
      </c>
      <c r="C2369" s="11" t="s">
        <v>221</v>
      </c>
      <c r="D2369" s="8">
        <v>0</v>
      </c>
      <c r="E2369" s="8">
        <v>0</v>
      </c>
      <c r="F2369" s="8">
        <v>0</v>
      </c>
      <c r="G2369" s="8">
        <v>217.86</v>
      </c>
      <c r="H2369" s="8">
        <v>0</v>
      </c>
      <c r="I2369" s="8">
        <v>0</v>
      </c>
      <c r="J2369" s="8">
        <v>217.86</v>
      </c>
    </row>
    <row r="2370" spans="1:10" ht="15.75" x14ac:dyDescent="0.25">
      <c r="A2370" s="21">
        <v>45535</v>
      </c>
      <c r="B2370" t="str">
        <f>IFERROR(IF(VLOOKUP(C2370,Hoja1!$B$1:$C$6191,2,0)="",_xlfn.XLOOKUP(C2370,Hoja1!$B$2:$B$6191,Hoja1!$A$2:$A$6191),VLOOKUP(C2370,Hoja1!$B$1:$C$6191,2,0)),"No esta en Infor")</f>
        <v>NAC0988</v>
      </c>
      <c r="C2370" s="11" t="s">
        <v>29</v>
      </c>
      <c r="D2370" s="8">
        <v>65190.6</v>
      </c>
      <c r="E2370" s="8">
        <v>106</v>
      </c>
      <c r="F2370" s="8">
        <v>0</v>
      </c>
      <c r="G2370" s="8">
        <v>880</v>
      </c>
      <c r="H2370" s="8">
        <v>10610</v>
      </c>
      <c r="I2370" s="8">
        <v>0</v>
      </c>
      <c r="J2370" s="8">
        <v>76786.600000000006</v>
      </c>
    </row>
    <row r="2371" spans="1:10" ht="15.75" x14ac:dyDescent="0.25">
      <c r="A2371" s="21">
        <v>45535</v>
      </c>
      <c r="B2371" t="str">
        <f>IFERROR(IF(VLOOKUP(C2371,Hoja1!$B$1:$C$6191,2,0)="",_xlfn.XLOOKUP(C2371,Hoja1!$B$2:$B$6191,Hoja1!$A$2:$A$6191),VLOOKUP(C2371,Hoja1!$B$1:$C$6191,2,0)),"No esta en Infor")</f>
        <v>NAC1606</v>
      </c>
      <c r="C2371" s="11" t="s">
        <v>561</v>
      </c>
      <c r="D2371" s="8">
        <v>22286</v>
      </c>
      <c r="E2371" s="8">
        <v>0</v>
      </c>
      <c r="F2371" s="8">
        <v>196.77</v>
      </c>
      <c r="G2371" s="8">
        <v>0</v>
      </c>
      <c r="H2371" s="8">
        <v>0</v>
      </c>
      <c r="I2371" s="8">
        <v>0</v>
      </c>
      <c r="J2371" s="8">
        <v>22482.77</v>
      </c>
    </row>
    <row r="2372" spans="1:10" ht="15.75" x14ac:dyDescent="0.25">
      <c r="A2372" s="21">
        <v>45535</v>
      </c>
      <c r="B2372" t="str">
        <f>IFERROR(IF(VLOOKUP(C2372,Hoja1!$B$1:$C$6191,2,0)="",_xlfn.XLOOKUP(C2372,Hoja1!$B$2:$B$6191,Hoja1!$A$2:$A$6191),VLOOKUP(C2372,Hoja1!$B$1:$C$6191,2,0)),"No esta en Infor")</f>
        <v>NAC1040</v>
      </c>
      <c r="C2372" s="11" t="s">
        <v>30</v>
      </c>
      <c r="D2372" s="8">
        <v>263281.44</v>
      </c>
      <c r="E2372" s="8">
        <v>31140.080000000002</v>
      </c>
      <c r="F2372" s="8">
        <v>30130.38</v>
      </c>
      <c r="G2372" s="8">
        <v>-22552.47</v>
      </c>
      <c r="H2372" s="8">
        <v>-146.52000000000001</v>
      </c>
      <c r="I2372" s="8">
        <v>-0.2</v>
      </c>
      <c r="J2372" s="8">
        <v>301852.71000000002</v>
      </c>
    </row>
    <row r="2373" spans="1:10" ht="15.75" x14ac:dyDescent="0.25">
      <c r="A2373" s="21">
        <v>45535</v>
      </c>
      <c r="B2373" t="str">
        <f>IFERROR(IF(VLOOKUP(C2373,Hoja1!$B$1:$C$6191,2,0)="",_xlfn.XLOOKUP(C2373,Hoja1!$B$2:$B$6191,Hoja1!$A$2:$A$6191),VLOOKUP(C2373,Hoja1!$B$1:$C$6191,2,0)),"No esta en Infor")</f>
        <v>CAN0035</v>
      </c>
      <c r="C2373" s="11" t="s">
        <v>31</v>
      </c>
      <c r="D2373" s="8">
        <v>2489</v>
      </c>
      <c r="E2373" s="8">
        <v>0</v>
      </c>
      <c r="F2373" s="8">
        <v>0</v>
      </c>
      <c r="G2373" s="8">
        <v>0</v>
      </c>
      <c r="H2373" s="8">
        <v>374.36</v>
      </c>
      <c r="I2373" s="8">
        <v>0</v>
      </c>
      <c r="J2373" s="8">
        <v>2863.36</v>
      </c>
    </row>
    <row r="2374" spans="1:10" ht="15.75" x14ac:dyDescent="0.25">
      <c r="A2374" s="21">
        <v>45535</v>
      </c>
      <c r="B2374" t="str">
        <f>IFERROR(IF(VLOOKUP(C2374,Hoja1!$B$1:$C$6191,2,0)="",_xlfn.XLOOKUP(C2374,Hoja1!$B$2:$B$6191,Hoja1!$A$2:$A$6191),VLOOKUP(C2374,Hoja1!$B$1:$C$6191,2,0)),"No esta en Infor")</f>
        <v>NAC1105</v>
      </c>
      <c r="C2374" s="11" t="s">
        <v>32</v>
      </c>
      <c r="D2374" s="8">
        <v>909.25</v>
      </c>
      <c r="E2374" s="8">
        <v>1503.88</v>
      </c>
      <c r="F2374" s="8">
        <v>2111.5100000000002</v>
      </c>
      <c r="G2374" s="8">
        <v>2475.89</v>
      </c>
      <c r="H2374" s="8">
        <v>8057.31</v>
      </c>
      <c r="I2374" s="8">
        <v>672.77</v>
      </c>
      <c r="J2374" s="8">
        <v>15730.61</v>
      </c>
    </row>
    <row r="2375" spans="1:10" ht="15.75" x14ac:dyDescent="0.25">
      <c r="A2375" s="21">
        <v>45535</v>
      </c>
      <c r="B2375" t="str">
        <f>IFERROR(IF(VLOOKUP(C2375,Hoja1!$B$1:$C$6191,2,0)="",_xlfn.XLOOKUP(C2375,Hoja1!$B$2:$B$6191,Hoja1!$A$2:$A$6191),VLOOKUP(C2375,Hoja1!$B$1:$C$6191,2,0)),"No esta en Infor")</f>
        <v>NAC1108</v>
      </c>
      <c r="C2375" s="11" t="s">
        <v>468</v>
      </c>
      <c r="D2375" s="8">
        <v>0</v>
      </c>
      <c r="E2375" s="8">
        <v>0</v>
      </c>
      <c r="F2375" s="8">
        <v>194.84</v>
      </c>
      <c r="G2375" s="8">
        <v>0</v>
      </c>
      <c r="H2375" s="8">
        <v>0</v>
      </c>
      <c r="I2375" s="8">
        <v>0</v>
      </c>
      <c r="J2375" s="8">
        <v>194.84</v>
      </c>
    </row>
    <row r="2376" spans="1:10" ht="15.75" x14ac:dyDescent="0.25">
      <c r="A2376" s="21">
        <v>45535</v>
      </c>
      <c r="B2376" t="str">
        <f>IFERROR(IF(VLOOKUP(C2376,Hoja1!$B$1:$C$6191,2,0)="",_xlfn.XLOOKUP(C2376,Hoja1!$B$2:$B$6191,Hoja1!$A$2:$A$6191),VLOOKUP(C2376,Hoja1!$B$1:$C$6191,2,0)),"No esta en Infor")</f>
        <v>NAC1122</v>
      </c>
      <c r="C2376" s="11" t="s">
        <v>515</v>
      </c>
      <c r="D2376" s="8">
        <v>0</v>
      </c>
      <c r="E2376" s="8">
        <v>8063</v>
      </c>
      <c r="F2376" s="8">
        <v>1064</v>
      </c>
      <c r="G2376" s="8">
        <v>0</v>
      </c>
      <c r="H2376" s="8">
        <v>0</v>
      </c>
      <c r="I2376" s="8">
        <v>0</v>
      </c>
      <c r="J2376" s="8">
        <v>9127</v>
      </c>
    </row>
    <row r="2377" spans="1:10" ht="15.75" x14ac:dyDescent="0.25">
      <c r="A2377" s="21">
        <v>45535</v>
      </c>
      <c r="B2377" t="str">
        <f>IFERROR(IF(VLOOKUP(C2377,Hoja1!$B$1:$C$6191,2,0)="",_xlfn.XLOOKUP(C2377,Hoja1!$B$2:$B$6191,Hoja1!$A$2:$A$6191),VLOOKUP(C2377,Hoja1!$B$1:$C$6191,2,0)),"No esta en Infor")</f>
        <v>NAC1611</v>
      </c>
      <c r="C2377" s="11" t="s">
        <v>565</v>
      </c>
      <c r="D2377" s="8">
        <v>41734.39</v>
      </c>
      <c r="E2377" s="8">
        <v>-1242.22</v>
      </c>
      <c r="F2377" s="8">
        <v>16483.72</v>
      </c>
      <c r="G2377" s="8">
        <v>0</v>
      </c>
      <c r="H2377" s="8">
        <v>0</v>
      </c>
      <c r="I2377" s="8">
        <v>-184</v>
      </c>
      <c r="J2377" s="8">
        <v>56791.89</v>
      </c>
    </row>
    <row r="2378" spans="1:10" ht="15.75" x14ac:dyDescent="0.25">
      <c r="A2378" s="21">
        <v>45535</v>
      </c>
      <c r="B2378" t="str">
        <f>IFERROR(IF(VLOOKUP(C2378,Hoja1!$B$1:$C$6191,2,0)="",_xlfn.XLOOKUP(C2378,Hoja1!$B$2:$B$6191,Hoja1!$A$2:$A$6191),VLOOKUP(C2378,Hoja1!$B$1:$C$6191,2,0)),"No esta en Infor")</f>
        <v>NAC1144</v>
      </c>
      <c r="C2378" s="11" t="s">
        <v>411</v>
      </c>
      <c r="D2378" s="8">
        <v>0</v>
      </c>
      <c r="E2378" s="8">
        <v>0</v>
      </c>
      <c r="F2378" s="8">
        <v>29.71</v>
      </c>
      <c r="G2378" s="8">
        <v>0</v>
      </c>
      <c r="H2378" s="8">
        <v>0</v>
      </c>
      <c r="I2378" s="8">
        <v>0</v>
      </c>
      <c r="J2378" s="8">
        <v>29.71</v>
      </c>
    </row>
    <row r="2379" spans="1:10" ht="15.75" x14ac:dyDescent="0.25">
      <c r="A2379" s="21">
        <v>45535</v>
      </c>
      <c r="B2379" t="str">
        <f>IFERROR(IF(VLOOKUP(C2379,Hoja1!$B$1:$C$6191,2,0)="",_xlfn.XLOOKUP(C2379,Hoja1!$B$2:$B$6191,Hoja1!$A$2:$A$6191),VLOOKUP(C2379,Hoja1!$B$1:$C$6191,2,0)),"No esta en Infor")</f>
        <v>NAC1146</v>
      </c>
      <c r="C2379" s="11" t="s">
        <v>33</v>
      </c>
      <c r="D2379" s="8">
        <v>7619.34</v>
      </c>
      <c r="E2379" s="8">
        <v>0</v>
      </c>
      <c r="F2379" s="8">
        <v>0</v>
      </c>
      <c r="G2379" s="8">
        <v>0</v>
      </c>
      <c r="H2379" s="8">
        <v>1638.58</v>
      </c>
      <c r="I2379" s="8">
        <v>0</v>
      </c>
      <c r="J2379" s="8">
        <v>9257.92</v>
      </c>
    </row>
    <row r="2380" spans="1:10" ht="15.75" x14ac:dyDescent="0.25">
      <c r="A2380" s="21">
        <v>45535</v>
      </c>
      <c r="B2380" t="str">
        <f>IFERROR(IF(VLOOKUP(C2380,Hoja1!$B$1:$C$6191,2,0)="",_xlfn.XLOOKUP(C2380,Hoja1!$B$2:$B$6191,Hoja1!$A$2:$A$6191),VLOOKUP(C2380,Hoja1!$B$1:$C$6191,2,0)),"No esta en Infor")</f>
        <v>NAC1152</v>
      </c>
      <c r="C2380" s="11" t="s">
        <v>470</v>
      </c>
      <c r="D2380" s="8">
        <v>0</v>
      </c>
      <c r="E2380" s="8">
        <v>-0.13</v>
      </c>
      <c r="F2380" s="8">
        <v>1875.93</v>
      </c>
      <c r="G2380" s="8">
        <v>0</v>
      </c>
      <c r="H2380" s="8">
        <v>0</v>
      </c>
      <c r="I2380" s="8">
        <v>0</v>
      </c>
      <c r="J2380" s="8">
        <v>1875.8</v>
      </c>
    </row>
    <row r="2381" spans="1:10" ht="15.75" x14ac:dyDescent="0.25">
      <c r="A2381" s="21">
        <v>45535</v>
      </c>
      <c r="B2381" t="str">
        <f>IFERROR(IF(VLOOKUP(C2381,Hoja1!$B$1:$C$6191,2,0)="",_xlfn.XLOOKUP(C2381,Hoja1!$B$2:$B$6191,Hoja1!$A$2:$A$6191),VLOOKUP(C2381,Hoja1!$B$1:$C$6191,2,0)),"No esta en Infor")</f>
        <v>NAC1187</v>
      </c>
      <c r="C2381" s="11" t="s">
        <v>471</v>
      </c>
      <c r="D2381" s="8">
        <v>0</v>
      </c>
      <c r="E2381" s="8">
        <v>0</v>
      </c>
      <c r="F2381" s="8">
        <v>882</v>
      </c>
      <c r="G2381" s="8">
        <v>0</v>
      </c>
      <c r="H2381" s="8">
        <v>0</v>
      </c>
      <c r="I2381" s="8">
        <v>0</v>
      </c>
      <c r="J2381" s="8">
        <v>882</v>
      </c>
    </row>
    <row r="2382" spans="1:10" ht="15.75" x14ac:dyDescent="0.25">
      <c r="A2382" s="21">
        <v>45535</v>
      </c>
      <c r="B2382" t="str">
        <f>IFERROR(IF(VLOOKUP(C2382,Hoja1!$B$1:$C$6191,2,0)="",_xlfn.XLOOKUP(C2382,Hoja1!$B$2:$B$6191,Hoja1!$A$2:$A$6191),VLOOKUP(C2382,Hoja1!$B$1:$C$6191,2,0)),"No esta en Infor")</f>
        <v>CAN0044</v>
      </c>
      <c r="C2382" s="11" t="s">
        <v>35</v>
      </c>
      <c r="D2382" s="8">
        <v>10251.84</v>
      </c>
      <c r="E2382" s="8">
        <v>0</v>
      </c>
      <c r="F2382" s="8">
        <v>19803.509999999998</v>
      </c>
      <c r="G2382" s="8">
        <v>81.36</v>
      </c>
      <c r="H2382" s="8">
        <v>755.04</v>
      </c>
      <c r="I2382" s="8">
        <v>0</v>
      </c>
      <c r="J2382" s="8">
        <v>30891.75</v>
      </c>
    </row>
    <row r="2383" spans="1:10" ht="15.75" x14ac:dyDescent="0.25">
      <c r="A2383" s="21">
        <v>45535</v>
      </c>
      <c r="B2383" t="str">
        <f>IFERROR(IF(VLOOKUP(C2383,Hoja1!$B$1:$C$6191,2,0)="",_xlfn.XLOOKUP(C2383,Hoja1!$B$2:$B$6191,Hoja1!$A$2:$A$6191),VLOOKUP(C2383,Hoja1!$B$1:$C$6191,2,0)),"No esta en Infor")</f>
        <v>CAN0045</v>
      </c>
      <c r="C2383" s="11" t="s">
        <v>472</v>
      </c>
      <c r="D2383" s="8">
        <v>0</v>
      </c>
      <c r="E2383" s="8">
        <v>0</v>
      </c>
      <c r="F2383" s="8">
        <v>596.64</v>
      </c>
      <c r="G2383" s="8">
        <v>0</v>
      </c>
      <c r="H2383" s="8">
        <v>0</v>
      </c>
      <c r="I2383" s="8">
        <v>0</v>
      </c>
      <c r="J2383" s="8">
        <v>596.64</v>
      </c>
    </row>
    <row r="2384" spans="1:10" ht="15.75" x14ac:dyDescent="0.25">
      <c r="A2384" s="21">
        <v>45535</v>
      </c>
      <c r="B2384" t="str">
        <f>IFERROR(IF(VLOOKUP(C2384,Hoja1!$B$1:$C$6191,2,0)="",_xlfn.XLOOKUP(C2384,Hoja1!$B$2:$B$6191,Hoja1!$A$2:$A$6191),VLOOKUP(C2384,Hoja1!$B$1:$C$6191,2,0)),"No esta en Infor")</f>
        <v>NAC1200</v>
      </c>
      <c r="C2384" s="11" t="s">
        <v>473</v>
      </c>
      <c r="D2384" s="8">
        <v>0</v>
      </c>
      <c r="E2384" s="8">
        <v>0</v>
      </c>
      <c r="F2384" s="8">
        <v>24.37</v>
      </c>
      <c r="G2384" s="8">
        <v>0</v>
      </c>
      <c r="H2384" s="8">
        <v>0</v>
      </c>
      <c r="I2384" s="8">
        <v>0</v>
      </c>
      <c r="J2384" s="8">
        <v>24.37</v>
      </c>
    </row>
    <row r="2385" spans="1:10" ht="15.75" x14ac:dyDescent="0.25">
      <c r="A2385" s="21">
        <v>45535</v>
      </c>
      <c r="B2385" t="str">
        <f>IFERROR(IF(VLOOKUP(C2385,Hoja1!$B$1:$C$6191,2,0)="",_xlfn.XLOOKUP(C2385,Hoja1!$B$2:$B$6191,Hoja1!$A$2:$A$6191),VLOOKUP(C2385,Hoja1!$B$1:$C$6191,2,0)),"No esta en Infor")</f>
        <v>NAC1229</v>
      </c>
      <c r="C2385" s="11" t="s">
        <v>418</v>
      </c>
      <c r="D2385" s="8">
        <v>0</v>
      </c>
      <c r="E2385" s="8">
        <v>0</v>
      </c>
      <c r="F2385" s="8">
        <v>505.49</v>
      </c>
      <c r="G2385" s="8">
        <v>0</v>
      </c>
      <c r="H2385" s="8">
        <v>0</v>
      </c>
      <c r="I2385" s="8">
        <v>0</v>
      </c>
      <c r="J2385" s="8">
        <v>505.49</v>
      </c>
    </row>
    <row r="2386" spans="1:10" ht="15.75" x14ac:dyDescent="0.25">
      <c r="A2386" s="21">
        <v>45535</v>
      </c>
      <c r="B2386" t="str">
        <f>IFERROR(IF(VLOOKUP(C2386,Hoja1!$B$1:$C$6191,2,0)="",_xlfn.XLOOKUP(C2386,Hoja1!$B$2:$B$6191,Hoja1!$A$2:$A$6191),VLOOKUP(C2386,Hoja1!$B$1:$C$6191,2,0)),"No esta en Infor")</f>
        <v>NAC1233</v>
      </c>
      <c r="C2386" s="11" t="s">
        <v>292</v>
      </c>
      <c r="D2386" s="8">
        <v>0</v>
      </c>
      <c r="E2386" s="8">
        <v>0</v>
      </c>
      <c r="F2386" s="8">
        <v>0</v>
      </c>
      <c r="G2386" s="8">
        <v>0</v>
      </c>
      <c r="H2386" s="8">
        <v>10349.299999999999</v>
      </c>
      <c r="I2386" s="8">
        <v>-451.95</v>
      </c>
      <c r="J2386" s="8">
        <v>9897.35</v>
      </c>
    </row>
    <row r="2387" spans="1:10" ht="15.75" x14ac:dyDescent="0.25">
      <c r="A2387" s="21">
        <v>45535</v>
      </c>
      <c r="B2387" t="str">
        <f>IFERROR(IF(VLOOKUP(C2387,Hoja1!$B$1:$C$6191,2,0)="",_xlfn.XLOOKUP(C2387,Hoja1!$B$2:$B$6191,Hoja1!$A$2:$A$6191),VLOOKUP(C2387,Hoja1!$B$1:$C$6191,2,0)),"No esta en Infor")</f>
        <v>NAC1249</v>
      </c>
      <c r="C2387" s="11" t="s">
        <v>300</v>
      </c>
      <c r="D2387" s="8">
        <v>0</v>
      </c>
      <c r="E2387" s="8">
        <v>0</v>
      </c>
      <c r="F2387" s="8">
        <v>27.24</v>
      </c>
      <c r="G2387" s="8">
        <v>45.96</v>
      </c>
      <c r="H2387" s="8">
        <v>0</v>
      </c>
      <c r="I2387" s="8">
        <v>0</v>
      </c>
      <c r="J2387" s="8">
        <v>73.2</v>
      </c>
    </row>
    <row r="2388" spans="1:10" ht="15.75" x14ac:dyDescent="0.25">
      <c r="A2388" s="21">
        <v>45535</v>
      </c>
      <c r="B2388" t="str">
        <f>IFERROR(IF(VLOOKUP(C2388,Hoja1!$B$1:$C$6191,2,0)="",_xlfn.XLOOKUP(C2388,Hoja1!$B$2:$B$6191,Hoja1!$A$2:$A$6191),VLOOKUP(C2388,Hoja1!$B$1:$C$6191,2,0)),"No esta en Infor")</f>
        <v>CAN0054</v>
      </c>
      <c r="C2388" s="11" t="s">
        <v>36</v>
      </c>
      <c r="D2388" s="8">
        <v>43426.96</v>
      </c>
      <c r="E2388" s="8">
        <v>-50000</v>
      </c>
      <c r="F2388" s="8">
        <v>0</v>
      </c>
      <c r="G2388" s="8">
        <v>448.61</v>
      </c>
      <c r="H2388" s="8">
        <v>620.91999999999996</v>
      </c>
      <c r="I2388" s="8">
        <v>0</v>
      </c>
      <c r="J2388" s="8">
        <v>-5503.51</v>
      </c>
    </row>
    <row r="2389" spans="1:10" ht="15.75" x14ac:dyDescent="0.25">
      <c r="A2389" s="21">
        <v>45535</v>
      </c>
      <c r="B2389" t="str">
        <f>IFERROR(IF(VLOOKUP(C2389,Hoja1!$B$1:$C$6191,2,0)="",_xlfn.XLOOKUP(C2389,Hoja1!$B$2:$B$6191,Hoja1!$A$2:$A$6191),VLOOKUP(C2389,Hoja1!$B$1:$C$6191,2,0)),"No esta en Infor")</f>
        <v>NAC1281</v>
      </c>
      <c r="C2389" s="11" t="s">
        <v>37</v>
      </c>
      <c r="D2389" s="8">
        <v>1144.6199999999999</v>
      </c>
      <c r="E2389" s="8">
        <v>6580.85</v>
      </c>
      <c r="F2389" s="8">
        <v>3805.18</v>
      </c>
      <c r="G2389" s="8">
        <v>8005.48</v>
      </c>
      <c r="H2389" s="8">
        <v>2895.3</v>
      </c>
      <c r="I2389" s="8">
        <v>4202.3100000000004</v>
      </c>
      <c r="J2389" s="8">
        <v>26633.74</v>
      </c>
    </row>
    <row r="2390" spans="1:10" ht="15.75" x14ac:dyDescent="0.25">
      <c r="A2390" s="21">
        <v>45535</v>
      </c>
      <c r="B2390" t="str">
        <f>IFERROR(IF(VLOOKUP(C2390,Hoja1!$B$1:$C$6191,2,0)="",_xlfn.XLOOKUP(C2390,Hoja1!$B$2:$B$6191,Hoja1!$A$2:$A$6191),VLOOKUP(C2390,Hoja1!$B$1:$C$6191,2,0)),"No esta en Infor")</f>
        <v>NAC1323</v>
      </c>
      <c r="C2390" s="11" t="s">
        <v>49</v>
      </c>
      <c r="D2390" s="8">
        <v>57539.02</v>
      </c>
      <c r="E2390" s="8">
        <v>13520.1</v>
      </c>
      <c r="F2390" s="8">
        <v>34238.199999999997</v>
      </c>
      <c r="G2390" s="8">
        <v>24461.43</v>
      </c>
      <c r="H2390" s="8">
        <v>7653.09</v>
      </c>
      <c r="I2390" s="8">
        <v>6549</v>
      </c>
      <c r="J2390" s="8">
        <v>143960.84</v>
      </c>
    </row>
    <row r="2391" spans="1:10" ht="15.75" x14ac:dyDescent="0.25">
      <c r="A2391" s="21">
        <v>45535</v>
      </c>
      <c r="B2391" t="str">
        <f>IFERROR(IF(VLOOKUP(C2391,Hoja1!$B$1:$C$6191,2,0)="",_xlfn.XLOOKUP(C2391,Hoja1!$B$2:$B$6191,Hoja1!$A$2:$A$6191),VLOOKUP(C2391,Hoja1!$B$1:$C$6191,2,0)),"No esta en Infor")</f>
        <v>NAC1327</v>
      </c>
      <c r="C2391" s="11" t="s">
        <v>50</v>
      </c>
      <c r="D2391" s="8">
        <v>30240.84</v>
      </c>
      <c r="E2391" s="8">
        <v>17526.93</v>
      </c>
      <c r="F2391" s="8">
        <v>538.72</v>
      </c>
      <c r="G2391" s="8">
        <v>594</v>
      </c>
      <c r="H2391" s="8">
        <v>0</v>
      </c>
      <c r="I2391" s="8">
        <v>0</v>
      </c>
      <c r="J2391" s="8">
        <v>48900.49</v>
      </c>
    </row>
    <row r="2392" spans="1:10" ht="15.75" x14ac:dyDescent="0.25">
      <c r="A2392" s="21">
        <v>45535</v>
      </c>
      <c r="B2392" t="str">
        <f>IFERROR(IF(VLOOKUP(C2392,Hoja1!$B$1:$C$6191,2,0)="",_xlfn.XLOOKUP(C2392,Hoja1!$B$2:$B$6191,Hoja1!$A$2:$A$6191),VLOOKUP(C2392,Hoja1!$B$1:$C$6191,2,0)),"No esta en Infor")</f>
        <v>CAN0059</v>
      </c>
      <c r="C2392" s="11" t="s">
        <v>51</v>
      </c>
      <c r="D2392" s="8">
        <v>-220.13</v>
      </c>
      <c r="E2392" s="8">
        <v>0</v>
      </c>
      <c r="F2392" s="8">
        <v>341.68</v>
      </c>
      <c r="G2392" s="8">
        <v>930.68</v>
      </c>
      <c r="H2392" s="8">
        <v>787.12</v>
      </c>
      <c r="I2392" s="8">
        <v>0</v>
      </c>
      <c r="J2392" s="8">
        <v>1839.35</v>
      </c>
    </row>
    <row r="2393" spans="1:10" ht="15.75" x14ac:dyDescent="0.25">
      <c r="A2393" s="21">
        <v>45535</v>
      </c>
      <c r="B2393" t="str">
        <f>IFERROR(IF(VLOOKUP(C2393,Hoja1!$B$1:$C$6191,2,0)="",_xlfn.XLOOKUP(C2393,Hoja1!$B$2:$B$6191,Hoja1!$A$2:$A$6191),VLOOKUP(C2393,Hoja1!$B$1:$C$6191,2,0)),"No esta en Infor")</f>
        <v>NAC1333</v>
      </c>
      <c r="C2393" s="11" t="s">
        <v>318</v>
      </c>
      <c r="D2393" s="8">
        <v>16735.900000000001</v>
      </c>
      <c r="E2393" s="8">
        <v>3284</v>
      </c>
      <c r="F2393" s="8">
        <v>0</v>
      </c>
      <c r="G2393" s="8">
        <v>83.97</v>
      </c>
      <c r="H2393" s="8">
        <v>0</v>
      </c>
      <c r="I2393" s="8">
        <v>0</v>
      </c>
      <c r="J2393" s="8">
        <v>20103.87</v>
      </c>
    </row>
    <row r="2394" spans="1:10" ht="15.75" x14ac:dyDescent="0.25">
      <c r="A2394" s="21">
        <v>45535</v>
      </c>
      <c r="B2394" t="str">
        <f>IFERROR(IF(VLOOKUP(C2394,Hoja1!$B$1:$C$6191,2,0)="",_xlfn.XLOOKUP(C2394,Hoja1!$B$2:$B$6191,Hoja1!$A$2:$A$6191),VLOOKUP(C2394,Hoja1!$B$1:$C$6191,2,0)),"No esta en Infor")</f>
        <v>NAC1354</v>
      </c>
      <c r="C2394" s="11" t="s">
        <v>324</v>
      </c>
      <c r="D2394" s="8">
        <v>0</v>
      </c>
      <c r="E2394" s="8">
        <v>0</v>
      </c>
      <c r="F2394" s="8">
        <v>0</v>
      </c>
      <c r="G2394" s="8">
        <v>0</v>
      </c>
      <c r="H2394" s="8">
        <v>424.57</v>
      </c>
      <c r="I2394" s="8">
        <v>0</v>
      </c>
      <c r="J2394" s="8">
        <v>424.57</v>
      </c>
    </row>
    <row r="2395" spans="1:10" ht="15.75" x14ac:dyDescent="0.25">
      <c r="A2395" s="21">
        <v>45535</v>
      </c>
      <c r="B2395" t="str">
        <f>IFERROR(IF(VLOOKUP(C2395,Hoja1!$B$1:$C$6191,2,0)="",_xlfn.XLOOKUP(C2395,Hoja1!$B$2:$B$6191,Hoja1!$A$2:$A$6191),VLOOKUP(C2395,Hoja1!$B$1:$C$6191,2,0)),"No esta en Infor")</f>
        <v>CAN0069</v>
      </c>
      <c r="C2395" s="11" t="s">
        <v>340</v>
      </c>
      <c r="D2395" s="8">
        <v>0</v>
      </c>
      <c r="E2395" s="8">
        <v>0</v>
      </c>
      <c r="F2395" s="8">
        <v>0</v>
      </c>
      <c r="G2395" s="8">
        <v>0</v>
      </c>
      <c r="H2395" s="8">
        <v>540.15</v>
      </c>
      <c r="I2395" s="8">
        <v>0</v>
      </c>
      <c r="J2395" s="8">
        <v>540.15</v>
      </c>
    </row>
    <row r="2396" spans="1:10" ht="15.75" x14ac:dyDescent="0.25">
      <c r="A2396" s="21">
        <v>45535</v>
      </c>
      <c r="B2396" t="str">
        <f>IFERROR(IF(VLOOKUP(C2396,Hoja1!$B$1:$C$6191,2,0)="",_xlfn.XLOOKUP(C2396,Hoja1!$B$2:$B$6191,Hoja1!$A$2:$A$6191),VLOOKUP(C2396,Hoja1!$B$1:$C$6191,2,0)),"No esta en Infor")</f>
        <v>NAC1413</v>
      </c>
      <c r="C2396" s="11" t="s">
        <v>342</v>
      </c>
      <c r="D2396" s="8">
        <v>32927.58</v>
      </c>
      <c r="E2396" s="8">
        <v>0</v>
      </c>
      <c r="F2396" s="8">
        <v>0</v>
      </c>
      <c r="G2396" s="8">
        <v>17836.3</v>
      </c>
      <c r="H2396" s="8">
        <v>0</v>
      </c>
      <c r="I2396" s="8">
        <v>0</v>
      </c>
      <c r="J2396" s="8">
        <v>50763.88</v>
      </c>
    </row>
    <row r="2397" spans="1:10" ht="15.75" x14ac:dyDescent="0.25">
      <c r="A2397" s="21">
        <v>45535</v>
      </c>
      <c r="B2397" t="str">
        <f>IFERROR(IF(VLOOKUP(C2397,Hoja1!$B$1:$C$6191,2,0)="",_xlfn.XLOOKUP(C2397,Hoja1!$B$2:$B$6191,Hoja1!$A$2:$A$6191),VLOOKUP(C2397,Hoja1!$B$1:$C$6191,2,0)),"No esta en Infor")</f>
        <v>NAC1426</v>
      </c>
      <c r="C2397" s="11" t="s">
        <v>531</v>
      </c>
      <c r="D2397" s="8">
        <v>0</v>
      </c>
      <c r="E2397" s="8">
        <v>0</v>
      </c>
      <c r="F2397" s="8">
        <v>0.66</v>
      </c>
      <c r="G2397" s="8">
        <v>0</v>
      </c>
      <c r="H2397" s="8">
        <v>0</v>
      </c>
      <c r="I2397" s="8">
        <v>0</v>
      </c>
      <c r="J2397" s="8">
        <v>0.66</v>
      </c>
    </row>
    <row r="2398" spans="1:10" ht="15.75" x14ac:dyDescent="0.25">
      <c r="A2398" s="21">
        <v>45535</v>
      </c>
      <c r="B2398" t="str">
        <f>IFERROR(IF(VLOOKUP(C2398,Hoja1!$B$1:$C$6191,2,0)="",_xlfn.XLOOKUP(C2398,Hoja1!$B$2:$B$6191,Hoja1!$A$2:$A$6191),VLOOKUP(C2398,Hoja1!$B$1:$C$6191,2,0)),"No esta en Infor")</f>
        <v>NAC1448</v>
      </c>
      <c r="C2398" s="11" t="s">
        <v>9</v>
      </c>
      <c r="D2398" s="8">
        <v>26948.06</v>
      </c>
      <c r="E2398" s="8">
        <v>16697.37</v>
      </c>
      <c r="F2398" s="8">
        <v>0</v>
      </c>
      <c r="G2398" s="8">
        <v>2615.8000000000002</v>
      </c>
      <c r="H2398" s="8">
        <v>2310</v>
      </c>
      <c r="I2398" s="8">
        <v>0</v>
      </c>
      <c r="J2398" s="8">
        <v>48571.23</v>
      </c>
    </row>
    <row r="2399" spans="1:10" ht="15.75" x14ac:dyDescent="0.25">
      <c r="A2399" s="21">
        <v>45535</v>
      </c>
      <c r="B2399" t="str">
        <f>IFERROR(IF(VLOOKUP(C2399,Hoja1!$B$1:$C$6191,2,0)="",_xlfn.XLOOKUP(C2399,Hoja1!$B$2:$B$6191,Hoja1!$A$2:$A$6191),VLOOKUP(C2399,Hoja1!$B$1:$C$6191,2,0)),"No esta en Infor")</f>
        <v>CAN0073</v>
      </c>
      <c r="C2399" s="11" t="s">
        <v>349</v>
      </c>
      <c r="D2399" s="8">
        <v>3471.37</v>
      </c>
      <c r="E2399" s="8">
        <v>82.11</v>
      </c>
      <c r="F2399" s="8">
        <v>1272.1600000000001</v>
      </c>
      <c r="G2399" s="8">
        <v>0</v>
      </c>
      <c r="H2399" s="8">
        <v>0</v>
      </c>
      <c r="I2399" s="8">
        <v>0</v>
      </c>
      <c r="J2399" s="8">
        <v>4825.6400000000003</v>
      </c>
    </row>
    <row r="2400" spans="1:10" ht="15.75" x14ac:dyDescent="0.25">
      <c r="A2400" s="21">
        <v>45535</v>
      </c>
      <c r="B2400" t="str">
        <f>IFERROR(IF(VLOOKUP(C2400,Hoja1!$B$1:$C$6191,2,0)="",_xlfn.XLOOKUP(C2400,Hoja1!$B$2:$B$6191,Hoja1!$A$2:$A$6191),VLOOKUP(C2400,Hoja1!$B$1:$C$6191,2,0)),"No esta en Infor")</f>
        <v>NAC1450</v>
      </c>
      <c r="C2400" s="11" t="s">
        <v>54</v>
      </c>
      <c r="D2400" s="8">
        <v>314.52999999999997</v>
      </c>
      <c r="E2400" s="8">
        <v>492.75</v>
      </c>
      <c r="F2400" s="8">
        <v>580.35</v>
      </c>
      <c r="G2400" s="8">
        <v>1377.8</v>
      </c>
      <c r="H2400" s="8">
        <v>1258.52</v>
      </c>
      <c r="I2400" s="8">
        <v>1437.71</v>
      </c>
      <c r="J2400" s="8">
        <v>5461.66</v>
      </c>
    </row>
    <row r="2401" spans="1:10" ht="15.75" x14ac:dyDescent="0.25">
      <c r="A2401" s="21">
        <v>45535</v>
      </c>
      <c r="B2401" t="str">
        <f>IFERROR(IF(VLOOKUP(C2401,Hoja1!$B$1:$C$6191,2,0)="",_xlfn.XLOOKUP(C2401,Hoja1!$B$2:$B$6191,Hoja1!$A$2:$A$6191),VLOOKUP(C2401,Hoja1!$B$1:$C$6191,2,0)),"No esta en Infor")</f>
        <v>NAC1488</v>
      </c>
      <c r="C2401" s="11" t="s">
        <v>359</v>
      </c>
      <c r="D2401" s="8">
        <v>0</v>
      </c>
      <c r="E2401" s="8">
        <v>0</v>
      </c>
      <c r="F2401" s="8">
        <v>0</v>
      </c>
      <c r="G2401" s="8">
        <v>260</v>
      </c>
      <c r="H2401" s="8">
        <v>0</v>
      </c>
      <c r="I2401" s="8">
        <v>0</v>
      </c>
      <c r="J2401" s="8">
        <v>260</v>
      </c>
    </row>
    <row r="2402" spans="1:10" ht="15.75" x14ac:dyDescent="0.25">
      <c r="A2402" s="21">
        <v>45535</v>
      </c>
      <c r="B2402" t="str">
        <f>IFERROR(IF(VLOOKUP(C2402,Hoja1!$B$1:$C$6191,2,0)="",_xlfn.XLOOKUP(C2402,Hoja1!$B$2:$B$6191,Hoja1!$A$2:$A$6191),VLOOKUP(C2402,Hoja1!$B$1:$C$6191,2,0)),"No esta en Infor")</f>
        <v>NAC1500</v>
      </c>
      <c r="C2402" s="13" t="s">
        <v>432</v>
      </c>
      <c r="D2402" s="8">
        <v>448</v>
      </c>
      <c r="E2402" s="8">
        <v>257.07</v>
      </c>
      <c r="F2402" s="12">
        <v>107.8</v>
      </c>
      <c r="G2402" s="8">
        <v>0</v>
      </c>
      <c r="H2402" s="8">
        <v>0</v>
      </c>
      <c r="I2402" s="8">
        <v>0</v>
      </c>
      <c r="J2402" s="8">
        <v>812.87</v>
      </c>
    </row>
    <row r="2403" spans="1:10" ht="15.75" x14ac:dyDescent="0.25">
      <c r="A2403" s="21">
        <v>45535</v>
      </c>
      <c r="B2403" t="str">
        <f>IFERROR(IF(VLOOKUP(C2403,Hoja1!$B$1:$C$6191,2,0)="",_xlfn.XLOOKUP(C2403,Hoja1!$B$2:$B$6191,Hoja1!$A$2:$A$6191),VLOOKUP(C2403,Hoja1!$B$1:$C$6191,2,0)),"No esta en Infor")</f>
        <v>NAC1512</v>
      </c>
      <c r="C2403" s="11" t="s">
        <v>56</v>
      </c>
      <c r="D2403" s="8">
        <v>0</v>
      </c>
      <c r="E2403" s="8">
        <v>0</v>
      </c>
      <c r="F2403" s="8">
        <v>0</v>
      </c>
      <c r="G2403" s="8">
        <v>0</v>
      </c>
      <c r="H2403" s="8">
        <v>4470</v>
      </c>
      <c r="I2403" s="8">
        <v>8020</v>
      </c>
      <c r="J2403" s="8">
        <v>12490</v>
      </c>
    </row>
    <row r="2404" spans="1:10" ht="15.75" x14ac:dyDescent="0.25">
      <c r="A2404" s="21">
        <v>45535</v>
      </c>
      <c r="B2404" t="str">
        <f>IFERROR(IF(VLOOKUP(C2404,Hoja1!$B$1:$C$6191,2,0)="",_xlfn.XLOOKUP(C2404,Hoja1!$B$2:$B$6191,Hoja1!$A$2:$A$6191),VLOOKUP(C2404,Hoja1!$B$1:$C$6191,2,0)),"No esta en Infor")</f>
        <v>NAC1522</v>
      </c>
      <c r="C2404" s="11" t="s">
        <v>366</v>
      </c>
      <c r="D2404" s="8">
        <v>0</v>
      </c>
      <c r="E2404" s="8">
        <v>0</v>
      </c>
      <c r="F2404" s="8">
        <v>0</v>
      </c>
      <c r="G2404" s="8">
        <v>0</v>
      </c>
      <c r="H2404" s="8">
        <v>421.58</v>
      </c>
      <c r="I2404" s="8">
        <v>0</v>
      </c>
      <c r="J2404" s="8">
        <v>421.58</v>
      </c>
    </row>
    <row r="2405" spans="1:10" ht="15.75" x14ac:dyDescent="0.25">
      <c r="A2405" s="21">
        <v>45535</v>
      </c>
      <c r="B2405" t="str">
        <f>IFERROR(IF(VLOOKUP(C2405,Hoja1!$B$1:$C$6191,2,0)="",_xlfn.XLOOKUP(C2405,Hoja1!$B$2:$B$6191,Hoja1!$A$2:$A$6191),VLOOKUP(C2405,Hoja1!$B$1:$C$6191,2,0)),"No esta en Infor")</f>
        <v>CAN0087</v>
      </c>
      <c r="C2405" s="19" t="s">
        <v>1091</v>
      </c>
      <c r="D2405" s="8">
        <v>12358.25</v>
      </c>
      <c r="E2405" s="8">
        <v>-1987.75</v>
      </c>
      <c r="F2405" s="8">
        <v>40153.46</v>
      </c>
      <c r="G2405" s="8">
        <v>0</v>
      </c>
      <c r="H2405" s="8">
        <v>0</v>
      </c>
      <c r="I2405" s="8">
        <v>0</v>
      </c>
      <c r="J2405" s="8">
        <v>50523.96</v>
      </c>
    </row>
    <row r="2406" spans="1:10" ht="15.75" x14ac:dyDescent="0.25">
      <c r="A2406" s="21">
        <v>45535</v>
      </c>
      <c r="B2406" t="str">
        <f>IFERROR(IF(VLOOKUP(C2406,Hoja1!$B$1:$C$6191,2,0)="",_xlfn.XLOOKUP(C2406,Hoja1!$B$2:$B$6191,Hoja1!$A$2:$A$6191),VLOOKUP(C2406,Hoja1!$B$1:$C$6191,2,0)),"No esta en Infor")</f>
        <v>NAC1529</v>
      </c>
      <c r="C2406" s="11" t="s">
        <v>368</v>
      </c>
      <c r="D2406" s="8">
        <v>0</v>
      </c>
      <c r="E2406" s="8">
        <v>0</v>
      </c>
      <c r="F2406" s="8">
        <v>0</v>
      </c>
      <c r="G2406" s="8">
        <v>111.75</v>
      </c>
      <c r="H2406" s="8">
        <v>0</v>
      </c>
      <c r="I2406" s="8">
        <v>0</v>
      </c>
      <c r="J2406" s="8">
        <v>111.75</v>
      </c>
    </row>
    <row r="2407" spans="1:10" ht="15.75" x14ac:dyDescent="0.25">
      <c r="A2407" s="21">
        <v>45535</v>
      </c>
      <c r="B2407" t="str">
        <f>IFERROR(IF(VLOOKUP(C2407,Hoja1!$B$1:$C$6191,2,0)="",_xlfn.XLOOKUP(C2407,Hoja1!$B$2:$B$6191,Hoja1!$A$2:$A$6191),VLOOKUP(C2407,Hoja1!$B$1:$C$6191,2,0)),"No esta en Infor")</f>
        <v>NAC1533</v>
      </c>
      <c r="C2407" s="11" t="s">
        <v>483</v>
      </c>
      <c r="D2407" s="8">
        <v>1142.73</v>
      </c>
      <c r="E2407" s="8">
        <v>-0.16</v>
      </c>
      <c r="F2407" s="8">
        <v>144.59</v>
      </c>
      <c r="G2407" s="8">
        <v>0</v>
      </c>
      <c r="H2407" s="8">
        <v>0</v>
      </c>
      <c r="I2407" s="8">
        <v>0</v>
      </c>
      <c r="J2407" s="8">
        <v>1287.1600000000001</v>
      </c>
    </row>
    <row r="2408" spans="1:10" ht="15.75" x14ac:dyDescent="0.25">
      <c r="A2408" s="21">
        <v>45535</v>
      </c>
      <c r="B2408" t="str">
        <f>IFERROR(IF(VLOOKUP(C2408,Hoja1!$B$1:$C$6191,2,0)="",_xlfn.XLOOKUP(C2408,Hoja1!$B$2:$B$6191,Hoja1!$A$2:$A$6191),VLOOKUP(C2408,Hoja1!$B$1:$C$6191,2,0)),"No esta en Infor")</f>
        <v>NAC0456</v>
      </c>
      <c r="C2408" s="19" t="s">
        <v>10</v>
      </c>
      <c r="D2408" s="9">
        <v>1211.4000000000001</v>
      </c>
      <c r="E2408" s="9">
        <v>332.4</v>
      </c>
      <c r="F2408" s="9">
        <v>-42.12</v>
      </c>
      <c r="G2408" s="9">
        <v>0</v>
      </c>
      <c r="H2408" s="9">
        <v>0</v>
      </c>
      <c r="I2408" s="9">
        <v>0</v>
      </c>
      <c r="J2408" s="9">
        <v>1501.68</v>
      </c>
    </row>
    <row r="2409" spans="1:10" ht="15.75" x14ac:dyDescent="0.25">
      <c r="A2409" s="21">
        <v>45535</v>
      </c>
      <c r="B2409" t="str">
        <f>IFERROR(IF(VLOOKUP(C2409,Hoja1!$B$1:$C$6191,2,0)="",_xlfn.XLOOKUP(C2409,Hoja1!$B$2:$B$6191,Hoja1!$A$2:$A$6191),VLOOKUP(C2409,Hoja1!$B$1:$C$6191,2,0)),"No esta en Infor")</f>
        <v>NAC0475</v>
      </c>
      <c r="C2409" s="19" t="s">
        <v>63</v>
      </c>
      <c r="D2409" s="9">
        <v>4571.6099999999997</v>
      </c>
      <c r="E2409" s="9">
        <v>0</v>
      </c>
      <c r="F2409" s="9">
        <v>0</v>
      </c>
      <c r="G2409" s="9">
        <v>0</v>
      </c>
      <c r="H2409" s="9">
        <v>0</v>
      </c>
      <c r="I2409" s="9">
        <v>0</v>
      </c>
      <c r="J2409" s="9">
        <v>4571.6099999999997</v>
      </c>
    </row>
    <row r="2410" spans="1:10" ht="15.75" x14ac:dyDescent="0.25">
      <c r="A2410" s="21">
        <v>45535</v>
      </c>
      <c r="B2410" t="str">
        <f>IFERROR(IF(VLOOKUP(C2410,Hoja1!$B$1:$C$6191,2,0)="",_xlfn.XLOOKUP(C2410,Hoja1!$B$2:$B$6191,Hoja1!$A$2:$A$6191),VLOOKUP(C2410,Hoja1!$B$1:$C$6191,2,0)),"No esta en Infor")</f>
        <v>CAN0001</v>
      </c>
      <c r="C2410" s="19" t="s">
        <v>64</v>
      </c>
      <c r="D2410" s="9">
        <v>32753.05</v>
      </c>
      <c r="E2410" s="9">
        <v>0.34</v>
      </c>
      <c r="F2410" s="9">
        <v>0</v>
      </c>
      <c r="G2410" s="9">
        <v>0</v>
      </c>
      <c r="H2410" s="9">
        <v>0</v>
      </c>
      <c r="I2410" s="9">
        <v>0</v>
      </c>
      <c r="J2410" s="9">
        <v>32753.39</v>
      </c>
    </row>
    <row r="2411" spans="1:10" ht="15.75" x14ac:dyDescent="0.25">
      <c r="A2411" s="21">
        <v>45535</v>
      </c>
      <c r="B2411" t="str">
        <f>IFERROR(IF(VLOOKUP(C2411,Hoja1!$B$1:$C$6191,2,0)="",_xlfn.XLOOKUP(C2411,Hoja1!$B$2:$B$6191,Hoja1!$A$2:$A$6191),VLOOKUP(C2411,Hoja1!$B$1:$C$6191,2,0)),"No esta en Infor")</f>
        <v>NAC0513</v>
      </c>
      <c r="C2411" s="19" t="s">
        <v>377</v>
      </c>
      <c r="D2411" s="9">
        <v>0</v>
      </c>
      <c r="E2411" s="9">
        <v>0</v>
      </c>
      <c r="F2411" s="9">
        <v>0</v>
      </c>
      <c r="G2411" s="9">
        <v>-220.24</v>
      </c>
      <c r="H2411" s="9">
        <v>0</v>
      </c>
      <c r="I2411" s="9">
        <v>0</v>
      </c>
      <c r="J2411" s="9">
        <v>-220.24</v>
      </c>
    </row>
    <row r="2412" spans="1:10" ht="15.75" x14ac:dyDescent="0.25">
      <c r="A2412" s="21">
        <v>45535</v>
      </c>
      <c r="B2412" t="str">
        <f>IFERROR(IF(VLOOKUP(C2412,Hoja1!$B$1:$C$6191,2,0)="",_xlfn.XLOOKUP(C2412,Hoja1!$B$2:$B$6191,Hoja1!$A$2:$A$6191),VLOOKUP(C2412,Hoja1!$B$1:$C$6191,2,0)),"No esta en Infor")</f>
        <v>NAC0514</v>
      </c>
      <c r="C2412" s="19" t="s">
        <v>65</v>
      </c>
      <c r="D2412" s="9">
        <v>668.19</v>
      </c>
      <c r="E2412" s="9">
        <v>0</v>
      </c>
      <c r="F2412" s="9">
        <v>0</v>
      </c>
      <c r="G2412" s="9">
        <v>0</v>
      </c>
      <c r="H2412" s="9">
        <v>0</v>
      </c>
      <c r="I2412" s="9">
        <v>0</v>
      </c>
      <c r="J2412" s="9">
        <v>668.19</v>
      </c>
    </row>
    <row r="2413" spans="1:10" ht="15.75" x14ac:dyDescent="0.25">
      <c r="A2413" s="21">
        <v>45535</v>
      </c>
      <c r="B2413" t="str">
        <f>IFERROR(IF(VLOOKUP(C2413,Hoja1!$B$1:$C$6191,2,0)="",_xlfn.XLOOKUP(C2413,Hoja1!$B$2:$B$6191,Hoja1!$A$2:$A$6191),VLOOKUP(C2413,Hoja1!$B$1:$C$6191,2,0)),"No esta en Infor")</f>
        <v>NAC0520</v>
      </c>
      <c r="C2413" s="19" t="s">
        <v>68</v>
      </c>
      <c r="D2413" s="9">
        <v>64258.1</v>
      </c>
      <c r="E2413" s="9">
        <v>2088</v>
      </c>
      <c r="F2413" s="9">
        <v>-13.6</v>
      </c>
      <c r="G2413" s="9">
        <v>0</v>
      </c>
      <c r="H2413" s="9">
        <v>-458.32</v>
      </c>
      <c r="I2413" s="9">
        <v>-0.01</v>
      </c>
      <c r="J2413" s="9">
        <v>65874.17</v>
      </c>
    </row>
    <row r="2414" spans="1:10" ht="15.75" x14ac:dyDescent="0.25">
      <c r="A2414" s="21">
        <v>45535</v>
      </c>
      <c r="B2414" t="str">
        <f>IFERROR(IF(VLOOKUP(C2414,Hoja1!$B$1:$C$6191,2,0)="",_xlfn.XLOOKUP(C2414,Hoja1!$B$2:$B$6191,Hoja1!$A$2:$A$6191),VLOOKUP(C2414,Hoja1!$B$1:$C$6191,2,0)),"No esta en Infor")</f>
        <v>NAC1617</v>
      </c>
      <c r="C2414" s="19" t="s">
        <v>70</v>
      </c>
      <c r="D2414" s="9">
        <v>0</v>
      </c>
      <c r="E2414" s="9">
        <v>0</v>
      </c>
      <c r="F2414" s="9">
        <v>0</v>
      </c>
      <c r="G2414" s="9">
        <v>0</v>
      </c>
      <c r="H2414" s="9">
        <v>0</v>
      </c>
      <c r="I2414" s="9">
        <v>8803.11</v>
      </c>
      <c r="J2414" s="9">
        <v>8803.11</v>
      </c>
    </row>
    <row r="2415" spans="1:10" ht="15.75" x14ac:dyDescent="0.25">
      <c r="A2415" s="21">
        <v>45535</v>
      </c>
      <c r="B2415" t="str">
        <f>IFERROR(IF(VLOOKUP(C2415,Hoja1!$B$1:$C$6191,2,0)="",_xlfn.XLOOKUP(C2415,Hoja1!$B$2:$B$6191,Hoja1!$A$2:$A$6191),VLOOKUP(C2415,Hoja1!$B$1:$C$6191,2,0)),"No esta en Infor")</f>
        <v>NAC0525</v>
      </c>
      <c r="C2415" s="19" t="s">
        <v>71</v>
      </c>
      <c r="D2415" s="9">
        <v>78590.649999999994</v>
      </c>
      <c r="E2415" s="9">
        <v>0</v>
      </c>
      <c r="F2415" s="9">
        <v>0</v>
      </c>
      <c r="G2415" s="9">
        <v>0</v>
      </c>
      <c r="H2415" s="9">
        <v>0</v>
      </c>
      <c r="I2415" s="9">
        <v>0</v>
      </c>
      <c r="J2415" s="9">
        <v>78590.649999999994</v>
      </c>
    </row>
    <row r="2416" spans="1:10" ht="15.75" x14ac:dyDescent="0.25">
      <c r="A2416" s="21">
        <v>45535</v>
      </c>
      <c r="B2416" t="str">
        <f>IFERROR(IF(VLOOKUP(C2416,Hoja1!$B$1:$C$6191,2,0)="",_xlfn.XLOOKUP(C2416,Hoja1!$B$2:$B$6191,Hoja1!$A$2:$A$6191),VLOOKUP(C2416,Hoja1!$B$1:$C$6191,2,0)),"No esta en Infor")</f>
        <v>NAC0528</v>
      </c>
      <c r="C2416" s="19" t="s">
        <v>76</v>
      </c>
      <c r="D2416" s="9">
        <v>30605.48</v>
      </c>
      <c r="E2416" s="9">
        <v>0</v>
      </c>
      <c r="F2416" s="9">
        <v>0</v>
      </c>
      <c r="G2416" s="9">
        <v>0</v>
      </c>
      <c r="H2416" s="9">
        <v>0</v>
      </c>
      <c r="I2416" s="9">
        <v>0</v>
      </c>
      <c r="J2416" s="9">
        <v>30605.48</v>
      </c>
    </row>
    <row r="2417" spans="1:10" ht="15.75" x14ac:dyDescent="0.25">
      <c r="A2417" s="21">
        <v>45535</v>
      </c>
      <c r="B2417" t="str">
        <f>IFERROR(IF(VLOOKUP(C2417,Hoja1!$B$1:$C$6191,2,0)="",_xlfn.XLOOKUP(C2417,Hoja1!$B$2:$B$6191,Hoja1!$A$2:$A$6191),VLOOKUP(C2417,Hoja1!$B$1:$C$6191,2,0)),"No esta en Infor")</f>
        <v>NAC0530</v>
      </c>
      <c r="C2417" s="19" t="s">
        <v>577</v>
      </c>
      <c r="D2417" s="9">
        <v>758.92</v>
      </c>
      <c r="E2417" s="9">
        <v>0</v>
      </c>
      <c r="F2417" s="9">
        <v>0</v>
      </c>
      <c r="G2417" s="9">
        <v>0</v>
      </c>
      <c r="H2417" s="9">
        <v>0</v>
      </c>
      <c r="I2417" s="9">
        <v>0</v>
      </c>
      <c r="J2417" s="9">
        <v>758.92</v>
      </c>
    </row>
    <row r="2418" spans="1:10" ht="15.75" x14ac:dyDescent="0.25">
      <c r="A2418" s="21">
        <v>45535</v>
      </c>
      <c r="B2418" t="str">
        <f>IFERROR(IF(VLOOKUP(C2418,Hoja1!$B$1:$C$6191,2,0)="",_xlfn.XLOOKUP(C2418,Hoja1!$B$2:$B$6191,Hoja1!$A$2:$A$6191),VLOOKUP(C2418,Hoja1!$B$1:$C$6191,2,0)),"No esta en Infor")</f>
        <v>NAC0532</v>
      </c>
      <c r="C2418" s="19" t="s">
        <v>612</v>
      </c>
      <c r="D2418" s="9">
        <v>0</v>
      </c>
      <c r="E2418" s="9">
        <v>-92.32</v>
      </c>
      <c r="F2418" s="9">
        <v>0</v>
      </c>
      <c r="G2418" s="9">
        <v>0</v>
      </c>
      <c r="H2418" s="9">
        <v>0</v>
      </c>
      <c r="I2418" s="9">
        <v>0</v>
      </c>
      <c r="J2418" s="9">
        <v>-92.32</v>
      </c>
    </row>
    <row r="2419" spans="1:10" ht="15.75" x14ac:dyDescent="0.25">
      <c r="A2419" s="21">
        <v>45535</v>
      </c>
      <c r="B2419" t="str">
        <f>IFERROR(IF(VLOOKUP(C2419,Hoja1!$B$1:$C$6191,2,0)="",_xlfn.XLOOKUP(C2419,Hoja1!$B$2:$B$6191,Hoja1!$A$2:$A$6191),VLOOKUP(C2419,Hoja1!$B$1:$C$6191,2,0)),"No esta en Infor")</f>
        <v>NAC0537</v>
      </c>
      <c r="C2419" s="19" t="s">
        <v>13</v>
      </c>
      <c r="D2419" s="9">
        <v>14857.53</v>
      </c>
      <c r="E2419" s="9">
        <v>0</v>
      </c>
      <c r="F2419" s="9">
        <v>0</v>
      </c>
      <c r="G2419" s="9">
        <v>0</v>
      </c>
      <c r="H2419" s="9">
        <v>0</v>
      </c>
      <c r="I2419" s="9">
        <v>0</v>
      </c>
      <c r="J2419" s="9">
        <v>14857.53</v>
      </c>
    </row>
    <row r="2420" spans="1:10" ht="15.75" x14ac:dyDescent="0.25">
      <c r="A2420" s="21">
        <v>45535</v>
      </c>
      <c r="B2420" t="str">
        <f>IFERROR(IF(VLOOKUP(C2420,Hoja1!$B$1:$C$6191,2,0)="",_xlfn.XLOOKUP(C2420,Hoja1!$B$2:$B$6191,Hoja1!$A$2:$A$6191),VLOOKUP(C2420,Hoja1!$B$1:$C$6191,2,0)),"No esta en Infor")</f>
        <v>NAC0544</v>
      </c>
      <c r="C2420" s="19" t="s">
        <v>82</v>
      </c>
      <c r="D2420" s="9">
        <v>1147.05</v>
      </c>
      <c r="E2420" s="9">
        <v>0</v>
      </c>
      <c r="F2420" s="9">
        <v>0</v>
      </c>
      <c r="G2420" s="9">
        <v>0</v>
      </c>
      <c r="H2420" s="9">
        <v>0</v>
      </c>
      <c r="I2420" s="9">
        <v>0</v>
      </c>
      <c r="J2420" s="9">
        <v>1147.05</v>
      </c>
    </row>
    <row r="2421" spans="1:10" ht="15.75" x14ac:dyDescent="0.25">
      <c r="A2421" s="21">
        <v>45535</v>
      </c>
      <c r="B2421" t="str">
        <f>IFERROR(IF(VLOOKUP(C2421,Hoja1!$B$1:$C$6191,2,0)="",_xlfn.XLOOKUP(C2421,Hoja1!$B$2:$B$6191,Hoja1!$A$2:$A$6191),VLOOKUP(C2421,Hoja1!$B$1:$C$6191,2,0)),"No esta en Infor")</f>
        <v>NAC0550</v>
      </c>
      <c r="C2421" s="19" t="s">
        <v>84</v>
      </c>
      <c r="D2421" s="9">
        <v>73793.75</v>
      </c>
      <c r="E2421" s="9">
        <v>0</v>
      </c>
      <c r="F2421" s="9">
        <v>0</v>
      </c>
      <c r="G2421" s="9">
        <v>0</v>
      </c>
      <c r="H2421" s="9">
        <v>0</v>
      </c>
      <c r="I2421" s="9">
        <v>0</v>
      </c>
      <c r="J2421" s="9">
        <v>73793.75</v>
      </c>
    </row>
    <row r="2422" spans="1:10" ht="15.75" x14ac:dyDescent="0.25">
      <c r="A2422" s="21">
        <v>45535</v>
      </c>
      <c r="B2422" t="str">
        <f>IFERROR(IF(VLOOKUP(C2422,Hoja1!$B$1:$C$6191,2,0)="",_xlfn.XLOOKUP(C2422,Hoja1!$B$2:$B$6191,Hoja1!$A$2:$A$6191),VLOOKUP(C2422,Hoja1!$B$1:$C$6191,2,0)),"No esta en Infor")</f>
        <v>NAC0556</v>
      </c>
      <c r="C2422" s="19" t="s">
        <v>14</v>
      </c>
      <c r="D2422" s="9">
        <v>112916.3</v>
      </c>
      <c r="E2422" s="9">
        <v>0</v>
      </c>
      <c r="F2422" s="9">
        <v>-4020</v>
      </c>
      <c r="G2422" s="9">
        <v>0</v>
      </c>
      <c r="H2422" s="9">
        <v>0</v>
      </c>
      <c r="I2422" s="9">
        <v>0</v>
      </c>
      <c r="J2422" s="9">
        <v>108896.3</v>
      </c>
    </row>
    <row r="2423" spans="1:10" ht="15.75" x14ac:dyDescent="0.25">
      <c r="A2423" s="21">
        <v>45535</v>
      </c>
      <c r="B2423" t="str">
        <f>IFERROR(IF(VLOOKUP(C2423,Hoja1!$B$1:$C$6191,2,0)="",_xlfn.XLOOKUP(C2423,Hoja1!$B$2:$B$6191,Hoja1!$A$2:$A$6191),VLOOKUP(C2423,Hoja1!$B$1:$C$6191,2,0)),"No esta en Infor")</f>
        <v>NAC0558</v>
      </c>
      <c r="C2423" s="19" t="s">
        <v>86</v>
      </c>
      <c r="D2423" s="9">
        <v>7712</v>
      </c>
      <c r="E2423" s="9">
        <v>2110</v>
      </c>
      <c r="F2423" s="9">
        <v>0</v>
      </c>
      <c r="G2423" s="9">
        <v>0</v>
      </c>
      <c r="H2423" s="9">
        <v>0</v>
      </c>
      <c r="I2423" s="9">
        <v>0</v>
      </c>
      <c r="J2423" s="9">
        <v>9822</v>
      </c>
    </row>
    <row r="2424" spans="1:10" ht="15.75" x14ac:dyDescent="0.25">
      <c r="A2424" s="21">
        <v>45535</v>
      </c>
      <c r="B2424" t="str">
        <f>IFERROR(IF(VLOOKUP(C2424,Hoja1!$B$1:$C$6191,2,0)="",_xlfn.XLOOKUP(C2424,Hoja1!$B$2:$B$6191,Hoja1!$A$2:$A$6191),VLOOKUP(C2424,Hoja1!$B$1:$C$6191,2,0)),"No esta en Infor")</f>
        <v>NAC0567</v>
      </c>
      <c r="C2424" s="19" t="s">
        <v>541</v>
      </c>
      <c r="D2424" s="9">
        <v>0</v>
      </c>
      <c r="E2424" s="9">
        <v>-608.84</v>
      </c>
      <c r="F2424" s="9">
        <v>0</v>
      </c>
      <c r="G2424" s="9">
        <v>0</v>
      </c>
      <c r="H2424" s="9">
        <v>0</v>
      </c>
      <c r="I2424" s="9">
        <v>0</v>
      </c>
      <c r="J2424" s="9">
        <v>-608.84</v>
      </c>
    </row>
    <row r="2425" spans="1:10" ht="15.75" x14ac:dyDescent="0.25">
      <c r="A2425" s="21">
        <v>45535</v>
      </c>
      <c r="B2425" t="str">
        <f>IFERROR(IF(VLOOKUP(C2425,Hoja1!$B$1:$C$6191,2,0)="",_xlfn.XLOOKUP(C2425,Hoja1!$B$2:$B$6191,Hoja1!$A$2:$A$6191),VLOOKUP(C2425,Hoja1!$B$1:$C$6191,2,0)),"No esta en Infor")</f>
        <v>NAC0569</v>
      </c>
      <c r="C2425" s="19" t="s">
        <v>382</v>
      </c>
      <c r="D2425" s="9">
        <v>0</v>
      </c>
      <c r="E2425" s="9">
        <v>0</v>
      </c>
      <c r="F2425" s="9">
        <v>0</v>
      </c>
      <c r="G2425" s="9">
        <v>0</v>
      </c>
      <c r="H2425" s="9">
        <v>0</v>
      </c>
      <c r="I2425" s="9">
        <v>0</v>
      </c>
      <c r="J2425" s="9">
        <v>0</v>
      </c>
    </row>
    <row r="2426" spans="1:10" ht="15.75" x14ac:dyDescent="0.25">
      <c r="A2426" s="21">
        <v>45535</v>
      </c>
      <c r="B2426" t="str">
        <f>IFERROR(IF(VLOOKUP(C2426,Hoja1!$B$1:$C$6191,2,0)="",_xlfn.XLOOKUP(C2426,Hoja1!$B$2:$B$6191,Hoja1!$A$2:$A$6191),VLOOKUP(C2426,Hoja1!$B$1:$C$6191,2,0)),"No esta en Infor")</f>
        <v>NAC0589</v>
      </c>
      <c r="C2426" s="19" t="s">
        <v>92</v>
      </c>
      <c r="D2426" s="9">
        <v>1578</v>
      </c>
      <c r="E2426" s="9">
        <v>0</v>
      </c>
      <c r="F2426" s="9">
        <v>0</v>
      </c>
      <c r="G2426" s="9">
        <v>0</v>
      </c>
      <c r="H2426" s="9">
        <v>0</v>
      </c>
      <c r="I2426" s="9">
        <v>0</v>
      </c>
      <c r="J2426" s="9">
        <v>1578</v>
      </c>
    </row>
    <row r="2427" spans="1:10" ht="15.75" x14ac:dyDescent="0.25">
      <c r="A2427" s="21">
        <v>45535</v>
      </c>
      <c r="B2427" t="str">
        <f>IFERROR(IF(VLOOKUP(C2427,Hoja1!$B$1:$C$6191,2,0)="",_xlfn.XLOOKUP(C2427,Hoja1!$B$2:$B$6191,Hoja1!$A$2:$A$6191),VLOOKUP(C2427,Hoja1!$B$1:$C$6191,2,0)),"No esta en Infor")</f>
        <v>NAC0594</v>
      </c>
      <c r="C2427" s="19" t="s">
        <v>94</v>
      </c>
      <c r="D2427" s="9">
        <v>78860.2</v>
      </c>
      <c r="E2427" s="9">
        <v>0</v>
      </c>
      <c r="F2427" s="9">
        <v>0</v>
      </c>
      <c r="G2427" s="9">
        <v>0</v>
      </c>
      <c r="H2427" s="9">
        <v>0</v>
      </c>
      <c r="I2427" s="9">
        <v>0</v>
      </c>
      <c r="J2427" s="9">
        <v>78860.2</v>
      </c>
    </row>
    <row r="2428" spans="1:10" ht="15.75" x14ac:dyDescent="0.25">
      <c r="A2428" s="21">
        <v>45535</v>
      </c>
      <c r="B2428" t="str">
        <f>IFERROR(IF(VLOOKUP(C2428,Hoja1!$B$1:$C$6191,2,0)="",_xlfn.XLOOKUP(C2428,Hoja1!$B$2:$B$6191,Hoja1!$A$2:$A$6191),VLOOKUP(C2428,Hoja1!$B$1:$C$6191,2,0)),"No esta en Infor")</f>
        <v>NAC0600</v>
      </c>
      <c r="C2428" s="19" t="s">
        <v>96</v>
      </c>
      <c r="D2428" s="9">
        <v>6610.32</v>
      </c>
      <c r="E2428" s="9">
        <v>0</v>
      </c>
      <c r="F2428" s="9">
        <v>0</v>
      </c>
      <c r="G2428" s="9">
        <v>0</v>
      </c>
      <c r="H2428" s="9">
        <v>0</v>
      </c>
      <c r="I2428" s="9">
        <v>0</v>
      </c>
      <c r="J2428" s="9">
        <v>6610.32</v>
      </c>
    </row>
    <row r="2429" spans="1:10" ht="15.75" x14ac:dyDescent="0.25">
      <c r="A2429" s="21">
        <v>45535</v>
      </c>
      <c r="B2429" t="str">
        <f>IFERROR(IF(VLOOKUP(C2429,Hoja1!$B$1:$C$6191,2,0)="",_xlfn.XLOOKUP(C2429,Hoja1!$B$2:$B$6191,Hoja1!$A$2:$A$6191),VLOOKUP(C2429,Hoja1!$B$1:$C$6191,2,0)),"No esta en Infor")</f>
        <v>NAC0610</v>
      </c>
      <c r="C2429" s="19" t="s">
        <v>16</v>
      </c>
      <c r="D2429" s="9">
        <v>102819.47</v>
      </c>
      <c r="E2429" s="9">
        <v>65744.02</v>
      </c>
      <c r="F2429" s="9">
        <v>0</v>
      </c>
      <c r="G2429" s="9">
        <v>0</v>
      </c>
      <c r="H2429" s="9">
        <v>0</v>
      </c>
      <c r="I2429" s="9">
        <v>0</v>
      </c>
      <c r="J2429" s="9">
        <v>168563.49</v>
      </c>
    </row>
    <row r="2430" spans="1:10" ht="15.75" x14ac:dyDescent="0.25">
      <c r="A2430" s="21">
        <v>45535</v>
      </c>
      <c r="B2430" t="str">
        <f>IFERROR(IF(VLOOKUP(C2430,Hoja1!$B$1:$C$6191,2,0)="",_xlfn.XLOOKUP(C2430,Hoja1!$B$2:$B$6191,Hoja1!$A$2:$A$6191),VLOOKUP(C2430,Hoja1!$B$1:$C$6191,2,0)),"No esta en Infor")</f>
        <v>NAC0612</v>
      </c>
      <c r="C2430" s="19" t="s">
        <v>100</v>
      </c>
      <c r="D2430" s="9">
        <v>6404.83</v>
      </c>
      <c r="E2430" s="9">
        <v>0</v>
      </c>
      <c r="F2430" s="9">
        <v>0</v>
      </c>
      <c r="G2430" s="9">
        <v>0</v>
      </c>
      <c r="H2430" s="9">
        <v>0</v>
      </c>
      <c r="I2430" s="9">
        <v>0</v>
      </c>
      <c r="J2430" s="9">
        <v>6404.83</v>
      </c>
    </row>
    <row r="2431" spans="1:10" ht="15.75" x14ac:dyDescent="0.25">
      <c r="A2431" s="21">
        <v>45535</v>
      </c>
      <c r="B2431" t="str">
        <f>IFERROR(IF(VLOOKUP(C2431,Hoja1!$B$1:$C$6191,2,0)="",_xlfn.XLOOKUP(C2431,Hoja1!$B$2:$B$6191,Hoja1!$A$2:$A$6191),VLOOKUP(C2431,Hoja1!$B$1:$C$6191,2,0)),"No esta en Infor")</f>
        <v>NAC0614</v>
      </c>
      <c r="C2431" s="19" t="s">
        <v>102</v>
      </c>
      <c r="D2431" s="9">
        <v>8020</v>
      </c>
      <c r="E2431" s="9">
        <v>150</v>
      </c>
      <c r="F2431" s="9">
        <v>0</v>
      </c>
      <c r="G2431" s="9">
        <v>0</v>
      </c>
      <c r="H2431" s="9">
        <v>0</v>
      </c>
      <c r="I2431" s="9">
        <v>0</v>
      </c>
      <c r="J2431" s="9">
        <v>8170</v>
      </c>
    </row>
    <row r="2432" spans="1:10" ht="15.75" x14ac:dyDescent="0.25">
      <c r="A2432" s="21">
        <v>45535</v>
      </c>
      <c r="B2432" t="str">
        <f>IFERROR(IF(VLOOKUP(C2432,Hoja1!$B$1:$C$6191,2,0)="",_xlfn.XLOOKUP(C2432,Hoja1!$B$2:$B$6191,Hoja1!$A$2:$A$6191),VLOOKUP(C2432,Hoja1!$B$1:$C$6191,2,0)),"No esta en Infor")</f>
        <v>NAC0624</v>
      </c>
      <c r="C2432" s="19" t="s">
        <v>105</v>
      </c>
      <c r="D2432" s="9">
        <v>745.98</v>
      </c>
      <c r="E2432" s="9">
        <v>0</v>
      </c>
      <c r="F2432" s="9">
        <v>-231</v>
      </c>
      <c r="G2432" s="9">
        <v>0</v>
      </c>
      <c r="H2432" s="9">
        <v>0</v>
      </c>
      <c r="I2432" s="9">
        <v>0</v>
      </c>
      <c r="J2432" s="9">
        <v>514.98</v>
      </c>
    </row>
    <row r="2433" spans="1:10" ht="15.75" x14ac:dyDescent="0.25">
      <c r="A2433" s="21">
        <v>45535</v>
      </c>
      <c r="B2433" t="str">
        <f>IFERROR(IF(VLOOKUP(C2433,Hoja1!$B$1:$C$6191,2,0)="",_xlfn.XLOOKUP(C2433,Hoja1!$B$2:$B$6191,Hoja1!$A$2:$A$6191),VLOOKUP(C2433,Hoja1!$B$1:$C$6191,2,0)),"No esta en Infor")</f>
        <v>No esta en Infor</v>
      </c>
      <c r="C2433" s="19" t="s">
        <v>613</v>
      </c>
      <c r="D2433" s="9">
        <v>0</v>
      </c>
      <c r="E2433" s="9">
        <v>96.93</v>
      </c>
      <c r="F2433" s="9">
        <v>0</v>
      </c>
      <c r="G2433" s="9">
        <v>0</v>
      </c>
      <c r="H2433" s="9">
        <v>0</v>
      </c>
      <c r="I2433" s="9">
        <v>0</v>
      </c>
      <c r="J2433" s="9">
        <v>96.93</v>
      </c>
    </row>
    <row r="2434" spans="1:10" ht="15.75" x14ac:dyDescent="0.25">
      <c r="A2434" s="21">
        <v>45535</v>
      </c>
      <c r="B2434" t="str">
        <f>IFERROR(IF(VLOOKUP(C2434,Hoja1!$B$1:$C$6191,2,0)="",_xlfn.XLOOKUP(C2434,Hoja1!$B$2:$B$6191,Hoja1!$A$2:$A$6191),VLOOKUP(C2434,Hoja1!$B$1:$C$6191,2,0)),"No esta en Infor")</f>
        <v>NAC0641</v>
      </c>
      <c r="C2434" s="19" t="s">
        <v>18</v>
      </c>
      <c r="D2434" s="9">
        <v>-10</v>
      </c>
      <c r="E2434" s="9">
        <v>0</v>
      </c>
      <c r="F2434" s="9">
        <v>0</v>
      </c>
      <c r="G2434" s="9">
        <v>0</v>
      </c>
      <c r="H2434" s="9">
        <v>0</v>
      </c>
      <c r="I2434" s="9">
        <v>0</v>
      </c>
      <c r="J2434" s="9">
        <v>-10</v>
      </c>
    </row>
    <row r="2435" spans="1:10" ht="15.75" x14ac:dyDescent="0.25">
      <c r="A2435" s="21">
        <v>45535</v>
      </c>
      <c r="B2435" t="str">
        <f>IFERROR(IF(VLOOKUP(C2435,Hoja1!$B$1:$C$6191,2,0)="",_xlfn.XLOOKUP(C2435,Hoja1!$B$2:$B$6191,Hoja1!$A$2:$A$6191),VLOOKUP(C2435,Hoja1!$B$1:$C$6191,2,0)),"No esta en Infor")</f>
        <v>NAC0649</v>
      </c>
      <c r="C2435" s="19" t="s">
        <v>614</v>
      </c>
      <c r="D2435" s="9">
        <v>37565.800000000003</v>
      </c>
      <c r="E2435" s="9">
        <v>0</v>
      </c>
      <c r="F2435" s="9">
        <v>0</v>
      </c>
      <c r="G2435" s="9">
        <v>0</v>
      </c>
      <c r="H2435" s="9">
        <v>0</v>
      </c>
      <c r="I2435" s="9">
        <v>0</v>
      </c>
      <c r="J2435" s="9">
        <v>37565.800000000003</v>
      </c>
    </row>
    <row r="2436" spans="1:10" ht="15.75" x14ac:dyDescent="0.25">
      <c r="A2436" s="21">
        <v>45535</v>
      </c>
      <c r="B2436" t="str">
        <f>IFERROR(IF(VLOOKUP(C2436,Hoja1!$B$1:$C$6191,2,0)="",_xlfn.XLOOKUP(C2436,Hoja1!$B$2:$B$6191,Hoja1!$A$2:$A$6191),VLOOKUP(C2436,Hoja1!$B$1:$C$6191,2,0)),"No esta en Infor")</f>
        <v>NAC0652</v>
      </c>
      <c r="C2436" s="19" t="s">
        <v>113</v>
      </c>
      <c r="D2436" s="9">
        <v>124.33</v>
      </c>
      <c r="E2436" s="9">
        <v>0</v>
      </c>
      <c r="F2436" s="9">
        <v>0</v>
      </c>
      <c r="G2436" s="9">
        <v>0</v>
      </c>
      <c r="H2436" s="9">
        <v>0</v>
      </c>
      <c r="I2436" s="9">
        <v>0</v>
      </c>
      <c r="J2436" s="9">
        <v>124.33</v>
      </c>
    </row>
    <row r="2437" spans="1:10" ht="15.75" x14ac:dyDescent="0.25">
      <c r="A2437" s="21">
        <v>45535</v>
      </c>
      <c r="B2437" t="str">
        <f>IFERROR(IF(VLOOKUP(C2437,Hoja1!$B$1:$C$6191,2,0)="",_xlfn.XLOOKUP(C2437,Hoja1!$B$2:$B$6191,Hoja1!$A$2:$A$6191),VLOOKUP(C2437,Hoja1!$B$1:$C$6191,2,0)),"No esta en Infor")</f>
        <v>CAN0008</v>
      </c>
      <c r="C2437" s="19" t="s">
        <v>115</v>
      </c>
      <c r="D2437" s="9">
        <v>-17433.5</v>
      </c>
      <c r="E2437" s="9">
        <v>0</v>
      </c>
      <c r="F2437" s="9">
        <v>0</v>
      </c>
      <c r="G2437" s="9">
        <v>0</v>
      </c>
      <c r="H2437" s="9">
        <v>0</v>
      </c>
      <c r="I2437" s="9">
        <v>0</v>
      </c>
      <c r="J2437" s="9">
        <v>-17433.5</v>
      </c>
    </row>
    <row r="2438" spans="1:10" ht="15.75" x14ac:dyDescent="0.25">
      <c r="A2438" s="21">
        <v>45535</v>
      </c>
      <c r="B2438" t="str">
        <f>IFERROR(IF(VLOOKUP(C2438,Hoja1!$B$1:$C$6191,2,0)="",_xlfn.XLOOKUP(C2438,Hoja1!$B$2:$B$6191,Hoja1!$A$2:$A$6191),VLOOKUP(C2438,Hoja1!$B$1:$C$6191,2,0)),"No esta en Infor")</f>
        <v>NAC0666</v>
      </c>
      <c r="C2438" s="19" t="s">
        <v>118</v>
      </c>
      <c r="D2438" s="9">
        <v>11180.55</v>
      </c>
      <c r="E2438" s="9">
        <v>4855.2</v>
      </c>
      <c r="F2438" s="9">
        <v>0</v>
      </c>
      <c r="G2438" s="9">
        <v>0</v>
      </c>
      <c r="H2438" s="9">
        <v>0</v>
      </c>
      <c r="I2438" s="9">
        <v>0</v>
      </c>
      <c r="J2438" s="9">
        <v>16035.75</v>
      </c>
    </row>
    <row r="2439" spans="1:10" ht="15.75" x14ac:dyDescent="0.25">
      <c r="A2439" s="21">
        <v>45535</v>
      </c>
      <c r="B2439" t="str">
        <f>IFERROR(IF(VLOOKUP(C2439,Hoja1!$B$1:$C$6191,2,0)="",_xlfn.XLOOKUP(C2439,Hoja1!$B$2:$B$6191,Hoja1!$A$2:$A$6191),VLOOKUP(C2439,Hoja1!$B$1:$C$6191,2,0)),"No esta en Infor")</f>
        <v>NAC0669</v>
      </c>
      <c r="C2439" s="19" t="s">
        <v>119</v>
      </c>
      <c r="D2439" s="9">
        <v>1076</v>
      </c>
      <c r="E2439" s="9">
        <v>0</v>
      </c>
      <c r="F2439" s="9">
        <v>0</v>
      </c>
      <c r="G2439" s="9">
        <v>0</v>
      </c>
      <c r="H2439" s="9">
        <v>0</v>
      </c>
      <c r="I2439" s="9">
        <v>0</v>
      </c>
      <c r="J2439" s="9">
        <v>1076</v>
      </c>
    </row>
    <row r="2440" spans="1:10" ht="15.75" x14ac:dyDescent="0.25">
      <c r="A2440" s="21">
        <v>45535</v>
      </c>
      <c r="B2440" t="str">
        <f>IFERROR(IF(VLOOKUP(C2440,Hoja1!$B$1:$C$6191,2,0)="",_xlfn.XLOOKUP(C2440,Hoja1!$B$2:$B$6191,Hoja1!$A$2:$A$6191),VLOOKUP(C2440,Hoja1!$B$1:$C$6191,2,0)),"No esta en Infor")</f>
        <v>NAC0675</v>
      </c>
      <c r="C2440" s="19" t="s">
        <v>124</v>
      </c>
      <c r="D2440" s="9">
        <v>0</v>
      </c>
      <c r="E2440" s="9">
        <v>0</v>
      </c>
      <c r="F2440" s="9">
        <v>0</v>
      </c>
      <c r="G2440" s="9">
        <v>-787.89</v>
      </c>
      <c r="H2440" s="9">
        <v>0</v>
      </c>
      <c r="I2440" s="9">
        <v>0</v>
      </c>
      <c r="J2440" s="9">
        <v>-787.89</v>
      </c>
    </row>
    <row r="2441" spans="1:10" ht="15.75" x14ac:dyDescent="0.25">
      <c r="A2441" s="21">
        <v>45535</v>
      </c>
      <c r="B2441" t="str">
        <f>IFERROR(IF(VLOOKUP(C2441,Hoja1!$B$1:$C$6191,2,0)="",_xlfn.XLOOKUP(C2441,Hoja1!$B$2:$B$6191,Hoja1!$A$2:$A$6191),VLOOKUP(C2441,Hoja1!$B$1:$C$6191,2,0)),"No esta en Infor")</f>
        <v>SH00610</v>
      </c>
      <c r="C2441" s="19" t="s">
        <v>129</v>
      </c>
      <c r="D2441" s="9">
        <v>0</v>
      </c>
      <c r="E2441" s="9">
        <v>-15</v>
      </c>
      <c r="F2441" s="9">
        <v>0</v>
      </c>
      <c r="G2441" s="9">
        <v>0</v>
      </c>
      <c r="H2441" s="9">
        <v>0</v>
      </c>
      <c r="I2441" s="9">
        <v>0</v>
      </c>
      <c r="J2441" s="9">
        <v>-15</v>
      </c>
    </row>
    <row r="2442" spans="1:10" ht="15.75" x14ac:dyDescent="0.25">
      <c r="A2442" s="21">
        <v>45535</v>
      </c>
      <c r="B2442" t="str">
        <f>IFERROR(IF(VLOOKUP(C2442,Hoja1!$B$1:$C$6191,2,0)="",_xlfn.XLOOKUP(C2442,Hoja1!$B$2:$B$6191,Hoja1!$A$2:$A$6191),VLOOKUP(C2442,Hoja1!$B$1:$C$6191,2,0)),"No esta en Infor")</f>
        <v>INT0052</v>
      </c>
      <c r="C2442" s="19" t="s">
        <v>130</v>
      </c>
      <c r="D2442" s="9">
        <v>12810.14</v>
      </c>
      <c r="E2442" s="9">
        <v>241.53</v>
      </c>
      <c r="F2442" s="9">
        <v>10556.6</v>
      </c>
      <c r="G2442" s="9">
        <v>3489.55</v>
      </c>
      <c r="H2442" s="9">
        <v>11486.15</v>
      </c>
      <c r="I2442" s="9">
        <v>61.29</v>
      </c>
      <c r="J2442" s="9">
        <v>38645.26</v>
      </c>
    </row>
    <row r="2443" spans="1:10" ht="15.75" x14ac:dyDescent="0.25">
      <c r="A2443" s="21">
        <v>45535</v>
      </c>
      <c r="B2443" t="str">
        <f>IFERROR(IF(VLOOKUP(C2443,Hoja1!$B$1:$C$6191,2,0)="",_xlfn.XLOOKUP(C2443,Hoja1!$B$2:$B$6191,Hoja1!$A$2:$A$6191),VLOOKUP(C2443,Hoja1!$B$1:$C$6191,2,0)),"No esta en Infor")</f>
        <v>INT0007</v>
      </c>
      <c r="C2443" s="19" t="s">
        <v>131</v>
      </c>
      <c r="D2443" s="9">
        <v>477607.46</v>
      </c>
      <c r="E2443" s="9">
        <v>1407816.49</v>
      </c>
      <c r="F2443" s="9">
        <v>103794.89</v>
      </c>
      <c r="G2443" s="9">
        <v>-612508.63</v>
      </c>
      <c r="H2443" s="9">
        <v>9613.3700000000008</v>
      </c>
      <c r="I2443" s="9">
        <v>600918.59</v>
      </c>
      <c r="J2443" s="9">
        <v>1987242.17</v>
      </c>
    </row>
    <row r="2444" spans="1:10" ht="15.75" x14ac:dyDescent="0.25">
      <c r="A2444" s="21">
        <v>45535</v>
      </c>
      <c r="B2444" t="str">
        <f>IFERROR(IF(VLOOKUP(C2444,Hoja1!$B$1:$C$6191,2,0)="",_xlfn.XLOOKUP(C2444,Hoja1!$B$2:$B$6191,Hoja1!$A$2:$A$6191),VLOOKUP(C2444,Hoja1!$B$1:$C$6191,2,0)),"No esta en Infor")</f>
        <v>INT0006</v>
      </c>
      <c r="C2444" s="19" t="s">
        <v>132</v>
      </c>
      <c r="D2444" s="9">
        <v>99731.08</v>
      </c>
      <c r="E2444" s="9">
        <v>93349.01</v>
      </c>
      <c r="F2444" s="9">
        <v>132589.01999999999</v>
      </c>
      <c r="G2444" s="9">
        <v>25557.99</v>
      </c>
      <c r="H2444" s="9">
        <v>21328.16</v>
      </c>
      <c r="I2444" s="9">
        <v>14.18</v>
      </c>
      <c r="J2444" s="9">
        <v>372569.44</v>
      </c>
    </row>
    <row r="2445" spans="1:10" ht="15.75" x14ac:dyDescent="0.25">
      <c r="A2445" s="21">
        <v>45535</v>
      </c>
      <c r="B2445" t="str">
        <f>IFERROR(IF(VLOOKUP(C2445,Hoja1!$B$1:$C$6191,2,0)="",_xlfn.XLOOKUP(C2445,Hoja1!$B$2:$B$6191,Hoja1!$A$2:$A$6191),VLOOKUP(C2445,Hoja1!$B$1:$C$6191,2,0)),"No esta en Infor")</f>
        <v>INT0002</v>
      </c>
      <c r="C2445" s="19" t="s">
        <v>133</v>
      </c>
      <c r="D2445" s="9">
        <v>8037.5</v>
      </c>
      <c r="E2445" s="9">
        <v>-3500</v>
      </c>
      <c r="F2445" s="9">
        <v>0</v>
      </c>
      <c r="G2445" s="9">
        <v>0</v>
      </c>
      <c r="H2445" s="9">
        <v>0</v>
      </c>
      <c r="I2445" s="9">
        <v>0</v>
      </c>
      <c r="J2445" s="9">
        <v>4537.5</v>
      </c>
    </row>
    <row r="2446" spans="1:10" ht="15.75" x14ac:dyDescent="0.25">
      <c r="A2446" s="21">
        <v>45535</v>
      </c>
      <c r="B2446" t="str">
        <f>IFERROR(IF(VLOOKUP(C2446,Hoja1!$B$1:$C$6191,2,0)="",_xlfn.XLOOKUP(C2446,Hoja1!$B$2:$B$6191,Hoja1!$A$2:$A$6191),VLOOKUP(C2446,Hoja1!$B$1:$C$6191,2,0)),"No esta en Infor")</f>
        <v>INT0001</v>
      </c>
      <c r="C2446" s="19" t="s">
        <v>134</v>
      </c>
      <c r="D2446" s="9">
        <v>139372.9</v>
      </c>
      <c r="E2446" s="9">
        <v>0</v>
      </c>
      <c r="F2446" s="9">
        <v>0</v>
      </c>
      <c r="G2446" s="9">
        <v>0</v>
      </c>
      <c r="H2446" s="9">
        <v>0</v>
      </c>
      <c r="I2446" s="9">
        <v>-531.94000000000005</v>
      </c>
      <c r="J2446" s="9">
        <v>138840.95999999999</v>
      </c>
    </row>
    <row r="2447" spans="1:10" ht="15.75" x14ac:dyDescent="0.25">
      <c r="A2447" s="21">
        <v>45535</v>
      </c>
      <c r="B2447" t="str">
        <f>IFERROR(IF(VLOOKUP(C2447,Hoja1!$B$1:$C$6191,2,0)="",_xlfn.XLOOKUP(C2447,Hoja1!$B$2:$B$6191,Hoja1!$A$2:$A$6191),VLOOKUP(C2447,Hoja1!$B$1:$C$6191,2,0)),"No esta en Infor")</f>
        <v>INT0065</v>
      </c>
      <c r="C2447" s="19" t="s">
        <v>135</v>
      </c>
      <c r="D2447" s="9">
        <v>21562.17</v>
      </c>
      <c r="E2447" s="9">
        <v>17969.419999999998</v>
      </c>
      <c r="F2447" s="9">
        <v>0</v>
      </c>
      <c r="G2447" s="9">
        <v>-3019.42</v>
      </c>
      <c r="H2447" s="9">
        <v>0</v>
      </c>
      <c r="I2447" s="9">
        <v>-14950</v>
      </c>
      <c r="J2447" s="9">
        <v>21562.17</v>
      </c>
    </row>
    <row r="2448" spans="1:10" ht="15.75" x14ac:dyDescent="0.25">
      <c r="A2448" s="21">
        <v>45535</v>
      </c>
      <c r="B2448" t="str">
        <f>IFERROR(IF(VLOOKUP(C2448,Hoja1!$B$1:$C$6191,2,0)="",_xlfn.XLOOKUP(C2448,Hoja1!$B$2:$B$6191,Hoja1!$A$2:$A$6191),VLOOKUP(C2448,Hoja1!$B$1:$C$6191,2,0)),"No esta en Infor")</f>
        <v>INT0009</v>
      </c>
      <c r="C2448" t="s">
        <v>658</v>
      </c>
      <c r="D2448" s="9">
        <v>7894.27</v>
      </c>
      <c r="E2448" s="9">
        <v>0</v>
      </c>
      <c r="F2448" s="9">
        <v>0</v>
      </c>
      <c r="G2448" s="9">
        <v>0</v>
      </c>
      <c r="H2448" s="9">
        <v>0</v>
      </c>
      <c r="I2448" s="9">
        <v>-14950</v>
      </c>
      <c r="J2448" s="9">
        <v>-7055.73</v>
      </c>
    </row>
    <row r="2449" spans="1:10" ht="15.75" x14ac:dyDescent="0.25">
      <c r="A2449" s="21">
        <v>45535</v>
      </c>
      <c r="B2449" t="str">
        <f>IFERROR(IF(VLOOKUP(C2449,Hoja1!$B$1:$C$6191,2,0)="",_xlfn.XLOOKUP(C2449,Hoja1!$B$2:$B$6191,Hoja1!$A$2:$A$6191),VLOOKUP(C2449,Hoja1!$B$1:$C$6191,2,0)),"No esta en Infor")</f>
        <v>INT0060</v>
      </c>
      <c r="C2449" s="19" t="s">
        <v>136</v>
      </c>
      <c r="D2449" s="9">
        <v>49</v>
      </c>
      <c r="E2449" s="9">
        <v>147</v>
      </c>
      <c r="F2449" s="9">
        <v>15869.74</v>
      </c>
      <c r="G2449" s="9">
        <v>6341.76</v>
      </c>
      <c r="H2449" s="9">
        <v>1224</v>
      </c>
      <c r="I2449" s="9">
        <v>19227.93</v>
      </c>
      <c r="J2449" s="9">
        <v>42859.43</v>
      </c>
    </row>
    <row r="2450" spans="1:10" ht="15.75" x14ac:dyDescent="0.25">
      <c r="A2450" s="21">
        <v>45535</v>
      </c>
      <c r="B2450" t="str">
        <f>IFERROR(IF(VLOOKUP(C2450,Hoja1!$B$1:$C$6191,2,0)="",_xlfn.XLOOKUP(C2450,Hoja1!$B$2:$B$6191,Hoja1!$A$2:$A$6191),VLOOKUP(C2450,Hoja1!$B$1:$C$6191,2,0)),"No esta en Infor")</f>
        <v>NAC0704</v>
      </c>
      <c r="C2450" s="19" t="s">
        <v>138</v>
      </c>
      <c r="D2450" s="9">
        <v>11967</v>
      </c>
      <c r="E2450" s="9">
        <v>0</v>
      </c>
      <c r="F2450" s="9">
        <v>0</v>
      </c>
      <c r="G2450" s="9">
        <v>0</v>
      </c>
      <c r="H2450" s="9">
        <v>0</v>
      </c>
      <c r="I2450" s="9">
        <v>0</v>
      </c>
      <c r="J2450" s="9">
        <v>11967</v>
      </c>
    </row>
    <row r="2451" spans="1:10" ht="15.75" x14ac:dyDescent="0.25">
      <c r="A2451" s="21">
        <v>45535</v>
      </c>
      <c r="B2451" t="str">
        <f>IFERROR(IF(VLOOKUP(C2451,Hoja1!$B$1:$C$6191,2,0)="",_xlfn.XLOOKUP(C2451,Hoja1!$B$2:$B$6191,Hoja1!$A$2:$A$6191),VLOOKUP(C2451,Hoja1!$B$1:$C$6191,2,0)),"No esta en Infor")</f>
        <v>NAC0710</v>
      </c>
      <c r="C2451" s="19" t="s">
        <v>140</v>
      </c>
      <c r="D2451" s="9">
        <v>784</v>
      </c>
      <c r="E2451" s="9">
        <v>888</v>
      </c>
      <c r="F2451" s="9">
        <v>0</v>
      </c>
      <c r="G2451" s="9">
        <v>0</v>
      </c>
      <c r="H2451" s="9">
        <v>0</v>
      </c>
      <c r="I2451" s="9">
        <v>0</v>
      </c>
      <c r="J2451" s="9">
        <v>1672</v>
      </c>
    </row>
    <row r="2452" spans="1:10" ht="15.75" x14ac:dyDescent="0.25">
      <c r="A2452" s="21">
        <v>45535</v>
      </c>
      <c r="B2452" t="str">
        <f>IFERROR(IF(VLOOKUP(C2452,Hoja1!$B$1:$C$6191,2,0)="",_xlfn.XLOOKUP(C2452,Hoja1!$B$2:$B$6191,Hoja1!$A$2:$A$6191),VLOOKUP(C2452,Hoja1!$B$1:$C$6191,2,0)),"No esta en Infor")</f>
        <v>FOC0023</v>
      </c>
      <c r="C2452" s="19" t="s">
        <v>143</v>
      </c>
      <c r="D2452" s="9">
        <v>-9945</v>
      </c>
      <c r="E2452" s="9">
        <v>2936.25</v>
      </c>
      <c r="F2452" s="9">
        <v>0</v>
      </c>
      <c r="G2452" s="9">
        <v>18788.189999999999</v>
      </c>
      <c r="H2452" s="9">
        <v>-17126.03</v>
      </c>
      <c r="I2452" s="9">
        <v>20523.25</v>
      </c>
      <c r="J2452" s="9">
        <v>15176.66</v>
      </c>
    </row>
    <row r="2453" spans="1:10" ht="15.75" x14ac:dyDescent="0.25">
      <c r="A2453" s="21">
        <v>45535</v>
      </c>
      <c r="B2453" t="str">
        <f>IFERROR(IF(VLOOKUP(C2453,Hoja1!$B$1:$C$6191,2,0)="",_xlfn.XLOOKUP(C2453,Hoja1!$B$2:$B$6191,Hoja1!$A$2:$A$6191),VLOOKUP(C2453,Hoja1!$B$1:$C$6191,2,0)),"No esta en Infor")</f>
        <v>SH00642</v>
      </c>
      <c r="C2453" s="19" t="s">
        <v>144</v>
      </c>
      <c r="D2453" s="9">
        <v>0</v>
      </c>
      <c r="E2453" s="9">
        <v>0</v>
      </c>
      <c r="F2453" s="9">
        <v>0</v>
      </c>
      <c r="G2453" s="9">
        <v>323.89</v>
      </c>
      <c r="H2453" s="9">
        <v>0</v>
      </c>
      <c r="I2453" s="9">
        <v>0</v>
      </c>
      <c r="J2453" s="9">
        <v>323.89</v>
      </c>
    </row>
    <row r="2454" spans="1:10" ht="15.75" x14ac:dyDescent="0.25">
      <c r="A2454" s="21">
        <v>45535</v>
      </c>
      <c r="B2454" t="str">
        <f>IFERROR(IF(VLOOKUP(C2454,Hoja1!$B$1:$C$6191,2,0)="",_xlfn.XLOOKUP(C2454,Hoja1!$B$2:$B$6191,Hoja1!$A$2:$A$6191),VLOOKUP(C2454,Hoja1!$B$1:$C$6191,2,0)),"No esta en Infor")</f>
        <v>NAC0726</v>
      </c>
      <c r="C2454" s="19" t="s">
        <v>147</v>
      </c>
      <c r="D2454" s="9">
        <v>19858</v>
      </c>
      <c r="E2454" s="9">
        <v>940</v>
      </c>
      <c r="F2454" s="9">
        <v>0</v>
      </c>
      <c r="G2454" s="9">
        <v>0</v>
      </c>
      <c r="H2454" s="9">
        <v>0</v>
      </c>
      <c r="I2454" s="9">
        <v>0</v>
      </c>
      <c r="J2454" s="9">
        <v>20798</v>
      </c>
    </row>
    <row r="2455" spans="1:10" ht="15.75" x14ac:dyDescent="0.25">
      <c r="A2455" s="21">
        <v>45535</v>
      </c>
      <c r="B2455" t="str">
        <f>IFERROR(IF(VLOOKUP(C2455,Hoja1!$B$1:$C$6191,2,0)="",_xlfn.XLOOKUP(C2455,Hoja1!$B$2:$B$6191,Hoja1!$A$2:$A$6191),VLOOKUP(C2455,Hoja1!$B$1:$C$6191,2,0)),"No esta en Infor")</f>
        <v>NAC0734</v>
      </c>
      <c r="C2455" s="19" t="s">
        <v>149</v>
      </c>
      <c r="D2455" s="9">
        <v>0</v>
      </c>
      <c r="E2455" s="9">
        <v>547.29999999999995</v>
      </c>
      <c r="F2455" s="9">
        <v>0</v>
      </c>
      <c r="G2455" s="9">
        <v>0</v>
      </c>
      <c r="H2455" s="9">
        <v>0</v>
      </c>
      <c r="I2455" s="9">
        <v>0</v>
      </c>
      <c r="J2455" s="9">
        <v>547.29999999999995</v>
      </c>
    </row>
    <row r="2456" spans="1:10" ht="15.75" x14ac:dyDescent="0.25">
      <c r="A2456" s="21">
        <v>45535</v>
      </c>
      <c r="B2456" t="str">
        <f>IFERROR(IF(VLOOKUP(C2456,Hoja1!$B$1:$C$6191,2,0)="",_xlfn.XLOOKUP(C2456,Hoja1!$B$2:$B$6191,Hoja1!$A$2:$A$6191),VLOOKUP(C2456,Hoja1!$B$1:$C$6191,2,0)),"No esta en Infor")</f>
        <v>NAC0740</v>
      </c>
      <c r="C2456" s="19" t="s">
        <v>151</v>
      </c>
      <c r="D2456" s="9">
        <v>0</v>
      </c>
      <c r="E2456" s="9">
        <v>0</v>
      </c>
      <c r="F2456" s="9">
        <v>60</v>
      </c>
      <c r="G2456" s="9">
        <v>0</v>
      </c>
      <c r="H2456" s="9">
        <v>0</v>
      </c>
      <c r="I2456" s="9">
        <v>96.38</v>
      </c>
      <c r="J2456" s="9">
        <v>156.38</v>
      </c>
    </row>
    <row r="2457" spans="1:10" ht="15.75" x14ac:dyDescent="0.25">
      <c r="A2457" s="21">
        <v>45535</v>
      </c>
      <c r="B2457" t="str">
        <f>IFERROR(IF(VLOOKUP(C2457,Hoja1!$B$1:$C$6191,2,0)="",_xlfn.XLOOKUP(C2457,Hoja1!$B$2:$B$6191,Hoja1!$A$2:$A$6191),VLOOKUP(C2457,Hoja1!$B$1:$C$6191,2,0)),"No esta en Infor")</f>
        <v>NAC0759</v>
      </c>
      <c r="C2457" s="19" t="s">
        <v>581</v>
      </c>
      <c r="D2457" s="9">
        <v>-16.100000000000001</v>
      </c>
      <c r="E2457" s="9">
        <v>0</v>
      </c>
      <c r="F2457" s="9">
        <v>0</v>
      </c>
      <c r="G2457" s="9">
        <v>0</v>
      </c>
      <c r="H2457" s="9">
        <v>0</v>
      </c>
      <c r="I2457" s="9">
        <v>0</v>
      </c>
      <c r="J2457" s="9">
        <v>-16.100000000000001</v>
      </c>
    </row>
    <row r="2458" spans="1:10" ht="15.75" x14ac:dyDescent="0.25">
      <c r="A2458" s="21">
        <v>45535</v>
      </c>
      <c r="B2458" t="str">
        <f>IFERROR(IF(VLOOKUP(C2458,Hoja1!$B$1:$C$6191,2,0)="",_xlfn.XLOOKUP(C2458,Hoja1!$B$2:$B$6191,Hoja1!$A$2:$A$6191),VLOOKUP(C2458,Hoja1!$B$1:$C$6191,2,0)),"No esta en Infor")</f>
        <v>NAC0756</v>
      </c>
      <c r="C2458" s="19" t="s">
        <v>154</v>
      </c>
      <c r="D2458" s="9">
        <v>0</v>
      </c>
      <c r="E2458" s="9">
        <v>0</v>
      </c>
      <c r="F2458" s="9">
        <v>0</v>
      </c>
      <c r="G2458" s="9">
        <v>0</v>
      </c>
      <c r="H2458" s="9">
        <v>-3.79</v>
      </c>
      <c r="I2458" s="9">
        <v>0</v>
      </c>
      <c r="J2458" s="9">
        <v>-3.79</v>
      </c>
    </row>
    <row r="2459" spans="1:10" ht="15.75" x14ac:dyDescent="0.25">
      <c r="A2459" s="21">
        <v>45535</v>
      </c>
      <c r="B2459" t="str">
        <f>IFERROR(IF(VLOOKUP(C2459,Hoja1!$B$1:$C$6191,2,0)="",_xlfn.XLOOKUP(C2459,Hoja1!$B$2:$B$6191,Hoja1!$A$2:$A$6191),VLOOKUP(C2459,Hoja1!$B$1:$C$6191,2,0)),"No esta en Infor")</f>
        <v>NAC0767</v>
      </c>
      <c r="C2459" s="19" t="s">
        <v>155</v>
      </c>
      <c r="D2459" s="9">
        <v>0</v>
      </c>
      <c r="E2459" s="9">
        <v>-10757</v>
      </c>
      <c r="F2459" s="9">
        <v>0</v>
      </c>
      <c r="G2459" s="9">
        <v>0</v>
      </c>
      <c r="H2459" s="9">
        <v>0</v>
      </c>
      <c r="I2459" s="9">
        <v>-20987.9</v>
      </c>
      <c r="J2459" s="9">
        <v>-31744.9</v>
      </c>
    </row>
    <row r="2460" spans="1:10" ht="15.75" x14ac:dyDescent="0.25">
      <c r="A2460" s="21">
        <v>45535</v>
      </c>
      <c r="B2460" t="str">
        <f>IFERROR(IF(VLOOKUP(C2460,Hoja1!$B$1:$C$6191,2,0)="",_xlfn.XLOOKUP(C2460,Hoja1!$B$2:$B$6191,Hoja1!$A$2:$A$6191),VLOOKUP(C2460,Hoja1!$B$1:$C$6191,2,0)),"No esta en Infor")</f>
        <v>NAC0769</v>
      </c>
      <c r="C2460" s="19" t="s">
        <v>156</v>
      </c>
      <c r="D2460" s="9">
        <v>20298</v>
      </c>
      <c r="E2460" s="9">
        <v>0</v>
      </c>
      <c r="F2460" s="9">
        <v>-297.89</v>
      </c>
      <c r="G2460" s="9">
        <v>0</v>
      </c>
      <c r="H2460" s="9">
        <v>0</v>
      </c>
      <c r="I2460" s="9">
        <v>0</v>
      </c>
      <c r="J2460" s="9">
        <v>20000.11</v>
      </c>
    </row>
    <row r="2461" spans="1:10" ht="15.75" x14ac:dyDescent="0.25">
      <c r="A2461" s="21">
        <v>45535</v>
      </c>
      <c r="B2461" t="str">
        <f>IFERROR(IF(VLOOKUP(C2461,Hoja1!$B$1:$C$6191,2,0)="",_xlfn.XLOOKUP(C2461,Hoja1!$B$2:$B$6191,Hoja1!$A$2:$A$6191),VLOOKUP(C2461,Hoja1!$B$1:$C$6191,2,0)),"No esta en Infor")</f>
        <v>SH02831</v>
      </c>
      <c r="C2461" s="19" t="s">
        <v>615</v>
      </c>
      <c r="D2461" s="9">
        <v>0</v>
      </c>
      <c r="E2461" s="9">
        <v>52.25</v>
      </c>
      <c r="F2461" s="9">
        <v>0</v>
      </c>
      <c r="G2461" s="9">
        <v>0</v>
      </c>
      <c r="H2461" s="9">
        <v>0</v>
      </c>
      <c r="I2461" s="9">
        <v>0</v>
      </c>
      <c r="J2461" s="9">
        <v>52.25</v>
      </c>
    </row>
    <row r="2462" spans="1:10" ht="15.75" x14ac:dyDescent="0.25">
      <c r="A2462" s="21">
        <v>45535</v>
      </c>
      <c r="B2462" t="str">
        <f>IFERROR(IF(VLOOKUP(C2462,Hoja1!$B$1:$C$6191,2,0)="",_xlfn.XLOOKUP(C2462,Hoja1!$B$2:$B$6191,Hoja1!$A$2:$A$6191),VLOOKUP(C2462,Hoja1!$B$1:$C$6191,2,0)),"No esta en Infor")</f>
        <v>NAC0770</v>
      </c>
      <c r="C2462" s="19" t="s">
        <v>616</v>
      </c>
      <c r="D2462" s="9">
        <v>4091.54</v>
      </c>
      <c r="E2462" s="9">
        <v>0</v>
      </c>
      <c r="F2462" s="9">
        <v>0</v>
      </c>
      <c r="G2462" s="9">
        <v>0</v>
      </c>
      <c r="H2462" s="9">
        <v>0</v>
      </c>
      <c r="I2462" s="9">
        <v>0</v>
      </c>
      <c r="J2462" s="9">
        <v>4091.54</v>
      </c>
    </row>
    <row r="2463" spans="1:10" ht="15.75" x14ac:dyDescent="0.25">
      <c r="A2463" s="21">
        <v>45535</v>
      </c>
      <c r="B2463" t="str">
        <f>IFERROR(IF(VLOOKUP(C2463,Hoja1!$B$1:$C$6191,2,0)="",_xlfn.XLOOKUP(C2463,Hoja1!$B$2:$B$6191,Hoja1!$A$2:$A$6191),VLOOKUP(C2463,Hoja1!$B$1:$C$6191,2,0)),"No esta en Infor")</f>
        <v>NAC0773</v>
      </c>
      <c r="C2463" s="19" t="s">
        <v>157</v>
      </c>
      <c r="D2463" s="9">
        <v>0</v>
      </c>
      <c r="E2463" s="9">
        <v>202.63</v>
      </c>
      <c r="F2463" s="9">
        <v>0</v>
      </c>
      <c r="G2463" s="9">
        <v>0</v>
      </c>
      <c r="H2463" s="9">
        <v>0</v>
      </c>
      <c r="I2463" s="9">
        <v>0</v>
      </c>
      <c r="J2463" s="9">
        <v>202.63</v>
      </c>
    </row>
    <row r="2464" spans="1:10" ht="15.75" x14ac:dyDescent="0.25">
      <c r="A2464" s="21">
        <v>45535</v>
      </c>
      <c r="B2464" t="str">
        <f>IFERROR(IF(VLOOKUP(C2464,Hoja1!$B$1:$C$6191,2,0)="",_xlfn.XLOOKUP(C2464,Hoja1!$B$2:$B$6191,Hoja1!$A$2:$A$6191),VLOOKUP(C2464,Hoja1!$B$1:$C$6191,2,0)),"No esta en Infor")</f>
        <v>NAC0778</v>
      </c>
      <c r="C2464" s="19" t="s">
        <v>159</v>
      </c>
      <c r="D2464" s="9">
        <v>0</v>
      </c>
      <c r="E2464" s="9">
        <v>0</v>
      </c>
      <c r="F2464" s="9">
        <v>0</v>
      </c>
      <c r="G2464" s="9">
        <v>-781.38</v>
      </c>
      <c r="H2464" s="9">
        <v>0</v>
      </c>
      <c r="I2464" s="9">
        <v>0</v>
      </c>
      <c r="J2464" s="9">
        <v>-781.38</v>
      </c>
    </row>
    <row r="2465" spans="1:10" ht="15.75" x14ac:dyDescent="0.25">
      <c r="A2465" s="21">
        <v>45535</v>
      </c>
      <c r="B2465" t="str">
        <f>IFERROR(IF(VLOOKUP(C2465,Hoja1!$B$1:$C$6191,2,0)="",_xlfn.XLOOKUP(C2465,Hoja1!$B$2:$B$6191,Hoja1!$A$2:$A$6191),VLOOKUP(C2465,Hoja1!$B$1:$C$6191,2,0)),"No esta en Infor")</f>
        <v>NAC0779</v>
      </c>
      <c r="C2465" s="19" t="s">
        <v>160</v>
      </c>
      <c r="D2465" s="9">
        <v>2604</v>
      </c>
      <c r="E2465" s="9">
        <v>0</v>
      </c>
      <c r="F2465" s="9">
        <v>0</v>
      </c>
      <c r="G2465" s="9">
        <v>0</v>
      </c>
      <c r="H2465" s="9">
        <v>0</v>
      </c>
      <c r="I2465" s="9">
        <v>0</v>
      </c>
      <c r="J2465" s="9">
        <v>2604</v>
      </c>
    </row>
    <row r="2466" spans="1:10" ht="15.75" x14ac:dyDescent="0.25">
      <c r="A2466" s="21">
        <v>45535</v>
      </c>
      <c r="B2466" t="str">
        <f>IFERROR(IF(VLOOKUP(C2466,Hoja1!$B$1:$C$6191,2,0)="",_xlfn.XLOOKUP(C2466,Hoja1!$B$2:$B$6191,Hoja1!$A$2:$A$6191),VLOOKUP(C2466,Hoja1!$B$1:$C$6191,2,0)),"No esta en Infor")</f>
        <v>NAC0780</v>
      </c>
      <c r="C2466" s="19" t="s">
        <v>161</v>
      </c>
      <c r="D2466" s="9">
        <v>703</v>
      </c>
      <c r="E2466" s="9">
        <v>0</v>
      </c>
      <c r="F2466" s="9">
        <v>0</v>
      </c>
      <c r="G2466" s="9">
        <v>0</v>
      </c>
      <c r="H2466" s="9">
        <v>0</v>
      </c>
      <c r="I2466" s="9">
        <v>0</v>
      </c>
      <c r="J2466" s="9">
        <v>703</v>
      </c>
    </row>
    <row r="2467" spans="1:10" ht="15.75" x14ac:dyDescent="0.25">
      <c r="A2467" s="21">
        <v>45535</v>
      </c>
      <c r="B2467" t="str">
        <f>IFERROR(IF(VLOOKUP(C2467,Hoja1!$B$1:$C$6191,2,0)="",_xlfn.XLOOKUP(C2467,Hoja1!$B$2:$B$6191,Hoja1!$A$2:$A$6191),VLOOKUP(C2467,Hoja1!$B$1:$C$6191,2,0)),"No esta en Infor")</f>
        <v>NAC0781</v>
      </c>
      <c r="C2467" s="19" t="s">
        <v>162</v>
      </c>
      <c r="D2467" s="9">
        <v>0</v>
      </c>
      <c r="E2467" s="9">
        <v>0</v>
      </c>
      <c r="F2467" s="9">
        <v>0</v>
      </c>
      <c r="G2467" s="9">
        <v>-340</v>
      </c>
      <c r="H2467" s="9">
        <v>0</v>
      </c>
      <c r="I2467" s="9">
        <v>-390</v>
      </c>
      <c r="J2467" s="9">
        <v>-730</v>
      </c>
    </row>
    <row r="2468" spans="1:10" ht="15.75" x14ac:dyDescent="0.25">
      <c r="A2468" s="21">
        <v>45535</v>
      </c>
      <c r="B2468" t="str">
        <f>IFERROR(IF(VLOOKUP(C2468,Hoja1!$B$1:$C$6191,2,0)="",_xlfn.XLOOKUP(C2468,Hoja1!$B$2:$B$6191,Hoja1!$A$2:$A$6191),VLOOKUP(C2468,Hoja1!$B$1:$C$6191,2,0)),"No esta en Infor")</f>
        <v>NAC0782</v>
      </c>
      <c r="C2468" s="19" t="s">
        <v>496</v>
      </c>
      <c r="D2468" s="9">
        <v>84</v>
      </c>
      <c r="E2468" s="9">
        <v>0</v>
      </c>
      <c r="F2468" s="9">
        <v>0</v>
      </c>
      <c r="G2468" s="9">
        <v>0</v>
      </c>
      <c r="H2468" s="9">
        <v>0</v>
      </c>
      <c r="I2468" s="9">
        <v>0</v>
      </c>
      <c r="J2468" s="9">
        <v>84</v>
      </c>
    </row>
    <row r="2469" spans="1:10" ht="15.75" x14ac:dyDescent="0.25">
      <c r="A2469" s="21">
        <v>45535</v>
      </c>
      <c r="B2469" t="str">
        <f>IFERROR(IF(VLOOKUP(C2469,Hoja1!$B$1:$C$6191,2,0)="",_xlfn.XLOOKUP(C2469,Hoja1!$B$2:$B$6191,Hoja1!$A$2:$A$6191),VLOOKUP(C2469,Hoja1!$B$1:$C$6191,2,0)),"No esta en Infor")</f>
        <v>NAC0792</v>
      </c>
      <c r="C2469" s="19" t="s">
        <v>164</v>
      </c>
      <c r="D2469" s="9">
        <v>10262.6</v>
      </c>
      <c r="E2469" s="9">
        <v>3733.28</v>
      </c>
      <c r="F2469" s="9">
        <v>0</v>
      </c>
      <c r="G2469" s="9">
        <v>0</v>
      </c>
      <c r="H2469" s="9">
        <v>0</v>
      </c>
      <c r="I2469" s="9">
        <v>0</v>
      </c>
      <c r="J2469" s="9">
        <v>13995.88</v>
      </c>
    </row>
    <row r="2470" spans="1:10" ht="15.75" x14ac:dyDescent="0.25">
      <c r="A2470" s="21">
        <v>45535</v>
      </c>
      <c r="B2470" t="str">
        <f>IFERROR(IF(VLOOKUP(C2470,Hoja1!$B$1:$C$6191,2,0)="",_xlfn.XLOOKUP(C2470,Hoja1!$B$2:$B$6191,Hoja1!$A$2:$A$6191),VLOOKUP(C2470,Hoja1!$B$1:$C$6191,2,0)),"No esta en Infor")</f>
        <v>NAC1612</v>
      </c>
      <c r="C2470" s="19" t="s">
        <v>551</v>
      </c>
      <c r="D2470" s="9">
        <v>0</v>
      </c>
      <c r="E2470" s="9">
        <v>0</v>
      </c>
      <c r="F2470" s="9">
        <v>0</v>
      </c>
      <c r="G2470" s="9">
        <v>-0.02</v>
      </c>
      <c r="H2470" s="9">
        <v>0</v>
      </c>
      <c r="I2470" s="9">
        <v>0</v>
      </c>
      <c r="J2470" s="9">
        <v>-0.02</v>
      </c>
    </row>
    <row r="2471" spans="1:10" ht="15.75" x14ac:dyDescent="0.25">
      <c r="A2471" s="21">
        <v>45535</v>
      </c>
      <c r="B2471" t="str">
        <f>IFERROR(IF(VLOOKUP(C2471,Hoja1!$B$1:$C$6191,2,0)="",_xlfn.XLOOKUP(C2471,Hoja1!$B$2:$B$6191,Hoja1!$A$2:$A$6191),VLOOKUP(C2471,Hoja1!$B$1:$C$6191,2,0)),"No esta en Infor")</f>
        <v>NAC0800</v>
      </c>
      <c r="C2471" s="19" t="s">
        <v>617</v>
      </c>
      <c r="D2471" s="9">
        <v>-1500</v>
      </c>
      <c r="E2471" s="9">
        <v>0</v>
      </c>
      <c r="F2471" s="9">
        <v>0</v>
      </c>
      <c r="G2471" s="9">
        <v>0</v>
      </c>
      <c r="H2471" s="9">
        <v>0</v>
      </c>
      <c r="I2471" s="9">
        <v>0</v>
      </c>
      <c r="J2471" s="9">
        <v>-1500</v>
      </c>
    </row>
    <row r="2472" spans="1:10" ht="15.75" x14ac:dyDescent="0.25">
      <c r="A2472" s="21">
        <v>45535</v>
      </c>
      <c r="B2472" t="str">
        <f>IFERROR(IF(VLOOKUP(C2472,Hoja1!$B$1:$C$6191,2,0)="",_xlfn.XLOOKUP(C2472,Hoja1!$B$2:$B$6191,Hoja1!$A$2:$A$6191),VLOOKUP(C2472,Hoja1!$B$1:$C$6191,2,0)),"No esta en Infor")</f>
        <v>NAC0804</v>
      </c>
      <c r="C2472" s="19" t="s">
        <v>169</v>
      </c>
      <c r="D2472" s="9">
        <v>6969.33</v>
      </c>
      <c r="E2472" s="9">
        <v>0</v>
      </c>
      <c r="F2472" s="9">
        <v>0</v>
      </c>
      <c r="G2472" s="9">
        <v>0</v>
      </c>
      <c r="H2472" s="9">
        <v>0</v>
      </c>
      <c r="I2472" s="9">
        <v>0</v>
      </c>
      <c r="J2472" s="9">
        <v>6969.33</v>
      </c>
    </row>
    <row r="2473" spans="1:10" ht="15.75" x14ac:dyDescent="0.25">
      <c r="A2473" s="21">
        <v>45535</v>
      </c>
      <c r="B2473" t="str">
        <f>IFERROR(IF(VLOOKUP(C2473,Hoja1!$B$1:$C$6191,2,0)="",_xlfn.XLOOKUP(C2473,Hoja1!$B$2:$B$6191,Hoja1!$A$2:$A$6191),VLOOKUP(C2473,Hoja1!$B$1:$C$6191,2,0)),"No esta en Infor")</f>
        <v>CAN0019</v>
      </c>
      <c r="C2473" s="19" t="s">
        <v>172</v>
      </c>
      <c r="D2473" s="9">
        <v>39668.65</v>
      </c>
      <c r="E2473" s="9">
        <v>0</v>
      </c>
      <c r="F2473" s="9">
        <v>0</v>
      </c>
      <c r="G2473" s="9">
        <v>0</v>
      </c>
      <c r="H2473" s="9">
        <v>0</v>
      </c>
      <c r="I2473" s="9">
        <v>0</v>
      </c>
      <c r="J2473" s="9">
        <v>39668.65</v>
      </c>
    </row>
    <row r="2474" spans="1:10" ht="15.75" x14ac:dyDescent="0.25">
      <c r="A2474" s="21">
        <v>45535</v>
      </c>
      <c r="B2474" t="str">
        <f>IFERROR(IF(VLOOKUP(C2474,Hoja1!$B$1:$C$6191,2,0)="",_xlfn.XLOOKUP(C2474,Hoja1!$B$2:$B$6191,Hoja1!$A$2:$A$6191),VLOOKUP(C2474,Hoja1!$B$1:$C$6191,2,0)),"No esta en Infor")</f>
        <v>No esta en Infor</v>
      </c>
      <c r="C2474" s="19" t="s">
        <v>552</v>
      </c>
      <c r="D2474" s="9">
        <v>0</v>
      </c>
      <c r="E2474" s="9">
        <v>-6.34</v>
      </c>
      <c r="F2474" s="9">
        <v>0</v>
      </c>
      <c r="G2474" s="9">
        <v>0</v>
      </c>
      <c r="H2474" s="9">
        <v>0</v>
      </c>
      <c r="I2474" s="9">
        <v>0</v>
      </c>
      <c r="J2474" s="9">
        <v>-6.34</v>
      </c>
    </row>
    <row r="2475" spans="1:10" ht="15.75" x14ac:dyDescent="0.25">
      <c r="A2475" s="21">
        <v>45535</v>
      </c>
      <c r="B2475" t="str">
        <f>IFERROR(IF(VLOOKUP(C2475,Hoja1!$B$1:$C$6191,2,0)="",_xlfn.XLOOKUP(C2475,Hoja1!$B$2:$B$6191,Hoja1!$A$2:$A$6191),VLOOKUP(C2475,Hoja1!$B$1:$C$6191,2,0)),"No esta en Infor")</f>
        <v>CAN0020</v>
      </c>
      <c r="C2475" s="19" t="s">
        <v>174</v>
      </c>
      <c r="D2475" s="9">
        <v>771.98</v>
      </c>
      <c r="E2475" s="9">
        <v>-1277.0899999999999</v>
      </c>
      <c r="F2475" s="9">
        <v>0</v>
      </c>
      <c r="G2475" s="9">
        <v>0</v>
      </c>
      <c r="H2475" s="9">
        <v>0</v>
      </c>
      <c r="I2475" s="9">
        <v>0</v>
      </c>
      <c r="J2475" s="9">
        <v>-505.11</v>
      </c>
    </row>
    <row r="2476" spans="1:10" ht="15.75" x14ac:dyDescent="0.25">
      <c r="A2476" s="21">
        <v>45535</v>
      </c>
      <c r="B2476" t="str">
        <f>IFERROR(IF(VLOOKUP(C2476,Hoja1!$B$1:$C$6191,2,0)="",_xlfn.XLOOKUP(C2476,Hoja1!$B$2:$B$6191,Hoja1!$A$2:$A$6191),VLOOKUP(C2476,Hoja1!$B$1:$C$6191,2,0)),"No esta en Infor")</f>
        <v>NAC0816</v>
      </c>
      <c r="C2476" s="19" t="s">
        <v>176</v>
      </c>
      <c r="D2476" s="9">
        <v>-31.9</v>
      </c>
      <c r="E2476" s="9">
        <v>0</v>
      </c>
      <c r="F2476" s="9">
        <v>0</v>
      </c>
      <c r="G2476" s="9">
        <v>0</v>
      </c>
      <c r="H2476" s="9">
        <v>0</v>
      </c>
      <c r="I2476" s="9">
        <v>0</v>
      </c>
      <c r="J2476" s="9">
        <v>-31.9</v>
      </c>
    </row>
    <row r="2477" spans="1:10" ht="15.75" x14ac:dyDescent="0.25">
      <c r="A2477" s="21">
        <v>45535</v>
      </c>
      <c r="B2477" t="str">
        <f>IFERROR(IF(VLOOKUP(C2477,Hoja1!$B$1:$C$6191,2,0)="",_xlfn.XLOOKUP(C2477,Hoja1!$B$2:$B$6191,Hoja1!$A$2:$A$6191),VLOOKUP(C2477,Hoja1!$B$1:$C$6191,2,0)),"No esta en Infor")</f>
        <v>NAC0825</v>
      </c>
      <c r="C2477" s="19" t="s">
        <v>179</v>
      </c>
      <c r="D2477" s="9">
        <v>86923.199999999997</v>
      </c>
      <c r="E2477" s="9">
        <v>0</v>
      </c>
      <c r="F2477" s="9">
        <v>0</v>
      </c>
      <c r="G2477" s="9">
        <v>0</v>
      </c>
      <c r="H2477" s="9">
        <v>0</v>
      </c>
      <c r="I2477" s="9">
        <v>0</v>
      </c>
      <c r="J2477" s="9">
        <v>86923.199999999997</v>
      </c>
    </row>
    <row r="2478" spans="1:10" ht="15.75" x14ac:dyDescent="0.25">
      <c r="A2478" s="21">
        <v>45535</v>
      </c>
      <c r="B2478" t="str">
        <f>IFERROR(IF(VLOOKUP(C2478,Hoja1!$B$1:$C$6191,2,0)="",_xlfn.XLOOKUP(C2478,Hoja1!$B$2:$B$6191,Hoja1!$A$2:$A$6191),VLOOKUP(C2478,Hoja1!$B$1:$C$6191,2,0)),"No esta en Infor")</f>
        <v>NAC0841</v>
      </c>
      <c r="C2478" s="19" t="s">
        <v>183</v>
      </c>
      <c r="D2478" s="9">
        <v>0</v>
      </c>
      <c r="E2478" s="9">
        <v>2353.4299999999998</v>
      </c>
      <c r="F2478" s="9">
        <v>0</v>
      </c>
      <c r="G2478" s="9">
        <v>0</v>
      </c>
      <c r="H2478" s="9">
        <v>0</v>
      </c>
      <c r="I2478" s="9">
        <v>0</v>
      </c>
      <c r="J2478" s="9">
        <v>2353.4299999999998</v>
      </c>
    </row>
    <row r="2479" spans="1:10" ht="15.75" x14ac:dyDescent="0.25">
      <c r="A2479" s="21">
        <v>45535</v>
      </c>
      <c r="B2479" t="str">
        <f>IFERROR(IF(VLOOKUP(C2479,Hoja1!$B$1:$C$6191,2,0)="",_xlfn.XLOOKUP(C2479,Hoja1!$B$2:$B$6191,Hoja1!$A$2:$A$6191),VLOOKUP(C2479,Hoja1!$B$1:$C$6191,2,0)),"No esta en Infor")</f>
        <v>NAC0847</v>
      </c>
      <c r="C2479" s="19" t="s">
        <v>184</v>
      </c>
      <c r="D2479" s="9">
        <v>0</v>
      </c>
      <c r="E2479" s="9">
        <v>0</v>
      </c>
      <c r="F2479" s="9">
        <v>0</v>
      </c>
      <c r="G2479" s="9">
        <v>0</v>
      </c>
      <c r="H2479" s="9">
        <v>0</v>
      </c>
      <c r="I2479" s="9">
        <v>-1</v>
      </c>
      <c r="J2479" s="9">
        <v>-1</v>
      </c>
    </row>
    <row r="2480" spans="1:10" ht="15.75" x14ac:dyDescent="0.25">
      <c r="A2480" s="21">
        <v>45535</v>
      </c>
      <c r="B2480" t="str">
        <f>IFERROR(IF(VLOOKUP(C2480,Hoja1!$B$1:$C$6191,2,0)="",_xlfn.XLOOKUP(C2480,Hoja1!$B$2:$B$6191,Hoja1!$A$2:$A$6191),VLOOKUP(C2480,Hoja1!$B$1:$C$6191,2,0)),"No esta en Infor")</f>
        <v>NAC0848</v>
      </c>
      <c r="C2480" s="19" t="s">
        <v>498</v>
      </c>
      <c r="D2480" s="9">
        <v>842.34</v>
      </c>
      <c r="E2480" s="9">
        <v>0</v>
      </c>
      <c r="F2480" s="9">
        <v>0</v>
      </c>
      <c r="G2480" s="9">
        <v>0</v>
      </c>
      <c r="H2480" s="9">
        <v>0</v>
      </c>
      <c r="I2480" s="9">
        <v>0</v>
      </c>
      <c r="J2480" s="9">
        <v>842.34</v>
      </c>
    </row>
    <row r="2481" spans="1:10" ht="15.75" x14ac:dyDescent="0.25">
      <c r="A2481" s="21">
        <v>45535</v>
      </c>
      <c r="B2481" t="str">
        <f>IFERROR(IF(VLOOKUP(C2481,Hoja1!$B$1:$C$6191,2,0)="",_xlfn.XLOOKUP(C2481,Hoja1!$B$2:$B$6191,Hoja1!$A$2:$A$6191),VLOOKUP(C2481,Hoja1!$B$1:$C$6191,2,0)),"No esta en Infor")</f>
        <v>NAC0851</v>
      </c>
      <c r="C2481" s="19" t="s">
        <v>185</v>
      </c>
      <c r="D2481" s="9">
        <v>0</v>
      </c>
      <c r="E2481" s="9">
        <v>0</v>
      </c>
      <c r="F2481" s="9">
        <v>-75.599999999999994</v>
      </c>
      <c r="G2481" s="9">
        <v>-75.599999999999994</v>
      </c>
      <c r="H2481" s="9">
        <v>-680.4</v>
      </c>
      <c r="I2481" s="9">
        <v>0</v>
      </c>
      <c r="J2481" s="9">
        <v>-831.6</v>
      </c>
    </row>
    <row r="2482" spans="1:10" ht="15.75" x14ac:dyDescent="0.25">
      <c r="A2482" s="21">
        <v>45535</v>
      </c>
      <c r="B2482" t="str">
        <f>IFERROR(IF(VLOOKUP(C2482,Hoja1!$B$1:$C$6191,2,0)="",_xlfn.XLOOKUP(C2482,Hoja1!$B$2:$B$6191,Hoja1!$A$2:$A$6191),VLOOKUP(C2482,Hoja1!$B$1:$C$6191,2,0)),"No esta en Infor")</f>
        <v>NAC0855</v>
      </c>
      <c r="C2482" s="19" t="s">
        <v>618</v>
      </c>
      <c r="D2482" s="9">
        <v>265.12</v>
      </c>
      <c r="E2482" s="9">
        <v>0</v>
      </c>
      <c r="F2482" s="9">
        <v>0</v>
      </c>
      <c r="G2482" s="9">
        <v>0</v>
      </c>
      <c r="H2482" s="9">
        <v>0</v>
      </c>
      <c r="I2482" s="9">
        <v>0</v>
      </c>
      <c r="J2482" s="9">
        <v>265.12</v>
      </c>
    </row>
    <row r="2483" spans="1:10" ht="15.75" x14ac:dyDescent="0.25">
      <c r="A2483" s="21">
        <v>45535</v>
      </c>
      <c r="B2483" t="str">
        <f>IFERROR(IF(VLOOKUP(C2483,Hoja1!$B$1:$C$6191,2,0)="",_xlfn.XLOOKUP(C2483,Hoja1!$B$2:$B$6191,Hoja1!$A$2:$A$6191),VLOOKUP(C2483,Hoja1!$B$1:$C$6191,2,0)),"No esta en Infor")</f>
        <v>SH00787</v>
      </c>
      <c r="C2483" s="19" t="s">
        <v>186</v>
      </c>
      <c r="D2483" s="9">
        <v>0</v>
      </c>
      <c r="E2483" s="9">
        <v>0</v>
      </c>
      <c r="F2483" s="9">
        <v>0</v>
      </c>
      <c r="G2483" s="9">
        <v>174.63</v>
      </c>
      <c r="H2483" s="9">
        <v>0</v>
      </c>
      <c r="I2483" s="9">
        <v>0</v>
      </c>
      <c r="J2483" s="9">
        <v>174.63</v>
      </c>
    </row>
    <row r="2484" spans="1:10" ht="15.75" x14ac:dyDescent="0.25">
      <c r="A2484" s="21">
        <v>45535</v>
      </c>
      <c r="B2484" t="str">
        <f>IFERROR(IF(VLOOKUP(C2484,Hoja1!$B$1:$C$6191,2,0)="",_xlfn.XLOOKUP(C2484,Hoja1!$B$2:$B$6191,Hoja1!$A$2:$A$6191),VLOOKUP(C2484,Hoja1!$B$1:$C$6191,2,0)),"No esta en Infor")</f>
        <v>NAC0858</v>
      </c>
      <c r="C2484" s="19" t="s">
        <v>188</v>
      </c>
      <c r="D2484" s="9">
        <v>378</v>
      </c>
      <c r="E2484" s="9">
        <v>0</v>
      </c>
      <c r="F2484" s="9">
        <v>0</v>
      </c>
      <c r="G2484" s="9">
        <v>0</v>
      </c>
      <c r="H2484" s="9">
        <v>0</v>
      </c>
      <c r="I2484" s="9">
        <v>0</v>
      </c>
      <c r="J2484" s="9">
        <v>378</v>
      </c>
    </row>
    <row r="2485" spans="1:10" ht="15.75" x14ac:dyDescent="0.25">
      <c r="A2485" s="21">
        <v>45535</v>
      </c>
      <c r="B2485" t="str">
        <f>IFERROR(IF(VLOOKUP(C2485,Hoja1!$B$1:$C$6191,2,0)="",_xlfn.XLOOKUP(C2485,Hoja1!$B$2:$B$6191,Hoja1!$A$2:$A$6191),VLOOKUP(C2485,Hoja1!$B$1:$C$6191,2,0)),"No esta en Infor")</f>
        <v>SH00796</v>
      </c>
      <c r="C2485" s="19" t="s">
        <v>619</v>
      </c>
      <c r="D2485" s="9">
        <v>0</v>
      </c>
      <c r="E2485" s="9">
        <v>80.2</v>
      </c>
      <c r="F2485" s="9">
        <v>0</v>
      </c>
      <c r="G2485" s="9">
        <v>0</v>
      </c>
      <c r="H2485" s="9">
        <v>0</v>
      </c>
      <c r="I2485" s="9">
        <v>0</v>
      </c>
      <c r="J2485" s="9">
        <v>80.2</v>
      </c>
    </row>
    <row r="2486" spans="1:10" ht="15.75" x14ac:dyDescent="0.25">
      <c r="A2486" s="21">
        <v>45535</v>
      </c>
      <c r="B2486" t="str">
        <f>IFERROR(IF(VLOOKUP(C2486,Hoja1!$B$1:$C$6191,2,0)="",_xlfn.XLOOKUP(C2486,Hoja1!$B$2:$B$6191,Hoja1!$A$2:$A$6191),VLOOKUP(C2486,Hoja1!$B$1:$C$6191,2,0)),"No esta en Infor")</f>
        <v>NAC0863</v>
      </c>
      <c r="C2486" s="19" t="s">
        <v>398</v>
      </c>
      <c r="D2486" s="9">
        <v>0</v>
      </c>
      <c r="E2486" s="9">
        <v>0</v>
      </c>
      <c r="F2486" s="9">
        <v>0</v>
      </c>
      <c r="G2486" s="9">
        <v>-49.92</v>
      </c>
      <c r="H2486" s="9">
        <v>0</v>
      </c>
      <c r="I2486" s="9">
        <v>0</v>
      </c>
      <c r="J2486" s="9">
        <v>-49.92</v>
      </c>
    </row>
    <row r="2487" spans="1:10" ht="15.75" x14ac:dyDescent="0.25">
      <c r="A2487" s="21">
        <v>45535</v>
      </c>
      <c r="B2487" t="str">
        <f>IFERROR(IF(VLOOKUP(C2487,Hoja1!$B$1:$C$6191,2,0)="",_xlfn.XLOOKUP(C2487,Hoja1!$B$2:$B$6191,Hoja1!$A$2:$A$6191),VLOOKUP(C2487,Hoja1!$B$1:$C$6191,2,0)),"No esta en Infor")</f>
        <v>NAC0865</v>
      </c>
      <c r="C2487" s="19" t="s">
        <v>23</v>
      </c>
      <c r="D2487" s="9">
        <v>3805.2</v>
      </c>
      <c r="E2487" s="9">
        <v>2449</v>
      </c>
      <c r="F2487" s="9">
        <v>0</v>
      </c>
      <c r="G2487" s="9">
        <v>0</v>
      </c>
      <c r="H2487" s="9">
        <v>0</v>
      </c>
      <c r="I2487" s="9">
        <v>0</v>
      </c>
      <c r="J2487" s="9">
        <v>6254.2</v>
      </c>
    </row>
    <row r="2488" spans="1:10" ht="15.75" x14ac:dyDescent="0.25">
      <c r="A2488" s="21">
        <v>45535</v>
      </c>
      <c r="B2488" t="str">
        <f>IFERROR(IF(VLOOKUP(C2488,Hoja1!$B$1:$C$6191,2,0)="",_xlfn.XLOOKUP(C2488,Hoja1!$B$2:$B$6191,Hoja1!$A$2:$A$6191),VLOOKUP(C2488,Hoja1!$B$1:$C$6191,2,0)),"No esta en Infor")</f>
        <v>NAC1613</v>
      </c>
      <c r="C2488" s="19" t="s">
        <v>620</v>
      </c>
      <c r="D2488" s="9">
        <v>1239.8</v>
      </c>
      <c r="E2488" s="9">
        <v>0</v>
      </c>
      <c r="F2488" s="9">
        <v>0</v>
      </c>
      <c r="G2488" s="9">
        <v>0</v>
      </c>
      <c r="H2488" s="9">
        <v>0</v>
      </c>
      <c r="I2488" s="9">
        <v>0</v>
      </c>
      <c r="J2488" s="9">
        <v>1239.8</v>
      </c>
    </row>
    <row r="2489" spans="1:10" ht="15.75" x14ac:dyDescent="0.25">
      <c r="A2489" s="21">
        <v>45535</v>
      </c>
      <c r="B2489" t="str">
        <f>IFERROR(IF(VLOOKUP(C2489,Hoja1!$B$1:$C$6191,2,0)="",_xlfn.XLOOKUP(C2489,Hoja1!$B$2:$B$6191,Hoja1!$A$2:$A$6191),VLOOKUP(C2489,Hoja1!$B$1:$C$6191,2,0)),"No esta en Infor")</f>
        <v>NAC0871</v>
      </c>
      <c r="C2489" s="19" t="s">
        <v>193</v>
      </c>
      <c r="D2489" s="9">
        <v>4174.8</v>
      </c>
      <c r="E2489" s="9">
        <v>0</v>
      </c>
      <c r="F2489" s="9">
        <v>0</v>
      </c>
      <c r="G2489" s="9">
        <v>0</v>
      </c>
      <c r="H2489" s="9">
        <v>0</v>
      </c>
      <c r="I2489" s="9">
        <v>0</v>
      </c>
      <c r="J2489" s="9">
        <v>4174.8</v>
      </c>
    </row>
    <row r="2490" spans="1:10" ht="15.75" x14ac:dyDescent="0.25">
      <c r="A2490" s="21">
        <v>45535</v>
      </c>
      <c r="B2490" t="str">
        <f>IFERROR(IF(VLOOKUP(C2490,Hoja1!$B$1:$C$6191,2,0)="",_xlfn.XLOOKUP(C2490,Hoja1!$B$2:$B$6191,Hoja1!$A$2:$A$6191),VLOOKUP(C2490,Hoja1!$B$1:$C$6191,2,0)),"No esta en Infor")</f>
        <v>NAC0879</v>
      </c>
      <c r="C2490" s="19" t="s">
        <v>194</v>
      </c>
      <c r="D2490" s="9">
        <v>0</v>
      </c>
      <c r="E2490" s="9">
        <v>668.52</v>
      </c>
      <c r="F2490" s="9">
        <v>0</v>
      </c>
      <c r="G2490" s="9">
        <v>-117.9</v>
      </c>
      <c r="H2490" s="9">
        <v>0</v>
      </c>
      <c r="I2490" s="9">
        <v>0</v>
      </c>
      <c r="J2490" s="9">
        <v>550.62</v>
      </c>
    </row>
    <row r="2491" spans="1:10" ht="15.75" x14ac:dyDescent="0.25">
      <c r="A2491" s="21">
        <v>45535</v>
      </c>
      <c r="B2491" t="str">
        <f>IFERROR(IF(VLOOKUP(C2491,Hoja1!$B$1:$C$6191,2,0)="",_xlfn.XLOOKUP(C2491,Hoja1!$B$2:$B$6191,Hoja1!$A$2:$A$6191),VLOOKUP(C2491,Hoja1!$B$1:$C$6191,2,0)),"No esta en Infor")</f>
        <v>NAC0881</v>
      </c>
      <c r="C2491" s="19" t="s">
        <v>195</v>
      </c>
      <c r="D2491" s="9">
        <v>42852.21</v>
      </c>
      <c r="E2491" s="9">
        <v>0</v>
      </c>
      <c r="F2491" s="9">
        <v>0</v>
      </c>
      <c r="G2491" s="9">
        <v>0</v>
      </c>
      <c r="H2491" s="9">
        <v>0</v>
      </c>
      <c r="I2491" s="9">
        <v>0</v>
      </c>
      <c r="J2491" s="9">
        <v>42852.21</v>
      </c>
    </row>
    <row r="2492" spans="1:10" ht="15.75" x14ac:dyDescent="0.25">
      <c r="A2492" s="21">
        <v>45535</v>
      </c>
      <c r="B2492" t="str">
        <f>IFERROR(IF(VLOOKUP(C2492,Hoja1!$B$1:$C$6191,2,0)="",_xlfn.XLOOKUP(C2492,Hoja1!$B$2:$B$6191,Hoja1!$A$2:$A$6191),VLOOKUP(C2492,Hoja1!$B$1:$C$6191,2,0)),"No esta en Infor")</f>
        <v>NAC0886</v>
      </c>
      <c r="C2492" s="19" t="s">
        <v>196</v>
      </c>
      <c r="D2492" s="9">
        <v>0</v>
      </c>
      <c r="E2492" s="9">
        <v>-0.1</v>
      </c>
      <c r="F2492" s="9">
        <v>0</v>
      </c>
      <c r="G2492" s="9">
        <v>0</v>
      </c>
      <c r="H2492" s="9">
        <v>0</v>
      </c>
      <c r="I2492" s="9">
        <v>0</v>
      </c>
      <c r="J2492" s="9">
        <v>-0.1</v>
      </c>
    </row>
    <row r="2493" spans="1:10" ht="15.75" x14ac:dyDescent="0.25">
      <c r="A2493" s="21">
        <v>45535</v>
      </c>
      <c r="B2493" t="str">
        <f>IFERROR(IF(VLOOKUP(C2493,Hoja1!$B$1:$C$6191,2,0)="",_xlfn.XLOOKUP(C2493,Hoja1!$B$2:$B$6191,Hoja1!$A$2:$A$6191),VLOOKUP(C2493,Hoja1!$B$1:$C$6191,2,0)),"No esta en Infor")</f>
        <v>NAC0897</v>
      </c>
      <c r="C2493" s="19" t="s">
        <v>25</v>
      </c>
      <c r="D2493" s="9">
        <v>0</v>
      </c>
      <c r="E2493" s="9">
        <v>0</v>
      </c>
      <c r="F2493" s="9">
        <v>-247.5</v>
      </c>
      <c r="G2493" s="9">
        <v>-56</v>
      </c>
      <c r="H2493" s="9">
        <v>0</v>
      </c>
      <c r="I2493" s="9">
        <v>0</v>
      </c>
      <c r="J2493" s="9">
        <v>-303.5</v>
      </c>
    </row>
    <row r="2494" spans="1:10" ht="15.75" x14ac:dyDescent="0.25">
      <c r="A2494" s="21">
        <v>45535</v>
      </c>
      <c r="B2494" t="str">
        <f>IFERROR(IF(VLOOKUP(C2494,Hoja1!$B$1:$C$6191,2,0)="",_xlfn.XLOOKUP(C2494,Hoja1!$B$2:$B$6191,Hoja1!$A$2:$A$6191),VLOOKUP(C2494,Hoja1!$B$1:$C$6191,2,0)),"No esta en Infor")</f>
        <v>NAC0906</v>
      </c>
      <c r="C2494" s="19" t="s">
        <v>456</v>
      </c>
      <c r="D2494" s="9">
        <v>0</v>
      </c>
      <c r="E2494" s="9">
        <v>0</v>
      </c>
      <c r="F2494" s="9">
        <v>-8.93</v>
      </c>
      <c r="G2494" s="9">
        <v>0</v>
      </c>
      <c r="H2494" s="9">
        <v>0</v>
      </c>
      <c r="I2494" s="9">
        <v>0</v>
      </c>
      <c r="J2494" s="9">
        <v>-8.93</v>
      </c>
    </row>
    <row r="2495" spans="1:10" ht="15.75" x14ac:dyDescent="0.25">
      <c r="A2495" s="21">
        <v>45535</v>
      </c>
      <c r="B2495" t="str">
        <f>IFERROR(IF(VLOOKUP(C2495,Hoja1!$B$1:$C$6191,2,0)="",_xlfn.XLOOKUP(C2495,Hoja1!$B$2:$B$6191,Hoja1!$A$2:$A$6191),VLOOKUP(C2495,Hoja1!$B$1:$C$6191,2,0)),"No esta en Infor")</f>
        <v>CAN0092</v>
      </c>
      <c r="C2495" s="19" t="s">
        <v>555</v>
      </c>
      <c r="D2495" s="9">
        <v>0</v>
      </c>
      <c r="E2495" s="9">
        <v>0</v>
      </c>
      <c r="F2495" s="9">
        <v>-508.5</v>
      </c>
      <c r="G2495" s="9">
        <v>0</v>
      </c>
      <c r="H2495" s="9">
        <v>0</v>
      </c>
      <c r="I2495" s="9">
        <v>0</v>
      </c>
      <c r="J2495" s="9">
        <v>-508.5</v>
      </c>
    </row>
    <row r="2496" spans="1:10" ht="15.75" x14ac:dyDescent="0.25">
      <c r="A2496" s="21">
        <v>45535</v>
      </c>
      <c r="B2496" t="str">
        <f>IFERROR(IF(VLOOKUP(C2496,Hoja1!$B$1:$C$6191,2,0)="",_xlfn.XLOOKUP(C2496,Hoja1!$B$2:$B$6191,Hoja1!$A$2:$A$6191),VLOOKUP(C2496,Hoja1!$B$1:$C$6191,2,0)),"No esta en Infor")</f>
        <v>SH02825</v>
      </c>
      <c r="C2496" s="19" t="s">
        <v>621</v>
      </c>
      <c r="D2496" s="9">
        <v>0</v>
      </c>
      <c r="E2496" s="9">
        <v>12.84</v>
      </c>
      <c r="F2496" s="9">
        <v>0</v>
      </c>
      <c r="G2496" s="9">
        <v>0</v>
      </c>
      <c r="H2496" s="9">
        <v>0</v>
      </c>
      <c r="I2496" s="9">
        <v>0</v>
      </c>
      <c r="J2496" s="9">
        <v>12.84</v>
      </c>
    </row>
    <row r="2497" spans="1:10" ht="15.75" x14ac:dyDescent="0.25">
      <c r="A2497" s="21">
        <v>45535</v>
      </c>
      <c r="B2497" t="str">
        <f>IFERROR(IF(VLOOKUP(C2497,Hoja1!$B$1:$C$6191,2,0)="",_xlfn.XLOOKUP(C2497,Hoja1!$B$2:$B$6191,Hoja1!$A$2:$A$6191),VLOOKUP(C2497,Hoja1!$B$1:$C$6191,2,0)),"No esta en Infor")</f>
        <v>NAC0929</v>
      </c>
      <c r="C2497" s="19" t="s">
        <v>207</v>
      </c>
      <c r="D2497" s="9">
        <v>39010</v>
      </c>
      <c r="E2497" s="9">
        <v>0</v>
      </c>
      <c r="F2497" s="9">
        <v>0</v>
      </c>
      <c r="G2497" s="9">
        <v>0</v>
      </c>
      <c r="H2497" s="9">
        <v>0</v>
      </c>
      <c r="I2497" s="9">
        <v>0</v>
      </c>
      <c r="J2497" s="9">
        <v>39010</v>
      </c>
    </row>
    <row r="2498" spans="1:10" ht="15.75" x14ac:dyDescent="0.25">
      <c r="A2498" s="21">
        <v>45535</v>
      </c>
      <c r="B2498" t="str">
        <f>IFERROR(IF(VLOOKUP(C2498,Hoja1!$B$1:$C$6191,2,0)="",_xlfn.XLOOKUP(C2498,Hoja1!$B$2:$B$6191,Hoja1!$A$2:$A$6191),VLOOKUP(C2498,Hoja1!$B$1:$C$6191,2,0)),"No esta en Infor")</f>
        <v>NAC1607</v>
      </c>
      <c r="C2498" s="19" t="s">
        <v>668</v>
      </c>
      <c r="D2498" s="9">
        <v>112.9</v>
      </c>
      <c r="E2498" s="9">
        <v>0</v>
      </c>
      <c r="F2498" s="9">
        <v>0</v>
      </c>
      <c r="G2498" s="9">
        <v>0</v>
      </c>
      <c r="H2498" s="9">
        <v>0</v>
      </c>
      <c r="I2498" s="9">
        <v>0</v>
      </c>
      <c r="J2498" s="9">
        <v>112.9</v>
      </c>
    </row>
    <row r="2499" spans="1:10" ht="15.75" x14ac:dyDescent="0.25">
      <c r="A2499" s="21">
        <v>45535</v>
      </c>
      <c r="B2499" t="str">
        <f>IFERROR(IF(VLOOKUP(C2499,Hoja1!$B$1:$C$6191,2,0)="",_xlfn.XLOOKUP(C2499,Hoja1!$B$2:$B$6191,Hoja1!$A$2:$A$6191),VLOOKUP(C2499,Hoja1!$B$1:$C$6191,2,0)),"No esta en Infor")</f>
        <v>NAC0953</v>
      </c>
      <c r="C2499" s="19" t="s">
        <v>28</v>
      </c>
      <c r="D2499" s="9">
        <v>0</v>
      </c>
      <c r="E2499" s="9">
        <v>-144</v>
      </c>
      <c r="F2499" s="9">
        <v>-308.14999999999998</v>
      </c>
      <c r="G2499" s="9">
        <v>-284.44</v>
      </c>
      <c r="H2499" s="9">
        <v>0</v>
      </c>
      <c r="I2499" s="9">
        <v>0</v>
      </c>
      <c r="J2499" s="9">
        <v>-736.59</v>
      </c>
    </row>
    <row r="2500" spans="1:10" ht="15.75" x14ac:dyDescent="0.25">
      <c r="A2500" s="21">
        <v>45535</v>
      </c>
      <c r="B2500" t="str">
        <f>IFERROR(IF(VLOOKUP(C2500,Hoja1!$B$1:$C$6191,2,0)="",_xlfn.XLOOKUP(C2500,Hoja1!$B$2:$B$6191,Hoja1!$A$2:$A$6191),VLOOKUP(C2500,Hoja1!$B$1:$C$6191,2,0)),"No esta en Infor")</f>
        <v>NAC0978</v>
      </c>
      <c r="C2500" s="19" t="s">
        <v>502</v>
      </c>
      <c r="D2500" s="9">
        <v>0</v>
      </c>
      <c r="E2500" s="9">
        <v>-9.48</v>
      </c>
      <c r="F2500" s="9">
        <v>0</v>
      </c>
      <c r="G2500" s="9">
        <v>0</v>
      </c>
      <c r="H2500" s="9">
        <v>0</v>
      </c>
      <c r="I2500" s="9">
        <v>0</v>
      </c>
      <c r="J2500" s="9">
        <v>-9.48</v>
      </c>
    </row>
    <row r="2501" spans="1:10" ht="15.75" x14ac:dyDescent="0.25">
      <c r="A2501" s="21">
        <v>45535</v>
      </c>
      <c r="B2501" t="str">
        <f>IFERROR(IF(VLOOKUP(C2501,Hoja1!$B$1:$C$6191,2,0)="",_xlfn.XLOOKUP(C2501,Hoja1!$B$2:$B$6191,Hoja1!$A$2:$A$6191),VLOOKUP(C2501,Hoja1!$B$1:$C$6191,2,0)),"No esta en Infor")</f>
        <v>NAC0979</v>
      </c>
      <c r="C2501" s="19" t="s">
        <v>222</v>
      </c>
      <c r="D2501" s="9">
        <v>670.94</v>
      </c>
      <c r="E2501" s="9">
        <v>0</v>
      </c>
      <c r="F2501" s="9">
        <v>0</v>
      </c>
      <c r="G2501" s="9">
        <v>0</v>
      </c>
      <c r="H2501" s="9">
        <v>0</v>
      </c>
      <c r="I2501" s="9">
        <v>0</v>
      </c>
      <c r="J2501" s="9">
        <v>670.94</v>
      </c>
    </row>
    <row r="2502" spans="1:10" ht="15.75" x14ac:dyDescent="0.25">
      <c r="A2502" s="21">
        <v>45535</v>
      </c>
      <c r="B2502" t="str">
        <f>IFERROR(IF(VLOOKUP(C2502,Hoja1!$B$1:$C$6191,2,0)="",_xlfn.XLOOKUP(C2502,Hoja1!$B$2:$B$6191,Hoja1!$A$2:$A$6191),VLOOKUP(C2502,Hoja1!$B$1:$C$6191,2,0)),"No esta en Infor")</f>
        <v>NAC0986</v>
      </c>
      <c r="C2502" s="19" t="s">
        <v>224</v>
      </c>
      <c r="D2502" s="9">
        <v>-213.07</v>
      </c>
      <c r="E2502" s="9">
        <v>-5000.4399999999996</v>
      </c>
      <c r="F2502" s="9">
        <v>2314.08</v>
      </c>
      <c r="G2502" s="9">
        <v>299.49</v>
      </c>
      <c r="H2502" s="9">
        <v>43.86</v>
      </c>
      <c r="I2502" s="9">
        <v>8.93</v>
      </c>
      <c r="J2502" s="9">
        <v>-2547.15</v>
      </c>
    </row>
    <row r="2503" spans="1:10" ht="15.75" x14ac:dyDescent="0.25">
      <c r="A2503" s="21">
        <v>45535</v>
      </c>
      <c r="B2503" t="str">
        <f>IFERROR(IF(VLOOKUP(C2503,Hoja1!$B$1:$C$6191,2,0)="",_xlfn.XLOOKUP(C2503,Hoja1!$B$2:$B$6191,Hoja1!$A$2:$A$6191),VLOOKUP(C2503,Hoja1!$B$1:$C$6191,2,0)),"No esta en Infor")</f>
        <v>NAC0987</v>
      </c>
      <c r="C2503" s="19" t="s">
        <v>225</v>
      </c>
      <c r="D2503" s="9">
        <v>0</v>
      </c>
      <c r="E2503" s="9">
        <v>0</v>
      </c>
      <c r="F2503" s="9">
        <v>0</v>
      </c>
      <c r="G2503" s="9">
        <v>0</v>
      </c>
      <c r="H2503" s="9">
        <v>0</v>
      </c>
      <c r="I2503" s="9">
        <v>2040.5</v>
      </c>
      <c r="J2503" s="9">
        <v>2040.5</v>
      </c>
    </row>
    <row r="2504" spans="1:10" ht="15.75" x14ac:dyDescent="0.25">
      <c r="A2504" s="21">
        <v>45535</v>
      </c>
      <c r="B2504" t="str">
        <f>IFERROR(IF(VLOOKUP(C2504,Hoja1!$B$1:$C$6191,2,0)="",_xlfn.XLOOKUP(C2504,Hoja1!$B$2:$B$6191,Hoja1!$A$2:$A$6191),VLOOKUP(C2504,Hoja1!$B$1:$C$6191,2,0)),"No esta en Infor")</f>
        <v>NAC0995</v>
      </c>
      <c r="C2504" s="19" t="s">
        <v>227</v>
      </c>
      <c r="D2504" s="9">
        <v>563.33000000000004</v>
      </c>
      <c r="E2504" s="9">
        <v>0</v>
      </c>
      <c r="F2504" s="9">
        <v>0</v>
      </c>
      <c r="G2504" s="9">
        <v>0</v>
      </c>
      <c r="H2504" s="9">
        <v>0</v>
      </c>
      <c r="I2504" s="9">
        <v>0</v>
      </c>
      <c r="J2504" s="9">
        <v>563.33000000000004</v>
      </c>
    </row>
    <row r="2505" spans="1:10" ht="15.75" x14ac:dyDescent="0.25">
      <c r="A2505" s="21">
        <v>45535</v>
      </c>
      <c r="B2505" t="str">
        <f>IFERROR(IF(VLOOKUP(C2505,Hoja1!$B$1:$C$6191,2,0)="",_xlfn.XLOOKUP(C2505,Hoja1!$B$2:$B$6191,Hoja1!$A$2:$A$6191),VLOOKUP(C2505,Hoja1!$B$1:$C$6191,2,0)),"No esta en Infor")</f>
        <v>No esta en Infor</v>
      </c>
      <c r="C2505" s="19" t="s">
        <v>505</v>
      </c>
      <c r="D2505" s="9">
        <v>0</v>
      </c>
      <c r="E2505" s="9">
        <v>-9742.2000000000007</v>
      </c>
      <c r="F2505" s="9">
        <v>0</v>
      </c>
      <c r="G2505" s="9">
        <v>0</v>
      </c>
      <c r="H2505" s="9">
        <v>0</v>
      </c>
      <c r="I2505" s="9">
        <v>0</v>
      </c>
      <c r="J2505" s="9">
        <v>-9742.2000000000007</v>
      </c>
    </row>
    <row r="2506" spans="1:10" ht="15.75" x14ac:dyDescent="0.25">
      <c r="A2506" s="21">
        <v>45535</v>
      </c>
      <c r="B2506" t="str">
        <f>IFERROR(IF(VLOOKUP(C2506,Hoja1!$B$1:$C$6191,2,0)="",_xlfn.XLOOKUP(C2506,Hoja1!$B$2:$B$6191,Hoja1!$A$2:$A$6191),VLOOKUP(C2506,Hoja1!$B$1:$C$6191,2,0)),"No esta en Infor")</f>
        <v>NAC1002</v>
      </c>
      <c r="C2506" s="19" t="s">
        <v>622</v>
      </c>
      <c r="D2506" s="9">
        <v>96</v>
      </c>
      <c r="E2506" s="9">
        <v>0</v>
      </c>
      <c r="F2506" s="9">
        <v>0</v>
      </c>
      <c r="G2506" s="9">
        <v>0</v>
      </c>
      <c r="H2506" s="9">
        <v>0</v>
      </c>
      <c r="I2506" s="9">
        <v>0</v>
      </c>
      <c r="J2506" s="9">
        <v>96</v>
      </c>
    </row>
    <row r="2507" spans="1:10" ht="15.75" x14ac:dyDescent="0.25">
      <c r="A2507" s="21">
        <v>45535</v>
      </c>
      <c r="B2507" t="str">
        <f>IFERROR(IF(VLOOKUP(C2507,Hoja1!$B$1:$C$6191,2,0)="",_xlfn.XLOOKUP(C2507,Hoja1!$B$2:$B$6191,Hoja1!$A$2:$A$6191),VLOOKUP(C2507,Hoja1!$B$1:$C$6191,2,0)),"No esta en Infor")</f>
        <v>SH02751</v>
      </c>
      <c r="C2507" s="19" t="s">
        <v>623</v>
      </c>
      <c r="D2507" s="9">
        <v>0</v>
      </c>
      <c r="E2507" s="9">
        <v>263.51</v>
      </c>
      <c r="F2507" s="9">
        <v>0</v>
      </c>
      <c r="G2507" s="9">
        <v>0</v>
      </c>
      <c r="H2507" s="9">
        <v>0</v>
      </c>
      <c r="I2507" s="9">
        <v>0</v>
      </c>
      <c r="J2507" s="9">
        <v>263.51</v>
      </c>
    </row>
    <row r="2508" spans="1:10" ht="15.75" x14ac:dyDescent="0.25">
      <c r="A2508" s="21">
        <v>45535</v>
      </c>
      <c r="B2508" t="str">
        <f>IFERROR(IF(VLOOKUP(C2508,Hoja1!$B$1:$C$6191,2,0)="",_xlfn.XLOOKUP(C2508,Hoja1!$B$2:$B$6191,Hoja1!$A$2:$A$6191),VLOOKUP(C2508,Hoja1!$B$1:$C$6191,2,0)),"No esta en Infor")</f>
        <v>NAC1007</v>
      </c>
      <c r="C2508" s="19" t="s">
        <v>233</v>
      </c>
      <c r="D2508" s="9">
        <v>0</v>
      </c>
      <c r="E2508" s="9">
        <v>0</v>
      </c>
      <c r="F2508" s="9">
        <v>-1440</v>
      </c>
      <c r="G2508" s="9">
        <v>0</v>
      </c>
      <c r="H2508" s="9">
        <v>0</v>
      </c>
      <c r="I2508" s="9">
        <v>0</v>
      </c>
      <c r="J2508" s="9">
        <v>-1440</v>
      </c>
    </row>
    <row r="2509" spans="1:10" ht="15.75" x14ac:dyDescent="0.25">
      <c r="A2509" s="21">
        <v>45535</v>
      </c>
      <c r="B2509" t="str">
        <f>IFERROR(IF(VLOOKUP(C2509,Hoja1!$B$1:$C$6191,2,0)="",_xlfn.XLOOKUP(C2509,Hoja1!$B$2:$B$6191,Hoja1!$A$2:$A$6191),VLOOKUP(C2509,Hoja1!$B$1:$C$6191,2,0)),"No esta en Infor")</f>
        <v>NAC1009</v>
      </c>
      <c r="C2509" s="19" t="s">
        <v>624</v>
      </c>
      <c r="D2509" s="9">
        <v>18060.5</v>
      </c>
      <c r="E2509" s="9">
        <v>0</v>
      </c>
      <c r="F2509" s="9">
        <v>0</v>
      </c>
      <c r="G2509" s="9">
        <v>0</v>
      </c>
      <c r="H2509" s="9">
        <v>0</v>
      </c>
      <c r="I2509" s="9">
        <v>0</v>
      </c>
      <c r="J2509" s="9">
        <v>18060.5</v>
      </c>
    </row>
    <row r="2510" spans="1:10" ht="15.75" x14ac:dyDescent="0.25">
      <c r="A2510" s="21">
        <v>45535</v>
      </c>
      <c r="B2510" t="str">
        <f>IFERROR(IF(VLOOKUP(C2510,Hoja1!$B$1:$C$6191,2,0)="",_xlfn.XLOOKUP(C2510,Hoja1!$B$2:$B$6191,Hoja1!$A$2:$A$6191),VLOOKUP(C2510,Hoja1!$B$1:$C$6191,2,0)),"No esta en Infor")</f>
        <v>SH02832</v>
      </c>
      <c r="C2510" s="19" t="s">
        <v>625</v>
      </c>
      <c r="D2510" s="9">
        <v>278.67</v>
      </c>
      <c r="E2510" s="9">
        <v>0</v>
      </c>
      <c r="F2510" s="9">
        <v>0</v>
      </c>
      <c r="G2510" s="9">
        <v>0</v>
      </c>
      <c r="H2510" s="9">
        <v>0</v>
      </c>
      <c r="I2510" s="9">
        <v>0</v>
      </c>
      <c r="J2510" s="9">
        <v>278.67</v>
      </c>
    </row>
    <row r="2511" spans="1:10" ht="15.75" x14ac:dyDescent="0.25">
      <c r="A2511" s="21">
        <v>45535</v>
      </c>
      <c r="B2511" t="str">
        <f>IFERROR(IF(VLOOKUP(C2511,Hoja1!$B$1:$C$6191,2,0)="",_xlfn.XLOOKUP(C2511,Hoja1!$B$2:$B$6191,Hoja1!$A$2:$A$6191),VLOOKUP(C2511,Hoja1!$B$1:$C$6191,2,0)),"No esta en Infor")</f>
        <v>NAC1021</v>
      </c>
      <c r="C2511" s="19" t="s">
        <v>239</v>
      </c>
      <c r="D2511" s="9">
        <v>845</v>
      </c>
      <c r="E2511" s="9">
        <v>0</v>
      </c>
      <c r="F2511" s="9">
        <v>0</v>
      </c>
      <c r="G2511" s="9">
        <v>0</v>
      </c>
      <c r="H2511" s="9">
        <v>0</v>
      </c>
      <c r="I2511" s="9">
        <v>0</v>
      </c>
      <c r="J2511" s="9">
        <v>845</v>
      </c>
    </row>
    <row r="2512" spans="1:10" ht="15.75" x14ac:dyDescent="0.25">
      <c r="A2512" s="21">
        <v>45535</v>
      </c>
      <c r="B2512" t="str">
        <f>IFERROR(IF(VLOOKUP(C2512,Hoja1!$B$1:$C$6191,2,0)="",_xlfn.XLOOKUP(C2512,Hoja1!$B$2:$B$6191,Hoja1!$A$2:$A$6191),VLOOKUP(C2512,Hoja1!$B$1:$C$6191,2,0)),"No esta en Infor")</f>
        <v>No esta en Infor</v>
      </c>
      <c r="C2512" s="19" t="s">
        <v>626</v>
      </c>
      <c r="D2512" s="9">
        <v>11.81</v>
      </c>
      <c r="E2512" s="9">
        <v>0</v>
      </c>
      <c r="F2512" s="9">
        <v>0</v>
      </c>
      <c r="G2512" s="9">
        <v>0</v>
      </c>
      <c r="H2512" s="9">
        <v>0</v>
      </c>
      <c r="I2512" s="9">
        <v>0</v>
      </c>
      <c r="J2512" s="9">
        <v>11.81</v>
      </c>
    </row>
    <row r="2513" spans="1:10" ht="15.75" x14ac:dyDescent="0.25">
      <c r="A2513" s="21">
        <v>45535</v>
      </c>
      <c r="B2513" t="str">
        <f>IFERROR(IF(VLOOKUP(C2513,Hoja1!$B$1:$C$6191,2,0)="",_xlfn.XLOOKUP(C2513,Hoja1!$B$2:$B$6191,Hoja1!$A$2:$A$6191),VLOOKUP(C2513,Hoja1!$B$1:$C$6191,2,0)),"No esta en Infor")</f>
        <v>NAC1027</v>
      </c>
      <c r="C2513" s="19" t="s">
        <v>243</v>
      </c>
      <c r="D2513" s="9">
        <v>2457.3000000000002</v>
      </c>
      <c r="E2513" s="9">
        <v>0</v>
      </c>
      <c r="F2513" s="9">
        <v>0</v>
      </c>
      <c r="G2513" s="9">
        <v>0</v>
      </c>
      <c r="H2513" s="9">
        <v>0</v>
      </c>
      <c r="I2513" s="9">
        <v>-2408</v>
      </c>
      <c r="J2513" s="9">
        <v>49.3</v>
      </c>
    </row>
    <row r="2514" spans="1:10" ht="15.75" x14ac:dyDescent="0.25">
      <c r="A2514" s="21">
        <v>45535</v>
      </c>
      <c r="B2514" t="str">
        <f>IFERROR(IF(VLOOKUP(C2514,Hoja1!$B$1:$C$6191,2,0)="",_xlfn.XLOOKUP(C2514,Hoja1!$B$2:$B$6191,Hoja1!$A$2:$A$6191),VLOOKUP(C2514,Hoja1!$B$1:$C$6191,2,0)),"No esta en Infor")</f>
        <v>SH02821</v>
      </c>
      <c r="C2514" s="19" t="s">
        <v>627</v>
      </c>
      <c r="D2514" s="9">
        <v>52.94</v>
      </c>
      <c r="E2514" s="9">
        <v>0</v>
      </c>
      <c r="F2514" s="9">
        <v>0</v>
      </c>
      <c r="G2514" s="9">
        <v>0</v>
      </c>
      <c r="H2514" s="9">
        <v>0</v>
      </c>
      <c r="I2514" s="9">
        <v>0</v>
      </c>
      <c r="J2514" s="9">
        <v>52.94</v>
      </c>
    </row>
    <row r="2515" spans="1:10" ht="15.75" x14ac:dyDescent="0.25">
      <c r="A2515" s="21">
        <v>45535</v>
      </c>
      <c r="B2515" t="str">
        <f>IFERROR(IF(VLOOKUP(C2515,Hoja1!$B$1:$C$6191,2,0)="",_xlfn.XLOOKUP(C2515,Hoja1!$B$2:$B$6191,Hoja1!$A$2:$A$6191),VLOOKUP(C2515,Hoja1!$B$1:$C$6191,2,0)),"No esta en Infor")</f>
        <v>NAC1054</v>
      </c>
      <c r="C2515" s="19" t="s">
        <v>248</v>
      </c>
      <c r="D2515" s="9">
        <v>460.3</v>
      </c>
      <c r="E2515" s="9">
        <v>756</v>
      </c>
      <c r="F2515" s="9">
        <v>0</v>
      </c>
      <c r="G2515" s="9">
        <v>0</v>
      </c>
      <c r="H2515" s="9">
        <v>0</v>
      </c>
      <c r="I2515" s="9">
        <v>0</v>
      </c>
      <c r="J2515" s="9">
        <v>1216.3</v>
      </c>
    </row>
    <row r="2516" spans="1:10" ht="15.75" x14ac:dyDescent="0.25">
      <c r="A2516" s="21">
        <v>45535</v>
      </c>
      <c r="B2516" t="str">
        <f>IFERROR(IF(VLOOKUP(C2516,Hoja1!$B$1:$C$6191,2,0)="",_xlfn.XLOOKUP(C2516,Hoja1!$B$2:$B$6191,Hoja1!$A$2:$A$6191),VLOOKUP(C2516,Hoja1!$B$1:$C$6191,2,0)),"No esta en Infor")</f>
        <v>NAC1056</v>
      </c>
      <c r="C2516" s="19" t="s">
        <v>465</v>
      </c>
      <c r="D2516" s="9">
        <v>362</v>
      </c>
      <c r="E2516" s="9">
        <v>0</v>
      </c>
      <c r="F2516" s="9">
        <v>0</v>
      </c>
      <c r="G2516" s="9">
        <v>0</v>
      </c>
      <c r="H2516" s="9">
        <v>0</v>
      </c>
      <c r="I2516" s="9">
        <v>0</v>
      </c>
      <c r="J2516" s="9">
        <v>362</v>
      </c>
    </row>
    <row r="2517" spans="1:10" ht="15.75" x14ac:dyDescent="0.25">
      <c r="A2517" s="21">
        <v>45535</v>
      </c>
      <c r="B2517" t="str">
        <f>IFERROR(IF(VLOOKUP(C2517,Hoja1!$B$1:$C$6191,2,0)="",_xlfn.XLOOKUP(C2517,Hoja1!$B$2:$B$6191,Hoja1!$A$2:$A$6191),VLOOKUP(C2517,Hoja1!$B$1:$C$6191,2,0)),"No esta en Infor")</f>
        <v>NAC1061</v>
      </c>
      <c r="C2517" s="19" t="s">
        <v>251</v>
      </c>
      <c r="D2517" s="9">
        <v>3641</v>
      </c>
      <c r="E2517" s="9">
        <v>0</v>
      </c>
      <c r="F2517" s="9">
        <v>0</v>
      </c>
      <c r="G2517" s="9">
        <v>0</v>
      </c>
      <c r="H2517" s="9">
        <v>0</v>
      </c>
      <c r="I2517" s="9">
        <v>0</v>
      </c>
      <c r="J2517" s="9">
        <v>3641</v>
      </c>
    </row>
    <row r="2518" spans="1:10" ht="15.75" x14ac:dyDescent="0.25">
      <c r="A2518" s="21">
        <v>45535</v>
      </c>
      <c r="B2518" t="str">
        <f>IFERROR(IF(VLOOKUP(C2518,Hoja1!$B$1:$C$6191,2,0)="",_xlfn.XLOOKUP(C2518,Hoja1!$B$2:$B$6191,Hoja1!$A$2:$A$6191),VLOOKUP(C2518,Hoja1!$B$1:$C$6191,2,0)),"No esta en Infor")</f>
        <v>NAC1069</v>
      </c>
      <c r="C2518" s="19" t="s">
        <v>628</v>
      </c>
      <c r="D2518" s="9">
        <v>13275.3</v>
      </c>
      <c r="E2518" s="9">
        <v>0</v>
      </c>
      <c r="F2518" s="9">
        <v>0</v>
      </c>
      <c r="G2518" s="9">
        <v>0</v>
      </c>
      <c r="H2518" s="9">
        <v>0</v>
      </c>
      <c r="I2518" s="9">
        <v>0</v>
      </c>
      <c r="J2518" s="9">
        <v>13275.3</v>
      </c>
    </row>
    <row r="2519" spans="1:10" ht="15.75" x14ac:dyDescent="0.25">
      <c r="A2519" s="21">
        <v>45535</v>
      </c>
      <c r="B2519" t="str">
        <f>IFERROR(IF(VLOOKUP(C2519,Hoja1!$B$1:$C$6191,2,0)="",_xlfn.XLOOKUP(C2519,Hoja1!$B$2:$B$6191,Hoja1!$A$2:$A$6191),VLOOKUP(C2519,Hoja1!$B$1:$C$6191,2,0)),"No esta en Infor")</f>
        <v>SH02826</v>
      </c>
      <c r="C2519" s="19" t="s">
        <v>629</v>
      </c>
      <c r="D2519" s="9">
        <v>0</v>
      </c>
      <c r="E2519" s="9">
        <v>96.01</v>
      </c>
      <c r="F2519" s="9">
        <v>0</v>
      </c>
      <c r="G2519" s="9">
        <v>0</v>
      </c>
      <c r="H2519" s="9">
        <v>0</v>
      </c>
      <c r="I2519" s="9">
        <v>0</v>
      </c>
      <c r="J2519" s="9">
        <v>96.01</v>
      </c>
    </row>
    <row r="2520" spans="1:10" ht="15.75" x14ac:dyDescent="0.25">
      <c r="A2520" s="21">
        <v>45535</v>
      </c>
      <c r="B2520" t="str">
        <f>IFERROR(IF(VLOOKUP(C2520,Hoja1!$B$1:$C$6191,2,0)="",_xlfn.XLOOKUP(C2520,Hoja1!$B$2:$B$6191,Hoja1!$A$2:$A$6191),VLOOKUP(C2520,Hoja1!$B$1:$C$6191,2,0)),"No esta en Infor")</f>
        <v>NAC1074</v>
      </c>
      <c r="C2520" s="19" t="s">
        <v>252</v>
      </c>
      <c r="D2520" s="9">
        <v>121.4</v>
      </c>
      <c r="E2520" s="9">
        <v>0</v>
      </c>
      <c r="F2520" s="9">
        <v>0</v>
      </c>
      <c r="G2520" s="9">
        <v>0</v>
      </c>
      <c r="H2520" s="9">
        <v>0</v>
      </c>
      <c r="I2520" s="9">
        <v>0</v>
      </c>
      <c r="J2520" s="9">
        <v>121.4</v>
      </c>
    </row>
    <row r="2521" spans="1:10" ht="15.75" x14ac:dyDescent="0.25">
      <c r="A2521" s="21">
        <v>45535</v>
      </c>
      <c r="B2521" t="str">
        <f>IFERROR(IF(VLOOKUP(C2521,Hoja1!$B$1:$C$6191,2,0)="",_xlfn.XLOOKUP(C2521,Hoja1!$B$2:$B$6191,Hoja1!$A$2:$A$6191),VLOOKUP(C2521,Hoja1!$B$1:$C$6191,2,0)),"No esta en Infor")</f>
        <v>NAC1077</v>
      </c>
      <c r="C2521" s="19" t="s">
        <v>254</v>
      </c>
      <c r="D2521" s="9">
        <v>3538</v>
      </c>
      <c r="E2521" s="9">
        <v>0</v>
      </c>
      <c r="F2521" s="9">
        <v>0</v>
      </c>
      <c r="G2521" s="9">
        <v>0</v>
      </c>
      <c r="H2521" s="9">
        <v>0</v>
      </c>
      <c r="I2521" s="9">
        <v>0</v>
      </c>
      <c r="J2521" s="9">
        <v>3538</v>
      </c>
    </row>
    <row r="2522" spans="1:10" ht="15.75" x14ac:dyDescent="0.25">
      <c r="A2522" s="21">
        <v>45535</v>
      </c>
      <c r="B2522" t="str">
        <f>IFERROR(IF(VLOOKUP(C2522,Hoja1!$B$1:$C$6191,2,0)="",_xlfn.XLOOKUP(C2522,Hoja1!$B$2:$B$6191,Hoja1!$A$2:$A$6191),VLOOKUP(C2522,Hoja1!$B$1:$C$6191,2,0)),"No esta en Infor")</f>
        <v>CAN0091</v>
      </c>
      <c r="C2522" s="19" t="s">
        <v>586</v>
      </c>
      <c r="D2522" s="9">
        <v>0</v>
      </c>
      <c r="E2522" s="9">
        <v>-646.09</v>
      </c>
      <c r="F2522" s="9">
        <v>0</v>
      </c>
      <c r="G2522" s="9">
        <v>0</v>
      </c>
      <c r="H2522" s="9">
        <v>0</v>
      </c>
      <c r="I2522" s="9">
        <v>0</v>
      </c>
      <c r="J2522" s="9">
        <v>-646.09</v>
      </c>
    </row>
    <row r="2523" spans="1:10" ht="15.75" x14ac:dyDescent="0.25">
      <c r="A2523" s="21">
        <v>45535</v>
      </c>
      <c r="B2523" t="str">
        <f>IFERROR(IF(VLOOKUP(C2523,Hoja1!$B$1:$C$6191,2,0)="",_xlfn.XLOOKUP(C2523,Hoja1!$B$2:$B$6191,Hoja1!$A$2:$A$6191),VLOOKUP(C2523,Hoja1!$B$1:$C$6191,2,0)),"No esta en Infor")</f>
        <v>No esta en Infor</v>
      </c>
      <c r="C2523" s="19" t="s">
        <v>630</v>
      </c>
      <c r="D2523" s="9">
        <v>0</v>
      </c>
      <c r="E2523" s="9">
        <v>92.63</v>
      </c>
      <c r="F2523" s="9">
        <v>0</v>
      </c>
      <c r="G2523" s="9">
        <v>0</v>
      </c>
      <c r="H2523" s="9">
        <v>0</v>
      </c>
      <c r="I2523" s="9">
        <v>0</v>
      </c>
      <c r="J2523" s="9">
        <v>92.63</v>
      </c>
    </row>
    <row r="2524" spans="1:10" ht="15.75" x14ac:dyDescent="0.25">
      <c r="A2524" s="21">
        <v>45535</v>
      </c>
      <c r="B2524" t="str">
        <f>IFERROR(IF(VLOOKUP(C2524,Hoja1!$B$1:$C$6191,2,0)="",_xlfn.XLOOKUP(C2524,Hoja1!$B$2:$B$6191,Hoja1!$A$2:$A$6191),VLOOKUP(C2524,Hoja1!$B$1:$C$6191,2,0)),"No esta en Infor")</f>
        <v>NAC1087</v>
      </c>
      <c r="C2524" s="19" t="s">
        <v>631</v>
      </c>
      <c r="D2524" s="9">
        <v>908</v>
      </c>
      <c r="E2524" s="9">
        <v>0</v>
      </c>
      <c r="F2524" s="9">
        <v>0</v>
      </c>
      <c r="G2524" s="9">
        <v>0</v>
      </c>
      <c r="H2524" s="9">
        <v>0</v>
      </c>
      <c r="I2524" s="9">
        <v>0</v>
      </c>
      <c r="J2524" s="9">
        <v>908</v>
      </c>
    </row>
    <row r="2525" spans="1:10" ht="15.75" x14ac:dyDescent="0.25">
      <c r="A2525" s="21">
        <v>45535</v>
      </c>
      <c r="B2525" t="str">
        <f>IFERROR(IF(VLOOKUP(C2525,Hoja1!$B$1:$C$6191,2,0)="",_xlfn.XLOOKUP(C2525,Hoja1!$B$2:$B$6191,Hoja1!$A$2:$A$6191),VLOOKUP(C2525,Hoja1!$B$1:$C$6191,2,0)),"No esta en Infor")</f>
        <v>NAC1106</v>
      </c>
      <c r="C2525" s="19" t="s">
        <v>259</v>
      </c>
      <c r="D2525" s="9">
        <v>254.42</v>
      </c>
      <c r="E2525" s="9">
        <v>202.38</v>
      </c>
      <c r="F2525" s="9">
        <v>0</v>
      </c>
      <c r="G2525" s="9">
        <v>0</v>
      </c>
      <c r="H2525" s="9">
        <v>0</v>
      </c>
      <c r="I2525" s="9">
        <v>0</v>
      </c>
      <c r="J2525" s="9">
        <v>456.8</v>
      </c>
    </row>
    <row r="2526" spans="1:10" ht="15.75" x14ac:dyDescent="0.25">
      <c r="A2526" s="21">
        <v>45535</v>
      </c>
      <c r="B2526" t="str">
        <f>IFERROR(IF(VLOOKUP(C2526,Hoja1!$B$1:$C$6191,2,0)="",_xlfn.XLOOKUP(C2526,Hoja1!$B$2:$B$6191,Hoja1!$A$2:$A$6191),VLOOKUP(C2526,Hoja1!$B$1:$C$6191,2,0)),"No esta en Infor")</f>
        <v>NAC1113</v>
      </c>
      <c r="C2526" s="19" t="s">
        <v>599</v>
      </c>
      <c r="D2526" s="9">
        <v>189</v>
      </c>
      <c r="E2526" s="9">
        <v>0</v>
      </c>
      <c r="F2526" s="9">
        <v>0</v>
      </c>
      <c r="G2526" s="9">
        <v>0</v>
      </c>
      <c r="H2526" s="9">
        <v>0</v>
      </c>
      <c r="I2526" s="9">
        <v>0</v>
      </c>
      <c r="J2526" s="9">
        <v>189</v>
      </c>
    </row>
    <row r="2527" spans="1:10" ht="15.75" x14ac:dyDescent="0.25">
      <c r="A2527" s="21">
        <v>45535</v>
      </c>
      <c r="B2527" t="str">
        <f>IFERROR(IF(VLOOKUP(C2527,Hoja1!$B$1:$C$6191,2,0)="",_xlfn.XLOOKUP(C2527,Hoja1!$B$2:$B$6191,Hoja1!$A$2:$A$6191),VLOOKUP(C2527,Hoja1!$B$1:$C$6191,2,0)),"No esta en Infor")</f>
        <v>NAC1114</v>
      </c>
      <c r="C2527" s="19" t="s">
        <v>408</v>
      </c>
      <c r="D2527" s="9">
        <v>0</v>
      </c>
      <c r="E2527" s="9">
        <v>0</v>
      </c>
      <c r="F2527" s="9">
        <v>-196.34</v>
      </c>
      <c r="G2527" s="9">
        <v>0</v>
      </c>
      <c r="H2527" s="9">
        <v>0</v>
      </c>
      <c r="I2527" s="9">
        <v>0</v>
      </c>
      <c r="J2527" s="9">
        <v>-196.34</v>
      </c>
    </row>
    <row r="2528" spans="1:10" ht="15.75" x14ac:dyDescent="0.25">
      <c r="A2528" s="21">
        <v>45535</v>
      </c>
      <c r="B2528" t="str">
        <f>IFERROR(IF(VLOOKUP(C2528,Hoja1!$B$1:$C$6191,2,0)="",_xlfn.XLOOKUP(C2528,Hoja1!$B$2:$B$6191,Hoja1!$A$2:$A$6191),VLOOKUP(C2528,Hoja1!$B$1:$C$6191,2,0)),"No esta en Infor")</f>
        <v>NAC1614</v>
      </c>
      <c r="C2528" s="19" t="s">
        <v>563</v>
      </c>
      <c r="D2528" s="9">
        <v>0</v>
      </c>
      <c r="E2528" s="9">
        <v>93.05</v>
      </c>
      <c r="F2528" s="9">
        <v>36.979999999999997</v>
      </c>
      <c r="G2528" s="9">
        <v>0</v>
      </c>
      <c r="H2528" s="9">
        <v>0</v>
      </c>
      <c r="I2528" s="9">
        <v>0</v>
      </c>
      <c r="J2528" s="9">
        <v>130.03</v>
      </c>
    </row>
    <row r="2529" spans="1:10" ht="15.75" x14ac:dyDescent="0.25">
      <c r="A2529" s="21">
        <v>45535</v>
      </c>
      <c r="B2529" t="str">
        <f>IFERROR(IF(VLOOKUP(C2529,Hoja1!$B$1:$C$6191,2,0)="",_xlfn.XLOOKUP(C2529,Hoja1!$B$2:$B$6191,Hoja1!$A$2:$A$6191),VLOOKUP(C2529,Hoja1!$B$1:$C$6191,2,0)),"No esta en Infor")</f>
        <v>CAN0037</v>
      </c>
      <c r="C2529" s="11" t="s">
        <v>687</v>
      </c>
      <c r="D2529" s="9">
        <v>0</v>
      </c>
      <c r="E2529" s="9">
        <v>27.85</v>
      </c>
      <c r="F2529" s="9">
        <v>-4056.13</v>
      </c>
      <c r="G2529" s="9">
        <v>0</v>
      </c>
      <c r="H2529" s="9">
        <v>0</v>
      </c>
      <c r="I2529" s="9">
        <v>0</v>
      </c>
      <c r="J2529" s="9">
        <v>-4028.28</v>
      </c>
    </row>
    <row r="2530" spans="1:10" ht="15.75" x14ac:dyDescent="0.25">
      <c r="A2530" s="21">
        <v>45535</v>
      </c>
      <c r="B2530" t="str">
        <f>IFERROR(IF(VLOOKUP(C2530,Hoja1!$B$1:$C$6191,2,0)="",_xlfn.XLOOKUP(C2530,Hoja1!$B$2:$B$6191,Hoja1!$A$2:$A$6191),VLOOKUP(C2530,Hoja1!$B$1:$C$6191,2,0)),"No esta en Infor")</f>
        <v>NAC1127</v>
      </c>
      <c r="C2530" s="19" t="s">
        <v>632</v>
      </c>
      <c r="D2530" s="9">
        <v>4092</v>
      </c>
      <c r="E2530" s="9">
        <v>0</v>
      </c>
      <c r="F2530" s="9">
        <v>0</v>
      </c>
      <c r="G2530" s="9">
        <v>0</v>
      </c>
      <c r="H2530" s="9">
        <v>0</v>
      </c>
      <c r="I2530" s="9">
        <v>0</v>
      </c>
      <c r="J2530" s="9">
        <v>4092</v>
      </c>
    </row>
    <row r="2531" spans="1:10" ht="15.75" x14ac:dyDescent="0.25">
      <c r="A2531" s="21">
        <v>45535</v>
      </c>
      <c r="B2531" t="str">
        <f>IFERROR(IF(VLOOKUP(C2531,Hoja1!$B$1:$C$6191,2,0)="",_xlfn.XLOOKUP(C2531,Hoja1!$B$2:$B$6191,Hoja1!$A$2:$A$6191),VLOOKUP(C2531,Hoja1!$B$1:$C$6191,2,0)),"No esta en Infor")</f>
        <v>NAC1128</v>
      </c>
      <c r="C2531" s="19" t="s">
        <v>263</v>
      </c>
      <c r="D2531" s="9">
        <v>8560</v>
      </c>
      <c r="E2531" s="9">
        <v>5748.4</v>
      </c>
      <c r="F2531" s="9">
        <v>0</v>
      </c>
      <c r="G2531" s="9">
        <v>0</v>
      </c>
      <c r="H2531" s="9">
        <v>0</v>
      </c>
      <c r="I2531" s="9">
        <v>0</v>
      </c>
      <c r="J2531" s="9">
        <v>14308.4</v>
      </c>
    </row>
    <row r="2532" spans="1:10" ht="15.75" x14ac:dyDescent="0.25">
      <c r="A2532" s="21">
        <v>45535</v>
      </c>
      <c r="B2532" t="str">
        <f>IFERROR(IF(VLOOKUP(C2532,Hoja1!$B$1:$C$6191,2,0)="",_xlfn.XLOOKUP(C2532,Hoja1!$B$2:$B$6191,Hoja1!$A$2:$A$6191),VLOOKUP(C2532,Hoja1!$B$1:$C$6191,2,0)),"No esta en Infor")</f>
        <v>CAN0039</v>
      </c>
      <c r="C2532" s="19" t="s">
        <v>265</v>
      </c>
      <c r="D2532" s="9">
        <v>29988.22</v>
      </c>
      <c r="E2532" s="9">
        <v>0</v>
      </c>
      <c r="F2532" s="9">
        <v>0</v>
      </c>
      <c r="G2532" s="9">
        <v>0</v>
      </c>
      <c r="H2532" s="9">
        <v>0</v>
      </c>
      <c r="I2532" s="9">
        <v>0</v>
      </c>
      <c r="J2532" s="9">
        <v>29988.22</v>
      </c>
    </row>
    <row r="2533" spans="1:10" ht="15.75" x14ac:dyDescent="0.25">
      <c r="A2533" s="21">
        <v>45535</v>
      </c>
      <c r="B2533" t="str">
        <f>IFERROR(IF(VLOOKUP(C2533,Hoja1!$B$1:$C$6191,2,0)="",_xlfn.XLOOKUP(C2533,Hoja1!$B$2:$B$6191,Hoja1!$A$2:$A$6191),VLOOKUP(C2533,Hoja1!$B$1:$C$6191,2,0)),"No esta en Infor")</f>
        <v>NAC1133</v>
      </c>
      <c r="C2533" s="19" t="s">
        <v>633</v>
      </c>
      <c r="D2533" s="9">
        <v>3962.07</v>
      </c>
      <c r="E2533" s="9">
        <v>0</v>
      </c>
      <c r="F2533" s="9">
        <v>0</v>
      </c>
      <c r="G2533" s="9">
        <v>0</v>
      </c>
      <c r="H2533" s="9">
        <v>0</v>
      </c>
      <c r="I2533" s="9">
        <v>0</v>
      </c>
      <c r="J2533" s="9">
        <v>3962.07</v>
      </c>
    </row>
    <row r="2534" spans="1:10" ht="15.75" x14ac:dyDescent="0.25">
      <c r="A2534" s="21">
        <v>45535</v>
      </c>
      <c r="B2534" t="str">
        <f>IFERROR(IF(VLOOKUP(C2534,Hoja1!$B$1:$C$6191,2,0)="",_xlfn.XLOOKUP(C2534,Hoja1!$B$2:$B$6191,Hoja1!$A$2:$A$6191),VLOOKUP(C2534,Hoja1!$B$1:$C$6191,2,0)),"No esta en Infor")</f>
        <v>NAC1143</v>
      </c>
      <c r="C2534" s="19" t="s">
        <v>268</v>
      </c>
      <c r="D2534" s="9">
        <v>184.94</v>
      </c>
      <c r="E2534" s="9">
        <v>256</v>
      </c>
      <c r="F2534" s="9">
        <v>0</v>
      </c>
      <c r="G2534" s="9">
        <v>0</v>
      </c>
      <c r="H2534" s="9">
        <v>0</v>
      </c>
      <c r="I2534" s="9">
        <v>0</v>
      </c>
      <c r="J2534" s="9">
        <v>440.94</v>
      </c>
    </row>
    <row r="2535" spans="1:10" ht="15.75" x14ac:dyDescent="0.25">
      <c r="A2535" s="21">
        <v>45535</v>
      </c>
      <c r="B2535" t="str">
        <f>IFERROR(IF(VLOOKUP(C2535,Hoja1!$B$1:$C$6191,2,0)="",_xlfn.XLOOKUP(C2535,Hoja1!$B$2:$B$6191,Hoja1!$A$2:$A$6191),VLOOKUP(C2535,Hoja1!$B$1:$C$6191,2,0)),"No esta en Infor")</f>
        <v>NAC1148</v>
      </c>
      <c r="C2535" s="19" t="s">
        <v>270</v>
      </c>
      <c r="D2535" s="9">
        <v>11665.38</v>
      </c>
      <c r="E2535" s="9">
        <v>0</v>
      </c>
      <c r="F2535" s="9">
        <v>0</v>
      </c>
      <c r="G2535" s="9">
        <v>0</v>
      </c>
      <c r="H2535" s="9">
        <v>0</v>
      </c>
      <c r="I2535" s="9">
        <v>0</v>
      </c>
      <c r="J2535" s="9">
        <v>11665.38</v>
      </c>
    </row>
    <row r="2536" spans="1:10" ht="15.75" x14ac:dyDescent="0.25">
      <c r="A2536" s="21">
        <v>45535</v>
      </c>
      <c r="B2536" t="str">
        <f>IFERROR(IF(VLOOKUP(C2536,Hoja1!$B$1:$C$6191,2,0)="",_xlfn.XLOOKUP(C2536,Hoja1!$B$2:$B$6191,Hoja1!$A$2:$A$6191),VLOOKUP(C2536,Hoja1!$B$1:$C$6191,2,0)),"No esta en Infor")</f>
        <v>NAC1151</v>
      </c>
      <c r="C2536" s="19" t="s">
        <v>271</v>
      </c>
      <c r="D2536" s="9">
        <v>37661</v>
      </c>
      <c r="E2536" s="9">
        <v>-1172</v>
      </c>
      <c r="F2536" s="9">
        <v>0</v>
      </c>
      <c r="G2536" s="9">
        <v>0</v>
      </c>
      <c r="H2536" s="9">
        <v>0</v>
      </c>
      <c r="I2536" s="9">
        <v>0</v>
      </c>
      <c r="J2536" s="9">
        <v>36489</v>
      </c>
    </row>
    <row r="2537" spans="1:10" ht="15.75" x14ac:dyDescent="0.25">
      <c r="A2537" s="21">
        <v>45535</v>
      </c>
      <c r="B2537" t="str">
        <f>IFERROR(IF(VLOOKUP(C2537,Hoja1!$B$1:$C$6191,2,0)="",_xlfn.XLOOKUP(C2537,Hoja1!$B$2:$B$6191,Hoja1!$A$2:$A$6191),VLOOKUP(C2537,Hoja1!$B$1:$C$6191,2,0)),"No esta en Infor")</f>
        <v>NAC1158</v>
      </c>
      <c r="C2537" s="19" t="s">
        <v>272</v>
      </c>
      <c r="D2537" s="9">
        <v>6147</v>
      </c>
      <c r="E2537" s="9">
        <v>731</v>
      </c>
      <c r="F2537" s="9">
        <v>0</v>
      </c>
      <c r="G2537" s="9">
        <v>0</v>
      </c>
      <c r="H2537" s="9">
        <v>0</v>
      </c>
      <c r="I2537" s="9">
        <v>0</v>
      </c>
      <c r="J2537" s="9">
        <v>6878</v>
      </c>
    </row>
    <row r="2538" spans="1:10" ht="15.75" x14ac:dyDescent="0.25">
      <c r="A2538" s="21">
        <v>45535</v>
      </c>
      <c r="B2538" t="str">
        <f>IFERROR(IF(VLOOKUP(C2538,Hoja1!$B$1:$C$6191,2,0)="",_xlfn.XLOOKUP(C2538,Hoja1!$B$2:$B$6191,Hoja1!$A$2:$A$6191),VLOOKUP(C2538,Hoja1!$B$1:$C$6191,2,0)),"No esta en Infor")</f>
        <v>SH02827</v>
      </c>
      <c r="C2538" s="19" t="s">
        <v>634</v>
      </c>
      <c r="D2538" s="9">
        <v>100.08</v>
      </c>
      <c r="E2538" s="9">
        <v>0</v>
      </c>
      <c r="F2538" s="9">
        <v>0</v>
      </c>
      <c r="G2538" s="9">
        <v>0</v>
      </c>
      <c r="H2538" s="9">
        <v>0</v>
      </c>
      <c r="I2538" s="9">
        <v>0</v>
      </c>
      <c r="J2538" s="9">
        <v>100.08</v>
      </c>
    </row>
    <row r="2539" spans="1:10" ht="15.75" x14ac:dyDescent="0.25">
      <c r="A2539" s="21">
        <v>45535</v>
      </c>
      <c r="B2539" t="str">
        <f>IFERROR(IF(VLOOKUP(C2539,Hoja1!$B$1:$C$6191,2,0)="",_xlfn.XLOOKUP(C2539,Hoja1!$B$2:$B$6191,Hoja1!$A$2:$A$6191),VLOOKUP(C2539,Hoja1!$B$1:$C$6191,2,0)),"No esta en Infor")</f>
        <v>NAC1604</v>
      </c>
      <c r="C2539" s="19" t="s">
        <v>12389</v>
      </c>
      <c r="D2539" s="9">
        <v>19001.509999999998</v>
      </c>
      <c r="E2539" s="9">
        <v>0</v>
      </c>
      <c r="F2539" s="9">
        <v>0</v>
      </c>
      <c r="G2539" s="9">
        <v>-280</v>
      </c>
      <c r="H2539" s="9">
        <v>0</v>
      </c>
      <c r="I2539" s="9">
        <v>-362.8</v>
      </c>
      <c r="J2539" s="9">
        <v>18358.71</v>
      </c>
    </row>
    <row r="2540" spans="1:10" ht="15.75" x14ac:dyDescent="0.25">
      <c r="A2540" s="21">
        <v>45535</v>
      </c>
      <c r="B2540" t="str">
        <f>IFERROR(IF(VLOOKUP(C2540,Hoja1!$B$1:$C$6191,2,0)="",_xlfn.XLOOKUP(C2540,Hoja1!$B$2:$B$6191,Hoja1!$A$2:$A$6191),VLOOKUP(C2540,Hoja1!$B$1:$C$6191,2,0)),"No esta en Infor")</f>
        <v>NAC1167</v>
      </c>
      <c r="C2540" s="19" t="s">
        <v>34</v>
      </c>
      <c r="D2540" s="9">
        <v>0</v>
      </c>
      <c r="E2540" s="9">
        <v>1602</v>
      </c>
      <c r="F2540" s="9">
        <v>0</v>
      </c>
      <c r="G2540" s="9">
        <v>0</v>
      </c>
      <c r="H2540" s="9">
        <v>0</v>
      </c>
      <c r="I2540" s="9">
        <v>0</v>
      </c>
      <c r="J2540" s="9">
        <v>1602</v>
      </c>
    </row>
    <row r="2541" spans="1:10" ht="15.75" x14ac:dyDescent="0.25">
      <c r="A2541" s="21">
        <v>45535</v>
      </c>
      <c r="B2541" t="str">
        <f>IFERROR(IF(VLOOKUP(C2541,Hoja1!$B$1:$C$6191,2,0)="",_xlfn.XLOOKUP(C2541,Hoja1!$B$2:$B$6191,Hoja1!$A$2:$A$6191),VLOOKUP(C2541,Hoja1!$B$1:$C$6191,2,0)),"No esta en Infor")</f>
        <v>NAC1177</v>
      </c>
      <c r="C2541" s="19" t="s">
        <v>566</v>
      </c>
      <c r="D2541" s="9">
        <v>0</v>
      </c>
      <c r="E2541" s="9">
        <v>-14.41</v>
      </c>
      <c r="F2541" s="9">
        <v>0</v>
      </c>
      <c r="G2541" s="9">
        <v>0</v>
      </c>
      <c r="H2541" s="9">
        <v>0</v>
      </c>
      <c r="I2541" s="9">
        <v>0</v>
      </c>
      <c r="J2541" s="9">
        <v>-14.41</v>
      </c>
    </row>
    <row r="2542" spans="1:10" ht="15.75" x14ac:dyDescent="0.25">
      <c r="A2542" s="21">
        <v>45535</v>
      </c>
      <c r="B2542" t="str">
        <f>IFERROR(IF(VLOOKUP(C2542,Hoja1!$B$1:$C$6191,2,0)="",_xlfn.XLOOKUP(C2542,Hoja1!$B$2:$B$6191,Hoja1!$A$2:$A$6191),VLOOKUP(C2542,Hoja1!$B$1:$C$6191,2,0)),"No esta en Infor")</f>
        <v>No esta en Infor</v>
      </c>
      <c r="C2542" s="19" t="s">
        <v>635</v>
      </c>
      <c r="D2542" s="9">
        <v>0</v>
      </c>
      <c r="E2542" s="9">
        <v>64.09</v>
      </c>
      <c r="F2542" s="9">
        <v>0</v>
      </c>
      <c r="G2542" s="9">
        <v>0</v>
      </c>
      <c r="H2542" s="9">
        <v>0</v>
      </c>
      <c r="I2542" s="9">
        <v>0</v>
      </c>
      <c r="J2542" s="9">
        <v>64.09</v>
      </c>
    </row>
    <row r="2543" spans="1:10" ht="15.75" x14ac:dyDescent="0.25">
      <c r="A2543" s="21">
        <v>45535</v>
      </c>
      <c r="B2543" t="str">
        <f>IFERROR(IF(VLOOKUP(C2543,Hoja1!$B$1:$C$6191,2,0)="",_xlfn.XLOOKUP(C2543,Hoja1!$B$2:$B$6191,Hoja1!$A$2:$A$6191),VLOOKUP(C2543,Hoja1!$B$1:$C$6191,2,0)),"No esta en Infor")</f>
        <v>NAC1190</v>
      </c>
      <c r="C2543" s="19" t="s">
        <v>636</v>
      </c>
      <c r="D2543" s="9">
        <v>985</v>
      </c>
      <c r="E2543" s="9">
        <v>0</v>
      </c>
      <c r="F2543" s="9">
        <v>0</v>
      </c>
      <c r="G2543" s="9">
        <v>0</v>
      </c>
      <c r="H2543" s="9">
        <v>0</v>
      </c>
      <c r="I2543" s="9">
        <v>0</v>
      </c>
      <c r="J2543" s="9">
        <v>985</v>
      </c>
    </row>
    <row r="2544" spans="1:10" ht="15.75" x14ac:dyDescent="0.25">
      <c r="A2544" s="21">
        <v>45535</v>
      </c>
      <c r="B2544" t="str">
        <f>IFERROR(IF(VLOOKUP(C2544,Hoja1!$B$1:$C$6191,2,0)="",_xlfn.XLOOKUP(C2544,Hoja1!$B$2:$B$6191,Hoja1!$A$2:$A$6191),VLOOKUP(C2544,Hoja1!$B$1:$C$6191,2,0)),"No esta en Infor")</f>
        <v>CAN0046</v>
      </c>
      <c r="C2544" s="19" t="s">
        <v>283</v>
      </c>
      <c r="D2544" s="9">
        <v>452</v>
      </c>
      <c r="E2544" s="9">
        <v>0</v>
      </c>
      <c r="F2544" s="9">
        <v>0</v>
      </c>
      <c r="G2544" s="9">
        <v>0</v>
      </c>
      <c r="H2544" s="9">
        <v>0</v>
      </c>
      <c r="I2544" s="9">
        <v>0</v>
      </c>
      <c r="J2544" s="9">
        <v>452</v>
      </c>
    </row>
    <row r="2545" spans="1:10" ht="15.75" x14ac:dyDescent="0.25">
      <c r="A2545" s="21">
        <v>45535</v>
      </c>
      <c r="B2545" t="str">
        <f>IFERROR(IF(VLOOKUP(C2545,Hoja1!$B$1:$C$6191,2,0)="",_xlfn.XLOOKUP(C2545,Hoja1!$B$2:$B$6191,Hoja1!$A$2:$A$6191),VLOOKUP(C2545,Hoja1!$B$1:$C$6191,2,0)),"No esta en Infor")</f>
        <v>CAN0048</v>
      </c>
      <c r="C2545" s="19" t="s">
        <v>567</v>
      </c>
      <c r="D2545" s="9">
        <v>0</v>
      </c>
      <c r="E2545" s="9">
        <v>0</v>
      </c>
      <c r="F2545" s="9">
        <v>-12463.9</v>
      </c>
      <c r="G2545" s="9">
        <v>0</v>
      </c>
      <c r="H2545" s="9">
        <v>0</v>
      </c>
      <c r="I2545" s="9">
        <v>0</v>
      </c>
      <c r="J2545" s="9">
        <v>-12463.9</v>
      </c>
    </row>
    <row r="2546" spans="1:10" ht="15.75" x14ac:dyDescent="0.25">
      <c r="A2546" s="21">
        <v>45535</v>
      </c>
      <c r="B2546" t="str">
        <f>IFERROR(IF(VLOOKUP(C2546,Hoja1!$B$1:$C$6191,2,0)="",_xlfn.XLOOKUP(C2546,Hoja1!$B$2:$B$6191,Hoja1!$A$2:$A$6191),VLOOKUP(C2546,Hoja1!$B$1:$C$6191,2,0)),"No esta en Infor")</f>
        <v>NAC1202</v>
      </c>
      <c r="C2546" s="19" t="s">
        <v>416</v>
      </c>
      <c r="D2546" s="9">
        <v>704</v>
      </c>
      <c r="E2546" s="9">
        <v>0</v>
      </c>
      <c r="F2546" s="9">
        <v>0</v>
      </c>
      <c r="G2546" s="9">
        <v>0</v>
      </c>
      <c r="H2546" s="9">
        <v>0</v>
      </c>
      <c r="I2546" s="9">
        <v>0</v>
      </c>
      <c r="J2546" s="9">
        <v>704</v>
      </c>
    </row>
    <row r="2547" spans="1:10" ht="15.75" x14ac:dyDescent="0.25">
      <c r="A2547" s="21">
        <v>45535</v>
      </c>
      <c r="B2547" t="str">
        <f>IFERROR(IF(VLOOKUP(C2547,Hoja1!$B$1:$C$6191,2,0)="",_xlfn.XLOOKUP(C2547,Hoja1!$B$2:$B$6191,Hoja1!$A$2:$A$6191),VLOOKUP(C2547,Hoja1!$B$1:$C$6191,2,0)),"No esta en Infor")</f>
        <v>NAC1205</v>
      </c>
      <c r="C2547" s="19" t="s">
        <v>568</v>
      </c>
      <c r="D2547" s="9">
        <v>0</v>
      </c>
      <c r="E2547" s="9">
        <v>-316.68</v>
      </c>
      <c r="F2547" s="9">
        <v>0</v>
      </c>
      <c r="G2547" s="9">
        <v>0</v>
      </c>
      <c r="H2547" s="9">
        <v>0</v>
      </c>
      <c r="I2547" s="9">
        <v>0</v>
      </c>
      <c r="J2547" s="9">
        <v>-316.68</v>
      </c>
    </row>
    <row r="2548" spans="1:10" ht="15.75" x14ac:dyDescent="0.25">
      <c r="A2548" s="21">
        <v>45535</v>
      </c>
      <c r="B2548" t="str">
        <f>IFERROR(IF(VLOOKUP(C2548,Hoja1!$B$1:$C$6191,2,0)="",_xlfn.XLOOKUP(C2548,Hoja1!$B$2:$B$6191,Hoja1!$A$2:$A$6191),VLOOKUP(C2548,Hoja1!$B$1:$C$6191,2,0)),"No esta en Infor")</f>
        <v>NAC1207</v>
      </c>
      <c r="C2548" s="19" t="s">
        <v>417</v>
      </c>
      <c r="D2548" s="9">
        <v>0</v>
      </c>
      <c r="E2548" s="9">
        <v>1505.05</v>
      </c>
      <c r="F2548" s="9">
        <v>0</v>
      </c>
      <c r="G2548" s="9">
        <v>0</v>
      </c>
      <c r="H2548" s="9">
        <v>0</v>
      </c>
      <c r="I2548" s="9">
        <v>0</v>
      </c>
      <c r="J2548" s="9">
        <v>1505.05</v>
      </c>
    </row>
    <row r="2549" spans="1:10" ht="15.75" x14ac:dyDescent="0.25">
      <c r="A2549" s="21">
        <v>45535</v>
      </c>
      <c r="B2549" t="str">
        <f>IFERROR(IF(VLOOKUP(C2549,Hoja1!$B$1:$C$6191,2,0)="",_xlfn.XLOOKUP(C2549,Hoja1!$B$2:$B$6191,Hoja1!$A$2:$A$6191),VLOOKUP(C2549,Hoja1!$B$1:$C$6191,2,0)),"No esta en Infor")</f>
        <v>NAC1211</v>
      </c>
      <c r="C2549" s="19" t="s">
        <v>284</v>
      </c>
      <c r="D2549" s="9">
        <v>93910.399999999994</v>
      </c>
      <c r="E2549" s="9">
        <v>37326.639999999999</v>
      </c>
      <c r="F2549" s="9">
        <v>0</v>
      </c>
      <c r="G2549" s="9">
        <v>0</v>
      </c>
      <c r="H2549" s="9">
        <v>0</v>
      </c>
      <c r="I2549" s="9">
        <v>0</v>
      </c>
      <c r="J2549" s="9">
        <v>131237.04</v>
      </c>
    </row>
    <row r="2550" spans="1:10" ht="15.75" x14ac:dyDescent="0.25">
      <c r="A2550" s="21">
        <v>45535</v>
      </c>
      <c r="B2550" t="str">
        <f>IFERROR(IF(VLOOKUP(C2550,Hoja1!$B$1:$C$6191,2,0)="",_xlfn.XLOOKUP(C2550,Hoja1!$B$2:$B$6191,Hoja1!$A$2:$A$6191),VLOOKUP(C2550,Hoja1!$B$1:$C$6191,2,0)),"No esta en Infor")</f>
        <v>NAC1212</v>
      </c>
      <c r="C2550" s="19" t="s">
        <v>285</v>
      </c>
      <c r="D2550" s="9">
        <v>25259.88</v>
      </c>
      <c r="E2550" s="9">
        <v>-0.1</v>
      </c>
      <c r="F2550" s="9">
        <v>0</v>
      </c>
      <c r="G2550" s="9">
        <v>0</v>
      </c>
      <c r="H2550" s="9">
        <v>0</v>
      </c>
      <c r="I2550" s="9">
        <v>0</v>
      </c>
      <c r="J2550" s="9">
        <v>25259.78</v>
      </c>
    </row>
    <row r="2551" spans="1:10" ht="15.75" x14ac:dyDescent="0.25">
      <c r="A2551" s="21">
        <v>45535</v>
      </c>
      <c r="B2551" t="str">
        <f>IFERROR(IF(VLOOKUP(C2551,Hoja1!$B$1:$C$6191,2,0)="",_xlfn.XLOOKUP(C2551,Hoja1!$B$2:$B$6191,Hoja1!$A$2:$A$6191),VLOOKUP(C2551,Hoja1!$B$1:$C$6191,2,0)),"No esta en Infor")</f>
        <v>No esta en Infor</v>
      </c>
      <c r="C2551" s="19" t="s">
        <v>637</v>
      </c>
      <c r="D2551" s="9">
        <v>0</v>
      </c>
      <c r="E2551" s="9">
        <v>62.14</v>
      </c>
      <c r="F2551" s="9">
        <v>0</v>
      </c>
      <c r="G2551" s="9">
        <v>0</v>
      </c>
      <c r="H2551" s="9">
        <v>0</v>
      </c>
      <c r="I2551" s="9">
        <v>0</v>
      </c>
      <c r="J2551" s="9">
        <v>62.14</v>
      </c>
    </row>
    <row r="2552" spans="1:10" ht="15.75" x14ac:dyDescent="0.25">
      <c r="A2552" s="21">
        <v>45535</v>
      </c>
      <c r="B2552" t="str">
        <f>IFERROR(IF(VLOOKUP(C2552,Hoja1!$B$1:$C$6191,2,0)="",_xlfn.XLOOKUP(C2552,Hoja1!$B$2:$B$6191,Hoja1!$A$2:$A$6191),VLOOKUP(C2552,Hoja1!$B$1:$C$6191,2,0)),"No esta en Infor")</f>
        <v>No esta en Infor</v>
      </c>
      <c r="C2552" s="19" t="s">
        <v>638</v>
      </c>
      <c r="D2552" s="9">
        <v>0</v>
      </c>
      <c r="E2552" s="9">
        <v>344.8</v>
      </c>
      <c r="F2552" s="9">
        <v>0</v>
      </c>
      <c r="G2552" s="9">
        <v>0</v>
      </c>
      <c r="H2552" s="9">
        <v>0</v>
      </c>
      <c r="I2552" s="9">
        <v>0</v>
      </c>
      <c r="J2552" s="9">
        <v>344.8</v>
      </c>
    </row>
    <row r="2553" spans="1:10" ht="15.75" x14ac:dyDescent="0.25">
      <c r="A2553" s="21">
        <v>45535</v>
      </c>
      <c r="B2553" t="str">
        <f>IFERROR(IF(VLOOKUP(C2553,Hoja1!$B$1:$C$6191,2,0)="",_xlfn.XLOOKUP(C2553,Hoja1!$B$2:$B$6191,Hoja1!$A$2:$A$6191),VLOOKUP(C2553,Hoja1!$B$1:$C$6191,2,0)),"No esta en Infor")</f>
        <v>NAC1216</v>
      </c>
      <c r="C2553" s="19" t="s">
        <v>287</v>
      </c>
      <c r="D2553" s="9">
        <v>0</v>
      </c>
      <c r="E2553" s="9">
        <v>32.979999999999997</v>
      </c>
      <c r="F2553" s="9">
        <v>0</v>
      </c>
      <c r="G2553" s="9">
        <v>0</v>
      </c>
      <c r="H2553" s="9">
        <v>0</v>
      </c>
      <c r="I2553" s="9">
        <v>0</v>
      </c>
      <c r="J2553" s="9">
        <v>32.979999999999997</v>
      </c>
    </row>
    <row r="2554" spans="1:10" ht="15.75" x14ac:dyDescent="0.25">
      <c r="A2554" s="21">
        <v>45535</v>
      </c>
      <c r="B2554" t="str">
        <f>IFERROR(IF(VLOOKUP(C2554,Hoja1!$B$1:$C$6191,2,0)="",_xlfn.XLOOKUP(C2554,Hoja1!$B$2:$B$6191,Hoja1!$A$2:$A$6191),VLOOKUP(C2554,Hoja1!$B$1:$C$6191,2,0)),"No esta en Infor")</f>
        <v>NAC1219</v>
      </c>
      <c r="C2554" s="19" t="s">
        <v>475</v>
      </c>
      <c r="D2554" s="9">
        <v>0</v>
      </c>
      <c r="E2554" s="9">
        <v>0</v>
      </c>
      <c r="F2554" s="9">
        <v>-299.55</v>
      </c>
      <c r="G2554" s="9">
        <v>0</v>
      </c>
      <c r="H2554" s="9">
        <v>0</v>
      </c>
      <c r="I2554" s="9">
        <v>0</v>
      </c>
      <c r="J2554" s="9">
        <v>-299.55</v>
      </c>
    </row>
    <row r="2555" spans="1:10" ht="15.75" x14ac:dyDescent="0.25">
      <c r="A2555" s="21">
        <v>45535</v>
      </c>
      <c r="B2555" t="str">
        <f>IFERROR(IF(VLOOKUP(C2555,Hoja1!$B$1:$C$6191,2,0)="",_xlfn.XLOOKUP(C2555,Hoja1!$B$2:$B$6191,Hoja1!$A$2:$A$6191),VLOOKUP(C2555,Hoja1!$B$1:$C$6191,2,0)),"No esta en Infor")</f>
        <v>CAN0049</v>
      </c>
      <c r="C2555" s="19" t="s">
        <v>289</v>
      </c>
      <c r="D2555" s="9">
        <v>15896.12</v>
      </c>
      <c r="E2555" s="9">
        <v>0</v>
      </c>
      <c r="F2555" s="9">
        <v>0</v>
      </c>
      <c r="G2555" s="9">
        <v>0</v>
      </c>
      <c r="H2555" s="9">
        <v>0</v>
      </c>
      <c r="I2555" s="9">
        <v>0</v>
      </c>
      <c r="J2555" s="9">
        <v>15896.12</v>
      </c>
    </row>
    <row r="2556" spans="1:10" ht="15.75" x14ac:dyDescent="0.25">
      <c r="A2556" s="21">
        <v>45535</v>
      </c>
      <c r="B2556" t="str">
        <f>IFERROR(IF(VLOOKUP(C2556,Hoja1!$B$1:$C$6191,2,0)="",_xlfn.XLOOKUP(C2556,Hoja1!$B$2:$B$6191,Hoja1!$A$2:$A$6191),VLOOKUP(C2556,Hoja1!$B$1:$C$6191,2,0)),"No esta en Infor")</f>
        <v>NAC1228</v>
      </c>
      <c r="C2556" s="19" t="s">
        <v>569</v>
      </c>
      <c r="D2556" s="9">
        <v>11254.59</v>
      </c>
      <c r="E2556" s="9">
        <v>0</v>
      </c>
      <c r="F2556" s="9">
        <v>0</v>
      </c>
      <c r="G2556" s="9">
        <v>0</v>
      </c>
      <c r="H2556" s="9">
        <v>0</v>
      </c>
      <c r="I2556" s="9">
        <v>0</v>
      </c>
      <c r="J2556" s="9">
        <v>11254.59</v>
      </c>
    </row>
    <row r="2557" spans="1:10" ht="15.75" x14ac:dyDescent="0.25">
      <c r="A2557" s="21">
        <v>45535</v>
      </c>
      <c r="B2557" t="str">
        <f>IFERROR(IF(VLOOKUP(C2557,Hoja1!$B$1:$C$6191,2,0)="",_xlfn.XLOOKUP(C2557,Hoja1!$B$2:$B$6191,Hoja1!$A$2:$A$6191),VLOOKUP(C2557,Hoja1!$B$1:$C$6191,2,0)),"No esta en Infor")</f>
        <v>NAC1231</v>
      </c>
      <c r="C2557" s="19" t="s">
        <v>290</v>
      </c>
      <c r="D2557" s="9">
        <v>93.6</v>
      </c>
      <c r="E2557" s="9">
        <v>0</v>
      </c>
      <c r="F2557" s="9">
        <v>0</v>
      </c>
      <c r="G2557" s="9">
        <v>0</v>
      </c>
      <c r="H2557" s="9">
        <v>0</v>
      </c>
      <c r="I2557" s="9">
        <v>0</v>
      </c>
      <c r="J2557" s="9">
        <v>93.6</v>
      </c>
    </row>
    <row r="2558" spans="1:10" ht="15.75" x14ac:dyDescent="0.25">
      <c r="A2558" s="21">
        <v>45535</v>
      </c>
      <c r="B2558" t="str">
        <f>IFERROR(IF(VLOOKUP(C2558,Hoja1!$B$1:$C$6191,2,0)="",_xlfn.XLOOKUP(C2558,Hoja1!$B$2:$B$6191,Hoja1!$A$2:$A$6191),VLOOKUP(C2558,Hoja1!$B$1:$C$6191,2,0)),"No esta en Infor")</f>
        <v>CAN0050</v>
      </c>
      <c r="C2558" s="19" t="s">
        <v>291</v>
      </c>
      <c r="D2558" s="9">
        <v>316.39999999999998</v>
      </c>
      <c r="E2558" s="9">
        <v>-0.1</v>
      </c>
      <c r="F2558" s="9">
        <v>0</v>
      </c>
      <c r="G2558" s="9">
        <v>0</v>
      </c>
      <c r="H2558" s="9">
        <v>0</v>
      </c>
      <c r="I2558" s="9">
        <v>0</v>
      </c>
      <c r="J2558" s="9">
        <v>316.3</v>
      </c>
    </row>
    <row r="2559" spans="1:10" ht="15.75" x14ac:dyDescent="0.25">
      <c r="A2559" s="21">
        <v>45535</v>
      </c>
      <c r="B2559" t="str">
        <f>IFERROR(IF(VLOOKUP(C2559,Hoja1!$B$1:$C$6191,2,0)="",_xlfn.XLOOKUP(C2559,Hoja1!$B$2:$B$6191,Hoja1!$A$2:$A$6191),VLOOKUP(C2559,Hoja1!$B$1:$C$6191,2,0)),"No esta en Infor")</f>
        <v>NAC1232</v>
      </c>
      <c r="C2559" s="19" t="s">
        <v>603</v>
      </c>
      <c r="D2559" s="9">
        <v>0</v>
      </c>
      <c r="E2559" s="9">
        <v>58380</v>
      </c>
      <c r="F2559" s="9">
        <v>0</v>
      </c>
      <c r="G2559" s="9">
        <v>0</v>
      </c>
      <c r="H2559" s="9">
        <v>0</v>
      </c>
      <c r="I2559" s="9">
        <v>0</v>
      </c>
      <c r="J2559" s="9">
        <v>58380</v>
      </c>
    </row>
    <row r="2560" spans="1:10" ht="15.75" x14ac:dyDescent="0.25">
      <c r="A2560" s="21">
        <v>45535</v>
      </c>
      <c r="B2560" t="str">
        <f>IFERROR(IF(VLOOKUP(C2560,Hoja1!$B$1:$C$6191,2,0)="",_xlfn.XLOOKUP(C2560,Hoja1!$B$2:$B$6191,Hoja1!$A$2:$A$6191),VLOOKUP(C2560,Hoja1!$B$1:$C$6191,2,0)),"No esta en Infor")</f>
        <v>NAC1234</v>
      </c>
      <c r="C2560" s="19" t="s">
        <v>293</v>
      </c>
      <c r="D2560" s="9">
        <v>8619.2000000000007</v>
      </c>
      <c r="E2560" s="9">
        <v>234</v>
      </c>
      <c r="F2560" s="9">
        <v>0</v>
      </c>
      <c r="G2560" s="9">
        <v>0</v>
      </c>
      <c r="H2560" s="9">
        <v>0</v>
      </c>
      <c r="I2560" s="9">
        <v>0</v>
      </c>
      <c r="J2560" s="9">
        <v>8853.2000000000007</v>
      </c>
    </row>
    <row r="2561" spans="1:10" ht="15.75" x14ac:dyDescent="0.25">
      <c r="A2561" s="21">
        <v>45535</v>
      </c>
      <c r="B2561" t="str">
        <f>IFERROR(IF(VLOOKUP(C2561,Hoja1!$B$1:$C$6191,2,0)="",_xlfn.XLOOKUP(C2561,Hoja1!$B$2:$B$6191,Hoja1!$A$2:$A$6191),VLOOKUP(C2561,Hoja1!$B$1:$C$6191,2,0)),"No esta en Infor")</f>
        <v>NAC1241</v>
      </c>
      <c r="C2561" s="19" t="s">
        <v>295</v>
      </c>
      <c r="D2561" s="9">
        <v>65246.559999999998</v>
      </c>
      <c r="E2561" s="9">
        <v>2754</v>
      </c>
      <c r="F2561" s="9">
        <v>0</v>
      </c>
      <c r="G2561" s="9">
        <v>0</v>
      </c>
      <c r="H2561" s="9">
        <v>0</v>
      </c>
      <c r="I2561" s="9">
        <v>0</v>
      </c>
      <c r="J2561" s="9">
        <v>68000.56</v>
      </c>
    </row>
    <row r="2562" spans="1:10" ht="15.75" x14ac:dyDescent="0.25">
      <c r="A2562" s="21">
        <v>45535</v>
      </c>
      <c r="B2562" t="str">
        <f>IFERROR(IF(VLOOKUP(C2562,Hoja1!$B$1:$C$6191,2,0)="",_xlfn.XLOOKUP(C2562,Hoja1!$B$2:$B$6191,Hoja1!$A$2:$A$6191),VLOOKUP(C2562,Hoja1!$B$1:$C$6191,2,0)),"No esta en Infor")</f>
        <v>NAC1247</v>
      </c>
      <c r="C2562" s="19" t="s">
        <v>298</v>
      </c>
      <c r="D2562" s="9">
        <v>8939.8799999999992</v>
      </c>
      <c r="E2562" s="9">
        <v>0</v>
      </c>
      <c r="F2562" s="9">
        <v>0</v>
      </c>
      <c r="G2562" s="9">
        <v>0</v>
      </c>
      <c r="H2562" s="9">
        <v>0</v>
      </c>
      <c r="I2562" s="9">
        <v>0</v>
      </c>
      <c r="J2562" s="9">
        <v>8939.8799999999992</v>
      </c>
    </row>
    <row r="2563" spans="1:10" ht="15.75" x14ac:dyDescent="0.25">
      <c r="A2563" s="21">
        <v>45535</v>
      </c>
      <c r="B2563" t="str">
        <f>IFERROR(IF(VLOOKUP(C2563,Hoja1!$B$1:$C$6191,2,0)="",_xlfn.XLOOKUP(C2563,Hoja1!$B$2:$B$6191,Hoja1!$A$2:$A$6191),VLOOKUP(C2563,Hoja1!$B$1:$C$6191,2,0)),"No esta en Infor")</f>
        <v>CAN0051</v>
      </c>
      <c r="C2563" s="19" t="s">
        <v>299</v>
      </c>
      <c r="D2563" s="9">
        <v>0</v>
      </c>
      <c r="E2563" s="9">
        <v>0</v>
      </c>
      <c r="F2563" s="9">
        <v>0</v>
      </c>
      <c r="G2563" s="9">
        <v>-0.34</v>
      </c>
      <c r="H2563" s="9">
        <v>0</v>
      </c>
      <c r="I2563" s="9">
        <v>0</v>
      </c>
      <c r="J2563" s="9">
        <v>-0.34</v>
      </c>
    </row>
    <row r="2564" spans="1:10" ht="15.75" x14ac:dyDescent="0.25">
      <c r="A2564" s="21">
        <v>45535</v>
      </c>
      <c r="B2564" t="str">
        <f>IFERROR(IF(VLOOKUP(C2564,Hoja1!$B$1:$C$6191,2,0)="",_xlfn.XLOOKUP(C2564,Hoja1!$B$2:$B$6191,Hoja1!$A$2:$A$6191),VLOOKUP(C2564,Hoja1!$B$1:$C$6191,2,0)),"No esta en Infor")</f>
        <v>NAC1252</v>
      </c>
      <c r="C2564" s="19" t="s">
        <v>301</v>
      </c>
      <c r="D2564" s="9">
        <v>28059.599999999999</v>
      </c>
      <c r="E2564" s="9">
        <v>16076.95</v>
      </c>
      <c r="F2564" s="9">
        <v>0</v>
      </c>
      <c r="G2564" s="9">
        <v>0</v>
      </c>
      <c r="H2564" s="9">
        <v>0</v>
      </c>
      <c r="I2564" s="9">
        <v>0</v>
      </c>
      <c r="J2564" s="9">
        <v>44136.55</v>
      </c>
    </row>
    <row r="2565" spans="1:10" ht="15.75" x14ac:dyDescent="0.25">
      <c r="A2565" s="21">
        <v>45535</v>
      </c>
      <c r="B2565" t="str">
        <f>IFERROR(IF(VLOOKUP(C2565,Hoja1!$B$1:$C$6191,2,0)="",_xlfn.XLOOKUP(C2565,Hoja1!$B$2:$B$6191,Hoja1!$A$2:$A$6191),VLOOKUP(C2565,Hoja1!$B$1:$C$6191,2,0)),"No esta en Infor")</f>
        <v>CAN0052</v>
      </c>
      <c r="C2565" s="19" t="s">
        <v>639</v>
      </c>
      <c r="D2565" s="9">
        <v>2932.65</v>
      </c>
      <c r="E2565" s="9">
        <v>0</v>
      </c>
      <c r="F2565" s="9">
        <v>0</v>
      </c>
      <c r="G2565" s="9">
        <v>0</v>
      </c>
      <c r="H2565" s="9">
        <v>0</v>
      </c>
      <c r="I2565" s="9">
        <v>0</v>
      </c>
      <c r="J2565" s="9">
        <v>2932.65</v>
      </c>
    </row>
    <row r="2566" spans="1:10" ht="15.75" x14ac:dyDescent="0.25">
      <c r="A2566" s="21">
        <v>45535</v>
      </c>
      <c r="B2566" t="str">
        <f>IFERROR(IF(VLOOKUP(C2566,Hoja1!$B$1:$C$6191,2,0)="",_xlfn.XLOOKUP(C2566,Hoja1!$B$2:$B$6191,Hoja1!$A$2:$A$6191),VLOOKUP(C2566,Hoja1!$B$1:$C$6191,2,0)),"No esta en Infor")</f>
        <v>NAC1254</v>
      </c>
      <c r="C2566" s="19" t="s">
        <v>640</v>
      </c>
      <c r="D2566" s="9">
        <v>1225.4000000000001</v>
      </c>
      <c r="E2566" s="9">
        <v>0</v>
      </c>
      <c r="F2566" s="9">
        <v>0</v>
      </c>
      <c r="G2566" s="9">
        <v>0</v>
      </c>
      <c r="H2566" s="9">
        <v>0</v>
      </c>
      <c r="I2566" s="9">
        <v>0</v>
      </c>
      <c r="J2566" s="9">
        <v>1225.4000000000001</v>
      </c>
    </row>
    <row r="2567" spans="1:10" ht="15.75" x14ac:dyDescent="0.25">
      <c r="A2567" s="21">
        <v>45535</v>
      </c>
      <c r="B2567" t="str">
        <f>IFERROR(IF(VLOOKUP(C2567,Hoja1!$B$1:$C$6191,2,0)="",_xlfn.XLOOKUP(C2567,Hoja1!$B$2:$B$6191,Hoja1!$A$2:$A$6191),VLOOKUP(C2567,Hoja1!$B$1:$C$6191,2,0)),"No esta en Infor")</f>
        <v>NAC1615</v>
      </c>
      <c r="C2567" s="19" t="s">
        <v>520</v>
      </c>
      <c r="D2567" s="9">
        <v>0</v>
      </c>
      <c r="E2567" s="9">
        <v>-17.64</v>
      </c>
      <c r="F2567" s="9">
        <v>-234.36</v>
      </c>
      <c r="G2567" s="9">
        <v>0</v>
      </c>
      <c r="H2567" s="9">
        <v>0</v>
      </c>
      <c r="I2567" s="9">
        <v>0</v>
      </c>
      <c r="J2567" s="9">
        <v>-252</v>
      </c>
    </row>
    <row r="2568" spans="1:10" ht="15.75" x14ac:dyDescent="0.25">
      <c r="A2568" s="21">
        <v>45535</v>
      </c>
      <c r="B2568" t="str">
        <f>IFERROR(IF(VLOOKUP(C2568,Hoja1!$B$1:$C$6191,2,0)="",_xlfn.XLOOKUP(C2568,Hoja1!$B$2:$B$6191,Hoja1!$A$2:$A$6191),VLOOKUP(C2568,Hoja1!$B$1:$C$6191,2,0)),"No esta en Infor")</f>
        <v>CAN0053</v>
      </c>
      <c r="C2568" s="19" t="s">
        <v>302</v>
      </c>
      <c r="D2568" s="9">
        <v>4597</v>
      </c>
      <c r="E2568" s="9">
        <v>0</v>
      </c>
      <c r="F2568" s="9">
        <v>0</v>
      </c>
      <c r="G2568" s="9">
        <v>0</v>
      </c>
      <c r="H2568" s="9">
        <v>0</v>
      </c>
      <c r="I2568" s="9">
        <v>0</v>
      </c>
      <c r="J2568" s="9">
        <v>4597</v>
      </c>
    </row>
    <row r="2569" spans="1:10" ht="15.75" x14ac:dyDescent="0.25">
      <c r="A2569" s="21">
        <v>45535</v>
      </c>
      <c r="B2569" t="str">
        <f>IFERROR(IF(VLOOKUP(C2569,Hoja1!$B$1:$C$6191,2,0)="",_xlfn.XLOOKUP(C2569,Hoja1!$B$2:$B$6191,Hoja1!$A$2:$A$6191),VLOOKUP(C2569,Hoja1!$B$1:$C$6191,2,0)),"No esta en Infor")</f>
        <v>SH02837</v>
      </c>
      <c r="C2569" s="19" t="s">
        <v>641</v>
      </c>
      <c r="D2569" s="9">
        <v>0</v>
      </c>
      <c r="E2569" s="9">
        <v>51.96</v>
      </c>
      <c r="F2569" s="9">
        <v>0</v>
      </c>
      <c r="G2569" s="9">
        <v>0</v>
      </c>
      <c r="H2569" s="9">
        <v>0</v>
      </c>
      <c r="I2569" s="9">
        <v>0</v>
      </c>
      <c r="J2569" s="9">
        <v>51.96</v>
      </c>
    </row>
    <row r="2570" spans="1:10" ht="15.75" x14ac:dyDescent="0.25">
      <c r="A2570" s="21">
        <v>45535</v>
      </c>
      <c r="B2570" t="str">
        <f>IFERROR(IF(VLOOKUP(C2570,Hoja1!$B$1:$C$6191,2,0)="",_xlfn.XLOOKUP(C2570,Hoja1!$B$2:$B$6191,Hoja1!$A$2:$A$6191),VLOOKUP(C2570,Hoja1!$B$1:$C$6191,2,0)),"No esta en Infor")</f>
        <v>NAC1260</v>
      </c>
      <c r="C2570" s="19" t="s">
        <v>571</v>
      </c>
      <c r="D2570" s="9">
        <v>0</v>
      </c>
      <c r="E2570" s="9">
        <v>-19694.63</v>
      </c>
      <c r="F2570" s="9">
        <v>0</v>
      </c>
      <c r="G2570" s="9">
        <v>0</v>
      </c>
      <c r="H2570" s="9">
        <v>0</v>
      </c>
      <c r="I2570" s="9">
        <v>0</v>
      </c>
      <c r="J2570" s="9">
        <v>-19694.63</v>
      </c>
    </row>
    <row r="2571" spans="1:10" ht="15.75" x14ac:dyDescent="0.25">
      <c r="A2571" s="21">
        <v>45535</v>
      </c>
      <c r="B2571" t="str">
        <f>IFERROR(IF(VLOOKUP(C2571,Hoja1!$B$1:$C$6191,2,0)="",_xlfn.XLOOKUP(C2571,Hoja1!$B$2:$B$6191,Hoja1!$A$2:$A$6191),VLOOKUP(C2571,Hoja1!$B$1:$C$6191,2,0)),"No esta en Infor")</f>
        <v>NAC1283</v>
      </c>
      <c r="C2571" s="19" t="s">
        <v>308</v>
      </c>
      <c r="D2571" s="9">
        <v>23261.9</v>
      </c>
      <c r="E2571" s="9">
        <v>0</v>
      </c>
      <c r="F2571" s="9">
        <v>-118</v>
      </c>
      <c r="G2571" s="9">
        <v>0</v>
      </c>
      <c r="H2571" s="9">
        <v>0</v>
      </c>
      <c r="I2571" s="9">
        <v>0</v>
      </c>
      <c r="J2571" s="9">
        <v>23143.9</v>
      </c>
    </row>
    <row r="2572" spans="1:10" ht="15.75" x14ac:dyDescent="0.25">
      <c r="A2572" s="21">
        <v>45535</v>
      </c>
      <c r="B2572" t="str">
        <f>IFERROR(IF(VLOOKUP(C2572,Hoja1!$B$1:$C$6191,2,0)="",_xlfn.XLOOKUP(C2572,Hoja1!$B$2:$B$6191,Hoja1!$A$2:$A$6191),VLOOKUP(C2572,Hoja1!$B$1:$C$6191,2,0)),"No esta en Infor")</f>
        <v>NAC1292</v>
      </c>
      <c r="C2572" s="19" t="s">
        <v>46</v>
      </c>
      <c r="D2572" s="9">
        <v>5236</v>
      </c>
      <c r="E2572" s="9">
        <v>0</v>
      </c>
      <c r="F2572" s="9">
        <v>0</v>
      </c>
      <c r="G2572" s="9">
        <v>0</v>
      </c>
      <c r="H2572" s="9">
        <v>0</v>
      </c>
      <c r="I2572" s="9">
        <v>0</v>
      </c>
      <c r="J2572" s="9">
        <v>5236</v>
      </c>
    </row>
    <row r="2573" spans="1:10" ht="15.75" x14ac:dyDescent="0.25">
      <c r="A2573" s="21">
        <v>45535</v>
      </c>
      <c r="B2573" t="str">
        <f>IFERROR(IF(VLOOKUP(C2573,Hoja1!$B$1:$C$6191,2,0)="",_xlfn.XLOOKUP(C2573,Hoja1!$B$2:$B$6191,Hoja1!$A$2:$A$6191),VLOOKUP(C2573,Hoja1!$B$1:$C$6191,2,0)),"No esta en Infor")</f>
        <v>NAC1312</v>
      </c>
      <c r="C2573" s="19" t="s">
        <v>314</v>
      </c>
      <c r="D2573" s="9">
        <v>43289.91</v>
      </c>
      <c r="E2573" s="9">
        <v>0</v>
      </c>
      <c r="F2573" s="9">
        <v>236197.94</v>
      </c>
      <c r="G2573" s="9">
        <v>0</v>
      </c>
      <c r="H2573" s="9">
        <v>6392.93</v>
      </c>
      <c r="I2573" s="9">
        <v>0</v>
      </c>
      <c r="J2573" s="9">
        <v>285880.78000000003</v>
      </c>
    </row>
    <row r="2574" spans="1:10" ht="15.75" x14ac:dyDescent="0.25">
      <c r="A2574" s="21">
        <v>45535</v>
      </c>
      <c r="B2574" t="str">
        <f>IFERROR(IF(VLOOKUP(C2574,Hoja1!$B$1:$C$6191,2,0)="",_xlfn.XLOOKUP(C2574,Hoja1!$B$2:$B$6191,Hoja1!$A$2:$A$6191),VLOOKUP(C2574,Hoja1!$B$1:$C$6191,2,0)),"No esta en Infor")</f>
        <v>NAC1313</v>
      </c>
      <c r="C2574" s="19" t="s">
        <v>315</v>
      </c>
      <c r="D2574" s="9">
        <v>378</v>
      </c>
      <c r="E2574" s="9">
        <v>0</v>
      </c>
      <c r="F2574" s="9">
        <v>0</v>
      </c>
      <c r="G2574" s="9">
        <v>0</v>
      </c>
      <c r="H2574" s="9">
        <v>0</v>
      </c>
      <c r="I2574" s="9">
        <v>0</v>
      </c>
      <c r="J2574" s="9">
        <v>378</v>
      </c>
    </row>
    <row r="2575" spans="1:10" ht="15.75" x14ac:dyDescent="0.25">
      <c r="A2575" s="21">
        <v>45535</v>
      </c>
      <c r="B2575" t="str">
        <f>IFERROR(IF(VLOOKUP(C2575,Hoja1!$B$1:$C$6191,2,0)="",_xlfn.XLOOKUP(C2575,Hoja1!$B$2:$B$6191,Hoja1!$A$2:$A$6191),VLOOKUP(C2575,Hoja1!$B$1:$C$6191,2,0)),"No esta en Infor")</f>
        <v>SH02833</v>
      </c>
      <c r="C2575" s="19" t="s">
        <v>642</v>
      </c>
      <c r="D2575" s="9">
        <v>113.23</v>
      </c>
      <c r="E2575" s="9">
        <v>0</v>
      </c>
      <c r="F2575" s="9">
        <v>0</v>
      </c>
      <c r="G2575" s="9">
        <v>0</v>
      </c>
      <c r="H2575" s="9">
        <v>0</v>
      </c>
      <c r="I2575" s="9">
        <v>0</v>
      </c>
      <c r="J2575" s="9">
        <v>113.23</v>
      </c>
    </row>
    <row r="2576" spans="1:10" ht="15.75" x14ac:dyDescent="0.25">
      <c r="A2576" s="21">
        <v>45535</v>
      </c>
      <c r="B2576" t="str">
        <f>IFERROR(IF(VLOOKUP(C2576,Hoja1!$B$1:$C$6191,2,0)="",_xlfn.XLOOKUP(C2576,Hoja1!$B$2:$B$6191,Hoja1!$A$2:$A$6191),VLOOKUP(C2576,Hoja1!$B$1:$C$6191,2,0)),"No esta en Infor")</f>
        <v>CAN0060</v>
      </c>
      <c r="C2576" s="19" t="s">
        <v>422</v>
      </c>
      <c r="D2576" s="9">
        <v>0</v>
      </c>
      <c r="E2576" s="9">
        <v>0</v>
      </c>
      <c r="F2576" s="9">
        <v>-28.5</v>
      </c>
      <c r="G2576" s="9">
        <v>0</v>
      </c>
      <c r="H2576" s="9">
        <v>0</v>
      </c>
      <c r="I2576" s="9">
        <v>0</v>
      </c>
      <c r="J2576" s="9">
        <v>-28.5</v>
      </c>
    </row>
    <row r="2577" spans="1:10" ht="15.75" x14ac:dyDescent="0.25">
      <c r="A2577" s="21">
        <v>45535</v>
      </c>
      <c r="B2577" t="str">
        <f>IFERROR(IF(VLOOKUP(C2577,Hoja1!$B$1:$C$6191,2,0)="",_xlfn.XLOOKUP(C2577,Hoja1!$B$2:$B$6191,Hoja1!$A$2:$A$6191),VLOOKUP(C2577,Hoja1!$B$1:$C$6191,2,0)),"No esta en Infor")</f>
        <v>NAC1332</v>
      </c>
      <c r="C2577" s="19" t="s">
        <v>317</v>
      </c>
      <c r="D2577" s="9">
        <v>586.87</v>
      </c>
      <c r="E2577" s="9">
        <v>0</v>
      </c>
      <c r="F2577" s="9">
        <v>0</v>
      </c>
      <c r="G2577" s="9">
        <v>0</v>
      </c>
      <c r="H2577" s="9">
        <v>0</v>
      </c>
      <c r="I2577" s="9">
        <v>0</v>
      </c>
      <c r="J2577" s="9">
        <v>586.87</v>
      </c>
    </row>
    <row r="2578" spans="1:10" ht="15.75" x14ac:dyDescent="0.25">
      <c r="A2578" s="21">
        <v>45535</v>
      </c>
      <c r="B2578" t="str">
        <f>IFERROR(IF(VLOOKUP(C2578,Hoja1!$B$1:$C$6191,2,0)="",_xlfn.XLOOKUP(C2578,Hoja1!$B$2:$B$6191,Hoja1!$A$2:$A$6191),VLOOKUP(C2578,Hoja1!$B$1:$C$6191,2,0)),"No esta en Infor")</f>
        <v>No esta en Infor</v>
      </c>
      <c r="C2578" s="19" t="s">
        <v>320</v>
      </c>
      <c r="D2578" s="9">
        <v>0</v>
      </c>
      <c r="E2578" s="9">
        <v>0</v>
      </c>
      <c r="F2578" s="9">
        <v>0</v>
      </c>
      <c r="G2578" s="9">
        <v>48.29</v>
      </c>
      <c r="H2578" s="9">
        <v>0</v>
      </c>
      <c r="I2578" s="9">
        <v>0</v>
      </c>
      <c r="J2578" s="9">
        <v>48.29</v>
      </c>
    </row>
    <row r="2579" spans="1:10" ht="15.75" x14ac:dyDescent="0.25">
      <c r="A2579" s="21">
        <v>45535</v>
      </c>
      <c r="B2579" t="str">
        <f>IFERROR(IF(VLOOKUP(C2579,Hoja1!$B$1:$C$6191,2,0)="",_xlfn.XLOOKUP(C2579,Hoja1!$B$2:$B$6191,Hoja1!$A$2:$A$6191),VLOOKUP(C2579,Hoja1!$B$1:$C$6191,2,0)),"No esta en Infor")</f>
        <v>NAC1346</v>
      </c>
      <c r="C2579" s="19" t="s">
        <v>321</v>
      </c>
      <c r="D2579" s="9">
        <v>1129.69</v>
      </c>
      <c r="E2579" s="9">
        <v>0</v>
      </c>
      <c r="F2579" s="9">
        <v>0</v>
      </c>
      <c r="G2579" s="9">
        <v>0</v>
      </c>
      <c r="H2579" s="9">
        <v>0</v>
      </c>
      <c r="I2579" s="9">
        <v>0</v>
      </c>
      <c r="J2579" s="9">
        <v>1129.69</v>
      </c>
    </row>
    <row r="2580" spans="1:10" ht="15.75" x14ac:dyDescent="0.25">
      <c r="A2580" s="21">
        <v>45535</v>
      </c>
      <c r="B2580" t="str">
        <f>IFERROR(IF(VLOOKUP(C2580,Hoja1!$B$1:$C$6191,2,0)="",_xlfn.XLOOKUP(C2580,Hoja1!$B$2:$B$6191,Hoja1!$A$2:$A$6191),VLOOKUP(C2580,Hoja1!$B$1:$C$6191,2,0)),"No esta en Infor")</f>
        <v>NAC1349</v>
      </c>
      <c r="C2580" s="19" t="s">
        <v>322</v>
      </c>
      <c r="D2580" s="9">
        <v>0</v>
      </c>
      <c r="E2580" s="9">
        <v>0</v>
      </c>
      <c r="F2580" s="9">
        <v>0</v>
      </c>
      <c r="G2580" s="9">
        <v>-178.85</v>
      </c>
      <c r="H2580" s="9">
        <v>-169.96</v>
      </c>
      <c r="I2580" s="9">
        <v>0</v>
      </c>
      <c r="J2580" s="9">
        <v>-348.81</v>
      </c>
    </row>
    <row r="2581" spans="1:10" ht="15.75" x14ac:dyDescent="0.25">
      <c r="A2581" s="21">
        <v>45535</v>
      </c>
      <c r="B2581" t="str">
        <f>IFERROR(IF(VLOOKUP(C2581,Hoja1!$B$1:$C$6191,2,0)="",_xlfn.XLOOKUP(C2581,Hoja1!$B$2:$B$6191,Hoja1!$A$2:$A$6191),VLOOKUP(C2581,Hoja1!$B$1:$C$6191,2,0)),"No esta en Infor")</f>
        <v>NAC1348</v>
      </c>
      <c r="C2581" s="19" t="s">
        <v>323</v>
      </c>
      <c r="D2581" s="9">
        <v>197.25</v>
      </c>
      <c r="E2581" s="9">
        <v>0</v>
      </c>
      <c r="F2581" s="9">
        <v>0</v>
      </c>
      <c r="G2581" s="9">
        <v>0</v>
      </c>
      <c r="H2581" s="9">
        <v>0</v>
      </c>
      <c r="I2581" s="9">
        <v>0</v>
      </c>
      <c r="J2581" s="9">
        <v>197.25</v>
      </c>
    </row>
    <row r="2582" spans="1:10" ht="15.75" x14ac:dyDescent="0.25">
      <c r="A2582" s="21">
        <v>45535</v>
      </c>
      <c r="B2582" t="str">
        <f>IFERROR(IF(VLOOKUP(C2582,Hoja1!$B$1:$C$6191,2,0)="",_xlfn.XLOOKUP(C2582,Hoja1!$B$2:$B$6191,Hoja1!$A$2:$A$6191),VLOOKUP(C2582,Hoja1!$B$1:$C$6191,2,0)),"No esta en Infor")</f>
        <v>NAC1356</v>
      </c>
      <c r="C2582" s="19" t="s">
        <v>325</v>
      </c>
      <c r="D2582" s="9">
        <v>0</v>
      </c>
      <c r="E2582" s="9">
        <v>0</v>
      </c>
      <c r="F2582" s="9">
        <v>0</v>
      </c>
      <c r="G2582" s="9">
        <v>-421.28</v>
      </c>
      <c r="H2582" s="9">
        <v>0</v>
      </c>
      <c r="I2582" s="9">
        <v>0</v>
      </c>
      <c r="J2582" s="9">
        <v>-421.28</v>
      </c>
    </row>
    <row r="2583" spans="1:10" ht="15.75" x14ac:dyDescent="0.25">
      <c r="A2583" s="21">
        <v>45535</v>
      </c>
      <c r="B2583" t="str">
        <f>IFERROR(IF(VLOOKUP(C2583,Hoja1!$B$1:$C$6191,2,0)="",_xlfn.XLOOKUP(C2583,Hoja1!$B$2:$B$6191,Hoja1!$A$2:$A$6191),VLOOKUP(C2583,Hoja1!$B$1:$C$6191,2,0)),"No esta en Infor")</f>
        <v>NAC1359</v>
      </c>
      <c r="C2583" s="19" t="s">
        <v>524</v>
      </c>
      <c r="D2583" s="9">
        <v>-1110.9000000000001</v>
      </c>
      <c r="E2583" s="9">
        <v>19320</v>
      </c>
      <c r="F2583" s="9">
        <v>0</v>
      </c>
      <c r="G2583" s="9">
        <v>0</v>
      </c>
      <c r="H2583" s="9">
        <v>0</v>
      </c>
      <c r="I2583" s="9">
        <v>0</v>
      </c>
      <c r="J2583" s="9">
        <v>18209.099999999999</v>
      </c>
    </row>
    <row r="2584" spans="1:10" ht="15.75" x14ac:dyDescent="0.25">
      <c r="A2584" s="21">
        <v>45535</v>
      </c>
      <c r="B2584" t="str">
        <f>IFERROR(IF(VLOOKUP(C2584,Hoja1!$B$1:$C$6191,2,0)="",_xlfn.XLOOKUP(C2584,Hoja1!$B$2:$B$6191,Hoja1!$A$2:$A$6191),VLOOKUP(C2584,Hoja1!$B$1:$C$6191,2,0)),"No esta en Infor")</f>
        <v>CAN0065</v>
      </c>
      <c r="C2584" s="19" t="s">
        <v>327</v>
      </c>
      <c r="D2584" s="9">
        <v>1333.4</v>
      </c>
      <c r="E2584" s="9">
        <v>0</v>
      </c>
      <c r="F2584" s="9">
        <v>0</v>
      </c>
      <c r="G2584" s="9">
        <v>0</v>
      </c>
      <c r="H2584" s="9">
        <v>0</v>
      </c>
      <c r="I2584" s="9">
        <v>0</v>
      </c>
      <c r="J2584" s="9">
        <v>1333.4</v>
      </c>
    </row>
    <row r="2585" spans="1:10" ht="15.75" x14ac:dyDescent="0.25">
      <c r="A2585" s="21">
        <v>45535</v>
      </c>
      <c r="B2585" t="str">
        <f>IFERROR(IF(VLOOKUP(C2585,Hoja1!$B$1:$C$6191,2,0)="",_xlfn.XLOOKUP(C2585,Hoja1!$B$2:$B$6191,Hoja1!$A$2:$A$6191),VLOOKUP(C2585,Hoja1!$B$1:$C$6191,2,0)),"No esta en Infor")</f>
        <v>NAC1376</v>
      </c>
      <c r="C2585" s="19" t="s">
        <v>331</v>
      </c>
      <c r="D2585" s="9">
        <v>0</v>
      </c>
      <c r="E2585" s="9">
        <v>17355</v>
      </c>
      <c r="F2585" s="9">
        <v>0</v>
      </c>
      <c r="G2585" s="9">
        <v>0</v>
      </c>
      <c r="H2585" s="9">
        <v>0</v>
      </c>
      <c r="I2585" s="9">
        <v>0</v>
      </c>
      <c r="J2585" s="9">
        <v>17355</v>
      </c>
    </row>
    <row r="2586" spans="1:10" ht="15.75" x14ac:dyDescent="0.25">
      <c r="A2586" s="21">
        <v>45535</v>
      </c>
      <c r="B2586" t="str">
        <f>IFERROR(IF(VLOOKUP(C2586,Hoja1!$B$1:$C$6191,2,0)="",_xlfn.XLOOKUP(C2586,Hoja1!$B$2:$B$6191,Hoja1!$A$2:$A$6191),VLOOKUP(C2586,Hoja1!$B$1:$C$6191,2,0)),"No esta en Infor")</f>
        <v>NAC1380</v>
      </c>
      <c r="C2586" s="19" t="s">
        <v>427</v>
      </c>
      <c r="D2586" s="9">
        <v>6224</v>
      </c>
      <c r="E2586" s="9">
        <v>0</v>
      </c>
      <c r="F2586" s="9">
        <v>0</v>
      </c>
      <c r="G2586" s="9">
        <v>0</v>
      </c>
      <c r="H2586" s="9">
        <v>0</v>
      </c>
      <c r="I2586" s="9">
        <v>0</v>
      </c>
      <c r="J2586" s="9">
        <v>6224</v>
      </c>
    </row>
    <row r="2587" spans="1:10" ht="15.75" x14ac:dyDescent="0.25">
      <c r="A2587" s="21">
        <v>45535</v>
      </c>
      <c r="B2587" t="str">
        <f>IFERROR(IF(VLOOKUP(C2587,Hoja1!$B$1:$C$6191,2,0)="",_xlfn.XLOOKUP(C2587,Hoja1!$B$2:$B$6191,Hoja1!$A$2:$A$6191),VLOOKUP(C2587,Hoja1!$B$1:$C$6191,2,0)),"No esta en Infor")</f>
        <v>NAC1381</v>
      </c>
      <c r="C2587" s="19" t="s">
        <v>478</v>
      </c>
      <c r="D2587" s="9">
        <v>0</v>
      </c>
      <c r="E2587" s="9">
        <v>0</v>
      </c>
      <c r="F2587" s="9">
        <v>-5.28</v>
      </c>
      <c r="G2587" s="9">
        <v>0</v>
      </c>
      <c r="H2587" s="9">
        <v>0</v>
      </c>
      <c r="I2587" s="9">
        <v>0</v>
      </c>
      <c r="J2587" s="9">
        <v>-5.28</v>
      </c>
    </row>
    <row r="2588" spans="1:10" ht="15.75" x14ac:dyDescent="0.25">
      <c r="A2588" s="21">
        <v>45535</v>
      </c>
      <c r="B2588" t="str">
        <f>IFERROR(IF(VLOOKUP(C2588,Hoja1!$B$1:$C$6191,2,0)="",_xlfn.XLOOKUP(C2588,Hoja1!$B$2:$B$6191,Hoja1!$A$2:$A$6191),VLOOKUP(C2588,Hoja1!$B$1:$C$6191,2,0)),"No esta en Infor")</f>
        <v>NAC1382</v>
      </c>
      <c r="C2588" s="19" t="s">
        <v>332</v>
      </c>
      <c r="D2588" s="9">
        <v>137393.17000000001</v>
      </c>
      <c r="E2588" s="9">
        <v>0</v>
      </c>
      <c r="F2588" s="9">
        <v>0</v>
      </c>
      <c r="G2588" s="9">
        <v>0</v>
      </c>
      <c r="H2588" s="9">
        <v>0</v>
      </c>
      <c r="I2588" s="9">
        <v>0</v>
      </c>
      <c r="J2588" s="9">
        <v>137393.17000000001</v>
      </c>
    </row>
    <row r="2589" spans="1:10" ht="15.75" x14ac:dyDescent="0.25">
      <c r="A2589" s="21">
        <v>45535</v>
      </c>
      <c r="B2589" t="str">
        <f>IFERROR(IF(VLOOKUP(C2589,Hoja1!$B$1:$C$6191,2,0)="",_xlfn.XLOOKUP(C2589,Hoja1!$B$2:$B$6191,Hoja1!$A$2:$A$6191),VLOOKUP(C2589,Hoja1!$B$1:$C$6191,2,0)),"No esta en Infor")</f>
        <v>NAC1385</v>
      </c>
      <c r="C2589" s="19" t="s">
        <v>428</v>
      </c>
      <c r="D2589" s="9">
        <v>2743</v>
      </c>
      <c r="E2589" s="9">
        <v>0</v>
      </c>
      <c r="F2589" s="9">
        <v>0</v>
      </c>
      <c r="G2589" s="9">
        <v>0</v>
      </c>
      <c r="H2589" s="9">
        <v>0</v>
      </c>
      <c r="I2589" s="9">
        <v>0</v>
      </c>
      <c r="J2589" s="9">
        <v>2743</v>
      </c>
    </row>
    <row r="2590" spans="1:10" ht="15.75" x14ac:dyDescent="0.25">
      <c r="A2590" s="21">
        <v>45535</v>
      </c>
      <c r="B2590" t="str">
        <f>IFERROR(IF(VLOOKUP(C2590,Hoja1!$B$1:$C$6191,2,0)="",_xlfn.XLOOKUP(C2590,Hoja1!$B$2:$B$6191,Hoja1!$A$2:$A$6191),VLOOKUP(C2590,Hoja1!$B$1:$C$6191,2,0)),"No esta en Infor")</f>
        <v>NAC1395</v>
      </c>
      <c r="C2590" s="19" t="s">
        <v>337</v>
      </c>
      <c r="D2590" s="9">
        <v>5677</v>
      </c>
      <c r="E2590" s="9">
        <v>9874</v>
      </c>
      <c r="F2590" s="9">
        <v>0</v>
      </c>
      <c r="G2590" s="9">
        <v>0</v>
      </c>
      <c r="H2590" s="9">
        <v>0</v>
      </c>
      <c r="I2590" s="9">
        <v>0</v>
      </c>
      <c r="J2590" s="9">
        <v>15551</v>
      </c>
    </row>
    <row r="2591" spans="1:10" ht="15.75" x14ac:dyDescent="0.25">
      <c r="A2591" s="21">
        <v>45535</v>
      </c>
      <c r="B2591" t="str">
        <f>IFERROR(IF(VLOOKUP(C2591,Hoja1!$B$1:$C$6191,2,0)="",_xlfn.XLOOKUP(C2591,Hoja1!$B$2:$B$6191,Hoja1!$A$2:$A$6191),VLOOKUP(C2591,Hoja1!$B$1:$C$6191,2,0)),"No esta en Infor")</f>
        <v>No esta en Infor</v>
      </c>
      <c r="C2591" s="19" t="s">
        <v>338</v>
      </c>
      <c r="D2591" s="9">
        <v>0</v>
      </c>
      <c r="E2591" s="9">
        <v>0</v>
      </c>
      <c r="F2591" s="9">
        <v>0</v>
      </c>
      <c r="G2591" s="9">
        <v>0</v>
      </c>
      <c r="H2591" s="9">
        <v>0</v>
      </c>
      <c r="I2591" s="9">
        <v>-340.25</v>
      </c>
      <c r="J2591" s="9">
        <v>-340.25</v>
      </c>
    </row>
    <row r="2592" spans="1:10" ht="15.75" x14ac:dyDescent="0.25">
      <c r="A2592" s="21">
        <v>45535</v>
      </c>
      <c r="B2592" t="str">
        <f>IFERROR(IF(VLOOKUP(C2592,Hoja1!$B$1:$C$6191,2,0)="",_xlfn.XLOOKUP(C2592,Hoja1!$B$2:$B$6191,Hoja1!$A$2:$A$6191),VLOOKUP(C2592,Hoja1!$B$1:$C$6191,2,0)),"No esta en Infor")</f>
        <v>No esta en Infor</v>
      </c>
      <c r="C2592" s="19" t="s">
        <v>643</v>
      </c>
      <c r="D2592" s="9">
        <v>0</v>
      </c>
      <c r="E2592" s="9">
        <v>261.25</v>
      </c>
      <c r="F2592" s="9">
        <v>0</v>
      </c>
      <c r="G2592" s="9">
        <v>0</v>
      </c>
      <c r="H2592" s="9">
        <v>0</v>
      </c>
      <c r="I2592" s="9">
        <v>0</v>
      </c>
      <c r="J2592" s="9">
        <v>261.25</v>
      </c>
    </row>
    <row r="2593" spans="1:10" ht="15.75" x14ac:dyDescent="0.25">
      <c r="A2593" s="21">
        <v>45535</v>
      </c>
      <c r="B2593" t="str">
        <f>IFERROR(IF(VLOOKUP(C2593,Hoja1!$B$1:$C$6191,2,0)="",_xlfn.XLOOKUP(C2593,Hoja1!$B$2:$B$6191,Hoja1!$A$2:$A$6191),VLOOKUP(C2593,Hoja1!$B$1:$C$6191,2,0)),"No esta en Infor")</f>
        <v>SH02824</v>
      </c>
      <c r="C2593" s="19" t="s">
        <v>644</v>
      </c>
      <c r="D2593" s="9">
        <v>0</v>
      </c>
      <c r="E2593" s="9">
        <v>63.15</v>
      </c>
      <c r="F2593" s="9">
        <v>0</v>
      </c>
      <c r="G2593" s="9">
        <v>0</v>
      </c>
      <c r="H2593" s="9">
        <v>0</v>
      </c>
      <c r="I2593" s="9">
        <v>0</v>
      </c>
      <c r="J2593" s="9">
        <v>63.15</v>
      </c>
    </row>
    <row r="2594" spans="1:10" ht="15.75" x14ac:dyDescent="0.25">
      <c r="A2594" s="21">
        <v>45535</v>
      </c>
      <c r="B2594" t="str">
        <f>IFERROR(IF(VLOOKUP(C2594,Hoja1!$B$1:$C$6191,2,0)="",_xlfn.XLOOKUP(C2594,Hoja1!$B$2:$B$6191,Hoja1!$A$2:$A$6191),VLOOKUP(C2594,Hoja1!$B$1:$C$6191,2,0)),"No esta en Infor")</f>
        <v>NAC1404</v>
      </c>
      <c r="C2594" s="19" t="s">
        <v>592</v>
      </c>
      <c r="D2594" s="9">
        <v>0</v>
      </c>
      <c r="E2594" s="9">
        <v>-85.32</v>
      </c>
      <c r="F2594" s="9">
        <v>0</v>
      </c>
      <c r="G2594" s="9">
        <v>0</v>
      </c>
      <c r="H2594" s="9">
        <v>0</v>
      </c>
      <c r="I2594" s="9">
        <v>0</v>
      </c>
      <c r="J2594" s="9">
        <v>-85.32</v>
      </c>
    </row>
    <row r="2595" spans="1:10" ht="15.75" x14ac:dyDescent="0.25">
      <c r="A2595" s="21">
        <v>45535</v>
      </c>
      <c r="B2595" t="str">
        <f>IFERROR(IF(VLOOKUP(C2595,Hoja1!$B$1:$C$6191,2,0)="",_xlfn.XLOOKUP(C2595,Hoja1!$B$2:$B$6191,Hoja1!$A$2:$A$6191),VLOOKUP(C2595,Hoja1!$B$1:$C$6191,2,0)),"No esta en Infor")</f>
        <v>NAC1408</v>
      </c>
      <c r="C2595" s="19" t="s">
        <v>530</v>
      </c>
      <c r="D2595" s="9">
        <v>662</v>
      </c>
      <c r="E2595" s="9">
        <v>0</v>
      </c>
      <c r="F2595" s="9">
        <v>0</v>
      </c>
      <c r="G2595" s="9">
        <v>0</v>
      </c>
      <c r="H2595" s="9">
        <v>0</v>
      </c>
      <c r="I2595" s="9">
        <v>0</v>
      </c>
      <c r="J2595" s="9">
        <v>662</v>
      </c>
    </row>
    <row r="2596" spans="1:10" ht="15.75" x14ac:dyDescent="0.25">
      <c r="A2596" s="21">
        <v>45535</v>
      </c>
      <c r="B2596" t="str">
        <f>IFERROR(IF(VLOOKUP(C2596,Hoja1!$B$1:$C$6191,2,0)="",_xlfn.XLOOKUP(C2596,Hoja1!$B$2:$B$6191,Hoja1!$A$2:$A$6191),VLOOKUP(C2596,Hoja1!$B$1:$C$6191,2,0)),"No esta en Infor")</f>
        <v>CAN0090</v>
      </c>
      <c r="C2596" s="19" t="s">
        <v>574</v>
      </c>
      <c r="D2596" s="9">
        <v>42427.92</v>
      </c>
      <c r="E2596" s="9">
        <v>0</v>
      </c>
      <c r="F2596" s="9">
        <v>0</v>
      </c>
      <c r="G2596" s="9">
        <v>0</v>
      </c>
      <c r="H2596" s="9">
        <v>0</v>
      </c>
      <c r="I2596" s="9">
        <v>0</v>
      </c>
      <c r="J2596" s="9">
        <v>42427.92</v>
      </c>
    </row>
    <row r="2597" spans="1:10" ht="15.75" x14ac:dyDescent="0.25">
      <c r="A2597" s="21">
        <v>45535</v>
      </c>
      <c r="B2597" t="str">
        <f>IFERROR(IF(VLOOKUP(C2597,Hoja1!$B$1:$C$6191,2,0)="",_xlfn.XLOOKUP(C2597,Hoja1!$B$2:$B$6191,Hoja1!$A$2:$A$6191),VLOOKUP(C2597,Hoja1!$B$1:$C$6191,2,0)),"No esta en Infor")</f>
        <v>NAC1417</v>
      </c>
      <c r="C2597" s="19" t="s">
        <v>645</v>
      </c>
      <c r="D2597" s="9">
        <v>69105</v>
      </c>
      <c r="E2597" s="9">
        <v>0</v>
      </c>
      <c r="F2597" s="9">
        <v>0</v>
      </c>
      <c r="G2597" s="9">
        <v>0</v>
      </c>
      <c r="H2597" s="9">
        <v>0</v>
      </c>
      <c r="I2597" s="9">
        <v>0</v>
      </c>
      <c r="J2597" s="9">
        <v>69105</v>
      </c>
    </row>
    <row r="2598" spans="1:10" ht="15.75" x14ac:dyDescent="0.25">
      <c r="A2598" s="21">
        <v>45535</v>
      </c>
      <c r="B2598" t="str">
        <f>IFERROR(IF(VLOOKUP(C2598,Hoja1!$B$1:$C$6191,2,0)="",_xlfn.XLOOKUP(C2598,Hoja1!$B$2:$B$6191,Hoja1!$A$2:$A$6191),VLOOKUP(C2598,Hoja1!$B$1:$C$6191,2,0)),"No esta en Infor")</f>
        <v>NAC1419</v>
      </c>
      <c r="C2598" s="19" t="s">
        <v>343</v>
      </c>
      <c r="D2598" s="9">
        <v>738.5</v>
      </c>
      <c r="E2598" s="9">
        <v>0</v>
      </c>
      <c r="F2598" s="9">
        <v>0</v>
      </c>
      <c r="G2598" s="9">
        <v>0</v>
      </c>
      <c r="H2598" s="9">
        <v>0</v>
      </c>
      <c r="I2598" s="9">
        <v>0</v>
      </c>
      <c r="J2598" s="9">
        <v>738.5</v>
      </c>
    </row>
    <row r="2599" spans="1:10" ht="15.75" x14ac:dyDescent="0.25">
      <c r="A2599" s="21">
        <v>45535</v>
      </c>
      <c r="B2599" t="str">
        <f>IFERROR(IF(VLOOKUP(C2599,Hoja1!$B$1:$C$6191,2,0)="",_xlfn.XLOOKUP(C2599,Hoja1!$B$2:$B$6191,Hoja1!$A$2:$A$6191),VLOOKUP(C2599,Hoja1!$B$1:$C$6191,2,0)),"No esta en Infor")</f>
        <v>NAC1424</v>
      </c>
      <c r="C2599" s="19" t="s">
        <v>345</v>
      </c>
      <c r="D2599" s="9">
        <v>51255.63</v>
      </c>
      <c r="E2599" s="9">
        <v>0</v>
      </c>
      <c r="F2599" s="9">
        <v>0</v>
      </c>
      <c r="G2599" s="9">
        <v>0</v>
      </c>
      <c r="H2599" s="9">
        <v>0</v>
      </c>
      <c r="I2599" s="9">
        <v>0</v>
      </c>
      <c r="J2599" s="9">
        <v>51255.63</v>
      </c>
    </row>
    <row r="2600" spans="1:10" ht="15.75" x14ac:dyDescent="0.25">
      <c r="A2600" s="21">
        <v>45535</v>
      </c>
      <c r="B2600" t="str">
        <f>IFERROR(IF(VLOOKUP(C2600,Hoja1!$B$1:$C$6191,2,0)="",_xlfn.XLOOKUP(C2600,Hoja1!$B$2:$B$6191,Hoja1!$A$2:$A$6191),VLOOKUP(C2600,Hoja1!$B$1:$C$6191,2,0)),"No esta en Infor")</f>
        <v>SH02836</v>
      </c>
      <c r="C2600" s="19" t="s">
        <v>646</v>
      </c>
      <c r="D2600" s="9">
        <v>0</v>
      </c>
      <c r="E2600" s="9">
        <v>46.37</v>
      </c>
      <c r="F2600" s="9">
        <v>0</v>
      </c>
      <c r="G2600" s="9">
        <v>0</v>
      </c>
      <c r="H2600" s="9">
        <v>0</v>
      </c>
      <c r="I2600" s="9">
        <v>0</v>
      </c>
      <c r="J2600" s="9">
        <v>46.37</v>
      </c>
    </row>
    <row r="2601" spans="1:10" ht="15.75" x14ac:dyDescent="0.25">
      <c r="A2601" s="21">
        <v>45535</v>
      </c>
      <c r="B2601" t="str">
        <f>IFERROR(IF(VLOOKUP(C2601,Hoja1!$B$1:$C$6191,2,0)="",_xlfn.XLOOKUP(C2601,Hoja1!$B$2:$B$6191,Hoja1!$A$2:$A$6191),VLOOKUP(C2601,Hoja1!$B$1:$C$6191,2,0)),"No esta en Infor")</f>
        <v>NAC1432</v>
      </c>
      <c r="C2601" s="19" t="s">
        <v>575</v>
      </c>
      <c r="D2601" s="9">
        <v>0</v>
      </c>
      <c r="E2601" s="9">
        <v>-536.64</v>
      </c>
      <c r="F2601" s="9">
        <v>0</v>
      </c>
      <c r="G2601" s="9">
        <v>0</v>
      </c>
      <c r="H2601" s="9">
        <v>0</v>
      </c>
      <c r="I2601" s="9">
        <v>0</v>
      </c>
      <c r="J2601" s="9">
        <v>-536.64</v>
      </c>
    </row>
    <row r="2602" spans="1:10" ht="15.75" x14ac:dyDescent="0.25">
      <c r="A2602" s="21">
        <v>45535</v>
      </c>
      <c r="B2602" t="str">
        <f>IFERROR(IF(VLOOKUP(C2602,Hoja1!$B$1:$C$6191,2,0)="",_xlfn.XLOOKUP(C2602,Hoja1!$B$2:$B$6191,Hoja1!$A$2:$A$6191),VLOOKUP(C2602,Hoja1!$B$1:$C$6191,2,0)),"No esta en Infor")</f>
        <v>CAN0074</v>
      </c>
      <c r="C2602" s="19" t="s">
        <v>350</v>
      </c>
      <c r="D2602" s="9">
        <v>0</v>
      </c>
      <c r="E2602" s="9">
        <v>466.2</v>
      </c>
      <c r="F2602" s="9">
        <v>0</v>
      </c>
      <c r="G2602" s="9">
        <v>0</v>
      </c>
      <c r="H2602" s="9">
        <v>0</v>
      </c>
      <c r="I2602" s="9">
        <v>0</v>
      </c>
      <c r="J2602" s="9">
        <v>466.2</v>
      </c>
    </row>
    <row r="2603" spans="1:10" ht="15.75" x14ac:dyDescent="0.25">
      <c r="A2603" s="21">
        <v>45535</v>
      </c>
      <c r="B2603" t="str">
        <f>IFERROR(IF(VLOOKUP(C2603,Hoja1!$B$1:$C$6191,2,0)="",_xlfn.XLOOKUP(C2603,Hoja1!$B$2:$B$6191,Hoja1!$A$2:$A$6191),VLOOKUP(C2603,Hoja1!$B$1:$C$6191,2,0)),"No esta en Infor")</f>
        <v>NAC1449</v>
      </c>
      <c r="C2603" s="19" t="s">
        <v>706</v>
      </c>
      <c r="D2603" s="9">
        <v>14911.15</v>
      </c>
      <c r="E2603" s="9">
        <v>0</v>
      </c>
      <c r="F2603" s="9">
        <v>0</v>
      </c>
      <c r="G2603" s="9">
        <v>0</v>
      </c>
      <c r="H2603" s="9">
        <v>0</v>
      </c>
      <c r="I2603" s="9">
        <v>0</v>
      </c>
      <c r="J2603" s="9">
        <v>14911.15</v>
      </c>
    </row>
    <row r="2604" spans="1:10" ht="15.75" x14ac:dyDescent="0.25">
      <c r="A2604" s="21">
        <v>45535</v>
      </c>
      <c r="B2604" t="str">
        <f>IFERROR(IF(VLOOKUP(C2604,Hoja1!$B$1:$C$6191,2,0)="",_xlfn.XLOOKUP(C2604,Hoja1!$B$2:$B$6191,Hoja1!$A$2:$A$6191),VLOOKUP(C2604,Hoja1!$B$1:$C$6191,2,0)),"No esta en Infor")</f>
        <v>NAC1472</v>
      </c>
      <c r="C2604" s="19" t="s">
        <v>647</v>
      </c>
      <c r="D2604" s="9">
        <v>12528.5</v>
      </c>
      <c r="E2604" s="9">
        <v>0</v>
      </c>
      <c r="F2604" s="9">
        <v>0</v>
      </c>
      <c r="G2604" s="9">
        <v>0</v>
      </c>
      <c r="H2604" s="9">
        <v>0</v>
      </c>
      <c r="I2604" s="9">
        <v>0</v>
      </c>
      <c r="J2604" s="9">
        <v>12528.5</v>
      </c>
    </row>
    <row r="2605" spans="1:10" ht="15.75" x14ac:dyDescent="0.25">
      <c r="A2605" s="21">
        <v>45535</v>
      </c>
      <c r="B2605" t="str">
        <f>IFERROR(IF(VLOOKUP(C2605,Hoja1!$B$1:$C$6191,2,0)="",_xlfn.XLOOKUP(C2605,Hoja1!$B$2:$B$6191,Hoja1!$A$2:$A$6191),VLOOKUP(C2605,Hoja1!$B$1:$C$6191,2,0)),"No esta en Infor")</f>
        <v>NAC1474</v>
      </c>
      <c r="C2605" s="19" t="s">
        <v>352</v>
      </c>
      <c r="D2605" s="9">
        <v>12500</v>
      </c>
      <c r="E2605" s="9">
        <v>0</v>
      </c>
      <c r="F2605" s="9">
        <v>0</v>
      </c>
      <c r="G2605" s="9">
        <v>0</v>
      </c>
      <c r="H2605" s="9">
        <v>0</v>
      </c>
      <c r="I2605" s="9">
        <v>0</v>
      </c>
      <c r="J2605" s="9">
        <v>12500</v>
      </c>
    </row>
    <row r="2606" spans="1:10" ht="15.75" x14ac:dyDescent="0.25">
      <c r="A2606" s="21">
        <v>45535</v>
      </c>
      <c r="B2606" t="str">
        <f>IFERROR(IF(VLOOKUP(C2606,Hoja1!$B$1:$C$6191,2,0)="",_xlfn.XLOOKUP(C2606,Hoja1!$B$2:$B$6191,Hoja1!$A$2:$A$6191),VLOOKUP(C2606,Hoja1!$B$1:$C$6191,2,0)),"No esta en Infor")</f>
        <v>CAN0077</v>
      </c>
      <c r="C2606" s="19" t="s">
        <v>353</v>
      </c>
      <c r="D2606" s="9">
        <v>-2502.39</v>
      </c>
      <c r="E2606" s="9">
        <v>0</v>
      </c>
      <c r="F2606" s="9">
        <v>0</v>
      </c>
      <c r="G2606" s="9">
        <v>0</v>
      </c>
      <c r="H2606" s="9">
        <v>0</v>
      </c>
      <c r="I2606" s="9">
        <v>0</v>
      </c>
      <c r="J2606" s="9">
        <v>-2502.39</v>
      </c>
    </row>
    <row r="2607" spans="1:10" ht="15.75" x14ac:dyDescent="0.25">
      <c r="A2607" s="21">
        <v>45535</v>
      </c>
      <c r="B2607" t="str">
        <f>IFERROR(IF(VLOOKUP(C2607,Hoja1!$B$1:$C$6191,2,0)="",_xlfn.XLOOKUP(C2607,Hoja1!$B$2:$B$6191,Hoja1!$A$2:$A$6191),VLOOKUP(C2607,Hoja1!$B$1:$C$6191,2,0)),"No esta en Infor")</f>
        <v>CAN0080</v>
      </c>
      <c r="C2607" s="19" t="s">
        <v>533</v>
      </c>
      <c r="D2607" s="9">
        <v>0</v>
      </c>
      <c r="E2607" s="9">
        <v>0</v>
      </c>
      <c r="F2607" s="9">
        <v>-93.6</v>
      </c>
      <c r="G2607" s="9">
        <v>0</v>
      </c>
      <c r="H2607" s="9">
        <v>0</v>
      </c>
      <c r="I2607" s="9">
        <v>0</v>
      </c>
      <c r="J2607" s="9">
        <v>-93.6</v>
      </c>
    </row>
    <row r="2608" spans="1:10" ht="15.75" x14ac:dyDescent="0.25">
      <c r="A2608" s="21">
        <v>45535</v>
      </c>
      <c r="B2608" t="str">
        <f>IFERROR(IF(VLOOKUP(C2608,Hoja1!$B$1:$C$6191,2,0)="",_xlfn.XLOOKUP(C2608,Hoja1!$B$2:$B$6191,Hoja1!$A$2:$A$6191),VLOOKUP(C2608,Hoja1!$B$1:$C$6191,2,0)),"No esta en Infor")</f>
        <v>NAC1482</v>
      </c>
      <c r="C2608" s="19" t="s">
        <v>356</v>
      </c>
      <c r="D2608" s="9">
        <v>405.54</v>
      </c>
      <c r="E2608" s="9">
        <v>0</v>
      </c>
      <c r="F2608" s="9">
        <v>0</v>
      </c>
      <c r="G2608" s="9">
        <v>0</v>
      </c>
      <c r="H2608" s="9">
        <v>0</v>
      </c>
      <c r="I2608" s="9">
        <v>0</v>
      </c>
      <c r="J2608" s="9">
        <v>405.54</v>
      </c>
    </row>
    <row r="2609" spans="1:10" ht="15.75" x14ac:dyDescent="0.25">
      <c r="A2609" s="21">
        <v>45535</v>
      </c>
      <c r="B2609" t="str">
        <f>IFERROR(IF(VLOOKUP(C2609,Hoja1!$B$1:$C$6191,2,0)="",_xlfn.XLOOKUP(C2609,Hoja1!$B$2:$B$6191,Hoja1!$A$2:$A$6191),VLOOKUP(C2609,Hoja1!$B$1:$C$6191,2,0)),"No esta en Infor")</f>
        <v>NAC1483</v>
      </c>
      <c r="C2609" s="19" t="s">
        <v>357</v>
      </c>
      <c r="D2609" s="9">
        <v>3487.68</v>
      </c>
      <c r="E2609" s="9">
        <v>6573.12</v>
      </c>
      <c r="F2609" s="9">
        <v>0</v>
      </c>
      <c r="G2609" s="9">
        <v>0</v>
      </c>
      <c r="H2609" s="9">
        <v>0</v>
      </c>
      <c r="I2609" s="9">
        <v>0</v>
      </c>
      <c r="J2609" s="9">
        <v>10060.799999999999</v>
      </c>
    </row>
    <row r="2610" spans="1:10" ht="15.75" x14ac:dyDescent="0.25">
      <c r="A2610" s="21">
        <v>45535</v>
      </c>
      <c r="B2610" t="str">
        <f>IFERROR(IF(VLOOKUP(C2610,Hoja1!$B$1:$C$6191,2,0)="",_xlfn.XLOOKUP(C2610,Hoja1!$B$2:$B$6191,Hoja1!$A$2:$A$6191),VLOOKUP(C2610,Hoja1!$B$1:$C$6191,2,0)),"No esta en Infor")</f>
        <v>CAN0081</v>
      </c>
      <c r="C2610" s="19" t="s">
        <v>431</v>
      </c>
      <c r="D2610" s="9">
        <v>0</v>
      </c>
      <c r="E2610" s="9">
        <v>0</v>
      </c>
      <c r="F2610" s="9">
        <v>-585</v>
      </c>
      <c r="G2610" s="9">
        <v>0</v>
      </c>
      <c r="H2610" s="9">
        <v>0</v>
      </c>
      <c r="I2610" s="9">
        <v>0</v>
      </c>
      <c r="J2610" s="9">
        <v>-585</v>
      </c>
    </row>
    <row r="2611" spans="1:10" ht="15.75" x14ac:dyDescent="0.25">
      <c r="A2611" s="21">
        <v>45535</v>
      </c>
      <c r="B2611" t="str">
        <f>IFERROR(IF(VLOOKUP(C2611,Hoja1!$B$1:$C$6191,2,0)="",_xlfn.XLOOKUP(C2611,Hoja1!$B$2:$B$6191,Hoja1!$A$2:$A$6191),VLOOKUP(C2611,Hoja1!$B$1:$C$6191,2,0)),"No esta en Infor")</f>
        <v>NAC1498</v>
      </c>
      <c r="C2611" s="19" t="s">
        <v>610</v>
      </c>
      <c r="D2611" s="9">
        <v>3557</v>
      </c>
      <c r="E2611" s="9">
        <v>0</v>
      </c>
      <c r="F2611" s="9">
        <v>0</v>
      </c>
      <c r="G2611" s="9">
        <v>0</v>
      </c>
      <c r="H2611" s="9">
        <v>0</v>
      </c>
      <c r="I2611" s="9">
        <v>0</v>
      </c>
      <c r="J2611" s="9">
        <v>3557</v>
      </c>
    </row>
    <row r="2612" spans="1:10" ht="15.75" x14ac:dyDescent="0.25">
      <c r="A2612" s="21">
        <v>45535</v>
      </c>
      <c r="B2612" t="str">
        <f>IFERROR(IF(VLOOKUP(C2612,Hoja1!$B$1:$C$6191,2,0)="",_xlfn.XLOOKUP(C2612,Hoja1!$B$2:$B$6191,Hoja1!$A$2:$A$6191),VLOOKUP(C2612,Hoja1!$B$1:$C$6191,2,0)),"No esta en Infor")</f>
        <v>NAC1504</v>
      </c>
      <c r="C2612" s="19" t="s">
        <v>363</v>
      </c>
      <c r="D2612" s="9">
        <v>1542</v>
      </c>
      <c r="E2612" s="9">
        <v>0</v>
      </c>
      <c r="F2612" s="9">
        <v>0</v>
      </c>
      <c r="G2612" s="9">
        <v>0</v>
      </c>
      <c r="H2612" s="9">
        <v>0</v>
      </c>
      <c r="I2612" s="9">
        <v>0</v>
      </c>
      <c r="J2612" s="9">
        <v>1542</v>
      </c>
    </row>
    <row r="2613" spans="1:10" ht="15.75" x14ac:dyDescent="0.25">
      <c r="A2613" s="21">
        <v>45535</v>
      </c>
      <c r="B2613" t="str">
        <f>IFERROR(IF(VLOOKUP(C2613,Hoja1!$B$1:$C$6191,2,0)="",_xlfn.XLOOKUP(C2613,Hoja1!$B$2:$B$6191,Hoja1!$A$2:$A$6191),VLOOKUP(C2613,Hoja1!$B$1:$C$6191,2,0)),"No esta en Infor")</f>
        <v>NAC1506</v>
      </c>
      <c r="C2613" s="19" t="s">
        <v>364</v>
      </c>
      <c r="D2613" s="9">
        <v>1723</v>
      </c>
      <c r="E2613" s="9">
        <v>0</v>
      </c>
      <c r="F2613" s="9">
        <v>0</v>
      </c>
      <c r="G2613" s="9">
        <v>0</v>
      </c>
      <c r="H2613" s="9">
        <v>0</v>
      </c>
      <c r="I2613" s="9">
        <v>0</v>
      </c>
      <c r="J2613" s="9">
        <v>1723</v>
      </c>
    </row>
    <row r="2614" spans="1:10" ht="15.75" x14ac:dyDescent="0.25">
      <c r="A2614" s="21">
        <v>45535</v>
      </c>
      <c r="B2614" t="str">
        <f>IFERROR(IF(VLOOKUP(C2614,Hoja1!$B$1:$C$6191,2,0)="",_xlfn.XLOOKUP(C2614,Hoja1!$B$2:$B$6191,Hoja1!$A$2:$A$6191),VLOOKUP(C2614,Hoja1!$B$1:$C$6191,2,0)),"No esta en Infor")</f>
        <v>NAC1517</v>
      </c>
      <c r="C2614" s="19" t="s">
        <v>365</v>
      </c>
      <c r="D2614" s="9">
        <v>20221.560000000001</v>
      </c>
      <c r="E2614" s="9">
        <v>-830.83</v>
      </c>
      <c r="F2614" s="9">
        <v>-422.8</v>
      </c>
      <c r="G2614" s="9">
        <v>-194.5</v>
      </c>
      <c r="H2614" s="9">
        <v>-307.39999999999998</v>
      </c>
      <c r="I2614" s="9">
        <v>0</v>
      </c>
      <c r="J2614" s="9">
        <v>18466.03</v>
      </c>
    </row>
    <row r="2615" spans="1:10" ht="15.75" x14ac:dyDescent="0.25">
      <c r="A2615" s="21">
        <v>45535</v>
      </c>
      <c r="B2615" t="str">
        <f>IFERROR(IF(VLOOKUP(C2615,Hoja1!$B$1:$C$6191,2,0)="",_xlfn.XLOOKUP(C2615,Hoja1!$B$2:$B$6191,Hoja1!$A$2:$A$6191),VLOOKUP(C2615,Hoja1!$B$1:$C$6191,2,0)),"No esta en Infor")</f>
        <v>NAC1521</v>
      </c>
      <c r="C2615" s="19" t="s">
        <v>593</v>
      </c>
      <c r="D2615" s="9">
        <v>0</v>
      </c>
      <c r="E2615" s="9">
        <v>-100</v>
      </c>
      <c r="F2615" s="9">
        <v>0</v>
      </c>
      <c r="G2615" s="9">
        <v>0</v>
      </c>
      <c r="H2615" s="9">
        <v>0</v>
      </c>
      <c r="I2615" s="9">
        <v>0</v>
      </c>
      <c r="J2615" s="9">
        <v>-100</v>
      </c>
    </row>
    <row r="2616" spans="1:10" ht="15.75" x14ac:dyDescent="0.25">
      <c r="A2616" s="21">
        <v>45535</v>
      </c>
      <c r="B2616" t="str">
        <f>IFERROR(IF(VLOOKUP(C2616,Hoja1!$B$1:$C$6191,2,0)="",_xlfn.XLOOKUP(C2616,Hoja1!$B$2:$B$6191,Hoja1!$A$2:$A$6191),VLOOKUP(C2616,Hoja1!$B$1:$C$6191,2,0)),"No esta en Infor")</f>
        <v>CAN0088</v>
      </c>
      <c r="C2616" s="19" t="s">
        <v>369</v>
      </c>
      <c r="D2616" s="9">
        <v>1160</v>
      </c>
      <c r="E2616" s="9">
        <v>0</v>
      </c>
      <c r="F2616" s="9">
        <v>-891</v>
      </c>
      <c r="G2616" s="9">
        <v>0</v>
      </c>
      <c r="H2616" s="9">
        <v>0</v>
      </c>
      <c r="I2616" s="9">
        <v>0</v>
      </c>
      <c r="J2616" s="9">
        <v>269</v>
      </c>
    </row>
    <row r="2617" spans="1:10" ht="15.75" x14ac:dyDescent="0.25">
      <c r="A2617" s="21">
        <v>45535</v>
      </c>
      <c r="B2617" t="str">
        <f>IFERROR(IF(VLOOKUP(C2617,Hoja1!$B$1:$C$6191,2,0)="",_xlfn.XLOOKUP(C2617,Hoja1!$B$2:$B$6191,Hoja1!$A$2:$A$6191),VLOOKUP(C2617,Hoja1!$B$1:$C$6191,2,0)),"No esta en Infor")</f>
        <v>NAC1539</v>
      </c>
      <c r="C2617" s="19" t="s">
        <v>58</v>
      </c>
      <c r="D2617" s="9">
        <v>28844.400000000001</v>
      </c>
      <c r="E2617" s="9">
        <v>0</v>
      </c>
      <c r="F2617" s="9">
        <v>0</v>
      </c>
      <c r="G2617" s="9">
        <v>-5517</v>
      </c>
      <c r="H2617" s="9">
        <v>-7.8</v>
      </c>
      <c r="I2617" s="9">
        <v>0</v>
      </c>
      <c r="J2617" s="9">
        <v>23319.599999999999</v>
      </c>
    </row>
    <row r="2618" spans="1:10" ht="15.75" x14ac:dyDescent="0.25">
      <c r="A2618" s="21">
        <v>45565</v>
      </c>
      <c r="B2618" t="str">
        <f>IFERROR(IF(VLOOKUP(C2618,Hoja1!$B$1:$C$6191,2,0)="",_xlfn.XLOOKUP(C2618,Hoja1!$B$2:$B$6191,Hoja1!$A$2:$A$6191),VLOOKUP(C2618,Hoja1!$B$1:$C$6191,2,0)),"No esta en Infor")</f>
        <v>NAC0476</v>
      </c>
      <c r="C2618" s="7" t="s">
        <v>11</v>
      </c>
      <c r="D2618" s="2">
        <v>110967.93</v>
      </c>
      <c r="E2618" s="7"/>
      <c r="F2618" s="7">
        <v>774.08</v>
      </c>
      <c r="G2618" s="17">
        <v>2250</v>
      </c>
      <c r="H2618" s="7">
        <v>-345.39</v>
      </c>
      <c r="I2618" s="7">
        <v>0</v>
      </c>
      <c r="J2618" s="17">
        <f t="shared" ref="J2618:J2681" si="0">SUM(D2618:I2618)</f>
        <v>113646.62</v>
      </c>
    </row>
    <row r="2619" spans="1:10" ht="15.75" x14ac:dyDescent="0.25">
      <c r="A2619" s="21">
        <v>45565</v>
      </c>
      <c r="B2619" t="str">
        <f>IFERROR(IF(VLOOKUP(C2619,Hoja1!$B$1:$C$6191,2,0)="",_xlfn.XLOOKUP(C2619,Hoja1!$B$2:$B$6191,Hoja1!$A$2:$A$6191),VLOOKUP(C2619,Hoja1!$B$1:$C$6191,2,0)),"No esta en Infor")</f>
        <v>NAC0483</v>
      </c>
      <c r="C2619" s="7" t="s">
        <v>12</v>
      </c>
      <c r="D2619" s="1">
        <v>-146.83000000000001</v>
      </c>
      <c r="E2619" s="7"/>
      <c r="F2619" s="7">
        <v>0</v>
      </c>
      <c r="G2619" s="7">
        <v>358.94</v>
      </c>
      <c r="H2619" s="7">
        <v>0</v>
      </c>
      <c r="I2619" s="17">
        <v>3835.58</v>
      </c>
      <c r="J2619" s="17">
        <f t="shared" si="0"/>
        <v>4047.69</v>
      </c>
    </row>
    <row r="2620" spans="1:10" ht="15.75" x14ac:dyDescent="0.25">
      <c r="A2620" s="21">
        <v>45565</v>
      </c>
      <c r="B2620" t="str">
        <f>IFERROR(IF(VLOOKUP(C2620,Hoja1!$B$1:$C$6191,2,0)="",_xlfn.XLOOKUP(C2620,Hoja1!$B$2:$B$6191,Hoja1!$A$2:$A$6191),VLOOKUP(C2620,Hoja1!$B$1:$C$6191,2,0)),"No esta en Infor")</f>
        <v>CAN0002</v>
      </c>
      <c r="C2620" s="7" t="s">
        <v>87</v>
      </c>
      <c r="D2620" s="2">
        <v>3588.03</v>
      </c>
      <c r="E2620" s="7"/>
      <c r="F2620" s="7">
        <v>0</v>
      </c>
      <c r="G2620" s="7">
        <v>-804.19</v>
      </c>
      <c r="H2620" s="7">
        <v>249.72</v>
      </c>
      <c r="I2620" s="7">
        <v>0</v>
      </c>
      <c r="J2620" s="17">
        <f t="shared" si="0"/>
        <v>3033.56</v>
      </c>
    </row>
    <row r="2621" spans="1:10" ht="15.75" x14ac:dyDescent="0.25">
      <c r="A2621" s="21">
        <v>45565</v>
      </c>
      <c r="B2621" t="str">
        <f>IFERROR(IF(VLOOKUP(C2621,Hoja1!$B$1:$C$6191,2,0)="",_xlfn.XLOOKUP(C2621,Hoja1!$B$2:$B$6191,Hoja1!$A$2:$A$6191),VLOOKUP(C2621,Hoja1!$B$1:$C$6191,2,0)),"No esta en Infor")</f>
        <v>NAC0573</v>
      </c>
      <c r="C2621" s="7" t="s">
        <v>15</v>
      </c>
      <c r="D2621" s="2">
        <v>21638.03</v>
      </c>
      <c r="E2621" s="7"/>
      <c r="F2621" s="7">
        <v>0</v>
      </c>
      <c r="G2621" s="7">
        <v>0</v>
      </c>
      <c r="H2621" s="7">
        <v>193.5</v>
      </c>
      <c r="I2621" s="7">
        <v>90</v>
      </c>
      <c r="J2621" s="17">
        <f t="shared" si="0"/>
        <v>21921.53</v>
      </c>
    </row>
    <row r="2622" spans="1:10" ht="15.75" x14ac:dyDescent="0.25">
      <c r="A2622" s="21">
        <v>45565</v>
      </c>
      <c r="B2622" t="str">
        <f>IFERROR(IF(VLOOKUP(C2622,Hoja1!$B$1:$C$6191,2,0)="",_xlfn.XLOOKUP(C2622,Hoja1!$B$2:$B$6191,Hoja1!$A$2:$A$6191),VLOOKUP(C2622,Hoja1!$B$1:$C$6191,2,0)),"No esta en Infor")</f>
        <v>CAN0005</v>
      </c>
      <c r="C2622" s="7" t="s">
        <v>90</v>
      </c>
      <c r="D2622" s="2">
        <v>117061.01</v>
      </c>
      <c r="E2622" s="7"/>
      <c r="F2622" s="7">
        <v>0</v>
      </c>
      <c r="G2622" s="7">
        <v>0</v>
      </c>
      <c r="H2622" s="17">
        <v>10260</v>
      </c>
      <c r="I2622" s="7">
        <v>0</v>
      </c>
      <c r="J2622" s="17">
        <f t="shared" si="0"/>
        <v>127321.01</v>
      </c>
    </row>
    <row r="2623" spans="1:10" ht="15.75" x14ac:dyDescent="0.25">
      <c r="A2623" s="21">
        <v>45565</v>
      </c>
      <c r="B2623" t="str">
        <f>IFERROR(IF(VLOOKUP(C2623,Hoja1!$B$1:$C$6191,2,0)="",_xlfn.XLOOKUP(C2623,Hoja1!$B$2:$B$6191,Hoja1!$A$2:$A$6191),VLOOKUP(C2623,Hoja1!$B$1:$C$6191,2,0)),"No esta en Infor")</f>
        <v>NAC0614</v>
      </c>
      <c r="C2623" s="7" t="s">
        <v>102</v>
      </c>
      <c r="D2623" s="2">
        <v>8020</v>
      </c>
      <c r="E2623" s="7"/>
      <c r="F2623" s="7">
        <v>150</v>
      </c>
      <c r="G2623" s="7">
        <v>0</v>
      </c>
      <c r="H2623" s="7">
        <v>0</v>
      </c>
      <c r="I2623" s="7">
        <v>0</v>
      </c>
      <c r="J2623" s="17">
        <f t="shared" si="0"/>
        <v>8170</v>
      </c>
    </row>
    <row r="2624" spans="1:10" ht="15.75" x14ac:dyDescent="0.25">
      <c r="A2624" s="21">
        <v>45565</v>
      </c>
      <c r="B2624" t="str">
        <f>IFERROR(IF(VLOOKUP(C2624,Hoja1!$B$1:$C$6191,2,0)="",_xlfn.XLOOKUP(C2624,Hoja1!$B$2:$B$6191,Hoja1!$A$2:$A$6191),VLOOKUP(C2624,Hoja1!$B$1:$C$6191,2,0)),"No esta en Infor")</f>
        <v>NAC0618</v>
      </c>
      <c r="C2624" s="7" t="s">
        <v>488</v>
      </c>
      <c r="D2624" s="1">
        <v>0</v>
      </c>
      <c r="E2624" s="7"/>
      <c r="F2624" s="7">
        <v>120.02</v>
      </c>
      <c r="G2624" s="7">
        <v>0</v>
      </c>
      <c r="H2624" s="7">
        <v>0</v>
      </c>
      <c r="I2624" s="7">
        <v>0</v>
      </c>
      <c r="J2624" s="17">
        <f t="shared" si="0"/>
        <v>120.02</v>
      </c>
    </row>
    <row r="2625" spans="1:10" ht="15.75" x14ac:dyDescent="0.25">
      <c r="A2625" s="21">
        <v>45565</v>
      </c>
      <c r="B2625" t="str">
        <f>IFERROR(IF(VLOOKUP(C2625,Hoja1!$B$1:$C$6191,2,0)="",_xlfn.XLOOKUP(C2625,Hoja1!$B$2:$B$6191,Hoja1!$A$2:$A$6191),VLOOKUP(C2625,Hoja1!$B$1:$C$6191,2,0)),"No esta en Infor")</f>
        <v>CAN0011</v>
      </c>
      <c r="C2625" s="7" t="s">
        <v>121</v>
      </c>
      <c r="D2625" s="1">
        <v>589.86</v>
      </c>
      <c r="E2625" s="7"/>
      <c r="F2625" s="17">
        <v>2709.74</v>
      </c>
      <c r="G2625" s="7">
        <v>381.94</v>
      </c>
      <c r="H2625" s="7">
        <v>0</v>
      </c>
      <c r="I2625" s="7">
        <v>0</v>
      </c>
      <c r="J2625" s="17">
        <f t="shared" si="0"/>
        <v>3681.54</v>
      </c>
    </row>
    <row r="2626" spans="1:10" ht="15.75" x14ac:dyDescent="0.25">
      <c r="A2626" s="21">
        <v>45565</v>
      </c>
      <c r="B2626" t="str">
        <f>IFERROR(IF(VLOOKUP(C2626,Hoja1!$B$1:$C$6191,2,0)="",_xlfn.XLOOKUP(C2626,Hoja1!$B$2:$B$6191,Hoja1!$A$2:$A$6191),VLOOKUP(C2626,Hoja1!$B$1:$C$6191,2,0)),"No esta en Infor")</f>
        <v>NAC0673</v>
      </c>
      <c r="C2626" s="7" t="s">
        <v>390</v>
      </c>
      <c r="D2626" s="1">
        <v>0</v>
      </c>
      <c r="E2626" s="7"/>
      <c r="F2626" s="7">
        <v>0</v>
      </c>
      <c r="G2626" s="7">
        <v>32.729999999999997</v>
      </c>
      <c r="H2626" s="7">
        <v>0</v>
      </c>
      <c r="I2626" s="7">
        <v>0</v>
      </c>
      <c r="J2626" s="17">
        <f t="shared" si="0"/>
        <v>32.729999999999997</v>
      </c>
    </row>
    <row r="2627" spans="1:10" ht="15.75" x14ac:dyDescent="0.25">
      <c r="A2627" s="21">
        <v>45565</v>
      </c>
      <c r="B2627" t="str">
        <f>IFERROR(IF(VLOOKUP(C2627,Hoja1!$B$1:$C$6191,2,0)="",_xlfn.XLOOKUP(C2627,Hoja1!$B$2:$B$6191,Hoja1!$A$2:$A$6191),VLOOKUP(C2627,Hoja1!$B$1:$C$6191,2,0)),"No esta en Infor")</f>
        <v>NAC0729</v>
      </c>
      <c r="C2627" s="7" t="s">
        <v>148</v>
      </c>
      <c r="D2627" s="1">
        <v>0</v>
      </c>
      <c r="E2627" s="7"/>
      <c r="F2627" s="7">
        <v>0</v>
      </c>
      <c r="G2627" s="7">
        <v>316</v>
      </c>
      <c r="H2627" s="7">
        <v>0</v>
      </c>
      <c r="I2627" s="7">
        <v>0</v>
      </c>
      <c r="J2627" s="17">
        <f t="shared" si="0"/>
        <v>316</v>
      </c>
    </row>
    <row r="2628" spans="1:10" ht="15.75" x14ac:dyDescent="0.25">
      <c r="A2628" s="21">
        <v>45565</v>
      </c>
      <c r="B2628" t="str">
        <f>IFERROR(IF(VLOOKUP(C2628,Hoja1!$B$1:$C$6191,2,0)="",_xlfn.XLOOKUP(C2628,Hoja1!$B$2:$B$6191,Hoja1!$A$2:$A$6191),VLOOKUP(C2628,Hoja1!$B$1:$C$6191,2,0)),"No esta en Infor")</f>
        <v>NAC0734</v>
      </c>
      <c r="C2628" s="7" t="s">
        <v>149</v>
      </c>
      <c r="D2628" s="1">
        <v>311.66000000000003</v>
      </c>
      <c r="E2628" s="7"/>
      <c r="F2628" s="7">
        <v>235.64</v>
      </c>
      <c r="G2628" s="7">
        <v>0</v>
      </c>
      <c r="H2628" s="7">
        <v>0</v>
      </c>
      <c r="I2628" s="7">
        <v>0</v>
      </c>
      <c r="J2628" s="17">
        <f t="shared" si="0"/>
        <v>547.29999999999995</v>
      </c>
    </row>
    <row r="2629" spans="1:10" ht="15.75" x14ac:dyDescent="0.25">
      <c r="A2629" s="21">
        <v>45565</v>
      </c>
      <c r="B2629" t="str">
        <f>IFERROR(IF(VLOOKUP(C2629,Hoja1!$B$1:$C$6191,2,0)="",_xlfn.XLOOKUP(C2629,Hoja1!$B$2:$B$6191,Hoja1!$A$2:$A$6191),VLOOKUP(C2629,Hoja1!$B$1:$C$6191,2,0)),"No esta en Infor")</f>
        <v>CAN0018</v>
      </c>
      <c r="C2629" s="7" t="s">
        <v>21</v>
      </c>
      <c r="D2629" s="2">
        <v>22513.599999999999</v>
      </c>
      <c r="E2629" s="7"/>
      <c r="F2629" s="17">
        <v>41166.720000000001</v>
      </c>
      <c r="G2629" s="7">
        <v>0</v>
      </c>
      <c r="H2629" s="17">
        <v>3809.19</v>
      </c>
      <c r="I2629" s="7">
        <v>0</v>
      </c>
      <c r="J2629" s="17">
        <f t="shared" si="0"/>
        <v>67489.509999999995</v>
      </c>
    </row>
    <row r="2630" spans="1:10" ht="15.75" x14ac:dyDescent="0.25">
      <c r="A2630" s="21">
        <v>45565</v>
      </c>
      <c r="B2630" t="str">
        <f>IFERROR(IF(VLOOKUP(C2630,Hoja1!$B$1:$C$6191,2,0)="",_xlfn.XLOOKUP(C2630,Hoja1!$B$2:$B$6191,Hoja1!$A$2:$A$6191),VLOOKUP(C2630,Hoja1!$B$1:$C$6191,2,0)),"No esta en Infor")</f>
        <v>NAC0823</v>
      </c>
      <c r="C2630" s="7" t="s">
        <v>497</v>
      </c>
      <c r="D2630" s="1">
        <v>0</v>
      </c>
      <c r="E2630" s="7"/>
      <c r="F2630" s="7">
        <v>64.489999999999995</v>
      </c>
      <c r="G2630" s="7">
        <v>0</v>
      </c>
      <c r="H2630" s="7">
        <v>0</v>
      </c>
      <c r="I2630" s="7">
        <v>0</v>
      </c>
      <c r="J2630" s="17">
        <f t="shared" si="0"/>
        <v>64.489999999999995</v>
      </c>
    </row>
    <row r="2631" spans="1:10" ht="15.75" x14ac:dyDescent="0.25">
      <c r="A2631" s="21">
        <v>45565</v>
      </c>
      <c r="B2631" t="str">
        <f>IFERROR(IF(VLOOKUP(C2631,Hoja1!$B$1:$C$6191,2,0)="",_xlfn.XLOOKUP(C2631,Hoja1!$B$2:$B$6191,Hoja1!$A$2:$A$6191),VLOOKUP(C2631,Hoja1!$B$1:$C$6191,2,0)),"No esta en Infor")</f>
        <v>NAC0838</v>
      </c>
      <c r="C2631" s="7" t="s">
        <v>396</v>
      </c>
      <c r="D2631" s="1">
        <v>0</v>
      </c>
      <c r="E2631" s="7"/>
      <c r="F2631" s="7">
        <v>0</v>
      </c>
      <c r="G2631" s="7">
        <v>54</v>
      </c>
      <c r="H2631" s="7">
        <v>0</v>
      </c>
      <c r="I2631" s="7">
        <v>0</v>
      </c>
      <c r="J2631" s="17">
        <f t="shared" si="0"/>
        <v>54</v>
      </c>
    </row>
    <row r="2632" spans="1:10" ht="15.75" x14ac:dyDescent="0.25">
      <c r="A2632" s="21">
        <v>45565</v>
      </c>
      <c r="B2632" t="str">
        <f>IFERROR(IF(VLOOKUP(C2632,Hoja1!$B$1:$C$6191,2,0)="",_xlfn.XLOOKUP(C2632,Hoja1!$B$2:$B$6191,Hoja1!$A$2:$A$6191),VLOOKUP(C2632,Hoja1!$B$1:$C$6191,2,0)),"No esta en Infor")</f>
        <v>NAC0862</v>
      </c>
      <c r="C2632" s="7" t="s">
        <v>190</v>
      </c>
      <c r="D2632" s="1">
        <v>0</v>
      </c>
      <c r="E2632" s="7"/>
      <c r="F2632" s="7">
        <v>96.3</v>
      </c>
      <c r="G2632" s="7">
        <v>0</v>
      </c>
      <c r="H2632" s="7">
        <v>0</v>
      </c>
      <c r="I2632" s="7">
        <v>0</v>
      </c>
      <c r="J2632" s="17">
        <f t="shared" si="0"/>
        <v>96.3</v>
      </c>
    </row>
    <row r="2633" spans="1:10" ht="15.75" x14ac:dyDescent="0.25">
      <c r="A2633" s="21">
        <v>45565</v>
      </c>
      <c r="B2633" t="str">
        <f>IFERROR(IF(VLOOKUP(C2633,Hoja1!$B$1:$C$6191,2,0)="",_xlfn.XLOOKUP(C2633,Hoja1!$B$2:$B$6191,Hoja1!$A$2:$A$6191),VLOOKUP(C2633,Hoja1!$B$1:$C$6191,2,0)),"No esta en Infor")</f>
        <v>NAC0869</v>
      </c>
      <c r="C2633" s="7" t="s">
        <v>192</v>
      </c>
      <c r="D2633" s="1">
        <v>-0.05</v>
      </c>
      <c r="E2633" s="7"/>
      <c r="F2633" s="7">
        <v>255.25</v>
      </c>
      <c r="G2633" s="7">
        <v>277.3</v>
      </c>
      <c r="H2633" s="7">
        <v>0</v>
      </c>
      <c r="I2633" s="7">
        <v>0</v>
      </c>
      <c r="J2633" s="17">
        <f t="shared" si="0"/>
        <v>532.5</v>
      </c>
    </row>
    <row r="2634" spans="1:10" ht="15.75" x14ac:dyDescent="0.25">
      <c r="A2634" s="21">
        <v>45565</v>
      </c>
      <c r="B2634" t="str">
        <f>IFERROR(IF(VLOOKUP(C2634,Hoja1!$B$1:$C$6191,2,0)="",_xlfn.XLOOKUP(C2634,Hoja1!$B$2:$B$6191,Hoja1!$A$2:$A$6191),VLOOKUP(C2634,Hoja1!$B$1:$C$6191,2,0)),"No esta en Infor")</f>
        <v>NAC0894</v>
      </c>
      <c r="C2634" s="7" t="s">
        <v>199</v>
      </c>
      <c r="D2634" s="2">
        <v>8852.85</v>
      </c>
      <c r="E2634" s="7"/>
      <c r="F2634" s="7">
        <v>0</v>
      </c>
      <c r="G2634" s="7">
        <v>810</v>
      </c>
      <c r="H2634" s="7">
        <v>0</v>
      </c>
      <c r="I2634" s="7">
        <v>0</v>
      </c>
      <c r="J2634" s="17">
        <f t="shared" si="0"/>
        <v>9662.85</v>
      </c>
    </row>
    <row r="2635" spans="1:10" ht="15.75" x14ac:dyDescent="0.25">
      <c r="A2635" s="21">
        <v>45565</v>
      </c>
      <c r="B2635" t="str">
        <f>IFERROR(IF(VLOOKUP(C2635,Hoja1!$B$1:$C$6191,2,0)="",_xlfn.XLOOKUP(C2635,Hoja1!$B$2:$B$6191,Hoja1!$A$2:$A$6191),VLOOKUP(C2635,Hoja1!$B$1:$C$6191,2,0)),"No esta en Infor")</f>
        <v>NAC0900</v>
      </c>
      <c r="C2635" s="7" t="s">
        <v>201</v>
      </c>
      <c r="D2635" s="1">
        <v>0</v>
      </c>
      <c r="E2635" s="7"/>
      <c r="F2635" s="17">
        <v>1800.28</v>
      </c>
      <c r="G2635" s="7">
        <v>0</v>
      </c>
      <c r="H2635" s="7">
        <v>0</v>
      </c>
      <c r="I2635" s="7">
        <v>0</v>
      </c>
      <c r="J2635" s="17">
        <f t="shared" si="0"/>
        <v>1800.28</v>
      </c>
    </row>
    <row r="2636" spans="1:10" ht="15.75" x14ac:dyDescent="0.25">
      <c r="A2636" s="21">
        <v>45565</v>
      </c>
      <c r="B2636" t="str">
        <f>IFERROR(IF(VLOOKUP(C2636,Hoja1!$B$1:$C$6191,2,0)="",_xlfn.XLOOKUP(C2636,Hoja1!$B$2:$B$6191,Hoja1!$A$2:$A$6191),VLOOKUP(C2636,Hoja1!$B$1:$C$6191,2,0)),"No esta en Infor")</f>
        <v>CAN0023</v>
      </c>
      <c r="C2636" s="7" t="s">
        <v>554</v>
      </c>
      <c r="D2636" s="1">
        <v>0</v>
      </c>
      <c r="E2636" s="7"/>
      <c r="F2636" s="7">
        <v>508.5</v>
      </c>
      <c r="G2636" s="7">
        <v>0</v>
      </c>
      <c r="H2636" s="7">
        <v>0</v>
      </c>
      <c r="I2636" s="7">
        <v>0</v>
      </c>
      <c r="J2636" s="17">
        <f t="shared" si="0"/>
        <v>508.5</v>
      </c>
    </row>
    <row r="2637" spans="1:10" ht="15.75" x14ac:dyDescent="0.25">
      <c r="A2637" s="21">
        <v>45565</v>
      </c>
      <c r="B2637" t="str">
        <f>IFERROR(IF(VLOOKUP(C2637,Hoja1!$B$1:$C$6191,2,0)="",_xlfn.XLOOKUP(C2637,Hoja1!$B$2:$B$6191,Hoja1!$A$2:$A$6191),VLOOKUP(C2637,Hoja1!$B$1:$C$6191,2,0)),"No esta en Infor")</f>
        <v>NAC0914</v>
      </c>
      <c r="C2637" s="7" t="s">
        <v>202</v>
      </c>
      <c r="D2637" s="1">
        <v>0</v>
      </c>
      <c r="E2637" s="7"/>
      <c r="F2637" s="7">
        <v>354.79</v>
      </c>
      <c r="G2637" s="7">
        <v>0</v>
      </c>
      <c r="H2637" s="7">
        <v>0</v>
      </c>
      <c r="I2637" s="7">
        <v>0</v>
      </c>
      <c r="J2637" s="17">
        <f t="shared" si="0"/>
        <v>354.79</v>
      </c>
    </row>
    <row r="2638" spans="1:10" ht="15.75" x14ac:dyDescent="0.25">
      <c r="A2638" s="21">
        <v>45565</v>
      </c>
      <c r="B2638" t="str">
        <f>IFERROR(IF(VLOOKUP(C2638,Hoja1!$B$1:$C$6191,2,0)="",_xlfn.XLOOKUP(C2638,Hoja1!$B$2:$B$6191,Hoja1!$A$2:$A$6191),VLOOKUP(C2638,Hoja1!$B$1:$C$6191,2,0)),"No esta en Infor")</f>
        <v>CAN0025</v>
      </c>
      <c r="C2638" s="7" t="s">
        <v>26</v>
      </c>
      <c r="D2638" s="1">
        <v>0</v>
      </c>
      <c r="E2638" s="7"/>
      <c r="F2638" s="17">
        <v>3718.91</v>
      </c>
      <c r="G2638" s="7">
        <v>38.5</v>
      </c>
      <c r="H2638" s="7">
        <v>161.44999999999999</v>
      </c>
      <c r="I2638" s="7">
        <v>0</v>
      </c>
      <c r="J2638" s="17">
        <f t="shared" si="0"/>
        <v>3918.8599999999997</v>
      </c>
    </row>
    <row r="2639" spans="1:10" ht="15.75" x14ac:dyDescent="0.25">
      <c r="A2639" s="21">
        <v>45565</v>
      </c>
      <c r="B2639" t="str">
        <f>IFERROR(IF(VLOOKUP(C2639,Hoja1!$B$1:$C$6191,2,0)="",_xlfn.XLOOKUP(C2639,Hoja1!$B$2:$B$6191,Hoja1!$A$2:$A$6191),VLOOKUP(C2639,Hoja1!$B$1:$C$6191,2,0)),"No esta en Infor")</f>
        <v>NAC0924</v>
      </c>
      <c r="C2639" s="7" t="s">
        <v>205</v>
      </c>
      <c r="D2639" s="2">
        <v>18450</v>
      </c>
      <c r="E2639" s="7"/>
      <c r="F2639" s="7">
        <v>336.28</v>
      </c>
      <c r="G2639" s="7">
        <v>0</v>
      </c>
      <c r="H2639" s="7">
        <v>0</v>
      </c>
      <c r="I2639" s="7">
        <v>0</v>
      </c>
      <c r="J2639" s="17">
        <f t="shared" si="0"/>
        <v>18786.28</v>
      </c>
    </row>
    <row r="2640" spans="1:10" ht="15.75" x14ac:dyDescent="0.25">
      <c r="A2640" s="21">
        <v>45565</v>
      </c>
      <c r="B2640" t="str">
        <f>IFERROR(IF(VLOOKUP(C2640,Hoja1!$B$1:$C$6191,2,0)="",_xlfn.XLOOKUP(C2640,Hoja1!$B$2:$B$6191,Hoja1!$A$2:$A$6191),VLOOKUP(C2640,Hoja1!$B$1:$C$6191,2,0)),"No esta en Infor")</f>
        <v>CAN0030</v>
      </c>
      <c r="C2640" s="7" t="s">
        <v>210</v>
      </c>
      <c r="D2640" s="1">
        <v>-219.31</v>
      </c>
      <c r="E2640" s="7"/>
      <c r="F2640" s="17">
        <v>8855.2800000000007</v>
      </c>
      <c r="G2640" s="7">
        <v>0</v>
      </c>
      <c r="H2640" s="7">
        <v>0</v>
      </c>
      <c r="I2640" s="7">
        <v>0</v>
      </c>
      <c r="J2640" s="17">
        <f t="shared" si="0"/>
        <v>8635.9700000000012</v>
      </c>
    </row>
    <row r="2641" spans="1:10" ht="15.75" x14ac:dyDescent="0.25">
      <c r="A2641" s="21">
        <v>45565</v>
      </c>
      <c r="B2641" t="str">
        <f>IFERROR(IF(VLOOKUP(C2641,Hoja1!$B$1:$C$6191,2,0)="",_xlfn.XLOOKUP(C2641,Hoja1!$B$2:$B$6191,Hoja1!$A$2:$A$6191),VLOOKUP(C2641,Hoja1!$B$1:$C$6191,2,0)),"No esta en Infor")</f>
        <v>NAC0972</v>
      </c>
      <c r="C2641" s="7" t="s">
        <v>221</v>
      </c>
      <c r="D2641" s="1">
        <v>0</v>
      </c>
      <c r="E2641" s="7"/>
      <c r="F2641" s="7">
        <v>0</v>
      </c>
      <c r="G2641" s="7">
        <v>0</v>
      </c>
      <c r="H2641" s="7">
        <v>217.86</v>
      </c>
      <c r="I2641" s="7">
        <v>0</v>
      </c>
      <c r="J2641" s="17">
        <f t="shared" si="0"/>
        <v>217.86</v>
      </c>
    </row>
    <row r="2642" spans="1:10" ht="15.75" x14ac:dyDescent="0.25">
      <c r="A2642" s="21">
        <v>45565</v>
      </c>
      <c r="B2642" t="str">
        <f>IFERROR(IF(VLOOKUP(C2642,Hoja1!$B$1:$C$6191,2,0)="",_xlfn.XLOOKUP(C2642,Hoja1!$B$2:$B$6191,Hoja1!$A$2:$A$6191),VLOOKUP(C2642,Hoja1!$B$1:$C$6191,2,0)),"No esta en Infor")</f>
        <v>NAC0988</v>
      </c>
      <c r="C2642" s="7" t="s">
        <v>29</v>
      </c>
      <c r="D2642" s="1">
        <v>0</v>
      </c>
      <c r="E2642" s="7"/>
      <c r="F2642" s="7">
        <v>106</v>
      </c>
      <c r="G2642" s="7">
        <v>0</v>
      </c>
      <c r="H2642" s="17">
        <v>10790</v>
      </c>
      <c r="I2642" s="7">
        <v>0</v>
      </c>
      <c r="J2642" s="17">
        <f t="shared" si="0"/>
        <v>10896</v>
      </c>
    </row>
    <row r="2643" spans="1:10" ht="15.75" x14ac:dyDescent="0.25">
      <c r="A2643" s="21">
        <v>45565</v>
      </c>
      <c r="B2643" t="str">
        <f>IFERROR(IF(VLOOKUP(C2643,Hoja1!$B$1:$C$6191,2,0)="",_xlfn.XLOOKUP(C2643,Hoja1!$B$2:$B$6191,Hoja1!$A$2:$A$6191),VLOOKUP(C2643,Hoja1!$B$1:$C$6191,2,0)),"No esta en Infor")</f>
        <v>NAC1040</v>
      </c>
      <c r="C2643" s="7" t="s">
        <v>30</v>
      </c>
      <c r="D2643" s="2">
        <v>288434.18</v>
      </c>
      <c r="E2643" s="7"/>
      <c r="F2643" s="17">
        <v>25803.17</v>
      </c>
      <c r="G2643" s="17">
        <v>-18888.14</v>
      </c>
      <c r="H2643" s="7">
        <v>-649.85</v>
      </c>
      <c r="I2643" s="7">
        <v>-0.2</v>
      </c>
      <c r="J2643" s="17">
        <f t="shared" si="0"/>
        <v>294699.15999999997</v>
      </c>
    </row>
    <row r="2644" spans="1:10" ht="15.75" x14ac:dyDescent="0.25">
      <c r="A2644" s="21">
        <v>45565</v>
      </c>
      <c r="B2644" t="str">
        <f>IFERROR(IF(VLOOKUP(C2644,Hoja1!$B$1:$C$6191,2,0)="",_xlfn.XLOOKUP(C2644,Hoja1!$B$2:$B$6191,Hoja1!$A$2:$A$6191),VLOOKUP(C2644,Hoja1!$B$1:$C$6191,2,0)),"No esta en Infor")</f>
        <v>CAN0035</v>
      </c>
      <c r="C2644" s="7" t="s">
        <v>31</v>
      </c>
      <c r="D2644" s="2">
        <v>5410.5</v>
      </c>
      <c r="E2644" s="7"/>
      <c r="F2644" s="7">
        <v>0</v>
      </c>
      <c r="G2644" s="7">
        <v>0</v>
      </c>
      <c r="H2644" s="7">
        <v>0</v>
      </c>
      <c r="I2644" s="7">
        <v>374.36</v>
      </c>
      <c r="J2644" s="17">
        <f t="shared" si="0"/>
        <v>5784.86</v>
      </c>
    </row>
    <row r="2645" spans="1:10" ht="15.75" x14ac:dyDescent="0.25">
      <c r="A2645" s="21">
        <v>45565</v>
      </c>
      <c r="B2645" t="str">
        <f>IFERROR(IF(VLOOKUP(C2645,Hoja1!$B$1:$C$6191,2,0)="",_xlfn.XLOOKUP(C2645,Hoja1!$B$2:$B$6191,Hoja1!$A$2:$A$6191),VLOOKUP(C2645,Hoja1!$B$1:$C$6191,2,0)),"No esta en Infor")</f>
        <v>NAC1105</v>
      </c>
      <c r="C2645" s="7" t="s">
        <v>32</v>
      </c>
      <c r="D2645" s="2">
        <v>2699.35</v>
      </c>
      <c r="E2645" s="7"/>
      <c r="F2645" s="17">
        <v>2111.5100000000002</v>
      </c>
      <c r="G2645" s="7">
        <v>707.71</v>
      </c>
      <c r="H2645" s="17">
        <v>7014.08</v>
      </c>
      <c r="I2645" s="17">
        <v>3484.18</v>
      </c>
      <c r="J2645" s="17">
        <f t="shared" si="0"/>
        <v>16016.830000000002</v>
      </c>
    </row>
    <row r="2646" spans="1:10" ht="15.75" x14ac:dyDescent="0.25">
      <c r="A2646" s="21">
        <v>45565</v>
      </c>
      <c r="B2646" t="str">
        <f>IFERROR(IF(VLOOKUP(C2646,Hoja1!$B$1:$C$6191,2,0)="",_xlfn.XLOOKUP(C2646,Hoja1!$B$2:$B$6191,Hoja1!$A$2:$A$6191),VLOOKUP(C2646,Hoja1!$B$1:$C$6191,2,0)),"No esta en Infor")</f>
        <v>NAC1108</v>
      </c>
      <c r="C2646" s="7" t="s">
        <v>468</v>
      </c>
      <c r="D2646" s="1">
        <v>0</v>
      </c>
      <c r="E2646" s="7"/>
      <c r="F2646" s="7">
        <v>194.84</v>
      </c>
      <c r="G2646" s="7">
        <v>0</v>
      </c>
      <c r="H2646" s="7">
        <v>0</v>
      </c>
      <c r="I2646" s="7">
        <v>0</v>
      </c>
      <c r="J2646" s="17">
        <f t="shared" si="0"/>
        <v>194.84</v>
      </c>
    </row>
    <row r="2647" spans="1:10" ht="15.75" x14ac:dyDescent="0.25">
      <c r="A2647" s="21">
        <v>45565</v>
      </c>
      <c r="B2647" t="str">
        <f>IFERROR(IF(VLOOKUP(C2647,Hoja1!$B$1:$C$6191,2,0)="",_xlfn.XLOOKUP(C2647,Hoja1!$B$2:$B$6191,Hoja1!$A$2:$A$6191),VLOOKUP(C2647,Hoja1!$B$1:$C$6191,2,0)),"No esta en Infor")</f>
        <v>NAC1611</v>
      </c>
      <c r="C2647" s="7" t="s">
        <v>565</v>
      </c>
      <c r="D2647" s="2">
        <v>83625.039999999994</v>
      </c>
      <c r="E2647" s="7"/>
      <c r="F2647" s="17">
        <v>-3501.02</v>
      </c>
      <c r="G2647" s="17">
        <v>18557.72</v>
      </c>
      <c r="H2647" s="7">
        <v>0</v>
      </c>
      <c r="I2647" s="7">
        <v>-184</v>
      </c>
      <c r="J2647" s="17">
        <f t="shared" si="0"/>
        <v>98497.739999999991</v>
      </c>
    </row>
    <row r="2648" spans="1:10" ht="15.75" x14ac:dyDescent="0.25">
      <c r="A2648" s="21">
        <v>45565</v>
      </c>
      <c r="B2648" t="str">
        <f>IFERROR(IF(VLOOKUP(C2648,Hoja1!$B$1:$C$6191,2,0)="",_xlfn.XLOOKUP(C2648,Hoja1!$B$2:$B$6191,Hoja1!$A$2:$A$6191),VLOOKUP(C2648,Hoja1!$B$1:$C$6191,2,0)),"No esta en Infor")</f>
        <v>NAC1144</v>
      </c>
      <c r="C2648" s="7" t="s">
        <v>411</v>
      </c>
      <c r="D2648" s="1">
        <v>0</v>
      </c>
      <c r="E2648" s="7"/>
      <c r="F2648" s="7">
        <v>0</v>
      </c>
      <c r="G2648" s="7">
        <v>29.71</v>
      </c>
      <c r="H2648" s="7">
        <v>0</v>
      </c>
      <c r="I2648" s="7">
        <v>0</v>
      </c>
      <c r="J2648" s="17">
        <f t="shared" si="0"/>
        <v>29.71</v>
      </c>
    </row>
    <row r="2649" spans="1:10" ht="15.75" x14ac:dyDescent="0.25">
      <c r="A2649" s="21">
        <v>45565</v>
      </c>
      <c r="B2649" t="str">
        <f>IFERROR(IF(VLOOKUP(C2649,Hoja1!$B$1:$C$6191,2,0)="",_xlfn.XLOOKUP(C2649,Hoja1!$B$2:$B$6191,Hoja1!$A$2:$A$6191),VLOOKUP(C2649,Hoja1!$B$1:$C$6191,2,0)),"No esta en Infor")</f>
        <v>NAC1146</v>
      </c>
      <c r="C2649" s="7" t="s">
        <v>33</v>
      </c>
      <c r="D2649" s="2">
        <v>8395.32</v>
      </c>
      <c r="E2649" s="7"/>
      <c r="F2649" s="7">
        <v>0</v>
      </c>
      <c r="G2649" s="7">
        <v>0</v>
      </c>
      <c r="H2649" s="17">
        <v>1638.58</v>
      </c>
      <c r="I2649" s="7">
        <v>0</v>
      </c>
      <c r="J2649" s="17">
        <f t="shared" si="0"/>
        <v>10033.9</v>
      </c>
    </row>
    <row r="2650" spans="1:10" ht="15.75" x14ac:dyDescent="0.25">
      <c r="A2650" s="21">
        <v>45565</v>
      </c>
      <c r="B2650" t="str">
        <f>IFERROR(IF(VLOOKUP(C2650,Hoja1!$B$1:$C$6191,2,0)="",_xlfn.XLOOKUP(C2650,Hoja1!$B$2:$B$6191,Hoja1!$A$2:$A$6191),VLOOKUP(C2650,Hoja1!$B$1:$C$6191,2,0)),"No esta en Infor")</f>
        <v>NAC1152</v>
      </c>
      <c r="C2650" s="7" t="s">
        <v>470</v>
      </c>
      <c r="D2650" s="1">
        <v>-0.13</v>
      </c>
      <c r="E2650" s="7"/>
      <c r="F2650" s="17">
        <v>1875.93</v>
      </c>
      <c r="G2650" s="7">
        <v>0</v>
      </c>
      <c r="H2650" s="7">
        <v>0</v>
      </c>
      <c r="I2650" s="7">
        <v>0</v>
      </c>
      <c r="J2650" s="17">
        <f t="shared" si="0"/>
        <v>1875.8</v>
      </c>
    </row>
    <row r="2651" spans="1:10" ht="15.75" x14ac:dyDescent="0.25">
      <c r="A2651" s="21">
        <v>45565</v>
      </c>
      <c r="B2651" t="str">
        <f>IFERROR(IF(VLOOKUP(C2651,Hoja1!$B$1:$C$6191,2,0)="",_xlfn.XLOOKUP(C2651,Hoja1!$B$2:$B$6191,Hoja1!$A$2:$A$6191),VLOOKUP(C2651,Hoja1!$B$1:$C$6191,2,0)),"No esta en Infor")</f>
        <v>NAC1187</v>
      </c>
      <c r="C2651" s="7" t="s">
        <v>471</v>
      </c>
      <c r="D2651" s="1">
        <v>185</v>
      </c>
      <c r="E2651" s="7"/>
      <c r="F2651" s="7">
        <v>882</v>
      </c>
      <c r="G2651" s="7">
        <v>0</v>
      </c>
      <c r="H2651" s="7">
        <v>0</v>
      </c>
      <c r="I2651" s="7">
        <v>0</v>
      </c>
      <c r="J2651" s="17">
        <f t="shared" si="0"/>
        <v>1067</v>
      </c>
    </row>
    <row r="2652" spans="1:10" ht="15.75" x14ac:dyDescent="0.25">
      <c r="A2652" s="21">
        <v>45565</v>
      </c>
      <c r="B2652" t="str">
        <f>IFERROR(IF(VLOOKUP(C2652,Hoja1!$B$1:$C$6191,2,0)="",_xlfn.XLOOKUP(C2652,Hoja1!$B$2:$B$6191,Hoja1!$A$2:$A$6191),VLOOKUP(C2652,Hoja1!$B$1:$C$6191,2,0)),"No esta en Infor")</f>
        <v>CAN0044</v>
      </c>
      <c r="C2652" s="7" t="s">
        <v>35</v>
      </c>
      <c r="D2652" s="2">
        <v>12500</v>
      </c>
      <c r="E2652" s="7"/>
      <c r="F2652" s="17">
        <v>13459.41</v>
      </c>
      <c r="G2652" s="17">
        <v>4177.3</v>
      </c>
      <c r="H2652" s="7">
        <v>755.04</v>
      </c>
      <c r="I2652" s="7">
        <v>0</v>
      </c>
      <c r="J2652" s="17">
        <f t="shared" si="0"/>
        <v>30891.75</v>
      </c>
    </row>
    <row r="2653" spans="1:10" ht="15.75" x14ac:dyDescent="0.25">
      <c r="A2653" s="21">
        <v>45565</v>
      </c>
      <c r="B2653" t="str">
        <f>IFERROR(IF(VLOOKUP(C2653,Hoja1!$B$1:$C$6191,2,0)="",_xlfn.XLOOKUP(C2653,Hoja1!$B$2:$B$6191,Hoja1!$A$2:$A$6191),VLOOKUP(C2653,Hoja1!$B$1:$C$6191,2,0)),"No esta en Infor")</f>
        <v>NAC1200</v>
      </c>
      <c r="C2653" s="7" t="s">
        <v>473</v>
      </c>
      <c r="D2653" s="1">
        <v>0</v>
      </c>
      <c r="E2653" s="7"/>
      <c r="F2653" s="7">
        <v>24.37</v>
      </c>
      <c r="G2653" s="7">
        <v>0</v>
      </c>
      <c r="H2653" s="7">
        <v>0</v>
      </c>
      <c r="I2653" s="7">
        <v>0</v>
      </c>
      <c r="J2653" s="17">
        <f t="shared" si="0"/>
        <v>24.37</v>
      </c>
    </row>
    <row r="2654" spans="1:10" ht="15.75" x14ac:dyDescent="0.25">
      <c r="A2654" s="21">
        <v>45565</v>
      </c>
      <c r="B2654" t="str">
        <f>IFERROR(IF(VLOOKUP(C2654,Hoja1!$B$1:$C$6191,2,0)="",_xlfn.XLOOKUP(C2654,Hoja1!$B$2:$B$6191,Hoja1!$A$2:$A$6191),VLOOKUP(C2654,Hoja1!$B$1:$C$6191,2,0)),"No esta en Infor")</f>
        <v>NAC1216</v>
      </c>
      <c r="C2654" s="7" t="s">
        <v>287</v>
      </c>
      <c r="D2654" s="1">
        <v>0</v>
      </c>
      <c r="E2654" s="7"/>
      <c r="F2654" s="7">
        <v>32.979999999999997</v>
      </c>
      <c r="G2654" s="7">
        <v>0</v>
      </c>
      <c r="H2654" s="7">
        <v>0</v>
      </c>
      <c r="I2654" s="7">
        <v>0</v>
      </c>
      <c r="J2654" s="17">
        <f t="shared" si="0"/>
        <v>32.979999999999997</v>
      </c>
    </row>
    <row r="2655" spans="1:10" ht="15.75" x14ac:dyDescent="0.25">
      <c r="A2655" s="21">
        <v>45565</v>
      </c>
      <c r="B2655" t="str">
        <f>IFERROR(IF(VLOOKUP(C2655,Hoja1!$B$1:$C$6191,2,0)="",_xlfn.XLOOKUP(C2655,Hoja1!$B$2:$B$6191,Hoja1!$A$2:$A$6191),VLOOKUP(C2655,Hoja1!$B$1:$C$6191,2,0)),"No esta en Infor")</f>
        <v>NAC1233</v>
      </c>
      <c r="C2655" s="7" t="s">
        <v>292</v>
      </c>
      <c r="D2655" s="1">
        <v>0</v>
      </c>
      <c r="E2655" s="7"/>
      <c r="F2655" s="7">
        <v>0</v>
      </c>
      <c r="G2655" s="7">
        <v>0</v>
      </c>
      <c r="H2655" s="17">
        <v>10349.299999999999</v>
      </c>
      <c r="I2655" s="7">
        <v>-451.95</v>
      </c>
      <c r="J2655" s="17">
        <f t="shared" si="0"/>
        <v>9897.3499999999985</v>
      </c>
    </row>
    <row r="2656" spans="1:10" ht="15.75" x14ac:dyDescent="0.25">
      <c r="A2656" s="21">
        <v>45565</v>
      </c>
      <c r="B2656" t="str">
        <f>IFERROR(IF(VLOOKUP(C2656,Hoja1!$B$1:$C$6191,2,0)="",_xlfn.XLOOKUP(C2656,Hoja1!$B$2:$B$6191,Hoja1!$A$2:$A$6191),VLOOKUP(C2656,Hoja1!$B$1:$C$6191,2,0)),"No esta en Infor")</f>
        <v>NAC1281</v>
      </c>
      <c r="C2656" s="7" t="s">
        <v>37</v>
      </c>
      <c r="D2656" s="2">
        <v>4432.59</v>
      </c>
      <c r="E2656" s="7"/>
      <c r="F2656" s="17">
        <v>1334.51</v>
      </c>
      <c r="G2656" s="17">
        <v>8073.27</v>
      </c>
      <c r="H2656" s="17">
        <v>2850.02</v>
      </c>
      <c r="I2656" s="17">
        <v>4732.71</v>
      </c>
      <c r="J2656" s="17">
        <f t="shared" si="0"/>
        <v>21423.1</v>
      </c>
    </row>
    <row r="2657" spans="1:10" ht="15.75" x14ac:dyDescent="0.25">
      <c r="A2657" s="21">
        <v>45565</v>
      </c>
      <c r="B2657" t="str">
        <f>IFERROR(IF(VLOOKUP(C2657,Hoja1!$B$1:$C$6191,2,0)="",_xlfn.XLOOKUP(C2657,Hoja1!$B$2:$B$6191,Hoja1!$A$2:$A$6191),VLOOKUP(C2657,Hoja1!$B$1:$C$6191,2,0)),"No esta en Infor")</f>
        <v>NAC1323</v>
      </c>
      <c r="C2657" s="7" t="s">
        <v>49</v>
      </c>
      <c r="D2657" s="2">
        <v>163354.76999999999</v>
      </c>
      <c r="E2657" s="7"/>
      <c r="F2657" s="17">
        <v>23788.28</v>
      </c>
      <c r="G2657" s="17">
        <v>22151.85</v>
      </c>
      <c r="H2657" s="7">
        <v>-250</v>
      </c>
      <c r="I2657" s="7">
        <v>0</v>
      </c>
      <c r="J2657" s="17">
        <f t="shared" si="0"/>
        <v>209044.9</v>
      </c>
    </row>
    <row r="2658" spans="1:10" ht="15.75" x14ac:dyDescent="0.25">
      <c r="A2658" s="21">
        <v>45565</v>
      </c>
      <c r="B2658" t="str">
        <f>IFERROR(IF(VLOOKUP(C2658,Hoja1!$B$1:$C$6191,2,0)="",_xlfn.XLOOKUP(C2658,Hoja1!$B$2:$B$6191,Hoja1!$A$2:$A$6191),VLOOKUP(C2658,Hoja1!$B$1:$C$6191,2,0)),"No esta en Infor")</f>
        <v>NAC1327</v>
      </c>
      <c r="C2658" s="7" t="s">
        <v>50</v>
      </c>
      <c r="D2658" s="2">
        <v>38849.25</v>
      </c>
      <c r="E2658" s="7"/>
      <c r="F2658" s="17">
        <v>4097.38</v>
      </c>
      <c r="G2658" s="7">
        <v>609.54</v>
      </c>
      <c r="H2658" s="7">
        <v>0</v>
      </c>
      <c r="I2658" s="7">
        <v>0</v>
      </c>
      <c r="J2658" s="17">
        <f t="shared" si="0"/>
        <v>43556.17</v>
      </c>
    </row>
    <row r="2659" spans="1:10" ht="15.75" x14ac:dyDescent="0.25">
      <c r="A2659" s="21">
        <v>45565</v>
      </c>
      <c r="B2659" t="str">
        <f>IFERROR(IF(VLOOKUP(C2659,Hoja1!$B$1:$C$6191,2,0)="",_xlfn.XLOOKUP(C2659,Hoja1!$B$2:$B$6191,Hoja1!$A$2:$A$6191),VLOOKUP(C2659,Hoja1!$B$1:$C$6191,2,0)),"No esta en Infor")</f>
        <v>CAN0059</v>
      </c>
      <c r="C2659" s="7" t="s">
        <v>51</v>
      </c>
      <c r="D2659" s="2">
        <v>11210.12</v>
      </c>
      <c r="E2659" s="7"/>
      <c r="F2659" s="7">
        <v>104.29</v>
      </c>
      <c r="G2659" s="7">
        <v>929.29</v>
      </c>
      <c r="H2659" s="7">
        <v>18.649999999999999</v>
      </c>
      <c r="I2659" s="7">
        <v>787.12</v>
      </c>
      <c r="J2659" s="17">
        <f t="shared" si="0"/>
        <v>13049.470000000001</v>
      </c>
    </row>
    <row r="2660" spans="1:10" ht="15.75" x14ac:dyDescent="0.25">
      <c r="A2660" s="21">
        <v>45565</v>
      </c>
      <c r="B2660" t="str">
        <f>IFERROR(IF(VLOOKUP(C2660,Hoja1!$B$1:$C$6191,2,0)="",_xlfn.XLOOKUP(C2660,Hoja1!$B$2:$B$6191,Hoja1!$A$2:$A$6191),VLOOKUP(C2660,Hoja1!$B$1:$C$6191,2,0)),"No esta en Infor")</f>
        <v>CAN0069</v>
      </c>
      <c r="C2660" s="7" t="s">
        <v>340</v>
      </c>
      <c r="D2660" s="1">
        <v>0</v>
      </c>
      <c r="E2660" s="7"/>
      <c r="F2660" s="7">
        <v>0</v>
      </c>
      <c r="G2660" s="7">
        <v>0</v>
      </c>
      <c r="H2660" s="7">
        <v>540.15</v>
      </c>
      <c r="I2660" s="7">
        <v>0</v>
      </c>
      <c r="J2660" s="17">
        <f t="shared" si="0"/>
        <v>540.15</v>
      </c>
    </row>
    <row r="2661" spans="1:10" ht="15.75" x14ac:dyDescent="0.25">
      <c r="A2661" s="21">
        <v>45565</v>
      </c>
      <c r="B2661" t="str">
        <f>IFERROR(IF(VLOOKUP(C2661,Hoja1!$B$1:$C$6191,2,0)="",_xlfn.XLOOKUP(C2661,Hoja1!$B$2:$B$6191,Hoja1!$A$2:$A$6191),VLOOKUP(C2661,Hoja1!$B$1:$C$6191,2,0)),"No esta en Infor")</f>
        <v>NAC1413</v>
      </c>
      <c r="C2661" s="7" t="s">
        <v>342</v>
      </c>
      <c r="D2661" s="2">
        <v>32927.58</v>
      </c>
      <c r="E2661" s="7"/>
      <c r="F2661" s="7">
        <v>0</v>
      </c>
      <c r="G2661" s="7">
        <v>0</v>
      </c>
      <c r="H2661" s="17">
        <v>17836.3</v>
      </c>
      <c r="I2661" s="7">
        <v>0</v>
      </c>
      <c r="J2661" s="17">
        <f t="shared" si="0"/>
        <v>50763.880000000005</v>
      </c>
    </row>
    <row r="2662" spans="1:10" ht="15.75" x14ac:dyDescent="0.25">
      <c r="A2662" s="21">
        <v>45565</v>
      </c>
      <c r="B2662" t="str">
        <f>IFERROR(IF(VLOOKUP(C2662,Hoja1!$B$1:$C$6191,2,0)="",_xlfn.XLOOKUP(C2662,Hoja1!$B$2:$B$6191,Hoja1!$A$2:$A$6191),VLOOKUP(C2662,Hoja1!$B$1:$C$6191,2,0)),"No esta en Infor")</f>
        <v>NAC1448</v>
      </c>
      <c r="C2662" s="7" t="s">
        <v>9</v>
      </c>
      <c r="D2662" s="2">
        <v>27271.84</v>
      </c>
      <c r="E2662" s="7"/>
      <c r="F2662" s="17">
        <v>5298.57</v>
      </c>
      <c r="G2662" s="7">
        <v>300</v>
      </c>
      <c r="H2662" s="17">
        <v>2310</v>
      </c>
      <c r="I2662" s="7">
        <v>0</v>
      </c>
      <c r="J2662" s="17">
        <f t="shared" si="0"/>
        <v>35180.410000000003</v>
      </c>
    </row>
    <row r="2663" spans="1:10" ht="15.75" x14ac:dyDescent="0.25">
      <c r="A2663" s="21">
        <v>45565</v>
      </c>
      <c r="B2663" t="str">
        <f>IFERROR(IF(VLOOKUP(C2663,Hoja1!$B$1:$C$6191,2,0)="",_xlfn.XLOOKUP(C2663,Hoja1!$B$2:$B$6191,Hoja1!$A$2:$A$6191),VLOOKUP(C2663,Hoja1!$B$1:$C$6191,2,0)),"No esta en Infor")</f>
        <v>CAN0073</v>
      </c>
      <c r="C2663" s="7" t="s">
        <v>349</v>
      </c>
      <c r="D2663" s="2">
        <v>8589.32</v>
      </c>
      <c r="E2663" s="7"/>
      <c r="F2663" s="17">
        <v>1091.8900000000001</v>
      </c>
      <c r="G2663" s="7">
        <v>240.07</v>
      </c>
      <c r="H2663" s="7">
        <v>0</v>
      </c>
      <c r="I2663" s="7">
        <v>0</v>
      </c>
      <c r="J2663" s="17">
        <f t="shared" si="0"/>
        <v>9921.2799999999988</v>
      </c>
    </row>
    <row r="2664" spans="1:10" ht="15.75" x14ac:dyDescent="0.25">
      <c r="A2664" s="21">
        <v>45565</v>
      </c>
      <c r="B2664" t="str">
        <f>IFERROR(IF(VLOOKUP(C2664,Hoja1!$B$1:$C$6191,2,0)="",_xlfn.XLOOKUP(C2664,Hoja1!$B$2:$B$6191,Hoja1!$A$2:$A$6191),VLOOKUP(C2664,Hoja1!$B$1:$C$6191,2,0)),"No esta en Infor")</f>
        <v>NAC1450</v>
      </c>
      <c r="C2664" s="7" t="s">
        <v>54</v>
      </c>
      <c r="D2664" s="1">
        <v>314.52999999999997</v>
      </c>
      <c r="E2664" s="7"/>
      <c r="F2664" s="7">
        <v>0</v>
      </c>
      <c r="G2664" s="7">
        <v>12</v>
      </c>
      <c r="H2664" s="7">
        <v>0</v>
      </c>
      <c r="I2664" s="7">
        <v>108.75</v>
      </c>
      <c r="J2664" s="17">
        <f t="shared" si="0"/>
        <v>435.28</v>
      </c>
    </row>
    <row r="2665" spans="1:10" ht="15.75" x14ac:dyDescent="0.25">
      <c r="A2665" s="21">
        <v>45565</v>
      </c>
      <c r="B2665" t="str">
        <f>IFERROR(IF(VLOOKUP(C2665,Hoja1!$B$1:$C$6191,2,0)="",_xlfn.XLOOKUP(C2665,Hoja1!$B$2:$B$6191,Hoja1!$A$2:$A$6191),VLOOKUP(C2665,Hoja1!$B$1:$C$6191,2,0)),"No esta en Infor")</f>
        <v>NAC1500</v>
      </c>
      <c r="C2665" s="7" t="s">
        <v>432</v>
      </c>
      <c r="D2665" s="1">
        <v>448</v>
      </c>
      <c r="E2665" s="7"/>
      <c r="F2665" s="7">
        <v>0</v>
      </c>
      <c r="G2665" s="7">
        <v>51.8</v>
      </c>
      <c r="H2665" s="7">
        <v>0</v>
      </c>
      <c r="I2665" s="7">
        <v>0</v>
      </c>
      <c r="J2665" s="17">
        <f t="shared" si="0"/>
        <v>499.8</v>
      </c>
    </row>
    <row r="2666" spans="1:10" ht="15.75" x14ac:dyDescent="0.25">
      <c r="A2666" s="21">
        <v>45565</v>
      </c>
      <c r="B2666" t="str">
        <f>IFERROR(IF(VLOOKUP(C2666,Hoja1!$B$1:$C$6191,2,0)="",_xlfn.XLOOKUP(C2666,Hoja1!$B$2:$B$6191,Hoja1!$A$2:$A$6191),VLOOKUP(C2666,Hoja1!$B$1:$C$6191,2,0)),"No esta en Infor")</f>
        <v>NAC1512</v>
      </c>
      <c r="C2666" s="7" t="s">
        <v>56</v>
      </c>
      <c r="D2666" s="1">
        <v>0</v>
      </c>
      <c r="E2666" s="7"/>
      <c r="F2666" s="7">
        <v>0</v>
      </c>
      <c r="G2666" s="7">
        <v>0</v>
      </c>
      <c r="H2666" s="17">
        <v>4470</v>
      </c>
      <c r="I2666" s="17">
        <v>8020</v>
      </c>
      <c r="J2666" s="17">
        <f t="shared" si="0"/>
        <v>12490</v>
      </c>
    </row>
    <row r="2667" spans="1:10" ht="15.75" x14ac:dyDescent="0.25">
      <c r="A2667" s="21">
        <v>45565</v>
      </c>
      <c r="B2667" t="str">
        <f>IFERROR(IF(VLOOKUP(C2667,Hoja1!$B$1:$C$6191,2,0)="",_xlfn.XLOOKUP(C2667,Hoja1!$B$2:$B$6191,Hoja1!$A$2:$A$6191),VLOOKUP(C2667,Hoja1!$B$1:$C$6191,2,0)),"No esta en Infor")</f>
        <v>CAN0087</v>
      </c>
      <c r="C2667" s="19" t="s">
        <v>1091</v>
      </c>
      <c r="D2667" s="2">
        <v>15842.04</v>
      </c>
      <c r="E2667" s="7"/>
      <c r="F2667" s="17">
        <v>34681.919999999998</v>
      </c>
      <c r="G2667" s="7">
        <v>0</v>
      </c>
      <c r="H2667" s="7">
        <v>0</v>
      </c>
      <c r="I2667" s="7">
        <v>0</v>
      </c>
      <c r="J2667" s="17">
        <f t="shared" si="0"/>
        <v>50523.96</v>
      </c>
    </row>
    <row r="2668" spans="1:10" ht="15.75" x14ac:dyDescent="0.25">
      <c r="A2668" s="21">
        <v>45565</v>
      </c>
      <c r="B2668" t="str">
        <f>IFERROR(IF(VLOOKUP(C2668,Hoja1!$B$1:$C$6191,2,0)="",_xlfn.XLOOKUP(C2668,Hoja1!$B$2:$B$6191,Hoja1!$A$2:$A$6191),VLOOKUP(C2668,Hoja1!$B$1:$C$6191,2,0)),"No esta en Infor")</f>
        <v>NAC0456</v>
      </c>
      <c r="C2668" s="6" t="s">
        <v>10</v>
      </c>
      <c r="D2668" s="3">
        <v>578.30999999999995</v>
      </c>
      <c r="E2668" s="6"/>
      <c r="F2668" s="6">
        <v>0</v>
      </c>
      <c r="G2668" s="6">
        <v>-42.12</v>
      </c>
      <c r="H2668" s="6">
        <v>0</v>
      </c>
      <c r="I2668" s="6">
        <v>0</v>
      </c>
      <c r="J2668" s="18">
        <f t="shared" si="0"/>
        <v>536.18999999999994</v>
      </c>
    </row>
    <row r="2669" spans="1:10" ht="15.75" x14ac:dyDescent="0.25">
      <c r="A2669" s="21">
        <v>45565</v>
      </c>
      <c r="B2669" t="str">
        <f>IFERROR(IF(VLOOKUP(C2669,Hoja1!$B$1:$C$6191,2,0)="",_xlfn.XLOOKUP(C2669,Hoja1!$B$2:$B$6191,Hoja1!$A$2:$A$6191),VLOOKUP(C2669,Hoja1!$B$1:$C$6191,2,0)),"No esta en Infor")</f>
        <v>NAC0474</v>
      </c>
      <c r="C2669" s="6" t="s">
        <v>375</v>
      </c>
      <c r="D2669" s="3">
        <v>-3</v>
      </c>
      <c r="E2669" s="6"/>
      <c r="F2669" s="6">
        <v>0</v>
      </c>
      <c r="G2669" s="6">
        <v>0</v>
      </c>
      <c r="H2669" s="6">
        <v>0</v>
      </c>
      <c r="I2669" s="6">
        <v>0</v>
      </c>
      <c r="J2669" s="18">
        <f t="shared" si="0"/>
        <v>-3</v>
      </c>
    </row>
    <row r="2670" spans="1:10" ht="15.75" x14ac:dyDescent="0.25">
      <c r="A2670" s="21">
        <v>45565</v>
      </c>
      <c r="B2670" t="str">
        <f>IFERROR(IF(VLOOKUP(C2670,Hoja1!$B$1:$C$6191,2,0)="",_xlfn.XLOOKUP(C2670,Hoja1!$B$2:$B$6191,Hoja1!$A$2:$A$6191),VLOOKUP(C2670,Hoja1!$B$1:$C$6191,2,0)),"No esta en Infor")</f>
        <v>CAN0001</v>
      </c>
      <c r="C2670" s="6" t="s">
        <v>64</v>
      </c>
      <c r="D2670" s="4">
        <v>68360.89</v>
      </c>
      <c r="E2670" s="6"/>
      <c r="F2670" s="6">
        <v>0</v>
      </c>
      <c r="G2670" s="6">
        <v>0</v>
      </c>
      <c r="H2670" s="6">
        <v>0</v>
      </c>
      <c r="I2670" s="6">
        <v>0</v>
      </c>
      <c r="J2670" s="18">
        <f t="shared" si="0"/>
        <v>68360.89</v>
      </c>
    </row>
    <row r="2671" spans="1:10" ht="15.75" x14ac:dyDescent="0.25">
      <c r="A2671" s="21">
        <v>45565</v>
      </c>
      <c r="B2671" t="str">
        <f>IFERROR(IF(VLOOKUP(C2671,Hoja1!$B$1:$C$6191,2,0)="",_xlfn.XLOOKUP(C2671,Hoja1!$B$2:$B$6191,Hoja1!$A$2:$A$6191),VLOOKUP(C2671,Hoja1!$B$1:$C$6191,2,0)),"No esta en Infor")</f>
        <v>NAC0513</v>
      </c>
      <c r="C2671" s="6" t="s">
        <v>377</v>
      </c>
      <c r="D2671" s="3">
        <v>0</v>
      </c>
      <c r="E2671" s="6"/>
      <c r="F2671" s="6">
        <v>0</v>
      </c>
      <c r="G2671" s="6">
        <v>-220.24</v>
      </c>
      <c r="H2671" s="6">
        <v>0</v>
      </c>
      <c r="I2671" s="6">
        <v>0</v>
      </c>
      <c r="J2671" s="18">
        <f t="shared" si="0"/>
        <v>-220.24</v>
      </c>
    </row>
    <row r="2672" spans="1:10" ht="15.75" x14ac:dyDescent="0.25">
      <c r="A2672" s="21">
        <v>45565</v>
      </c>
      <c r="B2672" t="str">
        <f>IFERROR(IF(VLOOKUP(C2672,Hoja1!$B$1:$C$6191,2,0)="",_xlfn.XLOOKUP(C2672,Hoja1!$B$2:$B$6191,Hoja1!$A$2:$A$6191),VLOOKUP(C2672,Hoja1!$B$1:$C$6191,2,0)),"No esta en Infor")</f>
        <v>NAC0520</v>
      </c>
      <c r="C2672" s="6" t="s">
        <v>68</v>
      </c>
      <c r="D2672" s="4">
        <v>376486.6</v>
      </c>
      <c r="E2672" s="6"/>
      <c r="F2672" s="6">
        <v>0</v>
      </c>
      <c r="G2672" s="6">
        <v>-13.6</v>
      </c>
      <c r="H2672" s="6">
        <v>-458.32</v>
      </c>
      <c r="I2672" s="6">
        <v>-0.01</v>
      </c>
      <c r="J2672" s="18">
        <f t="shared" si="0"/>
        <v>376014.67</v>
      </c>
    </row>
    <row r="2673" spans="1:10" ht="15.75" x14ac:dyDescent="0.25">
      <c r="A2673" s="21">
        <v>45565</v>
      </c>
      <c r="B2673" t="str">
        <f>IFERROR(IF(VLOOKUP(C2673,Hoja1!$B$1:$C$6191,2,0)="",_xlfn.XLOOKUP(C2673,Hoja1!$B$2:$B$6191,Hoja1!$A$2:$A$6191),VLOOKUP(C2673,Hoja1!$B$1:$C$6191,2,0)),"No esta en Infor")</f>
        <v>SH02964</v>
      </c>
      <c r="C2673" s="6" t="s">
        <v>648</v>
      </c>
      <c r="D2673" s="3">
        <v>105.18</v>
      </c>
      <c r="E2673" s="6"/>
      <c r="F2673" s="6">
        <v>0</v>
      </c>
      <c r="G2673" s="6">
        <v>0</v>
      </c>
      <c r="H2673" s="6">
        <v>0</v>
      </c>
      <c r="I2673" s="6">
        <v>0</v>
      </c>
      <c r="J2673" s="18">
        <f t="shared" si="0"/>
        <v>105.18</v>
      </c>
    </row>
    <row r="2674" spans="1:10" ht="15.75" x14ac:dyDescent="0.25">
      <c r="A2674" s="21">
        <v>45565</v>
      </c>
      <c r="B2674" t="str">
        <f>IFERROR(IF(VLOOKUP(C2674,Hoja1!$B$1:$C$6191,2,0)="",_xlfn.XLOOKUP(C2674,Hoja1!$B$2:$B$6191,Hoja1!$A$2:$A$6191),VLOOKUP(C2674,Hoja1!$B$1:$C$6191,2,0)),"No esta en Infor")</f>
        <v>NAC1617</v>
      </c>
      <c r="C2674" s="6" t="s">
        <v>70</v>
      </c>
      <c r="D2674" s="3">
        <v>0</v>
      </c>
      <c r="E2674" s="6"/>
      <c r="F2674" s="6">
        <v>0</v>
      </c>
      <c r="G2674" s="6">
        <v>0</v>
      </c>
      <c r="H2674" s="6">
        <v>0</v>
      </c>
      <c r="I2674" s="18">
        <v>8803.11</v>
      </c>
      <c r="J2674" s="18">
        <f t="shared" si="0"/>
        <v>8803.11</v>
      </c>
    </row>
    <row r="2675" spans="1:10" ht="15.75" x14ac:dyDescent="0.25">
      <c r="A2675" s="21">
        <v>45565</v>
      </c>
      <c r="B2675" t="str">
        <f>IFERROR(IF(VLOOKUP(C2675,Hoja1!$B$1:$C$6191,2,0)="",_xlfn.XLOOKUP(C2675,Hoja1!$B$2:$B$6191,Hoja1!$A$2:$A$6191),VLOOKUP(C2675,Hoja1!$B$1:$C$6191,2,0)),"No esta en Infor")</f>
        <v>NAC0528</v>
      </c>
      <c r="C2675" s="6" t="s">
        <v>76</v>
      </c>
      <c r="D2675" s="4">
        <v>2495</v>
      </c>
      <c r="E2675" s="6"/>
      <c r="F2675" s="6">
        <v>0</v>
      </c>
      <c r="G2675" s="6">
        <v>0</v>
      </c>
      <c r="H2675" s="6">
        <v>0</v>
      </c>
      <c r="I2675" s="6">
        <v>0</v>
      </c>
      <c r="J2675" s="18">
        <f t="shared" si="0"/>
        <v>2495</v>
      </c>
    </row>
    <row r="2676" spans="1:10" ht="15.75" x14ac:dyDescent="0.25">
      <c r="A2676" s="21">
        <v>45565</v>
      </c>
      <c r="B2676" t="str">
        <f>IFERROR(IF(VLOOKUP(C2676,Hoja1!$B$1:$C$6191,2,0)="",_xlfn.XLOOKUP(C2676,Hoja1!$B$2:$B$6191,Hoja1!$A$2:$A$6191),VLOOKUP(C2676,Hoja1!$B$1:$C$6191,2,0)),"No esta en Infor")</f>
        <v>SH02966</v>
      </c>
      <c r="C2676" s="6" t="s">
        <v>649</v>
      </c>
      <c r="D2676" s="3">
        <v>466.6</v>
      </c>
      <c r="E2676" s="6"/>
      <c r="F2676" s="6">
        <v>0</v>
      </c>
      <c r="G2676" s="6">
        <v>0</v>
      </c>
      <c r="H2676" s="6">
        <v>0</v>
      </c>
      <c r="I2676" s="6">
        <v>0</v>
      </c>
      <c r="J2676" s="18">
        <f t="shared" si="0"/>
        <v>466.6</v>
      </c>
    </row>
    <row r="2677" spans="1:10" ht="15.75" x14ac:dyDescent="0.25">
      <c r="A2677" s="21">
        <v>45565</v>
      </c>
      <c r="B2677" t="str">
        <f>IFERROR(IF(VLOOKUP(C2677,Hoja1!$B$1:$C$6191,2,0)="",_xlfn.XLOOKUP(C2677,Hoja1!$B$2:$B$6191,Hoja1!$A$2:$A$6191),VLOOKUP(C2677,Hoja1!$B$1:$C$6191,2,0)),"No esta en Infor")</f>
        <v>NAC0532</v>
      </c>
      <c r="C2677" s="6" t="s">
        <v>612</v>
      </c>
      <c r="D2677" s="3">
        <v>-92.32</v>
      </c>
      <c r="E2677" s="6"/>
      <c r="F2677" s="6">
        <v>0</v>
      </c>
      <c r="G2677" s="6">
        <v>0</v>
      </c>
      <c r="H2677" s="6">
        <v>0</v>
      </c>
      <c r="I2677" s="6">
        <v>0</v>
      </c>
      <c r="J2677" s="18">
        <f t="shared" si="0"/>
        <v>-92.32</v>
      </c>
    </row>
    <row r="2678" spans="1:10" ht="15.75" x14ac:dyDescent="0.25">
      <c r="A2678" s="21">
        <v>45565</v>
      </c>
      <c r="B2678" t="str">
        <f>IFERROR(IF(VLOOKUP(C2678,Hoja1!$B$1:$C$6191,2,0)="",_xlfn.XLOOKUP(C2678,Hoja1!$B$2:$B$6191,Hoja1!$A$2:$A$6191),VLOOKUP(C2678,Hoja1!$B$1:$C$6191,2,0)),"No esta en Infor")</f>
        <v>NAC0537</v>
      </c>
      <c r="C2678" s="6" t="s">
        <v>13</v>
      </c>
      <c r="D2678" s="4">
        <v>1765.32</v>
      </c>
      <c r="E2678" s="6"/>
      <c r="F2678" s="6">
        <v>0</v>
      </c>
      <c r="G2678" s="6">
        <v>0</v>
      </c>
      <c r="H2678" s="6">
        <v>0</v>
      </c>
      <c r="I2678" s="6">
        <v>0</v>
      </c>
      <c r="J2678" s="18">
        <f t="shared" si="0"/>
        <v>1765.32</v>
      </c>
    </row>
    <row r="2679" spans="1:10" ht="15.75" x14ac:dyDescent="0.25">
      <c r="A2679" s="21">
        <v>45565</v>
      </c>
      <c r="B2679" t="str">
        <f>IFERROR(IF(VLOOKUP(C2679,Hoja1!$B$1:$C$6191,2,0)="",_xlfn.XLOOKUP(C2679,Hoja1!$B$2:$B$6191,Hoja1!$A$2:$A$6191),VLOOKUP(C2679,Hoja1!$B$1:$C$6191,2,0)),"No esta en Infor")</f>
        <v>NAC0546</v>
      </c>
      <c r="C2679" s="6" t="s">
        <v>83</v>
      </c>
      <c r="D2679" s="4">
        <v>3480</v>
      </c>
      <c r="E2679" s="6"/>
      <c r="F2679" s="6">
        <v>0</v>
      </c>
      <c r="G2679" s="6">
        <v>0</v>
      </c>
      <c r="H2679" s="6">
        <v>0</v>
      </c>
      <c r="I2679" s="6">
        <v>0</v>
      </c>
      <c r="J2679" s="18">
        <f t="shared" si="0"/>
        <v>3480</v>
      </c>
    </row>
    <row r="2680" spans="1:10" ht="15.75" x14ac:dyDescent="0.25">
      <c r="A2680" s="21">
        <v>45565</v>
      </c>
      <c r="B2680" t="str">
        <f>IFERROR(IF(VLOOKUP(C2680,Hoja1!$B$1:$C$6191,2,0)="",_xlfn.XLOOKUP(C2680,Hoja1!$B$2:$B$6191,Hoja1!$A$2:$A$6191),VLOOKUP(C2680,Hoja1!$B$1:$C$6191,2,0)),"No esta en Infor")</f>
        <v>NAC0550</v>
      </c>
      <c r="C2680" s="6" t="s">
        <v>84</v>
      </c>
      <c r="D2680" s="4">
        <v>58050</v>
      </c>
      <c r="E2680" s="6"/>
      <c r="F2680" s="6">
        <v>0</v>
      </c>
      <c r="G2680" s="6">
        <v>0</v>
      </c>
      <c r="H2680" s="6">
        <v>0</v>
      </c>
      <c r="I2680" s="6">
        <v>0</v>
      </c>
      <c r="J2680" s="18">
        <f t="shared" si="0"/>
        <v>58050</v>
      </c>
    </row>
    <row r="2681" spans="1:10" ht="15.75" x14ac:dyDescent="0.25">
      <c r="A2681" s="21">
        <v>45565</v>
      </c>
      <c r="B2681" t="str">
        <f>IFERROR(IF(VLOOKUP(C2681,Hoja1!$B$1:$C$6191,2,0)="",_xlfn.XLOOKUP(C2681,Hoja1!$B$2:$B$6191,Hoja1!$A$2:$A$6191),VLOOKUP(C2681,Hoja1!$B$1:$C$6191,2,0)),"No esta en Infor")</f>
        <v>NAC0551</v>
      </c>
      <c r="C2681" s="6" t="s">
        <v>85</v>
      </c>
      <c r="D2681" s="4">
        <v>1713</v>
      </c>
      <c r="E2681" s="6"/>
      <c r="F2681" s="6">
        <v>0</v>
      </c>
      <c r="G2681" s="6">
        <v>0</v>
      </c>
      <c r="H2681" s="6">
        <v>0</v>
      </c>
      <c r="I2681" s="6">
        <v>0</v>
      </c>
      <c r="J2681" s="18">
        <f t="shared" si="0"/>
        <v>1713</v>
      </c>
    </row>
    <row r="2682" spans="1:10" ht="15.75" x14ac:dyDescent="0.25">
      <c r="A2682" s="21">
        <v>45565</v>
      </c>
      <c r="B2682" t="str">
        <f>IFERROR(IF(VLOOKUP(C2682,Hoja1!$B$1:$C$6191,2,0)="",_xlfn.XLOOKUP(C2682,Hoja1!$B$2:$B$6191,Hoja1!$A$2:$A$6191),VLOOKUP(C2682,Hoja1!$B$1:$C$6191,2,0)),"No esta en Infor")</f>
        <v>NAC0556</v>
      </c>
      <c r="C2682" s="6" t="s">
        <v>14</v>
      </c>
      <c r="D2682" s="4">
        <v>84944.1</v>
      </c>
      <c r="E2682" s="6"/>
      <c r="F2682" s="6">
        <v>0</v>
      </c>
      <c r="G2682" s="6">
        <v>0</v>
      </c>
      <c r="H2682" s="6">
        <v>0</v>
      </c>
      <c r="I2682" s="6">
        <v>0</v>
      </c>
      <c r="J2682" s="18">
        <f t="shared" ref="J2682:J2745" si="1">SUM(D2682:I2682)</f>
        <v>84944.1</v>
      </c>
    </row>
    <row r="2683" spans="1:10" ht="15.75" x14ac:dyDescent="0.25">
      <c r="A2683" s="21">
        <v>45565</v>
      </c>
      <c r="B2683" t="str">
        <f>IFERROR(IF(VLOOKUP(C2683,Hoja1!$B$1:$C$6191,2,0)="",_xlfn.XLOOKUP(C2683,Hoja1!$B$2:$B$6191,Hoja1!$A$2:$A$6191),VLOOKUP(C2683,Hoja1!$B$1:$C$6191,2,0)),"No esta en Infor")</f>
        <v>NAC0558</v>
      </c>
      <c r="C2683" s="6" t="s">
        <v>86</v>
      </c>
      <c r="D2683" s="4">
        <v>15844.4</v>
      </c>
      <c r="E2683" s="6"/>
      <c r="F2683" s="6">
        <v>0</v>
      </c>
      <c r="G2683" s="6">
        <v>0</v>
      </c>
      <c r="H2683" s="6">
        <v>0</v>
      </c>
      <c r="I2683" s="6">
        <v>0</v>
      </c>
      <c r="J2683" s="18">
        <f t="shared" si="1"/>
        <v>15844.4</v>
      </c>
    </row>
    <row r="2684" spans="1:10" ht="15.75" x14ac:dyDescent="0.25">
      <c r="A2684" s="21">
        <v>45565</v>
      </c>
      <c r="B2684" t="str">
        <f>IFERROR(IF(VLOOKUP(C2684,Hoja1!$B$1:$C$6191,2,0)="",_xlfn.XLOOKUP(C2684,Hoja1!$B$2:$B$6191,Hoja1!$A$2:$A$6191),VLOOKUP(C2684,Hoja1!$B$1:$C$6191,2,0)),"No esta en Infor")</f>
        <v>NAC0567</v>
      </c>
      <c r="C2684" s="6" t="s">
        <v>541</v>
      </c>
      <c r="D2684" s="3">
        <v>-608.84</v>
      </c>
      <c r="E2684" s="6"/>
      <c r="F2684" s="6">
        <v>0</v>
      </c>
      <c r="G2684" s="6">
        <v>0</v>
      </c>
      <c r="H2684" s="6">
        <v>0</v>
      </c>
      <c r="I2684" s="6">
        <v>0</v>
      </c>
      <c r="J2684" s="18">
        <f t="shared" si="1"/>
        <v>-608.84</v>
      </c>
    </row>
    <row r="2685" spans="1:10" ht="15.75" x14ac:dyDescent="0.25">
      <c r="A2685" s="21">
        <v>45565</v>
      </c>
      <c r="B2685" t="str">
        <f>IFERROR(IF(VLOOKUP(C2685,Hoja1!$B$1:$C$6191,2,0)="",_xlfn.XLOOKUP(C2685,Hoja1!$B$2:$B$6191,Hoja1!$A$2:$A$6191),VLOOKUP(C2685,Hoja1!$B$1:$C$6191,2,0)),"No esta en Infor")</f>
        <v>SH02874</v>
      </c>
      <c r="C2685" s="6" t="s">
        <v>650</v>
      </c>
      <c r="D2685" s="3">
        <v>13.83</v>
      </c>
      <c r="E2685" s="6"/>
      <c r="F2685" s="6">
        <v>0</v>
      </c>
      <c r="G2685" s="6">
        <v>0</v>
      </c>
      <c r="H2685" s="6">
        <v>0</v>
      </c>
      <c r="I2685" s="6">
        <v>0</v>
      </c>
      <c r="J2685" s="18">
        <f t="shared" si="1"/>
        <v>13.83</v>
      </c>
    </row>
    <row r="2686" spans="1:10" ht="15.75" x14ac:dyDescent="0.25">
      <c r="A2686" s="21">
        <v>45565</v>
      </c>
      <c r="B2686" t="str">
        <f>IFERROR(IF(VLOOKUP(C2686,Hoja1!$B$1:$C$6191,2,0)="",_xlfn.XLOOKUP(C2686,Hoja1!$B$2:$B$6191,Hoja1!$A$2:$A$6191),VLOOKUP(C2686,Hoja1!$B$1:$C$6191,2,0)),"No esta en Infor")</f>
        <v>CAN0003</v>
      </c>
      <c r="C2686" s="6" t="s">
        <v>441</v>
      </c>
      <c r="D2686" s="4">
        <v>30178.31</v>
      </c>
      <c r="E2686" s="6"/>
      <c r="F2686" s="6">
        <v>0</v>
      </c>
      <c r="G2686" s="6">
        <v>0</v>
      </c>
      <c r="H2686" s="6">
        <v>0</v>
      </c>
      <c r="I2686" s="6">
        <v>0</v>
      </c>
      <c r="J2686" s="18">
        <f t="shared" si="1"/>
        <v>30178.31</v>
      </c>
    </row>
    <row r="2687" spans="1:10" ht="15.75" x14ac:dyDescent="0.25">
      <c r="A2687" s="21">
        <v>45565</v>
      </c>
      <c r="B2687" t="str">
        <f>IFERROR(IF(VLOOKUP(C2687,Hoja1!$B$1:$C$6191,2,0)="",_xlfn.XLOOKUP(C2687,Hoja1!$B$2:$B$6191,Hoja1!$A$2:$A$6191),VLOOKUP(C2687,Hoja1!$B$1:$C$6191,2,0)),"No esta en Infor")</f>
        <v>CAN0004</v>
      </c>
      <c r="C2687" s="6" t="s">
        <v>651</v>
      </c>
      <c r="D2687" s="4">
        <v>-9557.11</v>
      </c>
      <c r="E2687" s="6"/>
      <c r="F2687" s="6">
        <v>0</v>
      </c>
      <c r="G2687" s="6">
        <v>0</v>
      </c>
      <c r="H2687" s="6">
        <v>0</v>
      </c>
      <c r="I2687" s="6">
        <v>0</v>
      </c>
      <c r="J2687" s="18">
        <f t="shared" si="1"/>
        <v>-9557.11</v>
      </c>
    </row>
    <row r="2688" spans="1:10" ht="15.75" x14ac:dyDescent="0.25">
      <c r="A2688" s="21">
        <v>45565</v>
      </c>
      <c r="B2688" t="str">
        <f>IFERROR(IF(VLOOKUP(C2688,Hoja1!$B$1:$C$6191,2,0)="",_xlfn.XLOOKUP(C2688,Hoja1!$B$2:$B$6191,Hoja1!$A$2:$A$6191),VLOOKUP(C2688,Hoja1!$B$1:$C$6191,2,0)),"No esta en Infor")</f>
        <v>SH02917</v>
      </c>
      <c r="C2688" s="6" t="s">
        <v>652</v>
      </c>
      <c r="D2688" s="3">
        <v>-47.61</v>
      </c>
      <c r="E2688" s="6"/>
      <c r="F2688" s="6">
        <v>0</v>
      </c>
      <c r="G2688" s="6">
        <v>0</v>
      </c>
      <c r="H2688" s="6">
        <v>0</v>
      </c>
      <c r="I2688" s="6">
        <v>0</v>
      </c>
      <c r="J2688" s="18">
        <f t="shared" si="1"/>
        <v>-47.61</v>
      </c>
    </row>
    <row r="2689" spans="1:10" ht="15.75" x14ac:dyDescent="0.25">
      <c r="A2689" s="21">
        <v>45565</v>
      </c>
      <c r="B2689" t="str">
        <f>IFERROR(IF(VLOOKUP(C2689,Hoja1!$B$1:$C$6191,2,0)="",_xlfn.XLOOKUP(C2689,Hoja1!$B$2:$B$6191,Hoja1!$A$2:$A$6191),VLOOKUP(C2689,Hoja1!$B$1:$C$6191,2,0)),"No esta en Infor")</f>
        <v>NAC0594</v>
      </c>
      <c r="C2689" s="6" t="s">
        <v>94</v>
      </c>
      <c r="D2689" s="4">
        <v>48572.4</v>
      </c>
      <c r="E2689" s="6"/>
      <c r="F2689" s="6">
        <v>0</v>
      </c>
      <c r="G2689" s="6">
        <v>0</v>
      </c>
      <c r="H2689" s="6">
        <v>0</v>
      </c>
      <c r="I2689" s="6">
        <v>0</v>
      </c>
      <c r="J2689" s="18">
        <f t="shared" si="1"/>
        <v>48572.4</v>
      </c>
    </row>
    <row r="2690" spans="1:10" ht="15.75" x14ac:dyDescent="0.25">
      <c r="A2690" s="21">
        <v>45565</v>
      </c>
      <c r="B2690" t="str">
        <f>IFERROR(IF(VLOOKUP(C2690,Hoja1!$B$1:$C$6191,2,0)="",_xlfn.XLOOKUP(C2690,Hoja1!$B$2:$B$6191,Hoja1!$A$2:$A$6191),VLOOKUP(C2690,Hoja1!$B$1:$C$6191,2,0)),"No esta en Infor")</f>
        <v>NAC0600</v>
      </c>
      <c r="C2690" s="6" t="s">
        <v>96</v>
      </c>
      <c r="D2690" s="3">
        <v>197</v>
      </c>
      <c r="E2690" s="6"/>
      <c r="F2690" s="6">
        <v>0</v>
      </c>
      <c r="G2690" s="6">
        <v>0</v>
      </c>
      <c r="H2690" s="6">
        <v>0</v>
      </c>
      <c r="I2690" s="6">
        <v>0</v>
      </c>
      <c r="J2690" s="18">
        <f t="shared" si="1"/>
        <v>197</v>
      </c>
    </row>
    <row r="2691" spans="1:10" ht="15.75" x14ac:dyDescent="0.25">
      <c r="A2691" s="21">
        <v>45565</v>
      </c>
      <c r="B2691" t="str">
        <f>IFERROR(IF(VLOOKUP(C2691,Hoja1!$B$1:$C$6191,2,0)="",_xlfn.XLOOKUP(C2691,Hoja1!$B$2:$B$6191,Hoja1!$A$2:$A$6191),VLOOKUP(C2691,Hoja1!$B$1:$C$6191,2,0)),"No esta en Infor")</f>
        <v>CAN0006</v>
      </c>
      <c r="C2691" s="6" t="s">
        <v>17</v>
      </c>
      <c r="D2691" s="4">
        <v>7770.52</v>
      </c>
      <c r="E2691" s="6"/>
      <c r="F2691" s="6">
        <v>0</v>
      </c>
      <c r="G2691" s="18">
        <v>-1036.68</v>
      </c>
      <c r="H2691" s="6">
        <v>0</v>
      </c>
      <c r="I2691" s="6">
        <v>0</v>
      </c>
      <c r="J2691" s="18">
        <f t="shared" si="1"/>
        <v>6733.84</v>
      </c>
    </row>
    <row r="2692" spans="1:10" ht="15.75" x14ac:dyDescent="0.25">
      <c r="A2692" s="21">
        <v>45565</v>
      </c>
      <c r="B2692" t="str">
        <f>IFERROR(IF(VLOOKUP(C2692,Hoja1!$B$1:$C$6191,2,0)="",_xlfn.XLOOKUP(C2692,Hoja1!$B$2:$B$6191,Hoja1!$A$2:$A$6191),VLOOKUP(C2692,Hoja1!$B$1:$C$6191,2,0)),"No esta en Infor")</f>
        <v>NAC0612</v>
      </c>
      <c r="C2692" s="6" t="s">
        <v>100</v>
      </c>
      <c r="D2692" s="4">
        <v>14071.8</v>
      </c>
      <c r="E2692" s="6"/>
      <c r="F2692" s="6">
        <v>0</v>
      </c>
      <c r="G2692" s="6">
        <v>0</v>
      </c>
      <c r="H2692" s="6">
        <v>0</v>
      </c>
      <c r="I2692" s="6">
        <v>0</v>
      </c>
      <c r="J2692" s="18">
        <f t="shared" si="1"/>
        <v>14071.8</v>
      </c>
    </row>
    <row r="2693" spans="1:10" ht="15.75" x14ac:dyDescent="0.25">
      <c r="A2693" s="21">
        <v>45565</v>
      </c>
      <c r="B2693" t="str">
        <f>IFERROR(IF(VLOOKUP(C2693,Hoja1!$B$1:$C$6191,2,0)="",_xlfn.XLOOKUP(C2693,Hoja1!$B$2:$B$6191,Hoja1!$A$2:$A$6191),VLOOKUP(C2693,Hoja1!$B$1:$C$6191,2,0)),"No esta en Infor")</f>
        <v>NAC0613</v>
      </c>
      <c r="C2693" s="6" t="s">
        <v>101</v>
      </c>
      <c r="D2693" s="3">
        <v>0</v>
      </c>
      <c r="E2693" s="6"/>
      <c r="F2693" s="6">
        <v>0</v>
      </c>
      <c r="G2693" s="6">
        <v>0</v>
      </c>
      <c r="H2693" s="6">
        <v>-81.599999999999994</v>
      </c>
      <c r="I2693" s="6">
        <v>0</v>
      </c>
      <c r="J2693" s="18">
        <f t="shared" si="1"/>
        <v>-81.599999999999994</v>
      </c>
    </row>
    <row r="2694" spans="1:10" ht="15.75" x14ac:dyDescent="0.25">
      <c r="A2694" s="21">
        <v>45565</v>
      </c>
      <c r="B2694" t="str">
        <f>IFERROR(IF(VLOOKUP(C2694,Hoja1!$B$1:$C$6191,2,0)="",_xlfn.XLOOKUP(C2694,Hoja1!$B$2:$B$6191,Hoja1!$A$2:$A$6191),VLOOKUP(C2694,Hoja1!$B$1:$C$6191,2,0)),"No esta en Infor")</f>
        <v>NAC0624</v>
      </c>
      <c r="C2694" s="6" t="s">
        <v>105</v>
      </c>
      <c r="D2694" s="3">
        <v>0</v>
      </c>
      <c r="E2694" s="6"/>
      <c r="F2694" s="6">
        <v>0</v>
      </c>
      <c r="G2694" s="6">
        <v>-231</v>
      </c>
      <c r="H2694" s="6">
        <v>0</v>
      </c>
      <c r="I2694" s="6">
        <v>0</v>
      </c>
      <c r="J2694" s="18">
        <f t="shared" si="1"/>
        <v>-231</v>
      </c>
    </row>
    <row r="2695" spans="1:10" ht="15.75" x14ac:dyDescent="0.25">
      <c r="A2695" s="21">
        <v>45565</v>
      </c>
      <c r="B2695" t="str">
        <f>IFERROR(IF(VLOOKUP(C2695,Hoja1!$B$1:$C$6191,2,0)="",_xlfn.XLOOKUP(C2695,Hoja1!$B$2:$B$6191,Hoja1!$A$2:$A$6191),VLOOKUP(C2695,Hoja1!$B$1:$C$6191,2,0)),"No esta en Infor")</f>
        <v>NAC0630</v>
      </c>
      <c r="C2695" s="6" t="s">
        <v>653</v>
      </c>
      <c r="D2695" s="4">
        <v>46931.5</v>
      </c>
      <c r="E2695" s="6"/>
      <c r="F2695" s="6">
        <v>0</v>
      </c>
      <c r="G2695" s="6">
        <v>0</v>
      </c>
      <c r="H2695" s="6">
        <v>0</v>
      </c>
      <c r="I2695" s="6">
        <v>0</v>
      </c>
      <c r="J2695" s="18">
        <f t="shared" si="1"/>
        <v>46931.5</v>
      </c>
    </row>
    <row r="2696" spans="1:10" ht="15.75" x14ac:dyDescent="0.25">
      <c r="A2696" s="21">
        <v>45565</v>
      </c>
      <c r="B2696" t="str">
        <f>IFERROR(IF(VLOOKUP(C2696,Hoja1!$B$1:$C$6191,2,0)="",_xlfn.XLOOKUP(C2696,Hoja1!$B$2:$B$6191,Hoja1!$A$2:$A$6191),VLOOKUP(C2696,Hoja1!$B$1:$C$6191,2,0)),"No esta en Infor")</f>
        <v>SH00385</v>
      </c>
      <c r="C2696" s="6" t="s">
        <v>654</v>
      </c>
      <c r="D2696" s="3">
        <v>4.8499999999999996</v>
      </c>
      <c r="E2696" s="6"/>
      <c r="F2696" s="6">
        <v>0</v>
      </c>
      <c r="G2696" s="6">
        <v>0</v>
      </c>
      <c r="H2696" s="6">
        <v>0</v>
      </c>
      <c r="I2696" s="6">
        <v>0</v>
      </c>
      <c r="J2696" s="18">
        <f t="shared" si="1"/>
        <v>4.8499999999999996</v>
      </c>
    </row>
    <row r="2697" spans="1:10" ht="15.75" x14ac:dyDescent="0.25">
      <c r="A2697" s="21">
        <v>45565</v>
      </c>
      <c r="B2697" t="str">
        <f>IFERROR(IF(VLOOKUP(C2697,Hoja1!$B$1:$C$6191,2,0)="",_xlfn.XLOOKUP(C2697,Hoja1!$B$2:$B$6191,Hoja1!$A$2:$A$6191),VLOOKUP(C2697,Hoja1!$B$1:$C$6191,2,0)),"No esta en Infor")</f>
        <v>NAC0641</v>
      </c>
      <c r="C2697" s="6" t="s">
        <v>18</v>
      </c>
      <c r="D2697" s="4">
        <v>2082.4</v>
      </c>
      <c r="E2697" s="6"/>
      <c r="F2697" s="6">
        <v>0</v>
      </c>
      <c r="G2697" s="6">
        <v>0</v>
      </c>
      <c r="H2697" s="6">
        <v>0</v>
      </c>
      <c r="I2697" s="6">
        <v>0</v>
      </c>
      <c r="J2697" s="18">
        <f t="shared" si="1"/>
        <v>2082.4</v>
      </c>
    </row>
    <row r="2698" spans="1:10" ht="15.75" x14ac:dyDescent="0.25">
      <c r="A2698" s="21">
        <v>45565</v>
      </c>
      <c r="B2698" t="str">
        <f>IFERROR(IF(VLOOKUP(C2698,Hoja1!$B$1:$C$6191,2,0)="",_xlfn.XLOOKUP(C2698,Hoja1!$B$2:$B$6191,Hoja1!$A$2:$A$6191),VLOOKUP(C2698,Hoja1!$B$1:$C$6191,2,0)),"No esta en Infor")</f>
        <v>SH02673</v>
      </c>
      <c r="C2698" s="6" t="s">
        <v>655</v>
      </c>
      <c r="D2698" s="3">
        <v>-204.64</v>
      </c>
      <c r="E2698" s="6"/>
      <c r="F2698" s="6">
        <v>0</v>
      </c>
      <c r="G2698" s="6">
        <v>0</v>
      </c>
      <c r="H2698" s="6">
        <v>0</v>
      </c>
      <c r="I2698" s="6">
        <v>0</v>
      </c>
      <c r="J2698" s="18">
        <f t="shared" si="1"/>
        <v>-204.64</v>
      </c>
    </row>
    <row r="2699" spans="1:10" ht="15.75" x14ac:dyDescent="0.25">
      <c r="A2699" s="21">
        <v>45565</v>
      </c>
      <c r="B2699" t="str">
        <f>IFERROR(IF(VLOOKUP(C2699,Hoja1!$B$1:$C$6191,2,0)="",_xlfn.XLOOKUP(C2699,Hoja1!$B$2:$B$6191,Hoja1!$A$2:$A$6191),VLOOKUP(C2699,Hoja1!$B$1:$C$6191,2,0)),"No esta en Infor")</f>
        <v>NAC0649</v>
      </c>
      <c r="C2699" s="6" t="s">
        <v>614</v>
      </c>
      <c r="D2699" s="4">
        <v>4027</v>
      </c>
      <c r="E2699" s="6"/>
      <c r="F2699" s="6">
        <v>0</v>
      </c>
      <c r="G2699" s="6">
        <v>0</v>
      </c>
      <c r="H2699" s="6">
        <v>0</v>
      </c>
      <c r="I2699" s="6">
        <v>0</v>
      </c>
      <c r="J2699" s="18">
        <f t="shared" si="1"/>
        <v>4027</v>
      </c>
    </row>
    <row r="2700" spans="1:10" ht="15.75" x14ac:dyDescent="0.25">
      <c r="A2700" s="21">
        <v>45565</v>
      </c>
      <c r="B2700" t="str">
        <f>IFERROR(IF(VLOOKUP(C2700,Hoja1!$B$1:$C$6191,2,0)="",_xlfn.XLOOKUP(C2700,Hoja1!$B$2:$B$6191,Hoja1!$A$2:$A$6191),VLOOKUP(C2700,Hoja1!$B$1:$C$6191,2,0)),"No esta en Infor")</f>
        <v>NAC0657</v>
      </c>
      <c r="C2700" s="6" t="s">
        <v>114</v>
      </c>
      <c r="D2700" s="4">
        <v>8694</v>
      </c>
      <c r="E2700" s="6"/>
      <c r="F2700" s="6">
        <v>0</v>
      </c>
      <c r="G2700" s="6">
        <v>0</v>
      </c>
      <c r="H2700" s="6">
        <v>0</v>
      </c>
      <c r="I2700" s="6">
        <v>0</v>
      </c>
      <c r="J2700" s="18">
        <f t="shared" si="1"/>
        <v>8694</v>
      </c>
    </row>
    <row r="2701" spans="1:10" ht="15.75" x14ac:dyDescent="0.25">
      <c r="A2701" s="21">
        <v>45565</v>
      </c>
      <c r="B2701" t="str">
        <f>IFERROR(IF(VLOOKUP(C2701,Hoja1!$B$1:$C$6191,2,0)="",_xlfn.XLOOKUP(C2701,Hoja1!$B$2:$B$6191,Hoja1!$A$2:$A$6191),VLOOKUP(C2701,Hoja1!$B$1:$C$6191,2,0)),"No esta en Infor")</f>
        <v>CAN0008</v>
      </c>
      <c r="C2701" s="6" t="s">
        <v>115</v>
      </c>
      <c r="D2701" s="4">
        <v>-1815.87</v>
      </c>
      <c r="E2701" s="6"/>
      <c r="F2701" s="6">
        <v>0</v>
      </c>
      <c r="G2701" s="6">
        <v>0</v>
      </c>
      <c r="H2701" s="6">
        <v>0</v>
      </c>
      <c r="I2701" s="6">
        <v>0</v>
      </c>
      <c r="J2701" s="18">
        <f t="shared" si="1"/>
        <v>-1815.87</v>
      </c>
    </row>
    <row r="2702" spans="1:10" ht="15.75" x14ac:dyDescent="0.25">
      <c r="A2702" s="21">
        <v>45565</v>
      </c>
      <c r="B2702" t="str">
        <f>IFERROR(IF(VLOOKUP(C2702,Hoja1!$B$1:$C$6191,2,0)="",_xlfn.XLOOKUP(C2702,Hoja1!$B$2:$B$6191,Hoja1!$A$2:$A$6191),VLOOKUP(C2702,Hoja1!$B$1:$C$6191,2,0)),"No esta en Infor")</f>
        <v>NAC0666</v>
      </c>
      <c r="C2702" s="6" t="s">
        <v>118</v>
      </c>
      <c r="D2702" s="4">
        <v>5839.88</v>
      </c>
      <c r="E2702" s="6"/>
      <c r="F2702" s="6">
        <v>0</v>
      </c>
      <c r="G2702" s="6">
        <v>0</v>
      </c>
      <c r="H2702" s="6">
        <v>0</v>
      </c>
      <c r="I2702" s="6">
        <v>0</v>
      </c>
      <c r="J2702" s="18">
        <f t="shared" si="1"/>
        <v>5839.88</v>
      </c>
    </row>
    <row r="2703" spans="1:10" ht="15.75" x14ac:dyDescent="0.25">
      <c r="A2703" s="21">
        <v>45565</v>
      </c>
      <c r="B2703" t="str">
        <f>IFERROR(IF(VLOOKUP(C2703,Hoja1!$B$1:$C$6191,2,0)="",_xlfn.XLOOKUP(C2703,Hoja1!$B$2:$B$6191,Hoja1!$A$2:$A$6191),VLOOKUP(C2703,Hoja1!$B$1:$C$6191,2,0)),"No esta en Infor")</f>
        <v>NAC0669</v>
      </c>
      <c r="C2703" s="6" t="s">
        <v>119</v>
      </c>
      <c r="D2703" s="3">
        <v>835.99</v>
      </c>
      <c r="E2703" s="6"/>
      <c r="F2703" s="6">
        <v>0</v>
      </c>
      <c r="G2703" s="6">
        <v>0</v>
      </c>
      <c r="H2703" s="6">
        <v>0</v>
      </c>
      <c r="I2703" s="6">
        <v>0</v>
      </c>
      <c r="J2703" s="18">
        <f t="shared" si="1"/>
        <v>835.99</v>
      </c>
    </row>
    <row r="2704" spans="1:10" ht="15.75" x14ac:dyDescent="0.25">
      <c r="A2704" s="21">
        <v>45565</v>
      </c>
      <c r="B2704" t="str">
        <f>IFERROR(IF(VLOOKUP(C2704,Hoja1!$B$1:$C$6191,2,0)="",_xlfn.XLOOKUP(C2704,Hoja1!$B$2:$B$6191,Hoja1!$A$2:$A$6191),VLOOKUP(C2704,Hoja1!$B$1:$C$6191,2,0)),"No esta en Infor")</f>
        <v>SH02953</v>
      </c>
      <c r="C2704" s="6" t="s">
        <v>656</v>
      </c>
      <c r="D2704" s="3">
        <v>18.03</v>
      </c>
      <c r="E2704" s="6"/>
      <c r="F2704" s="6">
        <v>0</v>
      </c>
      <c r="G2704" s="6">
        <v>0</v>
      </c>
      <c r="H2704" s="6">
        <v>0</v>
      </c>
      <c r="I2704" s="6">
        <v>0</v>
      </c>
      <c r="J2704" s="18">
        <f t="shared" si="1"/>
        <v>18.03</v>
      </c>
    </row>
    <row r="2705" spans="1:10" ht="15.75" x14ac:dyDescent="0.25">
      <c r="A2705" s="21">
        <v>45565</v>
      </c>
      <c r="B2705" t="str">
        <f>IFERROR(IF(VLOOKUP(C2705,Hoja1!$B$1:$C$6191,2,0)="",_xlfn.XLOOKUP(C2705,Hoja1!$B$2:$B$6191,Hoja1!$A$2:$A$6191),VLOOKUP(C2705,Hoja1!$B$1:$C$6191,2,0)),"No esta en Infor")</f>
        <v>NAC0672</v>
      </c>
      <c r="C2705" s="6" t="s">
        <v>122</v>
      </c>
      <c r="D2705" s="4">
        <v>10464</v>
      </c>
      <c r="E2705" s="6"/>
      <c r="F2705" s="6">
        <v>0</v>
      </c>
      <c r="G2705" s="6">
        <v>0</v>
      </c>
      <c r="H2705" s="6">
        <v>0</v>
      </c>
      <c r="I2705" s="6">
        <v>0</v>
      </c>
      <c r="J2705" s="18">
        <f t="shared" si="1"/>
        <v>10464</v>
      </c>
    </row>
    <row r="2706" spans="1:10" ht="15.75" x14ac:dyDescent="0.25">
      <c r="A2706" s="21">
        <v>45565</v>
      </c>
      <c r="B2706" t="str">
        <f>IFERROR(IF(VLOOKUP(C2706,Hoja1!$B$1:$C$6191,2,0)="",_xlfn.XLOOKUP(C2706,Hoja1!$B$2:$B$6191,Hoja1!$A$2:$A$6191),VLOOKUP(C2706,Hoja1!$B$1:$C$6191,2,0)),"No esta en Infor")</f>
        <v>NAC0675</v>
      </c>
      <c r="C2706" s="6" t="s">
        <v>124</v>
      </c>
      <c r="D2706" s="4">
        <v>17523.150000000001</v>
      </c>
      <c r="E2706" s="6"/>
      <c r="F2706" s="6">
        <v>0</v>
      </c>
      <c r="G2706" s="6">
        <v>0</v>
      </c>
      <c r="H2706" s="6">
        <v>-787.89</v>
      </c>
      <c r="I2706" s="6">
        <v>0</v>
      </c>
      <c r="J2706" s="18">
        <f t="shared" si="1"/>
        <v>16735.260000000002</v>
      </c>
    </row>
    <row r="2707" spans="1:10" ht="15.75" x14ac:dyDescent="0.25">
      <c r="A2707" s="21">
        <v>45565</v>
      </c>
      <c r="B2707" t="str">
        <f>IFERROR(IF(VLOOKUP(C2707,Hoja1!$B$1:$C$6191,2,0)="",_xlfn.XLOOKUP(C2707,Hoja1!$B$2:$B$6191,Hoja1!$A$2:$A$6191),VLOOKUP(C2707,Hoja1!$B$1:$C$6191,2,0)),"No esta en Infor")</f>
        <v>NAC0680</v>
      </c>
      <c r="C2707" s="6" t="s">
        <v>125</v>
      </c>
      <c r="D2707" s="4">
        <v>7120</v>
      </c>
      <c r="E2707" s="6"/>
      <c r="F2707" s="6">
        <v>0</v>
      </c>
      <c r="G2707" s="6">
        <v>0</v>
      </c>
      <c r="H2707" s="6">
        <v>0</v>
      </c>
      <c r="I2707" s="6">
        <v>0</v>
      </c>
      <c r="J2707" s="18">
        <f t="shared" si="1"/>
        <v>7120</v>
      </c>
    </row>
    <row r="2708" spans="1:10" ht="15.75" x14ac:dyDescent="0.25">
      <c r="A2708" s="21">
        <v>45565</v>
      </c>
      <c r="B2708" t="str">
        <f>IFERROR(IF(VLOOKUP(C2708,Hoja1!$B$1:$C$6191,2,0)="",_xlfn.XLOOKUP(C2708,Hoja1!$B$2:$B$6191,Hoja1!$A$2:$A$6191),VLOOKUP(C2708,Hoja1!$B$1:$C$6191,2,0)),"No esta en Infor")</f>
        <v>SH02956</v>
      </c>
      <c r="C2708" s="6" t="s">
        <v>657</v>
      </c>
      <c r="D2708" s="3">
        <v>4.91</v>
      </c>
      <c r="E2708" s="6"/>
      <c r="F2708" s="6">
        <v>0</v>
      </c>
      <c r="G2708" s="6">
        <v>0</v>
      </c>
      <c r="H2708" s="6">
        <v>0</v>
      </c>
      <c r="I2708" s="6">
        <v>0</v>
      </c>
      <c r="J2708" s="18">
        <f t="shared" si="1"/>
        <v>4.91</v>
      </c>
    </row>
    <row r="2709" spans="1:10" ht="15.75" x14ac:dyDescent="0.25">
      <c r="A2709" s="21">
        <v>45565</v>
      </c>
      <c r="B2709" t="str">
        <f>IFERROR(IF(VLOOKUP(C2709,Hoja1!$B$1:$C$6191,2,0)="",_xlfn.XLOOKUP(C2709,Hoja1!$B$2:$B$6191,Hoja1!$A$2:$A$6191),VLOOKUP(C2709,Hoja1!$B$1:$C$6191,2,0)),"No esta en Infor")</f>
        <v>NAC0682</v>
      </c>
      <c r="C2709" s="6" t="s">
        <v>127</v>
      </c>
      <c r="D2709" s="4">
        <v>1760</v>
      </c>
      <c r="E2709" s="6"/>
      <c r="F2709" s="6">
        <v>0</v>
      </c>
      <c r="G2709" s="6">
        <v>0</v>
      </c>
      <c r="H2709" s="6">
        <v>0</v>
      </c>
      <c r="I2709" s="6">
        <v>0</v>
      </c>
      <c r="J2709" s="18">
        <f t="shared" si="1"/>
        <v>1760</v>
      </c>
    </row>
    <row r="2710" spans="1:10" ht="15.75" x14ac:dyDescent="0.25">
      <c r="A2710" s="21">
        <v>45565</v>
      </c>
      <c r="B2710" t="str">
        <f>IFERROR(IF(VLOOKUP(C2710,Hoja1!$B$1:$C$6191,2,0)="",_xlfn.XLOOKUP(C2710,Hoja1!$B$2:$B$6191,Hoja1!$A$2:$A$6191),VLOOKUP(C2710,Hoja1!$B$1:$C$6191,2,0)),"No esta en Infor")</f>
        <v>SH00610</v>
      </c>
      <c r="C2710" s="6" t="s">
        <v>129</v>
      </c>
      <c r="D2710" s="3">
        <v>-15</v>
      </c>
      <c r="E2710" s="6"/>
      <c r="F2710" s="6">
        <v>0</v>
      </c>
      <c r="G2710" s="6">
        <v>0</v>
      </c>
      <c r="H2710" s="6">
        <v>0</v>
      </c>
      <c r="I2710" s="6">
        <v>0</v>
      </c>
      <c r="J2710" s="18">
        <f t="shared" si="1"/>
        <v>-15</v>
      </c>
    </row>
    <row r="2711" spans="1:10" ht="15.75" x14ac:dyDescent="0.25">
      <c r="A2711" s="21">
        <v>45565</v>
      </c>
      <c r="B2711" t="str">
        <f>IFERROR(IF(VLOOKUP(C2711,Hoja1!$B$1:$C$6191,2,0)="",_xlfn.XLOOKUP(C2711,Hoja1!$B$2:$B$6191,Hoja1!$A$2:$A$6191),VLOOKUP(C2711,Hoja1!$B$1:$C$6191,2,0)),"No esta en Infor")</f>
        <v>INT0052</v>
      </c>
      <c r="C2711" s="6" t="s">
        <v>130</v>
      </c>
      <c r="D2711" s="4">
        <v>12927</v>
      </c>
      <c r="E2711" s="6"/>
      <c r="F2711" s="6">
        <v>250.92</v>
      </c>
      <c r="G2711" s="18">
        <v>10696.68</v>
      </c>
      <c r="H2711" s="18">
        <v>14467.55</v>
      </c>
      <c r="I2711" s="6">
        <v>388.31</v>
      </c>
      <c r="J2711" s="18">
        <f t="shared" si="1"/>
        <v>38730.459999999992</v>
      </c>
    </row>
    <row r="2712" spans="1:10" ht="15.75" x14ac:dyDescent="0.25">
      <c r="A2712" s="21">
        <v>45565</v>
      </c>
      <c r="B2712" t="str">
        <f>IFERROR(IF(VLOOKUP(C2712,Hoja1!$B$1:$C$6191,2,0)="",_xlfn.XLOOKUP(C2712,Hoja1!$B$2:$B$6191,Hoja1!$A$2:$A$6191),VLOOKUP(C2712,Hoja1!$B$1:$C$6191,2,0)),"No esta en Infor")</f>
        <v>INT0007</v>
      </c>
      <c r="C2712" s="6" t="s">
        <v>131</v>
      </c>
      <c r="D2712" s="4">
        <v>1371477.12</v>
      </c>
      <c r="E2712" s="6"/>
      <c r="F2712" s="18">
        <v>448787.03</v>
      </c>
      <c r="G2712" s="18">
        <v>9683.09</v>
      </c>
      <c r="H2712" s="18">
        <v>-622033.04</v>
      </c>
      <c r="I2712" s="18">
        <v>610755.17000000004</v>
      </c>
      <c r="J2712" s="18">
        <f t="shared" si="1"/>
        <v>1818669.37</v>
      </c>
    </row>
    <row r="2713" spans="1:10" ht="15.75" x14ac:dyDescent="0.25">
      <c r="A2713" s="21">
        <v>45565</v>
      </c>
      <c r="B2713" t="str">
        <f>IFERROR(IF(VLOOKUP(C2713,Hoja1!$B$1:$C$6191,2,0)="",_xlfn.XLOOKUP(C2713,Hoja1!$B$2:$B$6191,Hoja1!$A$2:$A$6191),VLOOKUP(C2713,Hoja1!$B$1:$C$6191,2,0)),"No esta en Infor")</f>
        <v>INT0006</v>
      </c>
      <c r="C2713" s="6" t="s">
        <v>132</v>
      </c>
      <c r="D2713" s="4">
        <v>237040.62</v>
      </c>
      <c r="E2713" s="6"/>
      <c r="F2713" s="18">
        <v>14955.74</v>
      </c>
      <c r="G2713" s="18">
        <v>100661.32</v>
      </c>
      <c r="H2713" s="18">
        <v>21328.16</v>
      </c>
      <c r="I2713" s="6">
        <v>-564.29999999999995</v>
      </c>
      <c r="J2713" s="18">
        <f t="shared" si="1"/>
        <v>373421.54</v>
      </c>
    </row>
    <row r="2714" spans="1:10" ht="15.75" x14ac:dyDescent="0.25">
      <c r="A2714" s="21">
        <v>45565</v>
      </c>
      <c r="B2714" t="str">
        <f>IFERROR(IF(VLOOKUP(C2714,Hoja1!$B$1:$C$6191,2,0)="",_xlfn.XLOOKUP(C2714,Hoja1!$B$2:$B$6191,Hoja1!$A$2:$A$6191),VLOOKUP(C2714,Hoja1!$B$1:$C$6191,2,0)),"No esta en Infor")</f>
        <v>INT0002</v>
      </c>
      <c r="C2714" s="6" t="s">
        <v>133</v>
      </c>
      <c r="D2714" s="4">
        <v>4595</v>
      </c>
      <c r="E2714" s="6"/>
      <c r="F2714" s="6">
        <v>0</v>
      </c>
      <c r="G2714" s="6">
        <v>0</v>
      </c>
      <c r="H2714" s="6">
        <v>0</v>
      </c>
      <c r="I2714" s="6">
        <v>0</v>
      </c>
      <c r="J2714" s="18">
        <f t="shared" si="1"/>
        <v>4595</v>
      </c>
    </row>
    <row r="2715" spans="1:10" ht="15.75" x14ac:dyDescent="0.25">
      <c r="A2715" s="21">
        <v>45565</v>
      </c>
      <c r="B2715" t="str">
        <f>IFERROR(IF(VLOOKUP(C2715,Hoja1!$B$1:$C$6191,2,0)="",_xlfn.XLOOKUP(C2715,Hoja1!$B$2:$B$6191,Hoja1!$A$2:$A$6191),VLOOKUP(C2715,Hoja1!$B$1:$C$6191,2,0)),"No esta en Infor")</f>
        <v>INT0001</v>
      </c>
      <c r="C2715" s="6" t="s">
        <v>134</v>
      </c>
      <c r="D2715" s="4">
        <v>183029.19</v>
      </c>
      <c r="E2715" s="6"/>
      <c r="F2715" s="6">
        <v>0</v>
      </c>
      <c r="G2715" s="6">
        <v>0</v>
      </c>
      <c r="H2715" s="6">
        <v>-531.94000000000005</v>
      </c>
      <c r="I2715" s="6">
        <v>0</v>
      </c>
      <c r="J2715" s="18">
        <f t="shared" si="1"/>
        <v>182497.25</v>
      </c>
    </row>
    <row r="2716" spans="1:10" ht="15.75" x14ac:dyDescent="0.25">
      <c r="A2716" s="21">
        <v>45565</v>
      </c>
      <c r="B2716" t="str">
        <f>IFERROR(IF(VLOOKUP(C2716,Hoja1!$B$1:$C$6191,2,0)="",_xlfn.XLOOKUP(C2716,Hoja1!$B$2:$B$6191,Hoja1!$A$2:$A$6191),VLOOKUP(C2716,Hoja1!$B$1:$C$6191,2,0)),"No esta en Infor")</f>
        <v>INT0065</v>
      </c>
      <c r="C2716" s="6" t="s">
        <v>135</v>
      </c>
      <c r="D2716" s="4">
        <v>39531.589999999997</v>
      </c>
      <c r="E2716" s="6"/>
      <c r="F2716" s="18">
        <v>7187.39</v>
      </c>
      <c r="G2716" s="6">
        <v>0</v>
      </c>
      <c r="H2716" s="18">
        <v>-17969.419999999998</v>
      </c>
      <c r="I2716" s="6">
        <v>0</v>
      </c>
      <c r="J2716" s="18">
        <f t="shared" si="1"/>
        <v>28749.559999999998</v>
      </c>
    </row>
    <row r="2717" spans="1:10" ht="15.75" x14ac:dyDescent="0.25">
      <c r="A2717" s="21">
        <v>45565</v>
      </c>
      <c r="B2717" t="str">
        <f>IFERROR(IF(VLOOKUP(C2717,Hoja1!$B$1:$C$6191,2,0)="",_xlfn.XLOOKUP(C2717,Hoja1!$B$2:$B$6191,Hoja1!$A$2:$A$6191),VLOOKUP(C2717,Hoja1!$B$1:$C$6191,2,0)),"No esta en Infor")</f>
        <v>INT0009</v>
      </c>
      <c r="C2717" s="6" t="s">
        <v>658</v>
      </c>
      <c r="D2717" s="4">
        <v>15923.99</v>
      </c>
      <c r="E2717" s="6"/>
      <c r="F2717" s="6">
        <v>0</v>
      </c>
      <c r="G2717" s="6">
        <v>0</v>
      </c>
      <c r="H2717" s="18">
        <v>-14950</v>
      </c>
      <c r="I2717" s="6">
        <v>0</v>
      </c>
      <c r="J2717" s="18">
        <f t="shared" si="1"/>
        <v>973.98999999999978</v>
      </c>
    </row>
    <row r="2718" spans="1:10" ht="15.75" x14ac:dyDescent="0.25">
      <c r="A2718" s="21">
        <v>45565</v>
      </c>
      <c r="B2718" t="str">
        <f>IFERROR(IF(VLOOKUP(C2718,Hoja1!$B$1:$C$6191,2,0)="",_xlfn.XLOOKUP(C2718,Hoja1!$B$2:$B$6191,Hoja1!$A$2:$A$6191),VLOOKUP(C2718,Hoja1!$B$1:$C$6191,2,0)),"No esta en Infor")</f>
        <v>INT0060</v>
      </c>
      <c r="C2718" s="6" t="s">
        <v>136</v>
      </c>
      <c r="D2718" s="4">
        <v>3829</v>
      </c>
      <c r="E2718" s="6"/>
      <c r="F2718" s="18">
        <v>12236.74</v>
      </c>
      <c r="G2718" s="18">
        <v>5219.18</v>
      </c>
      <c r="H2718" s="18">
        <v>1122.58</v>
      </c>
      <c r="I2718" s="18">
        <v>20451.93</v>
      </c>
      <c r="J2718" s="18">
        <f t="shared" si="1"/>
        <v>42859.43</v>
      </c>
    </row>
    <row r="2719" spans="1:10" ht="15.75" x14ac:dyDescent="0.25">
      <c r="A2719" s="21">
        <v>45565</v>
      </c>
      <c r="B2719" t="str">
        <f>IFERROR(IF(VLOOKUP(C2719,Hoja1!$B$1:$C$6191,2,0)="",_xlfn.XLOOKUP(C2719,Hoja1!$B$2:$B$6191,Hoja1!$A$2:$A$6191),VLOOKUP(C2719,Hoja1!$B$1:$C$6191,2,0)),"No esta en Infor")</f>
        <v>INT0064</v>
      </c>
      <c r="C2719" s="6" t="s">
        <v>659</v>
      </c>
      <c r="D2719" s="3">
        <v>29.54</v>
      </c>
      <c r="E2719" s="6"/>
      <c r="F2719" s="6">
        <v>0</v>
      </c>
      <c r="G2719" s="6">
        <v>0</v>
      </c>
      <c r="H2719" s="6">
        <v>0</v>
      </c>
      <c r="I2719" s="6">
        <v>0</v>
      </c>
      <c r="J2719" s="18">
        <f t="shared" si="1"/>
        <v>29.54</v>
      </c>
    </row>
    <row r="2720" spans="1:10" ht="15.75" x14ac:dyDescent="0.25">
      <c r="A2720" s="21">
        <v>45565</v>
      </c>
      <c r="B2720" t="str">
        <f>IFERROR(IF(VLOOKUP(C2720,Hoja1!$B$1:$C$6191,2,0)="",_xlfn.XLOOKUP(C2720,Hoja1!$B$2:$B$6191,Hoja1!$A$2:$A$6191),VLOOKUP(C2720,Hoja1!$B$1:$C$6191,2,0)),"No esta en Infor")</f>
        <v>NAC0706</v>
      </c>
      <c r="C2720" s="6" t="s">
        <v>139</v>
      </c>
      <c r="D2720" s="4">
        <v>12394.2</v>
      </c>
      <c r="E2720" s="6"/>
      <c r="F2720" s="6">
        <v>0</v>
      </c>
      <c r="G2720" s="6">
        <v>0</v>
      </c>
      <c r="H2720" s="6">
        <v>0</v>
      </c>
      <c r="I2720" s="6">
        <v>0</v>
      </c>
      <c r="J2720" s="18">
        <f t="shared" si="1"/>
        <v>12394.2</v>
      </c>
    </row>
    <row r="2721" spans="1:10" ht="15.75" x14ac:dyDescent="0.25">
      <c r="A2721" s="21">
        <v>45565</v>
      </c>
      <c r="B2721" t="str">
        <f>IFERROR(IF(VLOOKUP(C2721,Hoja1!$B$1:$C$6191,2,0)="",_xlfn.XLOOKUP(C2721,Hoja1!$B$2:$B$6191,Hoja1!$A$2:$A$6191),VLOOKUP(C2721,Hoja1!$B$1:$C$6191,2,0)),"No esta en Infor")</f>
        <v>NAC0710</v>
      </c>
      <c r="C2721" s="6" t="s">
        <v>140</v>
      </c>
      <c r="D2721" s="4">
        <v>1720</v>
      </c>
      <c r="E2721" s="6"/>
      <c r="F2721" s="6">
        <v>0</v>
      </c>
      <c r="G2721" s="6">
        <v>0</v>
      </c>
      <c r="H2721" s="6">
        <v>0</v>
      </c>
      <c r="I2721" s="6">
        <v>0</v>
      </c>
      <c r="J2721" s="18">
        <f t="shared" si="1"/>
        <v>1720</v>
      </c>
    </row>
    <row r="2722" spans="1:10" ht="15.75" x14ac:dyDescent="0.25">
      <c r="A2722" s="21">
        <v>45565</v>
      </c>
      <c r="B2722" t="str">
        <f>IFERROR(IF(VLOOKUP(C2722,Hoja1!$B$1:$C$6191,2,0)="",_xlfn.XLOOKUP(C2722,Hoja1!$B$2:$B$6191,Hoja1!$A$2:$A$6191),VLOOKUP(C2722,Hoja1!$B$1:$C$6191,2,0)),"No esta en Infor")</f>
        <v>CAN0014</v>
      </c>
      <c r="C2722" s="6" t="s">
        <v>141</v>
      </c>
      <c r="D2722" s="4">
        <v>11172</v>
      </c>
      <c r="E2722" s="6"/>
      <c r="F2722" s="6">
        <v>0</v>
      </c>
      <c r="G2722" s="6">
        <v>0</v>
      </c>
      <c r="H2722" s="6">
        <v>0</v>
      </c>
      <c r="I2722" s="6">
        <v>0</v>
      </c>
      <c r="J2722" s="18">
        <f t="shared" si="1"/>
        <v>11172</v>
      </c>
    </row>
    <row r="2723" spans="1:10" ht="15.75" x14ac:dyDescent="0.25">
      <c r="A2723" s="21">
        <v>45565</v>
      </c>
      <c r="B2723" t="str">
        <f>IFERROR(IF(VLOOKUP(C2723,Hoja1!$B$1:$C$6191,2,0)="",_xlfn.XLOOKUP(C2723,Hoja1!$B$2:$B$6191,Hoja1!$A$2:$A$6191),VLOOKUP(C2723,Hoja1!$B$1:$C$6191,2,0)),"No esta en Infor")</f>
        <v>FOC0023</v>
      </c>
      <c r="C2723" s="6" t="s">
        <v>143</v>
      </c>
      <c r="D2723" s="4">
        <v>-7008.75</v>
      </c>
      <c r="E2723" s="6"/>
      <c r="F2723" s="6">
        <v>0</v>
      </c>
      <c r="G2723" s="18">
        <v>18335</v>
      </c>
      <c r="H2723" s="18">
        <v>-16672.84</v>
      </c>
      <c r="I2723" s="18">
        <v>20523.25</v>
      </c>
      <c r="J2723" s="18">
        <f t="shared" si="1"/>
        <v>15176.66</v>
      </c>
    </row>
    <row r="2724" spans="1:10" ht="15.75" x14ac:dyDescent="0.25">
      <c r="A2724" s="21">
        <v>45565</v>
      </c>
      <c r="B2724" t="str">
        <f>IFERROR(IF(VLOOKUP(C2724,Hoja1!$B$1:$C$6191,2,0)="",_xlfn.XLOOKUP(C2724,Hoja1!$B$2:$B$6191,Hoja1!$A$2:$A$6191),VLOOKUP(C2724,Hoja1!$B$1:$C$6191,2,0)),"No esta en Infor")</f>
        <v>SH00642</v>
      </c>
      <c r="C2724" s="6" t="s">
        <v>144</v>
      </c>
      <c r="D2724" s="3">
        <v>0</v>
      </c>
      <c r="E2724" s="6"/>
      <c r="F2724" s="6">
        <v>0</v>
      </c>
      <c r="G2724" s="6">
        <v>0</v>
      </c>
      <c r="H2724" s="6">
        <v>-290.49</v>
      </c>
      <c r="I2724" s="6">
        <v>0</v>
      </c>
      <c r="J2724" s="18">
        <f t="shared" si="1"/>
        <v>-290.49</v>
      </c>
    </row>
    <row r="2725" spans="1:10" ht="15.75" x14ac:dyDescent="0.25">
      <c r="A2725" s="21">
        <v>45565</v>
      </c>
      <c r="B2725" t="str">
        <f>IFERROR(IF(VLOOKUP(C2725,Hoja1!$B$1:$C$6191,2,0)="",_xlfn.XLOOKUP(C2725,Hoja1!$B$2:$B$6191,Hoja1!$A$2:$A$6191),VLOOKUP(C2725,Hoja1!$B$1:$C$6191,2,0)),"No esta en Infor")</f>
        <v>NAC0726</v>
      </c>
      <c r="C2725" s="6" t="s">
        <v>147</v>
      </c>
      <c r="D2725" s="4">
        <v>23917.599999999999</v>
      </c>
      <c r="E2725" s="6"/>
      <c r="F2725" s="6">
        <v>0</v>
      </c>
      <c r="G2725" s="6">
        <v>0</v>
      </c>
      <c r="H2725" s="6">
        <v>0</v>
      </c>
      <c r="I2725" s="6">
        <v>0</v>
      </c>
      <c r="J2725" s="18">
        <f t="shared" si="1"/>
        <v>23917.599999999999</v>
      </c>
    </row>
    <row r="2726" spans="1:10" ht="15.75" x14ac:dyDescent="0.25">
      <c r="A2726" s="21">
        <v>45565</v>
      </c>
      <c r="B2726" t="str">
        <f>IFERROR(IF(VLOOKUP(C2726,Hoja1!$B$1:$C$6191,2,0)="",_xlfn.XLOOKUP(C2726,Hoja1!$B$2:$B$6191,Hoja1!$A$2:$A$6191),VLOOKUP(C2726,Hoja1!$B$1:$C$6191,2,0)),"No esta en Infor")</f>
        <v>NAC0733</v>
      </c>
      <c r="C2726" s="6" t="s">
        <v>660</v>
      </c>
      <c r="D2726" s="4">
        <v>6357</v>
      </c>
      <c r="E2726" s="6"/>
      <c r="F2726" s="6">
        <v>0</v>
      </c>
      <c r="G2726" s="6">
        <v>0</v>
      </c>
      <c r="H2726" s="6">
        <v>0</v>
      </c>
      <c r="I2726" s="6">
        <v>0</v>
      </c>
      <c r="J2726" s="18">
        <f t="shared" si="1"/>
        <v>6357</v>
      </c>
    </row>
    <row r="2727" spans="1:10" ht="15.75" x14ac:dyDescent="0.25">
      <c r="A2727" s="21">
        <v>45565</v>
      </c>
      <c r="B2727" t="str">
        <f>IFERROR(IF(VLOOKUP(C2727,Hoja1!$B$1:$C$6191,2,0)="",_xlfn.XLOOKUP(C2727,Hoja1!$B$2:$B$6191,Hoja1!$A$2:$A$6191),VLOOKUP(C2727,Hoja1!$B$1:$C$6191,2,0)),"No esta en Infor")</f>
        <v>NAC0740</v>
      </c>
      <c r="C2727" s="6" t="s">
        <v>151</v>
      </c>
      <c r="D2727" s="3">
        <v>0</v>
      </c>
      <c r="E2727" s="6"/>
      <c r="F2727" s="6">
        <v>60</v>
      </c>
      <c r="G2727" s="6">
        <v>0</v>
      </c>
      <c r="H2727" s="6">
        <v>0</v>
      </c>
      <c r="I2727" s="6">
        <v>96.38</v>
      </c>
      <c r="J2727" s="18">
        <f t="shared" si="1"/>
        <v>156.38</v>
      </c>
    </row>
    <row r="2728" spans="1:10" ht="15.75" x14ac:dyDescent="0.25">
      <c r="A2728" s="21">
        <v>45565</v>
      </c>
      <c r="B2728" t="str">
        <f>IFERROR(IF(VLOOKUP(C2728,Hoja1!$B$1:$C$6191,2,0)="",_xlfn.XLOOKUP(C2728,Hoja1!$B$2:$B$6191,Hoja1!$A$2:$A$6191),VLOOKUP(C2728,Hoja1!$B$1:$C$6191,2,0)),"No esta en Infor")</f>
        <v>NAC1608</v>
      </c>
      <c r="C2728" s="6" t="s">
        <v>538</v>
      </c>
      <c r="D2728" s="4">
        <v>3388</v>
      </c>
      <c r="E2728" s="6"/>
      <c r="F2728" s="6">
        <v>-62.57</v>
      </c>
      <c r="G2728" s="6">
        <v>0</v>
      </c>
      <c r="H2728" s="6">
        <v>-308</v>
      </c>
      <c r="I2728" s="6">
        <v>0</v>
      </c>
      <c r="J2728" s="18">
        <f t="shared" si="1"/>
        <v>3017.43</v>
      </c>
    </row>
    <row r="2729" spans="1:10" ht="15.75" x14ac:dyDescent="0.25">
      <c r="A2729" s="21">
        <v>45565</v>
      </c>
      <c r="B2729" t="str">
        <f>IFERROR(IF(VLOOKUP(C2729,Hoja1!$B$1:$C$6191,2,0)="",_xlfn.XLOOKUP(C2729,Hoja1!$B$2:$B$6191,Hoja1!$A$2:$A$6191),VLOOKUP(C2729,Hoja1!$B$1:$C$6191,2,0)),"No esta en Infor")</f>
        <v>NAC0759</v>
      </c>
      <c r="C2729" s="6" t="s">
        <v>581</v>
      </c>
      <c r="D2729" s="3">
        <v>-16.100000000000001</v>
      </c>
      <c r="E2729" s="6"/>
      <c r="F2729" s="6">
        <v>0</v>
      </c>
      <c r="G2729" s="6">
        <v>0</v>
      </c>
      <c r="H2729" s="6">
        <v>0</v>
      </c>
      <c r="I2729" s="6">
        <v>0</v>
      </c>
      <c r="J2729" s="18">
        <f t="shared" si="1"/>
        <v>-16.100000000000001</v>
      </c>
    </row>
    <row r="2730" spans="1:10" ht="15.75" x14ac:dyDescent="0.25">
      <c r="A2730" s="21">
        <v>45565</v>
      </c>
      <c r="B2730" t="str">
        <f>IFERROR(IF(VLOOKUP(C2730,Hoja1!$B$1:$C$6191,2,0)="",_xlfn.XLOOKUP(C2730,Hoja1!$B$2:$B$6191,Hoja1!$A$2:$A$6191),VLOOKUP(C2730,Hoja1!$B$1:$C$6191,2,0)),"No esta en Infor")</f>
        <v>NAC0756</v>
      </c>
      <c r="C2730" s="6" t="s">
        <v>154</v>
      </c>
      <c r="D2730" s="3">
        <v>0</v>
      </c>
      <c r="E2730" s="6"/>
      <c r="F2730" s="6">
        <v>0</v>
      </c>
      <c r="G2730" s="6">
        <v>0</v>
      </c>
      <c r="H2730" s="6">
        <v>-3.79</v>
      </c>
      <c r="I2730" s="6">
        <v>0</v>
      </c>
      <c r="J2730" s="18">
        <f t="shared" si="1"/>
        <v>-3.79</v>
      </c>
    </row>
    <row r="2731" spans="1:10" ht="15.75" x14ac:dyDescent="0.25">
      <c r="A2731" s="21">
        <v>45565</v>
      </c>
      <c r="B2731" t="str">
        <f>IFERROR(IF(VLOOKUP(C2731,Hoja1!$B$1:$C$6191,2,0)="",_xlfn.XLOOKUP(C2731,Hoja1!$B$2:$B$6191,Hoja1!$A$2:$A$6191),VLOOKUP(C2731,Hoja1!$B$1:$C$6191,2,0)),"No esta en Infor")</f>
        <v>SH02921</v>
      </c>
      <c r="C2731" s="6" t="s">
        <v>661</v>
      </c>
      <c r="D2731" s="3">
        <v>-180.41</v>
      </c>
      <c r="E2731" s="6"/>
      <c r="F2731" s="6">
        <v>0</v>
      </c>
      <c r="G2731" s="6">
        <v>0</v>
      </c>
      <c r="H2731" s="6">
        <v>0</v>
      </c>
      <c r="I2731" s="6">
        <v>0</v>
      </c>
      <c r="J2731" s="18">
        <f t="shared" si="1"/>
        <v>-180.41</v>
      </c>
    </row>
    <row r="2732" spans="1:10" ht="15.75" x14ac:dyDescent="0.25">
      <c r="A2732" s="21">
        <v>45565</v>
      </c>
      <c r="B2732" t="str">
        <f>IFERROR(IF(VLOOKUP(C2732,Hoja1!$B$1:$C$6191,2,0)="",_xlfn.XLOOKUP(C2732,Hoja1!$B$2:$B$6191,Hoja1!$A$2:$A$6191),VLOOKUP(C2732,Hoja1!$B$1:$C$6191,2,0)),"No esta en Infor")</f>
        <v>NAC0767</v>
      </c>
      <c r="C2732" s="6" t="s">
        <v>155</v>
      </c>
      <c r="D2732" s="3">
        <v>145</v>
      </c>
      <c r="E2732" s="6"/>
      <c r="F2732" s="18">
        <v>-10902</v>
      </c>
      <c r="G2732" s="6">
        <v>0</v>
      </c>
      <c r="H2732" s="6">
        <v>0</v>
      </c>
      <c r="I2732" s="18">
        <v>-20987.9</v>
      </c>
      <c r="J2732" s="18">
        <f t="shared" si="1"/>
        <v>-31744.9</v>
      </c>
    </row>
    <row r="2733" spans="1:10" ht="15.75" x14ac:dyDescent="0.25">
      <c r="A2733" s="21">
        <v>45565</v>
      </c>
      <c r="B2733" t="str">
        <f>IFERROR(IF(VLOOKUP(C2733,Hoja1!$B$1:$C$6191,2,0)="",_xlfn.XLOOKUP(C2733,Hoja1!$B$2:$B$6191,Hoja1!$A$2:$A$6191),VLOOKUP(C2733,Hoja1!$B$1:$C$6191,2,0)),"No esta en Infor")</f>
        <v>NAC0769</v>
      </c>
      <c r="C2733" s="6" t="s">
        <v>156</v>
      </c>
      <c r="D2733" s="4">
        <v>20298</v>
      </c>
      <c r="E2733" s="6"/>
      <c r="F2733" s="6">
        <v>0</v>
      </c>
      <c r="G2733" s="6">
        <v>-297.89</v>
      </c>
      <c r="H2733" s="6">
        <v>0</v>
      </c>
      <c r="I2733" s="6">
        <v>0</v>
      </c>
      <c r="J2733" s="18">
        <f t="shared" si="1"/>
        <v>20000.11</v>
      </c>
    </row>
    <row r="2734" spans="1:10" ht="15.75" x14ac:dyDescent="0.25">
      <c r="A2734" s="21">
        <v>45565</v>
      </c>
      <c r="B2734" t="str">
        <f>IFERROR(IF(VLOOKUP(C2734,Hoja1!$B$1:$C$6191,2,0)="",_xlfn.XLOOKUP(C2734,Hoja1!$B$2:$B$6191,Hoja1!$A$2:$A$6191),VLOOKUP(C2734,Hoja1!$B$1:$C$6191,2,0)),"No esta en Infor")</f>
        <v>SH00749</v>
      </c>
      <c r="C2734" s="6" t="s">
        <v>662</v>
      </c>
      <c r="D2734" s="3">
        <v>2.1800000000000002</v>
      </c>
      <c r="E2734" s="6"/>
      <c r="F2734" s="6">
        <v>0</v>
      </c>
      <c r="G2734" s="6">
        <v>0</v>
      </c>
      <c r="H2734" s="6">
        <v>0</v>
      </c>
      <c r="I2734" s="6">
        <v>0</v>
      </c>
      <c r="J2734" s="18">
        <f t="shared" si="1"/>
        <v>2.1800000000000002</v>
      </c>
    </row>
    <row r="2735" spans="1:10" ht="15.75" x14ac:dyDescent="0.25">
      <c r="A2735" s="21">
        <v>45565</v>
      </c>
      <c r="B2735" t="str">
        <f>IFERROR(IF(VLOOKUP(C2735,Hoja1!$B$1:$C$6191,2,0)="",_xlfn.XLOOKUP(C2735,Hoja1!$B$2:$B$6191,Hoja1!$A$2:$A$6191),VLOOKUP(C2735,Hoja1!$B$1:$C$6191,2,0)),"No esta en Infor")</f>
        <v>NAC0778</v>
      </c>
      <c r="C2735" s="6" t="s">
        <v>159</v>
      </c>
      <c r="D2735" s="3">
        <v>0</v>
      </c>
      <c r="E2735" s="6"/>
      <c r="F2735" s="6">
        <v>0</v>
      </c>
      <c r="G2735" s="6">
        <v>0</v>
      </c>
      <c r="H2735" s="6">
        <v>-781.38</v>
      </c>
      <c r="I2735" s="6">
        <v>0</v>
      </c>
      <c r="J2735" s="18">
        <f t="shared" si="1"/>
        <v>-781.38</v>
      </c>
    </row>
    <row r="2736" spans="1:10" ht="15.75" x14ac:dyDescent="0.25">
      <c r="A2736" s="21">
        <v>45565</v>
      </c>
      <c r="B2736" t="str">
        <f>IFERROR(IF(VLOOKUP(C2736,Hoja1!$B$1:$C$6191,2,0)="",_xlfn.XLOOKUP(C2736,Hoja1!$B$2:$B$6191,Hoja1!$A$2:$A$6191),VLOOKUP(C2736,Hoja1!$B$1:$C$6191,2,0)),"No esta en Infor")</f>
        <v>NAC0780</v>
      </c>
      <c r="C2736" s="6" t="s">
        <v>161</v>
      </c>
      <c r="D2736" s="4">
        <v>3649</v>
      </c>
      <c r="E2736" s="6"/>
      <c r="F2736" s="6">
        <v>0</v>
      </c>
      <c r="G2736" s="6">
        <v>0</v>
      </c>
      <c r="H2736" s="6">
        <v>0</v>
      </c>
      <c r="I2736" s="6">
        <v>0</v>
      </c>
      <c r="J2736" s="18">
        <f t="shared" si="1"/>
        <v>3649</v>
      </c>
    </row>
    <row r="2737" spans="1:10" ht="15.75" x14ac:dyDescent="0.25">
      <c r="A2737" s="21">
        <v>45565</v>
      </c>
      <c r="B2737" t="str">
        <f>IFERROR(IF(VLOOKUP(C2737,Hoja1!$B$1:$C$6191,2,0)="",_xlfn.XLOOKUP(C2737,Hoja1!$B$2:$B$6191,Hoja1!$A$2:$A$6191),VLOOKUP(C2737,Hoja1!$B$1:$C$6191,2,0)),"No esta en Infor")</f>
        <v>NAC0781</v>
      </c>
      <c r="C2737" s="6" t="s">
        <v>162</v>
      </c>
      <c r="D2737" s="3">
        <v>0</v>
      </c>
      <c r="E2737" s="6"/>
      <c r="F2737" s="6">
        <v>0</v>
      </c>
      <c r="G2737" s="6">
        <v>0</v>
      </c>
      <c r="H2737" s="6">
        <v>-340</v>
      </c>
      <c r="I2737" s="6">
        <v>-390</v>
      </c>
      <c r="J2737" s="18">
        <f t="shared" si="1"/>
        <v>-730</v>
      </c>
    </row>
    <row r="2738" spans="1:10" ht="15.75" x14ac:dyDescent="0.25">
      <c r="A2738" s="21">
        <v>45565</v>
      </c>
      <c r="B2738" t="str">
        <f>IFERROR(IF(VLOOKUP(C2738,Hoja1!$B$1:$C$6191,2,0)="",_xlfn.XLOOKUP(C2738,Hoja1!$B$2:$B$6191,Hoja1!$A$2:$A$6191),VLOOKUP(C2738,Hoja1!$B$1:$C$6191,2,0)),"No esta en Infor")</f>
        <v>NAC0782</v>
      </c>
      <c r="C2738" s="6" t="s">
        <v>496</v>
      </c>
      <c r="D2738" s="3">
        <v>84</v>
      </c>
      <c r="E2738" s="6"/>
      <c r="F2738" s="6">
        <v>0</v>
      </c>
      <c r="G2738" s="6">
        <v>0</v>
      </c>
      <c r="H2738" s="6">
        <v>0</v>
      </c>
      <c r="I2738" s="6">
        <v>0</v>
      </c>
      <c r="J2738" s="18">
        <f t="shared" si="1"/>
        <v>84</v>
      </c>
    </row>
    <row r="2739" spans="1:10" ht="15.75" x14ac:dyDescent="0.25">
      <c r="A2739" s="21">
        <v>45565</v>
      </c>
      <c r="B2739" t="str">
        <f>IFERROR(IF(VLOOKUP(C2739,Hoja1!$B$1:$C$6191,2,0)="",_xlfn.XLOOKUP(C2739,Hoja1!$B$2:$B$6191,Hoja1!$A$2:$A$6191),VLOOKUP(C2739,Hoja1!$B$1:$C$6191,2,0)),"No esta en Infor")</f>
        <v>NAC0792</v>
      </c>
      <c r="C2739" s="6" t="s">
        <v>164</v>
      </c>
      <c r="D2739" s="4">
        <v>4174.08</v>
      </c>
      <c r="E2739" s="6"/>
      <c r="F2739" s="6">
        <v>0</v>
      </c>
      <c r="G2739" s="6">
        <v>0</v>
      </c>
      <c r="H2739" s="6">
        <v>0</v>
      </c>
      <c r="I2739" s="6">
        <v>0</v>
      </c>
      <c r="J2739" s="18">
        <f t="shared" si="1"/>
        <v>4174.08</v>
      </c>
    </row>
    <row r="2740" spans="1:10" ht="15.75" x14ac:dyDescent="0.25">
      <c r="A2740" s="21">
        <v>45565</v>
      </c>
      <c r="B2740" t="str">
        <f>IFERROR(IF(VLOOKUP(C2740,Hoja1!$B$1:$C$6191,2,0)="",_xlfn.XLOOKUP(C2740,Hoja1!$B$2:$B$6191,Hoja1!$A$2:$A$6191),VLOOKUP(C2740,Hoja1!$B$1:$C$6191,2,0)),"No esta en Infor")</f>
        <v>NAC1612</v>
      </c>
      <c r="C2740" s="6" t="s">
        <v>663</v>
      </c>
      <c r="D2740" s="3">
        <v>0</v>
      </c>
      <c r="E2740" s="6"/>
      <c r="F2740" s="6">
        <v>0</v>
      </c>
      <c r="G2740" s="6">
        <v>-0.02</v>
      </c>
      <c r="H2740" s="6">
        <v>0</v>
      </c>
      <c r="I2740" s="6">
        <v>0</v>
      </c>
      <c r="J2740" s="18">
        <f t="shared" si="1"/>
        <v>-0.02</v>
      </c>
    </row>
    <row r="2741" spans="1:10" ht="15.75" x14ac:dyDescent="0.25">
      <c r="A2741" s="21">
        <v>45565</v>
      </c>
      <c r="B2741" t="str">
        <f>IFERROR(IF(VLOOKUP(C2741,Hoja1!$B$1:$C$6191,2,0)="",_xlfn.XLOOKUP(C2741,Hoja1!$B$2:$B$6191,Hoja1!$A$2:$A$6191),VLOOKUP(C2741,Hoja1!$B$1:$C$6191,2,0)),"No esta en Infor")</f>
        <v>NAC0800</v>
      </c>
      <c r="C2741" s="6" t="s">
        <v>617</v>
      </c>
      <c r="D2741" s="4">
        <v>-1500</v>
      </c>
      <c r="E2741" s="6"/>
      <c r="F2741" s="6">
        <v>0</v>
      </c>
      <c r="G2741" s="6">
        <v>0</v>
      </c>
      <c r="H2741" s="6">
        <v>0</v>
      </c>
      <c r="I2741" s="6">
        <v>0</v>
      </c>
      <c r="J2741" s="18">
        <f t="shared" si="1"/>
        <v>-1500</v>
      </c>
    </row>
    <row r="2742" spans="1:10" ht="15.75" x14ac:dyDescent="0.25">
      <c r="A2742" s="21">
        <v>45565</v>
      </c>
      <c r="B2742" t="str">
        <f>IFERROR(IF(VLOOKUP(C2742,Hoja1!$B$1:$C$6191,2,0)="",_xlfn.XLOOKUP(C2742,Hoja1!$B$2:$B$6191,Hoja1!$A$2:$A$6191),VLOOKUP(C2742,Hoja1!$B$1:$C$6191,2,0)),"No esta en Infor")</f>
        <v>NAC0801</v>
      </c>
      <c r="C2742" s="6" t="s">
        <v>168</v>
      </c>
      <c r="D2742" s="3">
        <v>289</v>
      </c>
      <c r="E2742" s="6"/>
      <c r="F2742" s="6">
        <v>0</v>
      </c>
      <c r="G2742" s="6">
        <v>0</v>
      </c>
      <c r="H2742" s="6">
        <v>0</v>
      </c>
      <c r="I2742" s="6">
        <v>0</v>
      </c>
      <c r="J2742" s="18">
        <f t="shared" si="1"/>
        <v>289</v>
      </c>
    </row>
    <row r="2743" spans="1:10" ht="15.75" x14ac:dyDescent="0.25">
      <c r="A2743" s="21">
        <v>45565</v>
      </c>
      <c r="B2743" t="str">
        <f>IFERROR(IF(VLOOKUP(C2743,Hoja1!$B$1:$C$6191,2,0)="",_xlfn.XLOOKUP(C2743,Hoja1!$B$2:$B$6191,Hoja1!$A$2:$A$6191),VLOOKUP(C2743,Hoja1!$B$1:$C$6191,2,0)),"No esta en Infor")</f>
        <v>NAC0804</v>
      </c>
      <c r="C2743" s="6" t="s">
        <v>169</v>
      </c>
      <c r="D2743" s="4">
        <v>6868.46</v>
      </c>
      <c r="E2743" s="6"/>
      <c r="F2743" s="6">
        <v>0</v>
      </c>
      <c r="G2743" s="6">
        <v>0</v>
      </c>
      <c r="H2743" s="6">
        <v>0</v>
      </c>
      <c r="I2743" s="6">
        <v>0</v>
      </c>
      <c r="J2743" s="18">
        <f t="shared" si="1"/>
        <v>6868.46</v>
      </c>
    </row>
    <row r="2744" spans="1:10" ht="15.75" x14ac:dyDescent="0.25">
      <c r="A2744" s="21">
        <v>45565</v>
      </c>
      <c r="B2744" t="str">
        <f>IFERROR(IF(VLOOKUP(C2744,Hoja1!$B$1:$C$6191,2,0)="",_xlfn.XLOOKUP(C2744,Hoja1!$B$2:$B$6191,Hoja1!$A$2:$A$6191),VLOOKUP(C2744,Hoja1!$B$1:$C$6191,2,0)),"No esta en Infor")</f>
        <v>CAN0019</v>
      </c>
      <c r="C2744" s="6" t="s">
        <v>172</v>
      </c>
      <c r="D2744" s="4">
        <v>32873.230000000003</v>
      </c>
      <c r="E2744" s="6"/>
      <c r="F2744" s="6">
        <v>0</v>
      </c>
      <c r="G2744" s="6">
        <v>0</v>
      </c>
      <c r="H2744" s="6">
        <v>0</v>
      </c>
      <c r="I2744" s="6">
        <v>0</v>
      </c>
      <c r="J2744" s="18">
        <f t="shared" si="1"/>
        <v>32873.230000000003</v>
      </c>
    </row>
    <row r="2745" spans="1:10" ht="15.75" x14ac:dyDescent="0.25">
      <c r="A2745" s="21">
        <v>45565</v>
      </c>
      <c r="B2745" t="str">
        <f>IFERROR(IF(VLOOKUP(C2745,Hoja1!$B$1:$C$6191,2,0)="",_xlfn.XLOOKUP(C2745,Hoja1!$B$2:$B$6191,Hoja1!$A$2:$A$6191),VLOOKUP(C2745,Hoja1!$B$1:$C$6191,2,0)),"No esta en Infor")</f>
        <v>No esta en Infor</v>
      </c>
      <c r="C2745" s="6" t="s">
        <v>552</v>
      </c>
      <c r="D2745" s="3">
        <v>0</v>
      </c>
      <c r="E2745" s="6"/>
      <c r="F2745" s="6">
        <v>-6.34</v>
      </c>
      <c r="G2745" s="6">
        <v>0</v>
      </c>
      <c r="H2745" s="6">
        <v>0</v>
      </c>
      <c r="I2745" s="6">
        <v>0</v>
      </c>
      <c r="J2745" s="18">
        <f t="shared" si="1"/>
        <v>-6.34</v>
      </c>
    </row>
    <row r="2746" spans="1:10" ht="15.75" x14ac:dyDescent="0.25">
      <c r="A2746" s="21">
        <v>45565</v>
      </c>
      <c r="B2746" t="str">
        <f>IFERROR(IF(VLOOKUP(C2746,Hoja1!$B$1:$C$6191,2,0)="",_xlfn.XLOOKUP(C2746,Hoja1!$B$2:$B$6191,Hoja1!$A$2:$A$6191),VLOOKUP(C2746,Hoja1!$B$1:$C$6191,2,0)),"No esta en Infor")</f>
        <v>CAN0020</v>
      </c>
      <c r="C2746" s="6" t="s">
        <v>174</v>
      </c>
      <c r="D2746" s="4">
        <v>1531.15</v>
      </c>
      <c r="E2746" s="6"/>
      <c r="F2746" s="6">
        <v>0</v>
      </c>
      <c r="G2746" s="6">
        <v>0</v>
      </c>
      <c r="H2746" s="6">
        <v>0</v>
      </c>
      <c r="I2746" s="6">
        <v>0</v>
      </c>
      <c r="J2746" s="18">
        <f t="shared" ref="J2746:J2809" si="2">SUM(D2746:I2746)</f>
        <v>1531.15</v>
      </c>
    </row>
    <row r="2747" spans="1:10" ht="15.75" x14ac:dyDescent="0.25">
      <c r="A2747" s="21">
        <v>45565</v>
      </c>
      <c r="B2747" t="str">
        <f>IFERROR(IF(VLOOKUP(C2747,Hoja1!$B$1:$C$6191,2,0)="",_xlfn.XLOOKUP(C2747,Hoja1!$B$2:$B$6191,Hoja1!$A$2:$A$6191),VLOOKUP(C2747,Hoja1!$B$1:$C$6191,2,0)),"No esta en Infor")</f>
        <v>NAC0814</v>
      </c>
      <c r="C2747" s="6" t="s">
        <v>175</v>
      </c>
      <c r="D2747" s="4">
        <v>23700</v>
      </c>
      <c r="E2747" s="6"/>
      <c r="F2747" s="6">
        <v>0</v>
      </c>
      <c r="G2747" s="6">
        <v>0</v>
      </c>
      <c r="H2747" s="6">
        <v>0</v>
      </c>
      <c r="I2747" s="6">
        <v>0</v>
      </c>
      <c r="J2747" s="18">
        <f t="shared" si="2"/>
        <v>23700</v>
      </c>
    </row>
    <row r="2748" spans="1:10" ht="15.75" x14ac:dyDescent="0.25">
      <c r="A2748" s="21">
        <v>45565</v>
      </c>
      <c r="B2748" t="str">
        <f>IFERROR(IF(VLOOKUP(C2748,Hoja1!$B$1:$C$6191,2,0)="",_xlfn.XLOOKUP(C2748,Hoja1!$B$2:$B$6191,Hoja1!$A$2:$A$6191),VLOOKUP(C2748,Hoja1!$B$1:$C$6191,2,0)),"No esta en Infor")</f>
        <v>NAC0816</v>
      </c>
      <c r="C2748" s="6" t="s">
        <v>176</v>
      </c>
      <c r="D2748" s="3">
        <v>-31.9</v>
      </c>
      <c r="E2748" s="6"/>
      <c r="F2748" s="6">
        <v>0</v>
      </c>
      <c r="G2748" s="6">
        <v>0</v>
      </c>
      <c r="H2748" s="6">
        <v>0</v>
      </c>
      <c r="I2748" s="6">
        <v>0</v>
      </c>
      <c r="J2748" s="18">
        <f t="shared" si="2"/>
        <v>-31.9</v>
      </c>
    </row>
    <row r="2749" spans="1:10" ht="15.75" x14ac:dyDescent="0.25">
      <c r="A2749" s="21">
        <v>45565</v>
      </c>
      <c r="B2749" t="str">
        <f>IFERROR(IF(VLOOKUP(C2749,Hoja1!$B$1:$C$6191,2,0)="",_xlfn.XLOOKUP(C2749,Hoja1!$B$2:$B$6191,Hoja1!$A$2:$A$6191),VLOOKUP(C2749,Hoja1!$B$1:$C$6191,2,0)),"No esta en Infor")</f>
        <v>NAC0825</v>
      </c>
      <c r="C2749" s="6" t="s">
        <v>179</v>
      </c>
      <c r="D2749" s="4">
        <v>21663.5</v>
      </c>
      <c r="E2749" s="6"/>
      <c r="F2749" s="6">
        <v>0</v>
      </c>
      <c r="G2749" s="6">
        <v>0</v>
      </c>
      <c r="H2749" s="6">
        <v>0</v>
      </c>
      <c r="I2749" s="6">
        <v>0</v>
      </c>
      <c r="J2749" s="18">
        <f t="shared" si="2"/>
        <v>21663.5</v>
      </c>
    </row>
    <row r="2750" spans="1:10" ht="15.75" x14ac:dyDescent="0.25">
      <c r="A2750" s="21">
        <v>45565</v>
      </c>
      <c r="B2750" t="str">
        <f>IFERROR(IF(VLOOKUP(C2750,Hoja1!$B$1:$C$6191,2,0)="",_xlfn.XLOOKUP(C2750,Hoja1!$B$2:$B$6191,Hoja1!$A$2:$A$6191),VLOOKUP(C2750,Hoja1!$B$1:$C$6191,2,0)),"No esta en Infor")</f>
        <v>CAN0021</v>
      </c>
      <c r="C2750" s="6" t="s">
        <v>180</v>
      </c>
      <c r="D2750" s="3">
        <v>700.35</v>
      </c>
      <c r="E2750" s="6"/>
      <c r="F2750" s="6">
        <v>0</v>
      </c>
      <c r="G2750" s="6">
        <v>0</v>
      </c>
      <c r="H2750" s="6">
        <v>0</v>
      </c>
      <c r="I2750" s="6">
        <v>0</v>
      </c>
      <c r="J2750" s="18">
        <f t="shared" si="2"/>
        <v>700.35</v>
      </c>
    </row>
    <row r="2751" spans="1:10" ht="15.75" x14ac:dyDescent="0.25">
      <c r="A2751" s="21">
        <v>45565</v>
      </c>
      <c r="B2751" t="str">
        <f>IFERROR(IF(VLOOKUP(C2751,Hoja1!$B$1:$C$6191,2,0)="",_xlfn.XLOOKUP(C2751,Hoja1!$B$2:$B$6191,Hoja1!$A$2:$A$6191),VLOOKUP(C2751,Hoja1!$B$1:$C$6191,2,0)),"No esta en Infor")</f>
        <v>NAC0847</v>
      </c>
      <c r="C2751" s="6" t="s">
        <v>184</v>
      </c>
      <c r="D2751" s="3">
        <v>0</v>
      </c>
      <c r="E2751" s="6"/>
      <c r="F2751" s="6">
        <v>0</v>
      </c>
      <c r="G2751" s="6">
        <v>0</v>
      </c>
      <c r="H2751" s="6">
        <v>0</v>
      </c>
      <c r="I2751" s="6">
        <v>-1</v>
      </c>
      <c r="J2751" s="18">
        <f t="shared" si="2"/>
        <v>-1</v>
      </c>
    </row>
    <row r="2752" spans="1:10" ht="15.75" x14ac:dyDescent="0.25">
      <c r="A2752" s="21">
        <v>45565</v>
      </c>
      <c r="B2752" t="str">
        <f>IFERROR(IF(VLOOKUP(C2752,Hoja1!$B$1:$C$6191,2,0)="",_xlfn.XLOOKUP(C2752,Hoja1!$B$2:$B$6191,Hoja1!$A$2:$A$6191),VLOOKUP(C2752,Hoja1!$B$1:$C$6191,2,0)),"No esta en Infor")</f>
        <v>NAC0848</v>
      </c>
      <c r="C2752" s="6" t="s">
        <v>498</v>
      </c>
      <c r="D2752" s="3">
        <v>842.34</v>
      </c>
      <c r="E2752" s="6"/>
      <c r="F2752" s="6">
        <v>0</v>
      </c>
      <c r="G2752" s="6">
        <v>0</v>
      </c>
      <c r="H2752" s="6">
        <v>0</v>
      </c>
      <c r="I2752" s="6">
        <v>0</v>
      </c>
      <c r="J2752" s="18">
        <f t="shared" si="2"/>
        <v>842.34</v>
      </c>
    </row>
    <row r="2753" spans="1:10" ht="15.75" x14ac:dyDescent="0.25">
      <c r="A2753" s="21">
        <v>45565</v>
      </c>
      <c r="B2753" t="str">
        <f>IFERROR(IF(VLOOKUP(C2753,Hoja1!$B$1:$C$6191,2,0)="",_xlfn.XLOOKUP(C2753,Hoja1!$B$2:$B$6191,Hoja1!$A$2:$A$6191),VLOOKUP(C2753,Hoja1!$B$1:$C$6191,2,0)),"No esta en Infor")</f>
        <v>NAC0851</v>
      </c>
      <c r="C2753" s="6" t="s">
        <v>185</v>
      </c>
      <c r="D2753" s="3">
        <v>0</v>
      </c>
      <c r="E2753" s="6"/>
      <c r="F2753" s="6">
        <v>0</v>
      </c>
      <c r="G2753" s="6">
        <v>-151.19999999999999</v>
      </c>
      <c r="H2753" s="6">
        <v>-680.4</v>
      </c>
      <c r="I2753" s="6">
        <v>0</v>
      </c>
      <c r="J2753" s="18">
        <f t="shared" si="2"/>
        <v>-831.59999999999991</v>
      </c>
    </row>
    <row r="2754" spans="1:10" ht="15.75" x14ac:dyDescent="0.25">
      <c r="A2754" s="21">
        <v>45565</v>
      </c>
      <c r="B2754" t="str">
        <f>IFERROR(IF(VLOOKUP(C2754,Hoja1!$B$1:$C$6191,2,0)="",_xlfn.XLOOKUP(C2754,Hoja1!$B$2:$B$6191,Hoja1!$A$2:$A$6191),VLOOKUP(C2754,Hoja1!$B$1:$C$6191,2,0)),"No esta en Infor")</f>
        <v>NAC0858</v>
      </c>
      <c r="C2754" s="6" t="s">
        <v>188</v>
      </c>
      <c r="D2754" s="4">
        <v>8820</v>
      </c>
      <c r="E2754" s="6"/>
      <c r="F2754" s="6">
        <v>0</v>
      </c>
      <c r="G2754" s="6">
        <v>0</v>
      </c>
      <c r="H2754" s="6">
        <v>0</v>
      </c>
      <c r="I2754" s="6">
        <v>0</v>
      </c>
      <c r="J2754" s="18">
        <f t="shared" si="2"/>
        <v>8820</v>
      </c>
    </row>
    <row r="2755" spans="1:10" ht="15.75" x14ac:dyDescent="0.25">
      <c r="A2755" s="21">
        <v>45565</v>
      </c>
      <c r="B2755" t="str">
        <f>IFERROR(IF(VLOOKUP(C2755,Hoja1!$B$1:$C$6191,2,0)="",_xlfn.XLOOKUP(C2755,Hoja1!$B$2:$B$6191,Hoja1!$A$2:$A$6191),VLOOKUP(C2755,Hoja1!$B$1:$C$6191,2,0)),"No esta en Infor")</f>
        <v>NAC0863</v>
      </c>
      <c r="C2755" s="6" t="s">
        <v>398</v>
      </c>
      <c r="D2755" s="3">
        <v>0</v>
      </c>
      <c r="E2755" s="6"/>
      <c r="F2755" s="6">
        <v>0</v>
      </c>
      <c r="G2755" s="6">
        <v>-49.92</v>
      </c>
      <c r="H2755" s="6">
        <v>0</v>
      </c>
      <c r="I2755" s="6">
        <v>0</v>
      </c>
      <c r="J2755" s="18">
        <f t="shared" si="2"/>
        <v>-49.92</v>
      </c>
    </row>
    <row r="2756" spans="1:10" ht="15.75" x14ac:dyDescent="0.25">
      <c r="A2756" s="21">
        <v>45565</v>
      </c>
      <c r="B2756" t="str">
        <f>IFERROR(IF(VLOOKUP(C2756,Hoja1!$B$1:$C$6191,2,0)="",_xlfn.XLOOKUP(C2756,Hoja1!$B$2:$B$6191,Hoja1!$A$2:$A$6191),VLOOKUP(C2756,Hoja1!$B$1:$C$6191,2,0)),"No esta en Infor")</f>
        <v>NAC0865</v>
      </c>
      <c r="C2756" s="6" t="s">
        <v>23</v>
      </c>
      <c r="D2756" s="4">
        <v>3805.2</v>
      </c>
      <c r="E2756" s="6"/>
      <c r="F2756" s="6">
        <v>0</v>
      </c>
      <c r="G2756" s="6">
        <v>0</v>
      </c>
      <c r="H2756" s="6">
        <v>0</v>
      </c>
      <c r="I2756" s="6">
        <v>0</v>
      </c>
      <c r="J2756" s="18">
        <f t="shared" si="2"/>
        <v>3805.2</v>
      </c>
    </row>
    <row r="2757" spans="1:10" ht="15.75" x14ac:dyDescent="0.25">
      <c r="A2757" s="21">
        <v>45565</v>
      </c>
      <c r="B2757" t="str">
        <f>IFERROR(IF(VLOOKUP(C2757,Hoja1!$B$1:$C$6191,2,0)="",_xlfn.XLOOKUP(C2757,Hoja1!$B$2:$B$6191,Hoja1!$A$2:$A$6191),VLOOKUP(C2757,Hoja1!$B$1:$C$6191,2,0)),"No esta en Infor")</f>
        <v>NAC0871</v>
      </c>
      <c r="C2757" s="6" t="s">
        <v>193</v>
      </c>
      <c r="D2757" s="4">
        <v>5185.6400000000003</v>
      </c>
      <c r="E2757" s="6"/>
      <c r="F2757" s="6">
        <v>0</v>
      </c>
      <c r="G2757" s="6">
        <v>0</v>
      </c>
      <c r="H2757" s="6">
        <v>0</v>
      </c>
      <c r="I2757" s="6">
        <v>0</v>
      </c>
      <c r="J2757" s="18">
        <f t="shared" si="2"/>
        <v>5185.6400000000003</v>
      </c>
    </row>
    <row r="2758" spans="1:10" ht="15.75" x14ac:dyDescent="0.25">
      <c r="A2758" s="21">
        <v>45565</v>
      </c>
      <c r="B2758" t="str">
        <f>IFERROR(IF(VLOOKUP(C2758,Hoja1!$B$1:$C$6191,2,0)="",_xlfn.XLOOKUP(C2758,Hoja1!$B$2:$B$6191,Hoja1!$A$2:$A$6191),VLOOKUP(C2758,Hoja1!$B$1:$C$6191,2,0)),"No esta en Infor")</f>
        <v>NAC0872</v>
      </c>
      <c r="C2758" s="6" t="s">
        <v>664</v>
      </c>
      <c r="D2758" s="3">
        <v>-305</v>
      </c>
      <c r="E2758" s="6"/>
      <c r="F2758" s="6">
        <v>0</v>
      </c>
      <c r="G2758" s="6">
        <v>0</v>
      </c>
      <c r="H2758" s="6">
        <v>0</v>
      </c>
      <c r="I2758" s="6">
        <v>0</v>
      </c>
      <c r="J2758" s="18">
        <f t="shared" si="2"/>
        <v>-305</v>
      </c>
    </row>
    <row r="2759" spans="1:10" ht="15.75" x14ac:dyDescent="0.25">
      <c r="A2759" s="21">
        <v>45565</v>
      </c>
      <c r="B2759" t="str">
        <f>IFERROR(IF(VLOOKUP(C2759,Hoja1!$B$1:$C$6191,2,0)="",_xlfn.XLOOKUP(C2759,Hoja1!$B$2:$B$6191,Hoja1!$A$2:$A$6191),VLOOKUP(C2759,Hoja1!$B$1:$C$6191,2,0)),"No esta en Infor")</f>
        <v>NAC0873</v>
      </c>
      <c r="C2759" s="6" t="s">
        <v>455</v>
      </c>
      <c r="D2759" s="3">
        <v>407.5</v>
      </c>
      <c r="E2759" s="6"/>
      <c r="F2759" s="6">
        <v>0</v>
      </c>
      <c r="G2759" s="6">
        <v>0</v>
      </c>
      <c r="H2759" s="6">
        <v>0</v>
      </c>
      <c r="I2759" s="6">
        <v>0</v>
      </c>
      <c r="J2759" s="18">
        <f t="shared" si="2"/>
        <v>407.5</v>
      </c>
    </row>
    <row r="2760" spans="1:10" ht="15.75" x14ac:dyDescent="0.25">
      <c r="A2760" s="21">
        <v>45565</v>
      </c>
      <c r="B2760" t="str">
        <f>IFERROR(IF(VLOOKUP(C2760,Hoja1!$B$1:$C$6191,2,0)="",_xlfn.XLOOKUP(C2760,Hoja1!$B$2:$B$6191,Hoja1!$A$2:$A$6191),VLOOKUP(C2760,Hoja1!$B$1:$C$6191,2,0)),"No esta en Infor")</f>
        <v>NAC0879</v>
      </c>
      <c r="C2760" s="6" t="s">
        <v>194</v>
      </c>
      <c r="D2760" s="3">
        <v>668.52</v>
      </c>
      <c r="E2760" s="6"/>
      <c r="F2760" s="6">
        <v>0</v>
      </c>
      <c r="G2760" s="6">
        <v>-117.9</v>
      </c>
      <c r="H2760" s="6">
        <v>0</v>
      </c>
      <c r="I2760" s="6">
        <v>0</v>
      </c>
      <c r="J2760" s="18">
        <f t="shared" si="2"/>
        <v>550.62</v>
      </c>
    </row>
    <row r="2761" spans="1:10" ht="15.75" x14ac:dyDescent="0.25">
      <c r="A2761" s="21">
        <v>45565</v>
      </c>
      <c r="B2761" t="str">
        <f>IFERROR(IF(VLOOKUP(C2761,Hoja1!$B$1:$C$6191,2,0)="",_xlfn.XLOOKUP(C2761,Hoja1!$B$2:$B$6191,Hoja1!$A$2:$A$6191),VLOOKUP(C2761,Hoja1!$B$1:$C$6191,2,0)),"No esta en Infor")</f>
        <v>NAC0880</v>
      </c>
      <c r="C2761" s="6" t="s">
        <v>24</v>
      </c>
      <c r="D2761" s="4">
        <v>6702.04</v>
      </c>
      <c r="E2761" s="6"/>
      <c r="F2761" s="6">
        <v>0</v>
      </c>
      <c r="G2761" s="6">
        <v>0</v>
      </c>
      <c r="H2761" s="6">
        <v>0</v>
      </c>
      <c r="I2761" s="6">
        <v>-0.3</v>
      </c>
      <c r="J2761" s="18">
        <f t="shared" si="2"/>
        <v>6701.74</v>
      </c>
    </row>
    <row r="2762" spans="1:10" ht="15.75" x14ac:dyDescent="0.25">
      <c r="A2762" s="21">
        <v>45565</v>
      </c>
      <c r="B2762" t="str">
        <f>IFERROR(IF(VLOOKUP(C2762,Hoja1!$B$1:$C$6191,2,0)="",_xlfn.XLOOKUP(C2762,Hoja1!$B$2:$B$6191,Hoja1!$A$2:$A$6191),VLOOKUP(C2762,Hoja1!$B$1:$C$6191,2,0)),"No esta en Infor")</f>
        <v>NAC0881</v>
      </c>
      <c r="C2762" s="6" t="s">
        <v>195</v>
      </c>
      <c r="D2762" s="4">
        <v>43703.92</v>
      </c>
      <c r="E2762" s="6"/>
      <c r="F2762" s="6">
        <v>0</v>
      </c>
      <c r="G2762" s="6">
        <v>0</v>
      </c>
      <c r="H2762" s="6">
        <v>0</v>
      </c>
      <c r="I2762" s="6">
        <v>0</v>
      </c>
      <c r="J2762" s="18">
        <f t="shared" si="2"/>
        <v>43703.92</v>
      </c>
    </row>
    <row r="2763" spans="1:10" ht="15.75" x14ac:dyDescent="0.25">
      <c r="A2763" s="21">
        <v>45565</v>
      </c>
      <c r="B2763" t="str">
        <f>IFERROR(IF(VLOOKUP(C2763,Hoja1!$B$1:$C$6191,2,0)="",_xlfn.XLOOKUP(C2763,Hoja1!$B$2:$B$6191,Hoja1!$A$2:$A$6191),VLOOKUP(C2763,Hoja1!$B$1:$C$6191,2,0)),"No esta en Infor")</f>
        <v>NAC0886</v>
      </c>
      <c r="C2763" s="6" t="s">
        <v>196</v>
      </c>
      <c r="D2763" s="3">
        <v>0</v>
      </c>
      <c r="E2763" s="6"/>
      <c r="F2763" s="6">
        <v>-0.1</v>
      </c>
      <c r="G2763" s="6">
        <v>0</v>
      </c>
      <c r="H2763" s="6">
        <v>0</v>
      </c>
      <c r="I2763" s="6">
        <v>0</v>
      </c>
      <c r="J2763" s="18">
        <f t="shared" si="2"/>
        <v>-0.1</v>
      </c>
    </row>
    <row r="2764" spans="1:10" ht="15.75" x14ac:dyDescent="0.25">
      <c r="A2764" s="21">
        <v>45565</v>
      </c>
      <c r="B2764" t="str">
        <f>IFERROR(IF(VLOOKUP(C2764,Hoja1!$B$1:$C$6191,2,0)="",_xlfn.XLOOKUP(C2764,Hoja1!$B$2:$B$6191,Hoja1!$A$2:$A$6191),VLOOKUP(C2764,Hoja1!$B$1:$C$6191,2,0)),"No esta en Infor")</f>
        <v>NAC0897</v>
      </c>
      <c r="C2764" s="6" t="s">
        <v>25</v>
      </c>
      <c r="D2764" s="4">
        <v>23815.8</v>
      </c>
      <c r="E2764" s="6"/>
      <c r="F2764" s="6">
        <v>0</v>
      </c>
      <c r="G2764" s="6">
        <v>-303.5</v>
      </c>
      <c r="H2764" s="6">
        <v>0</v>
      </c>
      <c r="I2764" s="6">
        <v>0</v>
      </c>
      <c r="J2764" s="18">
        <f t="shared" si="2"/>
        <v>23512.3</v>
      </c>
    </row>
    <row r="2765" spans="1:10" ht="15.75" x14ac:dyDescent="0.25">
      <c r="A2765" s="21">
        <v>45565</v>
      </c>
      <c r="B2765" t="str">
        <f>IFERROR(IF(VLOOKUP(C2765,Hoja1!$B$1:$C$6191,2,0)="",_xlfn.XLOOKUP(C2765,Hoja1!$B$2:$B$6191,Hoja1!$A$2:$A$6191),VLOOKUP(C2765,Hoja1!$B$1:$C$6191,2,0)),"No esta en Infor")</f>
        <v>NAC0906</v>
      </c>
      <c r="C2765" s="6" t="s">
        <v>456</v>
      </c>
      <c r="D2765" s="3">
        <v>0</v>
      </c>
      <c r="E2765" s="6"/>
      <c r="F2765" s="6">
        <v>0</v>
      </c>
      <c r="G2765" s="6">
        <v>-8.93</v>
      </c>
      <c r="H2765" s="6">
        <v>0</v>
      </c>
      <c r="I2765" s="6">
        <v>0</v>
      </c>
      <c r="J2765" s="18">
        <f t="shared" si="2"/>
        <v>-8.93</v>
      </c>
    </row>
    <row r="2766" spans="1:10" ht="15.75" x14ac:dyDescent="0.25">
      <c r="A2766" s="21">
        <v>45565</v>
      </c>
      <c r="B2766" t="str">
        <f>IFERROR(IF(VLOOKUP(C2766,Hoja1!$B$1:$C$6191,2,0)="",_xlfn.XLOOKUP(C2766,Hoja1!$B$2:$B$6191,Hoja1!$A$2:$A$6191),VLOOKUP(C2766,Hoja1!$B$1:$C$6191,2,0)),"No esta en Infor")</f>
        <v>SH02954</v>
      </c>
      <c r="C2766" s="6" t="s">
        <v>665</v>
      </c>
      <c r="D2766" s="3">
        <v>9.17</v>
      </c>
      <c r="E2766" s="6"/>
      <c r="F2766" s="6">
        <v>0</v>
      </c>
      <c r="G2766" s="6">
        <v>0</v>
      </c>
      <c r="H2766" s="6">
        <v>0</v>
      </c>
      <c r="I2766" s="6">
        <v>0</v>
      </c>
      <c r="J2766" s="18">
        <f t="shared" si="2"/>
        <v>9.17</v>
      </c>
    </row>
    <row r="2767" spans="1:10" ht="15.75" x14ac:dyDescent="0.25">
      <c r="A2767" s="21">
        <v>45565</v>
      </c>
      <c r="B2767" t="str">
        <f>IFERROR(IF(VLOOKUP(C2767,Hoja1!$B$1:$C$6191,2,0)="",_xlfn.XLOOKUP(C2767,Hoja1!$B$2:$B$6191,Hoja1!$A$2:$A$6191),VLOOKUP(C2767,Hoja1!$B$1:$C$6191,2,0)),"No esta en Infor")</f>
        <v>CAN0092</v>
      </c>
      <c r="C2767" s="6" t="s">
        <v>555</v>
      </c>
      <c r="D2767" s="3">
        <v>0</v>
      </c>
      <c r="E2767" s="6"/>
      <c r="F2767" s="6">
        <v>-508.5</v>
      </c>
      <c r="G2767" s="6">
        <v>0</v>
      </c>
      <c r="H2767" s="6">
        <v>0</v>
      </c>
      <c r="I2767" s="6">
        <v>0</v>
      </c>
      <c r="J2767" s="18">
        <f t="shared" si="2"/>
        <v>-508.5</v>
      </c>
    </row>
    <row r="2768" spans="1:10" ht="15.75" x14ac:dyDescent="0.25">
      <c r="A2768" s="21">
        <v>45565</v>
      </c>
      <c r="B2768" t="str">
        <f>IFERROR(IF(VLOOKUP(C2768,Hoja1!$B$1:$C$6191,2,0)="",_xlfn.XLOOKUP(C2768,Hoja1!$B$2:$B$6191,Hoja1!$A$2:$A$6191),VLOOKUP(C2768,Hoja1!$B$1:$C$6191,2,0)),"No esta en Infor")</f>
        <v>SH02965</v>
      </c>
      <c r="C2768" s="6" t="s">
        <v>666</v>
      </c>
      <c r="D2768" s="3">
        <v>62.88</v>
      </c>
      <c r="E2768" s="6"/>
      <c r="F2768" s="6">
        <v>0</v>
      </c>
      <c r="G2768" s="6">
        <v>0</v>
      </c>
      <c r="H2768" s="6">
        <v>0</v>
      </c>
      <c r="I2768" s="6">
        <v>0</v>
      </c>
      <c r="J2768" s="18">
        <f t="shared" si="2"/>
        <v>62.88</v>
      </c>
    </row>
    <row r="2769" spans="1:10" ht="15.75" x14ac:dyDescent="0.25">
      <c r="A2769" s="21">
        <v>45565</v>
      </c>
      <c r="B2769" t="str">
        <f>IFERROR(IF(VLOOKUP(C2769,Hoja1!$B$1:$C$6191,2,0)="",_xlfn.XLOOKUP(C2769,Hoja1!$B$2:$B$6191,Hoja1!$A$2:$A$6191),VLOOKUP(C2769,Hoja1!$B$1:$C$6191,2,0)),"No esta en Infor")</f>
        <v>CAN0027</v>
      </c>
      <c r="C2769" s="6" t="s">
        <v>667</v>
      </c>
      <c r="D2769" s="4">
        <v>11571.2</v>
      </c>
      <c r="E2769" s="6"/>
      <c r="F2769" s="6">
        <v>0</v>
      </c>
      <c r="G2769" s="6">
        <v>0</v>
      </c>
      <c r="H2769" s="6">
        <v>0</v>
      </c>
      <c r="I2769" s="6">
        <v>0</v>
      </c>
      <c r="J2769" s="18">
        <f t="shared" si="2"/>
        <v>11571.2</v>
      </c>
    </row>
    <row r="2770" spans="1:10" ht="15.75" x14ac:dyDescent="0.25">
      <c r="A2770" s="21">
        <v>45565</v>
      </c>
      <c r="B2770" t="str">
        <f>IFERROR(IF(VLOOKUP(C2770,Hoja1!$B$1:$C$6191,2,0)="",_xlfn.XLOOKUP(C2770,Hoja1!$B$2:$B$6191,Hoja1!$A$2:$A$6191),VLOOKUP(C2770,Hoja1!$B$1:$C$6191,2,0)),"No esta en Infor")</f>
        <v>NAC0929</v>
      </c>
      <c r="C2770" s="6" t="s">
        <v>207</v>
      </c>
      <c r="D2770" s="3">
        <v>980</v>
      </c>
      <c r="E2770" s="6"/>
      <c r="F2770" s="6">
        <v>0</v>
      </c>
      <c r="G2770" s="6">
        <v>0</v>
      </c>
      <c r="H2770" s="6">
        <v>0</v>
      </c>
      <c r="I2770" s="6">
        <v>0</v>
      </c>
      <c r="J2770" s="18">
        <f t="shared" si="2"/>
        <v>980</v>
      </c>
    </row>
    <row r="2771" spans="1:10" ht="15.75" x14ac:dyDescent="0.25">
      <c r="A2771" s="21">
        <v>45565</v>
      </c>
      <c r="B2771" t="str">
        <f>IFERROR(IF(VLOOKUP(C2771,Hoja1!$B$1:$C$6191,2,0)="",_xlfn.XLOOKUP(C2771,Hoja1!$B$2:$B$6191,Hoja1!$A$2:$A$6191),VLOOKUP(C2771,Hoja1!$B$1:$C$6191,2,0)),"No esta en Infor")</f>
        <v>NAC1607</v>
      </c>
      <c r="C2771" s="6" t="s">
        <v>668</v>
      </c>
      <c r="D2771" s="4">
        <v>1020.96</v>
      </c>
      <c r="E2771" s="6"/>
      <c r="F2771" s="6">
        <v>0</v>
      </c>
      <c r="G2771" s="6">
        <v>0</v>
      </c>
      <c r="H2771" s="6">
        <v>0</v>
      </c>
      <c r="I2771" s="6">
        <v>0</v>
      </c>
      <c r="J2771" s="18">
        <f t="shared" si="2"/>
        <v>1020.96</v>
      </c>
    </row>
    <row r="2772" spans="1:10" ht="15.75" x14ac:dyDescent="0.25">
      <c r="A2772" s="21">
        <v>45565</v>
      </c>
      <c r="B2772" t="str">
        <f>IFERROR(IF(VLOOKUP(C2772,Hoja1!$B$1:$C$6191,2,0)="",_xlfn.XLOOKUP(C2772,Hoja1!$B$2:$B$6191,Hoja1!$A$2:$A$6191),VLOOKUP(C2772,Hoja1!$B$1:$C$6191,2,0)),"No esta en Infor")</f>
        <v>NAC0953</v>
      </c>
      <c r="C2772" s="6" t="s">
        <v>28</v>
      </c>
      <c r="D2772" s="3">
        <v>0</v>
      </c>
      <c r="E2772" s="6"/>
      <c r="F2772" s="6">
        <v>-161.36000000000001</v>
      </c>
      <c r="G2772" s="6">
        <v>-527.44000000000005</v>
      </c>
      <c r="H2772" s="6">
        <v>-47.79</v>
      </c>
      <c r="I2772" s="6">
        <v>0</v>
      </c>
      <c r="J2772" s="18">
        <f t="shared" si="2"/>
        <v>-736.59</v>
      </c>
    </row>
    <row r="2773" spans="1:10" ht="15.75" x14ac:dyDescent="0.25">
      <c r="A2773" s="21">
        <v>45565</v>
      </c>
      <c r="B2773" t="str">
        <f>IFERROR(IF(VLOOKUP(C2773,Hoja1!$B$1:$C$6191,2,0)="",_xlfn.XLOOKUP(C2773,Hoja1!$B$2:$B$6191,Hoja1!$A$2:$A$6191),VLOOKUP(C2773,Hoja1!$B$1:$C$6191,2,0)),"No esta en Infor")</f>
        <v>NAC0959</v>
      </c>
      <c r="C2773" s="6" t="s">
        <v>669</v>
      </c>
      <c r="D2773" s="4">
        <v>44726.25</v>
      </c>
      <c r="E2773" s="6"/>
      <c r="F2773" s="6">
        <v>0</v>
      </c>
      <c r="G2773" s="6">
        <v>0</v>
      </c>
      <c r="H2773" s="6">
        <v>0</v>
      </c>
      <c r="I2773" s="6">
        <v>0</v>
      </c>
      <c r="J2773" s="18">
        <f t="shared" si="2"/>
        <v>44726.25</v>
      </c>
    </row>
    <row r="2774" spans="1:10" ht="15.75" x14ac:dyDescent="0.25">
      <c r="A2774" s="21">
        <v>45565</v>
      </c>
      <c r="B2774" t="str">
        <f>IFERROR(IF(VLOOKUP(C2774,Hoja1!$B$1:$C$6191,2,0)="",_xlfn.XLOOKUP(C2774,Hoja1!$B$2:$B$6191,Hoja1!$A$2:$A$6191),VLOOKUP(C2774,Hoja1!$B$1:$C$6191,2,0)),"No esta en Infor")</f>
        <v>NAC0971</v>
      </c>
      <c r="C2774" s="6" t="s">
        <v>219</v>
      </c>
      <c r="D2774" s="3">
        <v>384.34</v>
      </c>
      <c r="E2774" s="6"/>
      <c r="F2774" s="6">
        <v>0</v>
      </c>
      <c r="G2774" s="6">
        <v>0</v>
      </c>
      <c r="H2774" s="6">
        <v>0</v>
      </c>
      <c r="I2774" s="6">
        <v>0</v>
      </c>
      <c r="J2774" s="18">
        <f t="shared" si="2"/>
        <v>384.34</v>
      </c>
    </row>
    <row r="2775" spans="1:10" ht="15.75" x14ac:dyDescent="0.25">
      <c r="A2775" s="21">
        <v>45565</v>
      </c>
      <c r="B2775" t="str">
        <f>IFERROR(IF(VLOOKUP(C2775,Hoja1!$B$1:$C$6191,2,0)="",_xlfn.XLOOKUP(C2775,Hoja1!$B$2:$B$6191,Hoja1!$A$2:$A$6191),VLOOKUP(C2775,Hoja1!$B$1:$C$6191,2,0)),"No esta en Infor")</f>
        <v>NAC0974</v>
      </c>
      <c r="C2775" s="6" t="s">
        <v>670</v>
      </c>
      <c r="D2775" s="4">
        <v>3219</v>
      </c>
      <c r="E2775" s="6"/>
      <c r="F2775" s="6">
        <v>0</v>
      </c>
      <c r="G2775" s="6">
        <v>0</v>
      </c>
      <c r="H2775" s="6">
        <v>0</v>
      </c>
      <c r="I2775" s="6">
        <v>0</v>
      </c>
      <c r="J2775" s="18">
        <f t="shared" si="2"/>
        <v>3219</v>
      </c>
    </row>
    <row r="2776" spans="1:10" ht="15.75" x14ac:dyDescent="0.25">
      <c r="A2776" s="21">
        <v>45565</v>
      </c>
      <c r="B2776" t="str">
        <f>IFERROR(IF(VLOOKUP(C2776,Hoja1!$B$1:$C$6191,2,0)="",_xlfn.XLOOKUP(C2776,Hoja1!$B$2:$B$6191,Hoja1!$A$2:$A$6191),VLOOKUP(C2776,Hoja1!$B$1:$C$6191,2,0)),"No esta en Infor")</f>
        <v>NAC0978</v>
      </c>
      <c r="C2776" s="6" t="s">
        <v>502</v>
      </c>
      <c r="D2776" s="3">
        <v>-9.48</v>
      </c>
      <c r="E2776" s="6"/>
      <c r="F2776" s="6">
        <v>0</v>
      </c>
      <c r="G2776" s="6">
        <v>0</v>
      </c>
      <c r="H2776" s="6">
        <v>0</v>
      </c>
      <c r="I2776" s="6">
        <v>0</v>
      </c>
      <c r="J2776" s="18">
        <f t="shared" si="2"/>
        <v>-9.48</v>
      </c>
    </row>
    <row r="2777" spans="1:10" ht="15.75" x14ac:dyDescent="0.25">
      <c r="A2777" s="21">
        <v>45565</v>
      </c>
      <c r="B2777" t="str">
        <f>IFERROR(IF(VLOOKUP(C2777,Hoja1!$B$1:$C$6191,2,0)="",_xlfn.XLOOKUP(C2777,Hoja1!$B$2:$B$6191,Hoja1!$A$2:$A$6191),VLOOKUP(C2777,Hoja1!$B$1:$C$6191,2,0)),"No esta en Infor")</f>
        <v>SH02931</v>
      </c>
      <c r="C2777" s="6" t="s">
        <v>671</v>
      </c>
      <c r="D2777" s="3">
        <v>-11.13</v>
      </c>
      <c r="E2777" s="6"/>
      <c r="F2777" s="6">
        <v>0</v>
      </c>
      <c r="G2777" s="6">
        <v>0</v>
      </c>
      <c r="H2777" s="6">
        <v>0</v>
      </c>
      <c r="I2777" s="6">
        <v>0</v>
      </c>
      <c r="J2777" s="18">
        <f t="shared" si="2"/>
        <v>-11.13</v>
      </c>
    </row>
    <row r="2778" spans="1:10" ht="15.75" x14ac:dyDescent="0.25">
      <c r="A2778" s="21">
        <v>45565</v>
      </c>
      <c r="B2778" t="str">
        <f>IFERROR(IF(VLOOKUP(C2778,Hoja1!$B$1:$C$6191,2,0)="",_xlfn.XLOOKUP(C2778,Hoja1!$B$2:$B$6191,Hoja1!$A$2:$A$6191),VLOOKUP(C2778,Hoja1!$B$1:$C$6191,2,0)),"No esta en Infor")</f>
        <v>NAC0979</v>
      </c>
      <c r="C2778" s="6" t="s">
        <v>222</v>
      </c>
      <c r="D2778" s="4">
        <v>1320</v>
      </c>
      <c r="E2778" s="6"/>
      <c r="F2778" s="6">
        <v>0</v>
      </c>
      <c r="G2778" s="6">
        <v>0</v>
      </c>
      <c r="H2778" s="6">
        <v>0</v>
      </c>
      <c r="I2778" s="6">
        <v>0</v>
      </c>
      <c r="J2778" s="18">
        <f t="shared" si="2"/>
        <v>1320</v>
      </c>
    </row>
    <row r="2779" spans="1:10" ht="15.75" x14ac:dyDescent="0.25">
      <c r="A2779" s="21">
        <v>45565</v>
      </c>
      <c r="B2779" t="str">
        <f>IFERROR(IF(VLOOKUP(C2779,Hoja1!$B$1:$C$6191,2,0)="",_xlfn.XLOOKUP(C2779,Hoja1!$B$2:$B$6191,Hoja1!$A$2:$A$6191),VLOOKUP(C2779,Hoja1!$B$1:$C$6191,2,0)),"No esta en Infor")</f>
        <v>SH01036</v>
      </c>
      <c r="C2779" s="6" t="s">
        <v>672</v>
      </c>
      <c r="D2779" s="3">
        <v>-112.92</v>
      </c>
      <c r="E2779" s="6"/>
      <c r="F2779" s="6">
        <v>0</v>
      </c>
      <c r="G2779" s="6">
        <v>0</v>
      </c>
      <c r="H2779" s="6">
        <v>0</v>
      </c>
      <c r="I2779" s="6">
        <v>0</v>
      </c>
      <c r="J2779" s="18">
        <f t="shared" si="2"/>
        <v>-112.92</v>
      </c>
    </row>
    <row r="2780" spans="1:10" ht="15.75" x14ac:dyDescent="0.25">
      <c r="A2780" s="21">
        <v>45565</v>
      </c>
      <c r="B2780" t="str">
        <f>IFERROR(IF(VLOOKUP(C2780,Hoja1!$B$1:$C$6191,2,0)="",_xlfn.XLOOKUP(C2780,Hoja1!$B$2:$B$6191,Hoja1!$A$2:$A$6191),VLOOKUP(C2780,Hoja1!$B$1:$C$6191,2,0)),"No esta en Infor")</f>
        <v>NAC0986</v>
      </c>
      <c r="C2780" s="6" t="s">
        <v>224</v>
      </c>
      <c r="D2780" s="3">
        <v>82.42</v>
      </c>
      <c r="E2780" s="6"/>
      <c r="F2780" s="18">
        <v>-3883.46</v>
      </c>
      <c r="G2780" s="6">
        <v>984.75</v>
      </c>
      <c r="H2780" s="6">
        <v>257.49</v>
      </c>
      <c r="I2780" s="6">
        <v>11.65</v>
      </c>
      <c r="J2780" s="18">
        <f t="shared" si="2"/>
        <v>-2547.15</v>
      </c>
    </row>
    <row r="2781" spans="1:10" ht="15.75" x14ac:dyDescent="0.25">
      <c r="A2781" s="21">
        <v>45565</v>
      </c>
      <c r="B2781" t="str">
        <f>IFERROR(IF(VLOOKUP(C2781,Hoja1!$B$1:$C$6191,2,0)="",_xlfn.XLOOKUP(C2781,Hoja1!$B$2:$B$6191,Hoja1!$A$2:$A$6191),VLOOKUP(C2781,Hoja1!$B$1:$C$6191,2,0)),"No esta en Infor")</f>
        <v>NAC0987</v>
      </c>
      <c r="C2781" s="6" t="s">
        <v>225</v>
      </c>
      <c r="D2781" s="3">
        <v>0</v>
      </c>
      <c r="E2781" s="6"/>
      <c r="F2781" s="6">
        <v>0</v>
      </c>
      <c r="G2781" s="6">
        <v>0</v>
      </c>
      <c r="H2781" s="6">
        <v>0</v>
      </c>
      <c r="I2781" s="18">
        <v>2040.5</v>
      </c>
      <c r="J2781" s="18">
        <f t="shared" si="2"/>
        <v>2040.5</v>
      </c>
    </row>
    <row r="2782" spans="1:10" ht="15.75" x14ac:dyDescent="0.25">
      <c r="A2782" s="21">
        <v>45565</v>
      </c>
      <c r="B2782" t="str">
        <f>IFERROR(IF(VLOOKUP(C2782,Hoja1!$B$1:$C$6191,2,0)="",_xlfn.XLOOKUP(C2782,Hoja1!$B$2:$B$6191,Hoja1!$A$2:$A$6191),VLOOKUP(C2782,Hoja1!$B$1:$C$6191,2,0)),"No esta en Infor")</f>
        <v>NAC0993</v>
      </c>
      <c r="C2782" s="6" t="s">
        <v>673</v>
      </c>
      <c r="D2782" s="3">
        <v>-250.91</v>
      </c>
      <c r="E2782" s="6"/>
      <c r="F2782" s="6">
        <v>0</v>
      </c>
      <c r="G2782" s="6">
        <v>0</v>
      </c>
      <c r="H2782" s="6">
        <v>0</v>
      </c>
      <c r="I2782" s="6">
        <v>0</v>
      </c>
      <c r="J2782" s="18">
        <f t="shared" si="2"/>
        <v>-250.91</v>
      </c>
    </row>
    <row r="2783" spans="1:10" ht="15.75" x14ac:dyDescent="0.25">
      <c r="A2783" s="21">
        <v>45565</v>
      </c>
      <c r="B2783" t="str">
        <f>IFERROR(IF(VLOOKUP(C2783,Hoja1!$B$1:$C$6191,2,0)="",_xlfn.XLOOKUP(C2783,Hoja1!$B$2:$B$6191,Hoja1!$A$2:$A$6191),VLOOKUP(C2783,Hoja1!$B$1:$C$6191,2,0)),"No esta en Infor")</f>
        <v>NAC0994</v>
      </c>
      <c r="C2783" s="6" t="s">
        <v>226</v>
      </c>
      <c r="D2783" s="3">
        <v>232</v>
      </c>
      <c r="E2783" s="6"/>
      <c r="F2783" s="6">
        <v>0</v>
      </c>
      <c r="G2783" s="6">
        <v>0</v>
      </c>
      <c r="H2783" s="6">
        <v>0</v>
      </c>
      <c r="I2783" s="6">
        <v>0</v>
      </c>
      <c r="J2783" s="18">
        <f t="shared" si="2"/>
        <v>232</v>
      </c>
    </row>
    <row r="2784" spans="1:10" ht="15.75" x14ac:dyDescent="0.25">
      <c r="A2784" s="21">
        <v>45565</v>
      </c>
      <c r="B2784" t="str">
        <f>IFERROR(IF(VLOOKUP(C2784,Hoja1!$B$1:$C$6191,2,0)="",_xlfn.XLOOKUP(C2784,Hoja1!$B$2:$B$6191,Hoja1!$A$2:$A$6191),VLOOKUP(C2784,Hoja1!$B$1:$C$6191,2,0)),"No esta en Infor")</f>
        <v>SH01159</v>
      </c>
      <c r="C2784" s="6" t="s">
        <v>674</v>
      </c>
      <c r="D2784" s="3">
        <v>3.89</v>
      </c>
      <c r="E2784" s="6"/>
      <c r="F2784" s="6">
        <v>0</v>
      </c>
      <c r="G2784" s="6">
        <v>0</v>
      </c>
      <c r="H2784" s="6">
        <v>0</v>
      </c>
      <c r="I2784" s="6">
        <v>0</v>
      </c>
      <c r="J2784" s="18">
        <f t="shared" si="2"/>
        <v>3.89</v>
      </c>
    </row>
    <row r="2785" spans="1:10" ht="15.75" x14ac:dyDescent="0.25">
      <c r="A2785" s="21">
        <v>45565</v>
      </c>
      <c r="B2785" t="str">
        <f>IFERROR(IF(VLOOKUP(C2785,Hoja1!$B$1:$C$6191,2,0)="",_xlfn.XLOOKUP(C2785,Hoja1!$B$2:$B$6191,Hoja1!$A$2:$A$6191),VLOOKUP(C2785,Hoja1!$B$1:$C$6191,2,0)),"No esta en Infor")</f>
        <v>SH02916</v>
      </c>
      <c r="C2785" s="6" t="s">
        <v>675</v>
      </c>
      <c r="D2785" s="3">
        <v>-100.79</v>
      </c>
      <c r="E2785" s="6"/>
      <c r="F2785" s="6">
        <v>0</v>
      </c>
      <c r="G2785" s="6">
        <v>0</v>
      </c>
      <c r="H2785" s="6">
        <v>0</v>
      </c>
      <c r="I2785" s="6">
        <v>0</v>
      </c>
      <c r="J2785" s="18">
        <f t="shared" si="2"/>
        <v>-100.79</v>
      </c>
    </row>
    <row r="2786" spans="1:10" ht="15.75" x14ac:dyDescent="0.25">
      <c r="A2786" s="21">
        <v>45565</v>
      </c>
      <c r="B2786" t="str">
        <f>IFERROR(IF(VLOOKUP(C2786,Hoja1!$B$1:$C$6191,2,0)="",_xlfn.XLOOKUP(C2786,Hoja1!$B$2:$B$6191,Hoja1!$A$2:$A$6191),VLOOKUP(C2786,Hoja1!$B$1:$C$6191,2,0)),"No esta en Infor")</f>
        <v>NAC1004</v>
      </c>
      <c r="C2786" s="6" t="s">
        <v>676</v>
      </c>
      <c r="D2786" s="4">
        <v>13187</v>
      </c>
      <c r="E2786" s="6"/>
      <c r="F2786" s="6">
        <v>0</v>
      </c>
      <c r="G2786" s="6">
        <v>0</v>
      </c>
      <c r="H2786" s="6">
        <v>0</v>
      </c>
      <c r="I2786" s="6">
        <v>0</v>
      </c>
      <c r="J2786" s="18">
        <f t="shared" si="2"/>
        <v>13187</v>
      </c>
    </row>
    <row r="2787" spans="1:10" ht="15.75" x14ac:dyDescent="0.25">
      <c r="A2787" s="21">
        <v>45565</v>
      </c>
      <c r="B2787" t="str">
        <f>IFERROR(IF(VLOOKUP(C2787,Hoja1!$B$1:$C$6191,2,0)="",_xlfn.XLOOKUP(C2787,Hoja1!$B$2:$B$6191,Hoja1!$A$2:$A$6191),VLOOKUP(C2787,Hoja1!$B$1:$C$6191,2,0)),"No esta en Infor")</f>
        <v>NAC1007</v>
      </c>
      <c r="C2787" s="6" t="s">
        <v>233</v>
      </c>
      <c r="D2787" s="3">
        <v>0</v>
      </c>
      <c r="E2787" s="6"/>
      <c r="F2787" s="6">
        <v>0</v>
      </c>
      <c r="G2787" s="18">
        <v>-1440</v>
      </c>
      <c r="H2787" s="6">
        <v>0</v>
      </c>
      <c r="I2787" s="6">
        <v>0</v>
      </c>
      <c r="J2787" s="18">
        <f t="shared" si="2"/>
        <v>-1440</v>
      </c>
    </row>
    <row r="2788" spans="1:10" ht="15.75" x14ac:dyDescent="0.25">
      <c r="A2788" s="21">
        <v>45565</v>
      </c>
      <c r="B2788" t="str">
        <f>IFERROR(IF(VLOOKUP(C2788,Hoja1!$B$1:$C$6191,2,0)="",_xlfn.XLOOKUP(C2788,Hoja1!$B$2:$B$6191,Hoja1!$A$2:$A$6191),VLOOKUP(C2788,Hoja1!$B$1:$C$6191,2,0)),"No esta en Infor")</f>
        <v>NAC1009</v>
      </c>
      <c r="C2788" s="6" t="s">
        <v>624</v>
      </c>
      <c r="D2788" s="4">
        <v>16939.5</v>
      </c>
      <c r="E2788" s="6"/>
      <c r="F2788" s="6">
        <v>0</v>
      </c>
      <c r="G2788" s="6">
        <v>0</v>
      </c>
      <c r="H2788" s="6">
        <v>0</v>
      </c>
      <c r="I2788" s="6">
        <v>0</v>
      </c>
      <c r="J2788" s="18">
        <f t="shared" si="2"/>
        <v>16939.5</v>
      </c>
    </row>
    <row r="2789" spans="1:10" ht="15.75" x14ac:dyDescent="0.25">
      <c r="A2789" s="21">
        <v>45565</v>
      </c>
      <c r="B2789" t="str">
        <f>IFERROR(IF(VLOOKUP(C2789,Hoja1!$B$1:$C$6191,2,0)="",_xlfn.XLOOKUP(C2789,Hoja1!$B$2:$B$6191,Hoja1!$A$2:$A$6191),VLOOKUP(C2789,Hoja1!$B$1:$C$6191,2,0)),"No esta en Infor")</f>
        <v>NAC1606</v>
      </c>
      <c r="C2789" s="6" t="s">
        <v>561</v>
      </c>
      <c r="D2789" s="4">
        <v>35240.800000000003</v>
      </c>
      <c r="E2789" s="6"/>
      <c r="F2789" s="6">
        <v>0</v>
      </c>
      <c r="G2789" s="6">
        <v>0</v>
      </c>
      <c r="H2789" s="6">
        <v>0</v>
      </c>
      <c r="I2789" s="6">
        <v>0</v>
      </c>
      <c r="J2789" s="18">
        <f t="shared" si="2"/>
        <v>35240.800000000003</v>
      </c>
    </row>
    <row r="2790" spans="1:10" ht="15.75" x14ac:dyDescent="0.25">
      <c r="A2790" s="21">
        <v>45565</v>
      </c>
      <c r="B2790" t="str">
        <f>IFERROR(IF(VLOOKUP(C2790,Hoja1!$B$1:$C$6191,2,0)="",_xlfn.XLOOKUP(C2790,Hoja1!$B$2:$B$6191,Hoja1!$A$2:$A$6191),VLOOKUP(C2790,Hoja1!$B$1:$C$6191,2,0)),"No esta en Infor")</f>
        <v>NAC1021</v>
      </c>
      <c r="C2790" s="6" t="s">
        <v>239</v>
      </c>
      <c r="D2790" s="3">
        <v>-5</v>
      </c>
      <c r="E2790" s="6"/>
      <c r="F2790" s="6">
        <v>0</v>
      </c>
      <c r="G2790" s="6">
        <v>0</v>
      </c>
      <c r="H2790" s="6">
        <v>0</v>
      </c>
      <c r="I2790" s="6">
        <v>0</v>
      </c>
      <c r="J2790" s="18">
        <f t="shared" si="2"/>
        <v>-5</v>
      </c>
    </row>
    <row r="2791" spans="1:10" ht="15.75" x14ac:dyDescent="0.25">
      <c r="A2791" s="21">
        <v>45565</v>
      </c>
      <c r="B2791" t="str">
        <f>IFERROR(IF(VLOOKUP(C2791,Hoja1!$B$1:$C$6191,2,0)="",_xlfn.XLOOKUP(C2791,Hoja1!$B$2:$B$6191,Hoja1!$A$2:$A$6191),VLOOKUP(C2791,Hoja1!$B$1:$C$6191,2,0)),"No esta en Infor")</f>
        <v>SH02915</v>
      </c>
      <c r="C2791" s="6" t="s">
        <v>677</v>
      </c>
      <c r="D2791" s="3">
        <v>-92.59</v>
      </c>
      <c r="E2791" s="6"/>
      <c r="F2791" s="6">
        <v>0</v>
      </c>
      <c r="G2791" s="6">
        <v>0</v>
      </c>
      <c r="H2791" s="6">
        <v>0</v>
      </c>
      <c r="I2791" s="6">
        <v>0</v>
      </c>
      <c r="J2791" s="18">
        <f t="shared" si="2"/>
        <v>-92.59</v>
      </c>
    </row>
    <row r="2792" spans="1:10" ht="15.75" x14ac:dyDescent="0.25">
      <c r="A2792" s="21">
        <v>45565</v>
      </c>
      <c r="B2792" t="str">
        <f>IFERROR(IF(VLOOKUP(C2792,Hoja1!$B$1:$C$6191,2,0)="",_xlfn.XLOOKUP(C2792,Hoja1!$B$2:$B$6191,Hoja1!$A$2:$A$6191),VLOOKUP(C2792,Hoja1!$B$1:$C$6191,2,0)),"No esta en Infor")</f>
        <v>NAC1025</v>
      </c>
      <c r="C2792" s="6" t="s">
        <v>242</v>
      </c>
      <c r="D2792" s="3">
        <v>-428.22</v>
      </c>
      <c r="E2792" s="6"/>
      <c r="F2792" s="6">
        <v>0</v>
      </c>
      <c r="G2792" s="6">
        <v>0</v>
      </c>
      <c r="H2792" s="6">
        <v>0</v>
      </c>
      <c r="I2792" s="6">
        <v>0</v>
      </c>
      <c r="J2792" s="18">
        <f t="shared" si="2"/>
        <v>-428.22</v>
      </c>
    </row>
    <row r="2793" spans="1:10" ht="15.75" x14ac:dyDescent="0.25">
      <c r="A2793" s="21">
        <v>45565</v>
      </c>
      <c r="B2793" t="str">
        <f>IFERROR(IF(VLOOKUP(C2793,Hoja1!$B$1:$C$6191,2,0)="",_xlfn.XLOOKUP(C2793,Hoja1!$B$2:$B$6191,Hoja1!$A$2:$A$6191),VLOOKUP(C2793,Hoja1!$B$1:$C$6191,2,0)),"No esta en Infor")</f>
        <v>NAC1027</v>
      </c>
      <c r="C2793" s="6" t="s">
        <v>243</v>
      </c>
      <c r="D2793" s="4">
        <v>2608</v>
      </c>
      <c r="E2793" s="6"/>
      <c r="F2793" s="6">
        <v>0</v>
      </c>
      <c r="G2793" s="6">
        <v>0</v>
      </c>
      <c r="H2793" s="6">
        <v>0</v>
      </c>
      <c r="I2793" s="18">
        <v>-2408</v>
      </c>
      <c r="J2793" s="18">
        <f t="shared" si="2"/>
        <v>200</v>
      </c>
    </row>
    <row r="2794" spans="1:10" ht="15.75" x14ac:dyDescent="0.25">
      <c r="A2794" s="21">
        <v>45565</v>
      </c>
      <c r="B2794" t="str">
        <f>IFERROR(IF(VLOOKUP(C2794,Hoja1!$B$1:$C$6191,2,0)="",_xlfn.XLOOKUP(C2794,Hoja1!$B$2:$B$6191,Hoja1!$A$2:$A$6191),VLOOKUP(C2794,Hoja1!$B$1:$C$6191,2,0)),"No esta en Infor")</f>
        <v>SH02942</v>
      </c>
      <c r="C2794" s="6" t="s">
        <v>678</v>
      </c>
      <c r="D2794" s="3">
        <v>-66.87</v>
      </c>
      <c r="E2794" s="6"/>
      <c r="F2794" s="6">
        <v>0</v>
      </c>
      <c r="G2794" s="6">
        <v>0</v>
      </c>
      <c r="H2794" s="6">
        <v>0</v>
      </c>
      <c r="I2794" s="6">
        <v>0</v>
      </c>
      <c r="J2794" s="18">
        <f t="shared" si="2"/>
        <v>-66.87</v>
      </c>
    </row>
    <row r="2795" spans="1:10" ht="15.75" x14ac:dyDescent="0.25">
      <c r="A2795" s="21">
        <v>45565</v>
      </c>
      <c r="B2795" t="str">
        <f>IFERROR(IF(VLOOKUP(C2795,Hoja1!$B$1:$C$6191,2,0)="",_xlfn.XLOOKUP(C2795,Hoja1!$B$2:$B$6191,Hoja1!$A$2:$A$6191),VLOOKUP(C2795,Hoja1!$B$1:$C$6191,2,0)),"No esta en Infor")</f>
        <v>NAC1051</v>
      </c>
      <c r="C2795" s="6" t="s">
        <v>246</v>
      </c>
      <c r="D2795" s="3">
        <v>163.81</v>
      </c>
      <c r="E2795" s="6"/>
      <c r="F2795" s="6">
        <v>0</v>
      </c>
      <c r="G2795" s="6">
        <v>0</v>
      </c>
      <c r="H2795" s="6">
        <v>0</v>
      </c>
      <c r="I2795" s="6">
        <v>0</v>
      </c>
      <c r="J2795" s="18">
        <f t="shared" si="2"/>
        <v>163.81</v>
      </c>
    </row>
    <row r="2796" spans="1:10" ht="15.75" x14ac:dyDescent="0.25">
      <c r="A2796" s="21">
        <v>45565</v>
      </c>
      <c r="B2796" t="str">
        <f>IFERROR(IF(VLOOKUP(C2796,Hoja1!$B$1:$C$6191,2,0)="",_xlfn.XLOOKUP(C2796,Hoja1!$B$2:$B$6191,Hoja1!$A$2:$A$6191),VLOOKUP(C2796,Hoja1!$B$1:$C$6191,2,0)),"No esta en Infor")</f>
        <v>NAC1053</v>
      </c>
      <c r="C2796" s="6" t="s">
        <v>679</v>
      </c>
      <c r="D2796" s="3">
        <v>274.13</v>
      </c>
      <c r="E2796" s="6"/>
      <c r="F2796" s="6">
        <v>0</v>
      </c>
      <c r="G2796" s="6">
        <v>0</v>
      </c>
      <c r="H2796" s="6">
        <v>0</v>
      </c>
      <c r="I2796" s="6">
        <v>0</v>
      </c>
      <c r="J2796" s="18">
        <f t="shared" si="2"/>
        <v>274.13</v>
      </c>
    </row>
    <row r="2797" spans="1:10" ht="15.75" x14ac:dyDescent="0.25">
      <c r="A2797" s="21">
        <v>45565</v>
      </c>
      <c r="B2797" t="str">
        <f>IFERROR(IF(VLOOKUP(C2797,Hoja1!$B$1:$C$6191,2,0)="",_xlfn.XLOOKUP(C2797,Hoja1!$B$2:$B$6191,Hoja1!$A$2:$A$6191),VLOOKUP(C2797,Hoja1!$B$1:$C$6191,2,0)),"No esta en Infor")</f>
        <v>NAC1054</v>
      </c>
      <c r="C2797" s="6" t="s">
        <v>248</v>
      </c>
      <c r="D2797" s="4">
        <v>12299.8</v>
      </c>
      <c r="E2797" s="6"/>
      <c r="F2797" s="6">
        <v>0</v>
      </c>
      <c r="G2797" s="6">
        <v>0</v>
      </c>
      <c r="H2797" s="6">
        <v>0</v>
      </c>
      <c r="I2797" s="6">
        <v>0</v>
      </c>
      <c r="J2797" s="18">
        <f t="shared" si="2"/>
        <v>12299.8</v>
      </c>
    </row>
    <row r="2798" spans="1:10" ht="15.75" x14ac:dyDescent="0.25">
      <c r="A2798" s="21">
        <v>45565</v>
      </c>
      <c r="B2798" t="str">
        <f>IFERROR(IF(VLOOKUP(C2798,Hoja1!$B$1:$C$6191,2,0)="",_xlfn.XLOOKUP(C2798,Hoja1!$B$2:$B$6191,Hoja1!$A$2:$A$6191),VLOOKUP(C2798,Hoja1!$B$1:$C$6191,2,0)),"No esta en Infor")</f>
        <v>NAC1056</v>
      </c>
      <c r="C2798" s="6" t="s">
        <v>465</v>
      </c>
      <c r="D2798" s="3">
        <v>362</v>
      </c>
      <c r="E2798" s="6"/>
      <c r="F2798" s="6">
        <v>0</v>
      </c>
      <c r="G2798" s="6">
        <v>0</v>
      </c>
      <c r="H2798" s="6">
        <v>0</v>
      </c>
      <c r="I2798" s="6">
        <v>0</v>
      </c>
      <c r="J2798" s="18">
        <f t="shared" si="2"/>
        <v>362</v>
      </c>
    </row>
    <row r="2799" spans="1:10" ht="15.75" x14ac:dyDescent="0.25">
      <c r="A2799" s="21">
        <v>45565</v>
      </c>
      <c r="B2799" t="str">
        <f>IFERROR(IF(VLOOKUP(C2799,Hoja1!$B$1:$C$6191,2,0)="",_xlfn.XLOOKUP(C2799,Hoja1!$B$2:$B$6191,Hoja1!$A$2:$A$6191),VLOOKUP(C2799,Hoja1!$B$1:$C$6191,2,0)),"No esta en Infor")</f>
        <v>SH02957</v>
      </c>
      <c r="C2799" s="6" t="s">
        <v>680</v>
      </c>
      <c r="D2799" s="3">
        <v>2.12</v>
      </c>
      <c r="E2799" s="6"/>
      <c r="F2799" s="6">
        <v>0</v>
      </c>
      <c r="G2799" s="6">
        <v>0</v>
      </c>
      <c r="H2799" s="6">
        <v>0</v>
      </c>
      <c r="I2799" s="6">
        <v>0</v>
      </c>
      <c r="J2799" s="18">
        <f t="shared" si="2"/>
        <v>2.12</v>
      </c>
    </row>
    <row r="2800" spans="1:10" ht="15.75" x14ac:dyDescent="0.25">
      <c r="A2800" s="21">
        <v>45565</v>
      </c>
      <c r="B2800" t="str">
        <f>IFERROR(IF(VLOOKUP(C2800,Hoja1!$B$1:$C$6191,2,0)="",_xlfn.XLOOKUP(C2800,Hoja1!$B$2:$B$6191,Hoja1!$A$2:$A$6191),VLOOKUP(C2800,Hoja1!$B$1:$C$6191,2,0)),"No esta en Infor")</f>
        <v>SH04333</v>
      </c>
      <c r="C2800" s="6" t="s">
        <v>681</v>
      </c>
      <c r="D2800" s="3">
        <v>-444.61</v>
      </c>
      <c r="E2800" s="6"/>
      <c r="F2800" s="6">
        <v>0</v>
      </c>
      <c r="G2800" s="6">
        <v>0</v>
      </c>
      <c r="H2800" s="6">
        <v>0</v>
      </c>
      <c r="I2800" s="6">
        <v>0</v>
      </c>
      <c r="J2800" s="18">
        <f t="shared" si="2"/>
        <v>-444.61</v>
      </c>
    </row>
    <row r="2801" spans="1:10" ht="15.75" x14ac:dyDescent="0.25">
      <c r="A2801" s="21">
        <v>45565</v>
      </c>
      <c r="B2801" t="str">
        <f>IFERROR(IF(VLOOKUP(C2801,Hoja1!$B$1:$C$6191,2,0)="",_xlfn.XLOOKUP(C2801,Hoja1!$B$2:$B$6191,Hoja1!$A$2:$A$6191),VLOOKUP(C2801,Hoja1!$B$1:$C$6191,2,0)),"No esta en Infor")</f>
        <v>SH02952</v>
      </c>
      <c r="C2801" s="6" t="s">
        <v>682</v>
      </c>
      <c r="D2801" s="3">
        <v>-67.41</v>
      </c>
      <c r="E2801" s="6"/>
      <c r="F2801" s="6">
        <v>0</v>
      </c>
      <c r="G2801" s="6">
        <v>0</v>
      </c>
      <c r="H2801" s="6">
        <v>0</v>
      </c>
      <c r="I2801" s="6">
        <v>0</v>
      </c>
      <c r="J2801" s="18">
        <f t="shared" si="2"/>
        <v>-67.41</v>
      </c>
    </row>
    <row r="2802" spans="1:10" ht="15.75" x14ac:dyDescent="0.25">
      <c r="A2802" s="21">
        <v>45565</v>
      </c>
      <c r="B2802" t="str">
        <f>IFERROR(IF(VLOOKUP(C2802,Hoja1!$B$1:$C$6191,2,0)="",_xlfn.XLOOKUP(C2802,Hoja1!$B$2:$B$6191,Hoja1!$A$2:$A$6191),VLOOKUP(C2802,Hoja1!$B$1:$C$6191,2,0)),"No esta en Infor")</f>
        <v>NAC1073</v>
      </c>
      <c r="C2802" s="6" t="s">
        <v>683</v>
      </c>
      <c r="D2802" s="4">
        <v>197818.75</v>
      </c>
      <c r="E2802" s="6"/>
      <c r="F2802" s="6">
        <v>0</v>
      </c>
      <c r="G2802" s="6">
        <v>0</v>
      </c>
      <c r="H2802" s="6">
        <v>0</v>
      </c>
      <c r="I2802" s="6">
        <v>0</v>
      </c>
      <c r="J2802" s="18">
        <f t="shared" si="2"/>
        <v>197818.75</v>
      </c>
    </row>
    <row r="2803" spans="1:10" ht="15.75" x14ac:dyDescent="0.25">
      <c r="A2803" s="21">
        <v>45565</v>
      </c>
      <c r="B2803" t="str">
        <f>IFERROR(IF(VLOOKUP(C2803,Hoja1!$B$1:$C$6191,2,0)="",_xlfn.XLOOKUP(C2803,Hoja1!$B$2:$B$6191,Hoja1!$A$2:$A$6191),VLOOKUP(C2803,Hoja1!$B$1:$C$6191,2,0)),"No esta en Infor")</f>
        <v>NAC1074</v>
      </c>
      <c r="C2803" s="6" t="s">
        <v>252</v>
      </c>
      <c r="D2803" s="3">
        <v>229.04</v>
      </c>
      <c r="E2803" s="6"/>
      <c r="F2803" s="6">
        <v>0</v>
      </c>
      <c r="G2803" s="6">
        <v>0</v>
      </c>
      <c r="H2803" s="6">
        <v>0</v>
      </c>
      <c r="I2803" s="6">
        <v>0</v>
      </c>
      <c r="J2803" s="18">
        <f t="shared" si="2"/>
        <v>229.04</v>
      </c>
    </row>
    <row r="2804" spans="1:10" ht="15.75" x14ac:dyDescent="0.25">
      <c r="A2804" s="21">
        <v>45565</v>
      </c>
      <c r="B2804" t="str">
        <f>IFERROR(IF(VLOOKUP(C2804,Hoja1!$B$1:$C$6191,2,0)="",_xlfn.XLOOKUP(C2804,Hoja1!$B$2:$B$6191,Hoja1!$A$2:$A$6191),VLOOKUP(C2804,Hoja1!$B$1:$C$6191,2,0)),"No esta en Infor")</f>
        <v>NAC1077</v>
      </c>
      <c r="C2804" s="6" t="s">
        <v>254</v>
      </c>
      <c r="D2804" s="4">
        <v>1585</v>
      </c>
      <c r="E2804" s="6"/>
      <c r="F2804" s="6">
        <v>0</v>
      </c>
      <c r="G2804" s="6">
        <v>0</v>
      </c>
      <c r="H2804" s="6">
        <v>0</v>
      </c>
      <c r="I2804" s="6">
        <v>0</v>
      </c>
      <c r="J2804" s="18">
        <f t="shared" si="2"/>
        <v>1585</v>
      </c>
    </row>
    <row r="2805" spans="1:10" ht="15.75" x14ac:dyDescent="0.25">
      <c r="A2805" s="21">
        <v>45565</v>
      </c>
      <c r="B2805" t="str">
        <f>IFERROR(IF(VLOOKUP(C2805,Hoja1!$B$1:$C$6191,2,0)="",_xlfn.XLOOKUP(C2805,Hoja1!$B$2:$B$6191,Hoja1!$A$2:$A$6191),VLOOKUP(C2805,Hoja1!$B$1:$C$6191,2,0)),"No esta en Infor")</f>
        <v>NAC1080</v>
      </c>
      <c r="C2805" s="6" t="s">
        <v>684</v>
      </c>
      <c r="D2805" s="3">
        <v>-18.45</v>
      </c>
      <c r="E2805" s="6"/>
      <c r="F2805" s="6">
        <v>0</v>
      </c>
      <c r="G2805" s="6">
        <v>0</v>
      </c>
      <c r="H2805" s="6">
        <v>0</v>
      </c>
      <c r="I2805" s="6">
        <v>0</v>
      </c>
      <c r="J2805" s="18">
        <f t="shared" si="2"/>
        <v>-18.45</v>
      </c>
    </row>
    <row r="2806" spans="1:10" ht="15.75" x14ac:dyDescent="0.25">
      <c r="A2806" s="21">
        <v>45565</v>
      </c>
      <c r="B2806" t="str">
        <f>IFERROR(IF(VLOOKUP(C2806,Hoja1!$B$1:$C$6191,2,0)="",_xlfn.XLOOKUP(C2806,Hoja1!$B$2:$B$6191,Hoja1!$A$2:$A$6191),VLOOKUP(C2806,Hoja1!$B$1:$C$6191,2,0)),"No esta en Infor")</f>
        <v>CAN0091</v>
      </c>
      <c r="C2806" s="6" t="s">
        <v>586</v>
      </c>
      <c r="D2806" s="3">
        <v>0</v>
      </c>
      <c r="E2806" s="6"/>
      <c r="F2806" s="6">
        <v>-646.09</v>
      </c>
      <c r="G2806" s="6">
        <v>0</v>
      </c>
      <c r="H2806" s="6">
        <v>0</v>
      </c>
      <c r="I2806" s="6">
        <v>0</v>
      </c>
      <c r="J2806" s="18">
        <f t="shared" si="2"/>
        <v>-646.09</v>
      </c>
    </row>
    <row r="2807" spans="1:10" ht="15.75" x14ac:dyDescent="0.25">
      <c r="A2807" s="21">
        <v>45565</v>
      </c>
      <c r="B2807" t="str">
        <f>IFERROR(IF(VLOOKUP(C2807,Hoja1!$B$1:$C$6191,2,0)="",_xlfn.XLOOKUP(C2807,Hoja1!$B$2:$B$6191,Hoja1!$A$2:$A$6191),VLOOKUP(C2807,Hoja1!$B$1:$C$6191,2,0)),"No esta en Infor")</f>
        <v>NAC1083</v>
      </c>
      <c r="C2807" s="6" t="s">
        <v>685</v>
      </c>
      <c r="D2807" s="4">
        <v>-1035</v>
      </c>
      <c r="E2807" s="6"/>
      <c r="F2807" s="6">
        <v>0</v>
      </c>
      <c r="G2807" s="6">
        <v>0</v>
      </c>
      <c r="H2807" s="6">
        <v>0</v>
      </c>
      <c r="I2807" s="6">
        <v>0</v>
      </c>
      <c r="J2807" s="18">
        <f t="shared" si="2"/>
        <v>-1035</v>
      </c>
    </row>
    <row r="2808" spans="1:10" ht="15.75" x14ac:dyDescent="0.25">
      <c r="A2808" s="21">
        <v>45565</v>
      </c>
      <c r="B2808" t="str">
        <f>IFERROR(IF(VLOOKUP(C2808,Hoja1!$B$1:$C$6191,2,0)="",_xlfn.XLOOKUP(C2808,Hoja1!$B$2:$B$6191,Hoja1!$A$2:$A$6191),VLOOKUP(C2808,Hoja1!$B$1:$C$6191,2,0)),"No esta en Infor")</f>
        <v>SH02967</v>
      </c>
      <c r="C2808" s="6" t="s">
        <v>686</v>
      </c>
      <c r="D2808" s="3">
        <v>313.74</v>
      </c>
      <c r="E2808" s="6"/>
      <c r="F2808" s="6">
        <v>0</v>
      </c>
      <c r="G2808" s="6">
        <v>0</v>
      </c>
      <c r="H2808" s="6">
        <v>0</v>
      </c>
      <c r="I2808" s="6">
        <v>0</v>
      </c>
      <c r="J2808" s="18">
        <f t="shared" si="2"/>
        <v>313.74</v>
      </c>
    </row>
    <row r="2809" spans="1:10" ht="15.75" x14ac:dyDescent="0.25">
      <c r="A2809" s="21">
        <v>45565</v>
      </c>
      <c r="B2809" t="str">
        <f>IFERROR(IF(VLOOKUP(C2809,Hoja1!$B$1:$C$6191,2,0)="",_xlfn.XLOOKUP(C2809,Hoja1!$B$2:$B$6191,Hoja1!$A$2:$A$6191),VLOOKUP(C2809,Hoja1!$B$1:$C$6191,2,0)),"No esta en Infor")</f>
        <v>NAC1084</v>
      </c>
      <c r="C2809" s="6" t="s">
        <v>257</v>
      </c>
      <c r="D2809" s="3">
        <v>102</v>
      </c>
      <c r="E2809" s="6"/>
      <c r="F2809" s="6">
        <v>0</v>
      </c>
      <c r="G2809" s="6">
        <v>0</v>
      </c>
      <c r="H2809" s="6">
        <v>0</v>
      </c>
      <c r="I2809" s="6">
        <v>0</v>
      </c>
      <c r="J2809" s="18">
        <f t="shared" si="2"/>
        <v>102</v>
      </c>
    </row>
    <row r="2810" spans="1:10" ht="15.75" x14ac:dyDescent="0.25">
      <c r="A2810" s="21">
        <v>45565</v>
      </c>
      <c r="B2810" t="str">
        <f>IFERROR(IF(VLOOKUP(C2810,Hoja1!$B$1:$C$6191,2,0)="",_xlfn.XLOOKUP(C2810,Hoja1!$B$2:$B$6191,Hoja1!$A$2:$A$6191),VLOOKUP(C2810,Hoja1!$B$1:$C$6191,2,0)),"No esta en Infor")</f>
        <v>NAC1087</v>
      </c>
      <c r="C2810" s="6" t="s">
        <v>631</v>
      </c>
      <c r="D2810" s="3">
        <v>908</v>
      </c>
      <c r="E2810" s="6"/>
      <c r="F2810" s="6">
        <v>0</v>
      </c>
      <c r="G2810" s="6">
        <v>0</v>
      </c>
      <c r="H2810" s="6">
        <v>0</v>
      </c>
      <c r="I2810" s="6">
        <v>0</v>
      </c>
      <c r="J2810" s="18">
        <f t="shared" ref="J2810:J2873" si="3">SUM(D2810:I2810)</f>
        <v>908</v>
      </c>
    </row>
    <row r="2811" spans="1:10" ht="15.75" x14ac:dyDescent="0.25">
      <c r="A2811" s="21">
        <v>45565</v>
      </c>
      <c r="B2811" t="str">
        <f>IFERROR(IF(VLOOKUP(C2811,Hoja1!$B$1:$C$6191,2,0)="",_xlfn.XLOOKUP(C2811,Hoja1!$B$2:$B$6191,Hoja1!$A$2:$A$6191),VLOOKUP(C2811,Hoja1!$B$1:$C$6191,2,0)),"No esta en Infor")</f>
        <v>NAC1106</v>
      </c>
      <c r="C2811" s="6" t="s">
        <v>259</v>
      </c>
      <c r="D2811" s="3">
        <v>373</v>
      </c>
      <c r="E2811" s="6"/>
      <c r="F2811" s="6">
        <v>0</v>
      </c>
      <c r="G2811" s="6">
        <v>0</v>
      </c>
      <c r="H2811" s="6">
        <v>0</v>
      </c>
      <c r="I2811" s="6">
        <v>0</v>
      </c>
      <c r="J2811" s="18">
        <f t="shared" si="3"/>
        <v>373</v>
      </c>
    </row>
    <row r="2812" spans="1:10" ht="15.75" x14ac:dyDescent="0.25">
      <c r="A2812" s="21">
        <v>45565</v>
      </c>
      <c r="B2812" t="str">
        <f>IFERROR(IF(VLOOKUP(C2812,Hoja1!$B$1:$C$6191,2,0)="",_xlfn.XLOOKUP(C2812,Hoja1!$B$2:$B$6191,Hoja1!$A$2:$A$6191),VLOOKUP(C2812,Hoja1!$B$1:$C$6191,2,0)),"No esta en Infor")</f>
        <v>NAC1114</v>
      </c>
      <c r="C2812" s="6" t="s">
        <v>408</v>
      </c>
      <c r="D2812" s="3">
        <v>0</v>
      </c>
      <c r="E2812" s="6"/>
      <c r="F2812" s="6">
        <v>0</v>
      </c>
      <c r="G2812" s="6">
        <v>-196.34</v>
      </c>
      <c r="H2812" s="6">
        <v>0</v>
      </c>
      <c r="I2812" s="6">
        <v>0</v>
      </c>
      <c r="J2812" s="18">
        <f t="shared" si="3"/>
        <v>-196.34</v>
      </c>
    </row>
    <row r="2813" spans="1:10" ht="15.75" x14ac:dyDescent="0.25">
      <c r="A2813" s="21">
        <v>45565</v>
      </c>
      <c r="B2813" t="str">
        <f>IFERROR(IF(VLOOKUP(C2813,Hoja1!$B$1:$C$6191,2,0)="",_xlfn.XLOOKUP(C2813,Hoja1!$B$2:$B$6191,Hoja1!$A$2:$A$6191),VLOOKUP(C2813,Hoja1!$B$1:$C$6191,2,0)),"No esta en Infor")</f>
        <v>NAC1122</v>
      </c>
      <c r="C2813" s="6" t="s">
        <v>515</v>
      </c>
      <c r="D2813" s="4">
        <v>9071</v>
      </c>
      <c r="E2813" s="6"/>
      <c r="F2813" s="6">
        <v>0</v>
      </c>
      <c r="G2813" s="6">
        <v>0</v>
      </c>
      <c r="H2813" s="6">
        <v>0</v>
      </c>
      <c r="I2813" s="6">
        <v>0</v>
      </c>
      <c r="J2813" s="18">
        <f t="shared" si="3"/>
        <v>9071</v>
      </c>
    </row>
    <row r="2814" spans="1:10" ht="15.75" x14ac:dyDescent="0.25">
      <c r="A2814" s="21">
        <v>45565</v>
      </c>
      <c r="B2814" t="str">
        <f>IFERROR(IF(VLOOKUP(C2814,Hoja1!$B$1:$C$6191,2,0)="",_xlfn.XLOOKUP(C2814,Hoja1!$B$2:$B$6191,Hoja1!$A$2:$A$6191),VLOOKUP(C2814,Hoja1!$B$1:$C$6191,2,0)),"No esta en Infor")</f>
        <v>NAC1614</v>
      </c>
      <c r="C2814" s="6" t="s">
        <v>563</v>
      </c>
      <c r="D2814" s="3">
        <v>61.71</v>
      </c>
      <c r="E2814" s="6"/>
      <c r="F2814" s="6">
        <v>68.319999999999993</v>
      </c>
      <c r="G2814" s="6">
        <v>0</v>
      </c>
      <c r="H2814" s="6">
        <v>0</v>
      </c>
      <c r="I2814" s="6">
        <v>0</v>
      </c>
      <c r="J2814" s="18">
        <f t="shared" si="3"/>
        <v>130.03</v>
      </c>
    </row>
    <row r="2815" spans="1:10" ht="15.75" x14ac:dyDescent="0.25">
      <c r="A2815" s="21">
        <v>45565</v>
      </c>
      <c r="B2815" t="str">
        <f>IFERROR(IF(VLOOKUP(C2815,Hoja1!$B$1:$C$6191,2,0)="",_xlfn.XLOOKUP(C2815,Hoja1!$B$2:$B$6191,Hoja1!$A$2:$A$6191),VLOOKUP(C2815,Hoja1!$B$1:$C$6191,2,0)),"No esta en Infor")</f>
        <v>CAN0037</v>
      </c>
      <c r="C2815" s="6" t="s">
        <v>687</v>
      </c>
      <c r="D2815" s="4">
        <v>21079.75</v>
      </c>
      <c r="E2815" s="6"/>
      <c r="F2815" s="6">
        <v>0</v>
      </c>
      <c r="G2815" s="18">
        <v>-4056.13</v>
      </c>
      <c r="H2815" s="6">
        <v>0</v>
      </c>
      <c r="I2815" s="6">
        <v>0</v>
      </c>
      <c r="J2815" s="18">
        <f t="shared" si="3"/>
        <v>17023.62</v>
      </c>
    </row>
    <row r="2816" spans="1:10" ht="15.75" x14ac:dyDescent="0.25">
      <c r="A2816" s="21">
        <v>45565</v>
      </c>
      <c r="B2816" t="str">
        <f>IFERROR(IF(VLOOKUP(C2816,Hoja1!$B$1:$C$6191,2,0)="",_xlfn.XLOOKUP(C2816,Hoja1!$B$2:$B$6191,Hoja1!$A$2:$A$6191),VLOOKUP(C2816,Hoja1!$B$1:$C$6191,2,0)),"No esta en Infor")</f>
        <v>NAC1127</v>
      </c>
      <c r="C2816" s="6" t="s">
        <v>632</v>
      </c>
      <c r="D2816" s="4">
        <v>73947</v>
      </c>
      <c r="E2816" s="6"/>
      <c r="F2816" s="6">
        <v>0</v>
      </c>
      <c r="G2816" s="6">
        <v>0</v>
      </c>
      <c r="H2816" s="6">
        <v>0</v>
      </c>
      <c r="I2816" s="6">
        <v>0</v>
      </c>
      <c r="J2816" s="18">
        <f t="shared" si="3"/>
        <v>73947</v>
      </c>
    </row>
    <row r="2817" spans="1:10" ht="15.75" x14ac:dyDescent="0.25">
      <c r="A2817" s="21">
        <v>45565</v>
      </c>
      <c r="B2817" t="str">
        <f>IFERROR(IF(VLOOKUP(C2817,Hoja1!$B$1:$C$6191,2,0)="",_xlfn.XLOOKUP(C2817,Hoja1!$B$2:$B$6191,Hoja1!$A$2:$A$6191),VLOOKUP(C2817,Hoja1!$B$1:$C$6191,2,0)),"No esta en Infor")</f>
        <v>CAN0038</v>
      </c>
      <c r="C2817" s="6" t="s">
        <v>264</v>
      </c>
      <c r="D2817" s="4">
        <v>-3834.29</v>
      </c>
      <c r="E2817" s="6"/>
      <c r="F2817" s="6">
        <v>0</v>
      </c>
      <c r="G2817" s="6">
        <v>0</v>
      </c>
      <c r="H2817" s="6">
        <v>0</v>
      </c>
      <c r="I2817" s="6">
        <v>0</v>
      </c>
      <c r="J2817" s="18">
        <f t="shared" si="3"/>
        <v>-3834.29</v>
      </c>
    </row>
    <row r="2818" spans="1:10" ht="15.75" x14ac:dyDescent="0.25">
      <c r="A2818" s="21">
        <v>45565</v>
      </c>
      <c r="B2818" t="str">
        <f>IFERROR(IF(VLOOKUP(C2818,Hoja1!$B$1:$C$6191,2,0)="",_xlfn.XLOOKUP(C2818,Hoja1!$B$2:$B$6191,Hoja1!$A$2:$A$6191),VLOOKUP(C2818,Hoja1!$B$1:$C$6191,2,0)),"No esta en Infor")</f>
        <v>CAN0039</v>
      </c>
      <c r="C2818" s="6" t="s">
        <v>265</v>
      </c>
      <c r="D2818" s="4">
        <v>29988.22</v>
      </c>
      <c r="E2818" s="6"/>
      <c r="F2818" s="6">
        <v>0</v>
      </c>
      <c r="G2818" s="6">
        <v>0</v>
      </c>
      <c r="H2818" s="6">
        <v>0</v>
      </c>
      <c r="I2818" s="6">
        <v>0</v>
      </c>
      <c r="J2818" s="18">
        <f t="shared" si="3"/>
        <v>29988.22</v>
      </c>
    </row>
    <row r="2819" spans="1:10" ht="15.75" x14ac:dyDescent="0.25">
      <c r="A2819" s="21">
        <v>45565</v>
      </c>
      <c r="B2819" t="str">
        <f>IFERROR(IF(VLOOKUP(C2819,Hoja1!$B$1:$C$6191,2,0)="",_xlfn.XLOOKUP(C2819,Hoja1!$B$2:$B$6191,Hoja1!$A$2:$A$6191),VLOOKUP(C2819,Hoja1!$B$1:$C$6191,2,0)),"No esta en Infor")</f>
        <v>NAC1133</v>
      </c>
      <c r="C2819" s="6" t="s">
        <v>633</v>
      </c>
      <c r="D2819" s="4">
        <v>3962.07</v>
      </c>
      <c r="E2819" s="6"/>
      <c r="F2819" s="6">
        <v>0</v>
      </c>
      <c r="G2819" s="6">
        <v>0</v>
      </c>
      <c r="H2819" s="6">
        <v>0</v>
      </c>
      <c r="I2819" s="6">
        <v>0</v>
      </c>
      <c r="J2819" s="18">
        <f t="shared" si="3"/>
        <v>3962.07</v>
      </c>
    </row>
    <row r="2820" spans="1:10" ht="15.75" x14ac:dyDescent="0.25">
      <c r="A2820" s="21">
        <v>45565</v>
      </c>
      <c r="B2820" t="str">
        <f>IFERROR(IF(VLOOKUP(C2820,Hoja1!$B$1:$C$6191,2,0)="",_xlfn.XLOOKUP(C2820,Hoja1!$B$2:$B$6191,Hoja1!$A$2:$A$6191),VLOOKUP(C2820,Hoja1!$B$1:$C$6191,2,0)),"No esta en Infor")</f>
        <v>SH02946</v>
      </c>
      <c r="C2820" s="6" t="s">
        <v>688</v>
      </c>
      <c r="D2820" s="3">
        <v>-83.22</v>
      </c>
      <c r="E2820" s="6"/>
      <c r="F2820" s="6">
        <v>0</v>
      </c>
      <c r="G2820" s="6">
        <v>0</v>
      </c>
      <c r="H2820" s="6">
        <v>0</v>
      </c>
      <c r="I2820" s="6">
        <v>0</v>
      </c>
      <c r="J2820" s="18">
        <f t="shared" si="3"/>
        <v>-83.22</v>
      </c>
    </row>
    <row r="2821" spans="1:10" ht="15.75" x14ac:dyDescent="0.25">
      <c r="A2821" s="21">
        <v>45565</v>
      </c>
      <c r="B2821" t="str">
        <f>IFERROR(IF(VLOOKUP(C2821,Hoja1!$B$1:$C$6191,2,0)="",_xlfn.XLOOKUP(C2821,Hoja1!$B$2:$B$6191,Hoja1!$A$2:$A$6191),VLOOKUP(C2821,Hoja1!$B$1:$C$6191,2,0)),"No esta en Infor")</f>
        <v>NAC1135</v>
      </c>
      <c r="C2821" s="6" t="s">
        <v>689</v>
      </c>
      <c r="D2821" s="4">
        <v>12233.75</v>
      </c>
      <c r="E2821" s="6"/>
      <c r="F2821" s="6">
        <v>0</v>
      </c>
      <c r="G2821" s="6">
        <v>0</v>
      </c>
      <c r="H2821" s="6">
        <v>0</v>
      </c>
      <c r="I2821" s="6">
        <v>0</v>
      </c>
      <c r="J2821" s="18">
        <f t="shared" si="3"/>
        <v>12233.75</v>
      </c>
    </row>
    <row r="2822" spans="1:10" ht="15.75" x14ac:dyDescent="0.25">
      <c r="A2822" s="21">
        <v>45565</v>
      </c>
      <c r="B2822" t="str">
        <f>IFERROR(IF(VLOOKUP(C2822,Hoja1!$B$1:$C$6191,2,0)="",_xlfn.XLOOKUP(C2822,Hoja1!$B$2:$B$6191,Hoja1!$A$2:$A$6191),VLOOKUP(C2822,Hoja1!$B$1:$C$6191,2,0)),"No esta en Infor")</f>
        <v>NAC1143</v>
      </c>
      <c r="C2822" s="6" t="s">
        <v>268</v>
      </c>
      <c r="D2822" s="4">
        <v>4359</v>
      </c>
      <c r="E2822" s="6"/>
      <c r="F2822" s="6">
        <v>0</v>
      </c>
      <c r="G2822" s="6">
        <v>0</v>
      </c>
      <c r="H2822" s="6">
        <v>0</v>
      </c>
      <c r="I2822" s="6">
        <v>0</v>
      </c>
      <c r="J2822" s="18">
        <f t="shared" si="3"/>
        <v>4359</v>
      </c>
    </row>
    <row r="2823" spans="1:10" ht="15.75" x14ac:dyDescent="0.25">
      <c r="A2823" s="21">
        <v>45565</v>
      </c>
      <c r="B2823" t="str">
        <f>IFERROR(IF(VLOOKUP(C2823,Hoja1!$B$1:$C$6191,2,0)="",_xlfn.XLOOKUP(C2823,Hoja1!$B$2:$B$6191,Hoja1!$A$2:$A$6191),VLOOKUP(C2823,Hoja1!$B$1:$C$6191,2,0)),"No esta en Infor")</f>
        <v>SH01864</v>
      </c>
      <c r="C2823" s="6" t="s">
        <v>690</v>
      </c>
      <c r="D2823" s="3">
        <v>-302.33999999999997</v>
      </c>
      <c r="E2823" s="6"/>
      <c r="F2823" s="6">
        <v>0</v>
      </c>
      <c r="G2823" s="6">
        <v>0</v>
      </c>
      <c r="H2823" s="6">
        <v>0</v>
      </c>
      <c r="I2823" s="6">
        <v>0</v>
      </c>
      <c r="J2823" s="18">
        <f t="shared" si="3"/>
        <v>-302.33999999999997</v>
      </c>
    </row>
    <row r="2824" spans="1:10" ht="15.75" x14ac:dyDescent="0.25">
      <c r="A2824" s="21">
        <v>45565</v>
      </c>
      <c r="B2824" t="str">
        <f>IFERROR(IF(VLOOKUP(C2824,Hoja1!$B$1:$C$6191,2,0)="",_xlfn.XLOOKUP(C2824,Hoja1!$B$2:$B$6191,Hoja1!$A$2:$A$6191),VLOOKUP(C2824,Hoja1!$B$1:$C$6191,2,0)),"No esta en Infor")</f>
        <v>SH02869</v>
      </c>
      <c r="C2824" s="6" t="s">
        <v>691</v>
      </c>
      <c r="D2824" s="3">
        <v>6.66</v>
      </c>
      <c r="E2824" s="6"/>
      <c r="F2824" s="6">
        <v>0</v>
      </c>
      <c r="G2824" s="6">
        <v>0</v>
      </c>
      <c r="H2824" s="6">
        <v>0</v>
      </c>
      <c r="I2824" s="6">
        <v>0</v>
      </c>
      <c r="J2824" s="18">
        <f t="shared" si="3"/>
        <v>6.66</v>
      </c>
    </row>
    <row r="2825" spans="1:10" ht="15.75" x14ac:dyDescent="0.25">
      <c r="A2825" s="21">
        <v>45565</v>
      </c>
      <c r="B2825" t="str">
        <f>IFERROR(IF(VLOOKUP(C2825,Hoja1!$B$1:$C$6191,2,0)="",_xlfn.XLOOKUP(C2825,Hoja1!$B$2:$B$6191,Hoja1!$A$2:$A$6191),VLOOKUP(C2825,Hoja1!$B$1:$C$6191,2,0)),"No esta en Infor")</f>
        <v>NAC1148</v>
      </c>
      <c r="C2825" s="6" t="s">
        <v>270</v>
      </c>
      <c r="D2825" s="4">
        <v>3500</v>
      </c>
      <c r="E2825" s="6"/>
      <c r="F2825" s="6">
        <v>0</v>
      </c>
      <c r="G2825" s="6">
        <v>0</v>
      </c>
      <c r="H2825" s="6">
        <v>0</v>
      </c>
      <c r="I2825" s="6">
        <v>0</v>
      </c>
      <c r="J2825" s="18">
        <f t="shared" si="3"/>
        <v>3500</v>
      </c>
    </row>
    <row r="2826" spans="1:10" ht="15.75" x14ac:dyDescent="0.25">
      <c r="A2826" s="21">
        <v>45565</v>
      </c>
      <c r="B2826" t="str">
        <f>IFERROR(IF(VLOOKUP(C2826,Hoja1!$B$1:$C$6191,2,0)="",_xlfn.XLOOKUP(C2826,Hoja1!$B$2:$B$6191,Hoja1!$A$2:$A$6191),VLOOKUP(C2826,Hoja1!$B$1:$C$6191,2,0)),"No esta en Infor")</f>
        <v>NAC1150</v>
      </c>
      <c r="C2826" s="6" t="s">
        <v>692</v>
      </c>
      <c r="D2826" s="4">
        <v>-1284</v>
      </c>
      <c r="E2826" s="6"/>
      <c r="F2826" s="6">
        <v>0</v>
      </c>
      <c r="G2826" s="6">
        <v>0</v>
      </c>
      <c r="H2826" s="6">
        <v>0</v>
      </c>
      <c r="I2826" s="6">
        <v>0</v>
      </c>
      <c r="J2826" s="18">
        <f t="shared" si="3"/>
        <v>-1284</v>
      </c>
    </row>
    <row r="2827" spans="1:10" ht="15.75" x14ac:dyDescent="0.25">
      <c r="A2827" s="21">
        <v>45565</v>
      </c>
      <c r="B2827" t="str">
        <f>IFERROR(IF(VLOOKUP(C2827,Hoja1!$B$1:$C$6191,2,0)="",_xlfn.XLOOKUP(C2827,Hoja1!$B$2:$B$6191,Hoja1!$A$2:$A$6191),VLOOKUP(C2827,Hoja1!$B$1:$C$6191,2,0)),"No esta en Infor")</f>
        <v>NAC1151</v>
      </c>
      <c r="C2827" s="6" t="s">
        <v>271</v>
      </c>
      <c r="D2827" s="4">
        <v>11918.5</v>
      </c>
      <c r="E2827" s="6"/>
      <c r="F2827" s="18">
        <v>-1172</v>
      </c>
      <c r="G2827" s="6">
        <v>0</v>
      </c>
      <c r="H2827" s="6">
        <v>0</v>
      </c>
      <c r="I2827" s="6">
        <v>0</v>
      </c>
      <c r="J2827" s="18">
        <f t="shared" si="3"/>
        <v>10746.5</v>
      </c>
    </row>
    <row r="2828" spans="1:10" ht="15.75" x14ac:dyDescent="0.25">
      <c r="A2828" s="21">
        <v>45565</v>
      </c>
      <c r="B2828" t="str">
        <f>IFERROR(IF(VLOOKUP(C2828,Hoja1!$B$1:$C$6191,2,0)="",_xlfn.XLOOKUP(C2828,Hoja1!$B$2:$B$6191,Hoja1!$A$2:$A$6191),VLOOKUP(C2828,Hoja1!$B$1:$C$6191,2,0)),"No esta en Infor")</f>
        <v>NAC1158</v>
      </c>
      <c r="C2828" s="6" t="s">
        <v>272</v>
      </c>
      <c r="D2828" s="4">
        <v>26999.75</v>
      </c>
      <c r="E2828" s="6"/>
      <c r="F2828" s="6">
        <v>0</v>
      </c>
      <c r="G2828" s="6">
        <v>0</v>
      </c>
      <c r="H2828" s="6">
        <v>0</v>
      </c>
      <c r="I2828" s="6">
        <v>0</v>
      </c>
      <c r="J2828" s="18">
        <f t="shared" si="3"/>
        <v>26999.75</v>
      </c>
    </row>
    <row r="2829" spans="1:10" ht="15.75" x14ac:dyDescent="0.25">
      <c r="A2829" s="21">
        <v>45565</v>
      </c>
      <c r="B2829" t="str">
        <f>IFERROR(IF(VLOOKUP(C2829,Hoja1!$B$1:$C$6191,2,0)="",_xlfn.XLOOKUP(C2829,Hoja1!$B$2:$B$6191,Hoja1!$A$2:$A$6191),VLOOKUP(C2829,Hoja1!$B$1:$C$6191,2,0)),"No esta en Infor")</f>
        <v>NAC1604</v>
      </c>
      <c r="C2829" s="6" t="s">
        <v>693</v>
      </c>
      <c r="D2829" s="4">
        <v>19327.13</v>
      </c>
      <c r="E2829" s="6"/>
      <c r="F2829" s="6">
        <v>0</v>
      </c>
      <c r="G2829" s="6">
        <v>0</v>
      </c>
      <c r="H2829" s="6">
        <v>0</v>
      </c>
      <c r="I2829" s="6">
        <v>0</v>
      </c>
      <c r="J2829" s="18">
        <f t="shared" si="3"/>
        <v>19327.13</v>
      </c>
    </row>
    <row r="2830" spans="1:10" ht="15.75" x14ac:dyDescent="0.25">
      <c r="A2830" s="21">
        <v>45565</v>
      </c>
      <c r="B2830" t="str">
        <f>IFERROR(IF(VLOOKUP(C2830,Hoja1!$B$1:$C$6191,2,0)="",_xlfn.XLOOKUP(C2830,Hoja1!$B$2:$B$6191,Hoja1!$A$2:$A$6191),VLOOKUP(C2830,Hoja1!$B$1:$C$6191,2,0)),"No esta en Infor")</f>
        <v>NAC1167</v>
      </c>
      <c r="C2830" s="6" t="s">
        <v>34</v>
      </c>
      <c r="D2830" s="4">
        <v>1566</v>
      </c>
      <c r="E2830" s="6"/>
      <c r="F2830" s="6">
        <v>0</v>
      </c>
      <c r="G2830" s="6">
        <v>0</v>
      </c>
      <c r="H2830" s="6">
        <v>0</v>
      </c>
      <c r="I2830" s="6">
        <v>0</v>
      </c>
      <c r="J2830" s="18">
        <f t="shared" si="3"/>
        <v>1566</v>
      </c>
    </row>
    <row r="2831" spans="1:10" ht="15.75" x14ac:dyDescent="0.25">
      <c r="A2831" s="21">
        <v>45565</v>
      </c>
      <c r="B2831" t="str">
        <f>IFERROR(IF(VLOOKUP(C2831,Hoja1!$B$1:$C$6191,2,0)="",_xlfn.XLOOKUP(C2831,Hoja1!$B$2:$B$6191,Hoja1!$A$2:$A$6191),VLOOKUP(C2831,Hoja1!$B$1:$C$6191,2,0)),"No esta en Infor")</f>
        <v>NAC1170</v>
      </c>
      <c r="C2831" s="6" t="s">
        <v>278</v>
      </c>
      <c r="D2831" s="4">
        <v>74822.990000000005</v>
      </c>
      <c r="E2831" s="6"/>
      <c r="F2831" s="6">
        <v>0</v>
      </c>
      <c r="G2831" s="6">
        <v>0</v>
      </c>
      <c r="H2831" s="6">
        <v>0</v>
      </c>
      <c r="I2831" s="6">
        <v>0</v>
      </c>
      <c r="J2831" s="18">
        <f t="shared" si="3"/>
        <v>74822.990000000005</v>
      </c>
    </row>
    <row r="2832" spans="1:10" ht="15.75" x14ac:dyDescent="0.25">
      <c r="A2832" s="21">
        <v>45565</v>
      </c>
      <c r="B2832" t="str">
        <f>IFERROR(IF(VLOOKUP(C2832,Hoja1!$B$1:$C$6191,2,0)="",_xlfn.XLOOKUP(C2832,Hoja1!$B$2:$B$6191,Hoja1!$A$2:$A$6191),VLOOKUP(C2832,Hoja1!$B$1:$C$6191,2,0)),"No esta en Infor")</f>
        <v>NAC1174</v>
      </c>
      <c r="C2832" s="6" t="s">
        <v>279</v>
      </c>
      <c r="D2832" s="3">
        <v>585.03</v>
      </c>
      <c r="E2832" s="6"/>
      <c r="F2832" s="6">
        <v>0</v>
      </c>
      <c r="G2832" s="6">
        <v>0</v>
      </c>
      <c r="H2832" s="6">
        <v>0</v>
      </c>
      <c r="I2832" s="6">
        <v>0</v>
      </c>
      <c r="J2832" s="18">
        <f t="shared" si="3"/>
        <v>585.03</v>
      </c>
    </row>
    <row r="2833" spans="1:10" ht="15.75" x14ac:dyDescent="0.25">
      <c r="A2833" s="21">
        <v>45565</v>
      </c>
      <c r="B2833" t="str">
        <f>IFERROR(IF(VLOOKUP(C2833,Hoja1!$B$1:$C$6191,2,0)="",_xlfn.XLOOKUP(C2833,Hoja1!$B$2:$B$6191,Hoja1!$A$2:$A$6191),VLOOKUP(C2833,Hoja1!$B$1:$C$6191,2,0)),"No esta en Infor")</f>
        <v>NAC1177</v>
      </c>
      <c r="C2833" s="6" t="s">
        <v>566</v>
      </c>
      <c r="D2833" s="3">
        <v>0</v>
      </c>
      <c r="E2833" s="6"/>
      <c r="F2833" s="6">
        <v>-14.41</v>
      </c>
      <c r="G2833" s="6">
        <v>0</v>
      </c>
      <c r="H2833" s="6">
        <v>0</v>
      </c>
      <c r="I2833" s="6">
        <v>0</v>
      </c>
      <c r="J2833" s="18">
        <f t="shared" si="3"/>
        <v>-14.41</v>
      </c>
    </row>
    <row r="2834" spans="1:10" ht="15.75" x14ac:dyDescent="0.25">
      <c r="A2834" s="21">
        <v>45565</v>
      </c>
      <c r="B2834" t="str">
        <f>IFERROR(IF(VLOOKUP(C2834,Hoja1!$B$1:$C$6191,2,0)="",_xlfn.XLOOKUP(C2834,Hoja1!$B$2:$B$6191,Hoja1!$A$2:$A$6191),VLOOKUP(C2834,Hoja1!$B$1:$C$6191,2,0)),"No esta en Infor")</f>
        <v>NAC1178</v>
      </c>
      <c r="C2834" s="6" t="s">
        <v>694</v>
      </c>
      <c r="D2834" s="4">
        <v>15617</v>
      </c>
      <c r="E2834" s="6"/>
      <c r="F2834" s="6">
        <v>0</v>
      </c>
      <c r="G2834" s="6">
        <v>0</v>
      </c>
      <c r="H2834" s="6">
        <v>0</v>
      </c>
      <c r="I2834" s="6">
        <v>0</v>
      </c>
      <c r="J2834" s="18">
        <f t="shared" si="3"/>
        <v>15617</v>
      </c>
    </row>
    <row r="2835" spans="1:10" ht="15.75" x14ac:dyDescent="0.25">
      <c r="A2835" s="21">
        <v>45565</v>
      </c>
      <c r="B2835" t="str">
        <f>IFERROR(IF(VLOOKUP(C2835,Hoja1!$B$1:$C$6191,2,0)="",_xlfn.XLOOKUP(C2835,Hoja1!$B$2:$B$6191,Hoja1!$A$2:$A$6191),VLOOKUP(C2835,Hoja1!$B$1:$C$6191,2,0)),"No esta en Infor")</f>
        <v>CAN0043</v>
      </c>
      <c r="C2835" s="6" t="s">
        <v>280</v>
      </c>
      <c r="D2835" s="3">
        <v>336.74</v>
      </c>
      <c r="E2835" s="6"/>
      <c r="F2835" s="6">
        <v>0</v>
      </c>
      <c r="G2835" s="6">
        <v>0</v>
      </c>
      <c r="H2835" s="6">
        <v>0</v>
      </c>
      <c r="I2835" s="6">
        <v>0</v>
      </c>
      <c r="J2835" s="18">
        <f t="shared" si="3"/>
        <v>336.74</v>
      </c>
    </row>
    <row r="2836" spans="1:10" ht="15.75" x14ac:dyDescent="0.25">
      <c r="A2836" s="21">
        <v>45565</v>
      </c>
      <c r="B2836" t="str">
        <f>IFERROR(IF(VLOOKUP(C2836,Hoja1!$B$1:$C$6191,2,0)="",_xlfn.XLOOKUP(C2836,Hoja1!$B$2:$B$6191,Hoja1!$A$2:$A$6191),VLOOKUP(C2836,Hoja1!$B$1:$C$6191,2,0)),"No esta en Infor")</f>
        <v>NAC1190</v>
      </c>
      <c r="C2836" s="6" t="s">
        <v>636</v>
      </c>
      <c r="D2836" s="3">
        <v>985</v>
      </c>
      <c r="E2836" s="6"/>
      <c r="F2836" s="6">
        <v>0</v>
      </c>
      <c r="G2836" s="6">
        <v>0</v>
      </c>
      <c r="H2836" s="6">
        <v>0</v>
      </c>
      <c r="I2836" s="6">
        <v>0</v>
      </c>
      <c r="J2836" s="18">
        <f t="shared" si="3"/>
        <v>985</v>
      </c>
    </row>
    <row r="2837" spans="1:10" ht="15.75" x14ac:dyDescent="0.25">
      <c r="A2837" s="21">
        <v>45565</v>
      </c>
      <c r="B2837" t="str">
        <f>IFERROR(IF(VLOOKUP(C2837,Hoja1!$B$1:$C$6191,2,0)="",_xlfn.XLOOKUP(C2837,Hoja1!$B$2:$B$6191,Hoja1!$A$2:$A$6191),VLOOKUP(C2837,Hoja1!$B$1:$C$6191,2,0)),"No esta en Infor")</f>
        <v>CAN0046</v>
      </c>
      <c r="C2837" s="6" t="s">
        <v>283</v>
      </c>
      <c r="D2837" s="3">
        <v>452</v>
      </c>
      <c r="E2837" s="6"/>
      <c r="F2837" s="6">
        <v>0</v>
      </c>
      <c r="G2837" s="6">
        <v>0</v>
      </c>
      <c r="H2837" s="6">
        <v>0</v>
      </c>
      <c r="I2837" s="6">
        <v>0</v>
      </c>
      <c r="J2837" s="18">
        <f t="shared" si="3"/>
        <v>452</v>
      </c>
    </row>
    <row r="2838" spans="1:10" ht="15.75" x14ac:dyDescent="0.25">
      <c r="A2838" s="21">
        <v>45565</v>
      </c>
      <c r="B2838" t="str">
        <f>IFERROR(IF(VLOOKUP(C2838,Hoja1!$B$1:$C$6191,2,0)="",_xlfn.XLOOKUP(C2838,Hoja1!$B$2:$B$6191,Hoja1!$A$2:$A$6191),VLOOKUP(C2838,Hoja1!$B$1:$C$6191,2,0)),"No esta en Infor")</f>
        <v>CAN0048</v>
      </c>
      <c r="C2838" s="6" t="s">
        <v>567</v>
      </c>
      <c r="D2838" s="3">
        <v>0</v>
      </c>
      <c r="E2838" s="6"/>
      <c r="F2838" s="18">
        <v>-12463.9</v>
      </c>
      <c r="G2838" s="6">
        <v>0</v>
      </c>
      <c r="H2838" s="6">
        <v>0</v>
      </c>
      <c r="I2838" s="6">
        <v>0</v>
      </c>
      <c r="J2838" s="18">
        <f t="shared" si="3"/>
        <v>-12463.9</v>
      </c>
    </row>
    <row r="2839" spans="1:10" ht="15.75" x14ac:dyDescent="0.25">
      <c r="A2839" s="21">
        <v>45565</v>
      </c>
      <c r="B2839" t="str">
        <f>IFERROR(IF(VLOOKUP(C2839,Hoja1!$B$1:$C$6191,2,0)="",_xlfn.XLOOKUP(C2839,Hoja1!$B$2:$B$6191,Hoja1!$A$2:$A$6191),VLOOKUP(C2839,Hoja1!$B$1:$C$6191,2,0)),"No esta en Infor")</f>
        <v>NAC1205</v>
      </c>
      <c r="C2839" s="6" t="s">
        <v>568</v>
      </c>
      <c r="D2839" s="3">
        <v>-316.68</v>
      </c>
      <c r="E2839" s="6"/>
      <c r="F2839" s="6">
        <v>0</v>
      </c>
      <c r="G2839" s="6">
        <v>0</v>
      </c>
      <c r="H2839" s="6">
        <v>0</v>
      </c>
      <c r="I2839" s="6">
        <v>0</v>
      </c>
      <c r="J2839" s="18">
        <f t="shared" si="3"/>
        <v>-316.68</v>
      </c>
    </row>
    <row r="2840" spans="1:10" ht="15.75" x14ac:dyDescent="0.25">
      <c r="A2840" s="21">
        <v>45565</v>
      </c>
      <c r="B2840" t="str">
        <f>IFERROR(IF(VLOOKUP(C2840,Hoja1!$B$1:$C$6191,2,0)="",_xlfn.XLOOKUP(C2840,Hoja1!$B$2:$B$6191,Hoja1!$A$2:$A$6191),VLOOKUP(C2840,Hoja1!$B$1:$C$6191,2,0)),"No esta en Infor")</f>
        <v>NAC1207</v>
      </c>
      <c r="C2840" s="6" t="s">
        <v>417</v>
      </c>
      <c r="D2840" s="4">
        <v>1505.05</v>
      </c>
      <c r="E2840" s="6"/>
      <c r="F2840" s="6">
        <v>0</v>
      </c>
      <c r="G2840" s="6">
        <v>0</v>
      </c>
      <c r="H2840" s="6">
        <v>0</v>
      </c>
      <c r="I2840" s="6">
        <v>0</v>
      </c>
      <c r="J2840" s="18">
        <f t="shared" si="3"/>
        <v>1505.05</v>
      </c>
    </row>
    <row r="2841" spans="1:10" ht="15.75" x14ac:dyDescent="0.25">
      <c r="A2841" s="21">
        <v>45565</v>
      </c>
      <c r="B2841" t="str">
        <f>IFERROR(IF(VLOOKUP(C2841,Hoja1!$B$1:$C$6191,2,0)="",_xlfn.XLOOKUP(C2841,Hoja1!$B$2:$B$6191,Hoja1!$A$2:$A$6191),VLOOKUP(C2841,Hoja1!$B$1:$C$6191,2,0)),"No esta en Infor")</f>
        <v>NAC1208</v>
      </c>
      <c r="C2841" s="6" t="s">
        <v>695</v>
      </c>
      <c r="D2841" s="4">
        <v>13295.5</v>
      </c>
      <c r="E2841" s="6"/>
      <c r="F2841" s="6">
        <v>0</v>
      </c>
      <c r="G2841" s="6">
        <v>0</v>
      </c>
      <c r="H2841" s="6">
        <v>0</v>
      </c>
      <c r="I2841" s="6">
        <v>0</v>
      </c>
      <c r="J2841" s="18">
        <f t="shared" si="3"/>
        <v>13295.5</v>
      </c>
    </row>
    <row r="2842" spans="1:10" ht="15.75" x14ac:dyDescent="0.25">
      <c r="A2842" s="21">
        <v>45565</v>
      </c>
      <c r="B2842" t="str">
        <f>IFERROR(IF(VLOOKUP(C2842,Hoja1!$B$1:$C$6191,2,0)="",_xlfn.XLOOKUP(C2842,Hoja1!$B$2:$B$6191,Hoja1!$A$2:$A$6191),VLOOKUP(C2842,Hoja1!$B$1:$C$6191,2,0)),"No esta en Infor")</f>
        <v>NAC1211</v>
      </c>
      <c r="C2842" s="6" t="s">
        <v>284</v>
      </c>
      <c r="D2842" s="4">
        <v>109981.66</v>
      </c>
      <c r="E2842" s="6"/>
      <c r="F2842" s="6">
        <v>0</v>
      </c>
      <c r="G2842" s="6">
        <v>0</v>
      </c>
      <c r="H2842" s="6">
        <v>0</v>
      </c>
      <c r="I2842" s="6">
        <v>0</v>
      </c>
      <c r="J2842" s="18">
        <f t="shared" si="3"/>
        <v>109981.66</v>
      </c>
    </row>
    <row r="2843" spans="1:10" ht="15.75" x14ac:dyDescent="0.25">
      <c r="A2843" s="21">
        <v>45565</v>
      </c>
      <c r="B2843" t="str">
        <f>IFERROR(IF(VLOOKUP(C2843,Hoja1!$B$1:$C$6191,2,0)="",_xlfn.XLOOKUP(C2843,Hoja1!$B$2:$B$6191,Hoja1!$A$2:$A$6191),VLOOKUP(C2843,Hoja1!$B$1:$C$6191,2,0)),"No esta en Infor")</f>
        <v>NAC1212</v>
      </c>
      <c r="C2843" s="6" t="s">
        <v>285</v>
      </c>
      <c r="D2843" s="4">
        <v>7284.5</v>
      </c>
      <c r="E2843" s="6"/>
      <c r="F2843" s="6">
        <v>0</v>
      </c>
      <c r="G2843" s="6">
        <v>0</v>
      </c>
      <c r="H2843" s="6">
        <v>0</v>
      </c>
      <c r="I2843" s="6">
        <v>0</v>
      </c>
      <c r="J2843" s="18">
        <f t="shared" si="3"/>
        <v>7284.5</v>
      </c>
    </row>
    <row r="2844" spans="1:10" ht="15.75" x14ac:dyDescent="0.25">
      <c r="A2844" s="21">
        <v>45565</v>
      </c>
      <c r="B2844" t="str">
        <f>IFERROR(IF(VLOOKUP(C2844,Hoja1!$B$1:$C$6191,2,0)="",_xlfn.XLOOKUP(C2844,Hoja1!$B$2:$B$6191,Hoja1!$A$2:$A$6191),VLOOKUP(C2844,Hoja1!$B$1:$C$6191,2,0)),"No esta en Infor")</f>
        <v>NAC1219</v>
      </c>
      <c r="C2844" s="6" t="s">
        <v>475</v>
      </c>
      <c r="D2844" s="3">
        <v>0</v>
      </c>
      <c r="E2844" s="6"/>
      <c r="F2844" s="6">
        <v>0</v>
      </c>
      <c r="G2844" s="6">
        <v>-299.55</v>
      </c>
      <c r="H2844" s="6">
        <v>0</v>
      </c>
      <c r="I2844" s="6">
        <v>0</v>
      </c>
      <c r="J2844" s="18">
        <f t="shared" si="3"/>
        <v>-299.55</v>
      </c>
    </row>
    <row r="2845" spans="1:10" ht="15.75" x14ac:dyDescent="0.25">
      <c r="A2845" s="21">
        <v>45565</v>
      </c>
      <c r="B2845" t="str">
        <f>IFERROR(IF(VLOOKUP(C2845,Hoja1!$B$1:$C$6191,2,0)="",_xlfn.XLOOKUP(C2845,Hoja1!$B$2:$B$6191,Hoja1!$A$2:$A$6191),VLOOKUP(C2845,Hoja1!$B$1:$C$6191,2,0)),"No esta en Infor")</f>
        <v>CAN0049</v>
      </c>
      <c r="C2845" s="6" t="s">
        <v>289</v>
      </c>
      <c r="D2845" s="4">
        <v>9459.23</v>
      </c>
      <c r="E2845" s="6"/>
      <c r="F2845" s="6">
        <v>0</v>
      </c>
      <c r="G2845" s="6">
        <v>0</v>
      </c>
      <c r="H2845" s="6">
        <v>0</v>
      </c>
      <c r="I2845" s="6">
        <v>0</v>
      </c>
      <c r="J2845" s="18">
        <f t="shared" si="3"/>
        <v>9459.23</v>
      </c>
    </row>
    <row r="2846" spans="1:10" ht="15.75" x14ac:dyDescent="0.25">
      <c r="A2846" s="21">
        <v>45565</v>
      </c>
      <c r="B2846" t="str">
        <f>IFERROR(IF(VLOOKUP(C2846,Hoja1!$B$1:$C$6191,2,0)="",_xlfn.XLOOKUP(C2846,Hoja1!$B$2:$B$6191,Hoja1!$A$2:$A$6191),VLOOKUP(C2846,Hoja1!$B$1:$C$6191,2,0)),"No esta en Infor")</f>
        <v>NAC1228</v>
      </c>
      <c r="C2846" s="6" t="s">
        <v>569</v>
      </c>
      <c r="D2846" s="4">
        <v>11690.33</v>
      </c>
      <c r="E2846" s="6"/>
      <c r="F2846" s="6">
        <v>0</v>
      </c>
      <c r="G2846" s="6">
        <v>0</v>
      </c>
      <c r="H2846" s="6">
        <v>0</v>
      </c>
      <c r="I2846" s="6">
        <v>0</v>
      </c>
      <c r="J2846" s="18">
        <f t="shared" si="3"/>
        <v>11690.33</v>
      </c>
    </row>
    <row r="2847" spans="1:10" ht="15.75" x14ac:dyDescent="0.25">
      <c r="A2847" s="21">
        <v>45565</v>
      </c>
      <c r="B2847" t="str">
        <f>IFERROR(IF(VLOOKUP(C2847,Hoja1!$B$1:$C$6191,2,0)="",_xlfn.XLOOKUP(C2847,Hoja1!$B$2:$B$6191,Hoja1!$A$2:$A$6191),VLOOKUP(C2847,Hoja1!$B$1:$C$6191,2,0)),"No esta en Infor")</f>
        <v>NAC1231</v>
      </c>
      <c r="C2847" s="6" t="s">
        <v>290</v>
      </c>
      <c r="D2847" s="4">
        <v>9487.1</v>
      </c>
      <c r="E2847" s="6"/>
      <c r="F2847" s="6">
        <v>0</v>
      </c>
      <c r="G2847" s="6">
        <v>0</v>
      </c>
      <c r="H2847" s="6">
        <v>0</v>
      </c>
      <c r="I2847" s="6">
        <v>0</v>
      </c>
      <c r="J2847" s="18">
        <f t="shared" si="3"/>
        <v>9487.1</v>
      </c>
    </row>
    <row r="2848" spans="1:10" ht="15.75" x14ac:dyDescent="0.25">
      <c r="A2848" s="21">
        <v>45565</v>
      </c>
      <c r="B2848" t="str">
        <f>IFERROR(IF(VLOOKUP(C2848,Hoja1!$B$1:$C$6191,2,0)="",_xlfn.XLOOKUP(C2848,Hoja1!$B$2:$B$6191,Hoja1!$A$2:$A$6191),VLOOKUP(C2848,Hoja1!$B$1:$C$6191,2,0)),"No esta en Infor")</f>
        <v>CAN0050</v>
      </c>
      <c r="C2848" s="6" t="s">
        <v>291</v>
      </c>
      <c r="D2848" s="3">
        <v>-0.1</v>
      </c>
      <c r="E2848" s="6"/>
      <c r="F2848" s="6">
        <v>0</v>
      </c>
      <c r="G2848" s="6">
        <v>0</v>
      </c>
      <c r="H2848" s="6">
        <v>0</v>
      </c>
      <c r="I2848" s="6">
        <v>0</v>
      </c>
      <c r="J2848" s="18">
        <f t="shared" si="3"/>
        <v>-0.1</v>
      </c>
    </row>
    <row r="2849" spans="1:10" ht="15.75" x14ac:dyDescent="0.25">
      <c r="A2849" s="21">
        <v>45565</v>
      </c>
      <c r="B2849" t="str">
        <f>IFERROR(IF(VLOOKUP(C2849,Hoja1!$B$1:$C$6191,2,0)="",_xlfn.XLOOKUP(C2849,Hoja1!$B$2:$B$6191,Hoja1!$A$2:$A$6191),VLOOKUP(C2849,Hoja1!$B$1:$C$6191,2,0)),"No esta en Infor")</f>
        <v>NAC1232</v>
      </c>
      <c r="C2849" s="6" t="s">
        <v>603</v>
      </c>
      <c r="D2849" s="4">
        <v>58198.5</v>
      </c>
      <c r="E2849" s="6"/>
      <c r="F2849" s="6">
        <v>0</v>
      </c>
      <c r="G2849" s="6">
        <v>0</v>
      </c>
      <c r="H2849" s="6">
        <v>0</v>
      </c>
      <c r="I2849" s="6">
        <v>0</v>
      </c>
      <c r="J2849" s="18">
        <f t="shared" si="3"/>
        <v>58198.5</v>
      </c>
    </row>
    <row r="2850" spans="1:10" ht="15.75" x14ac:dyDescent="0.25">
      <c r="A2850" s="21">
        <v>45565</v>
      </c>
      <c r="B2850" t="str">
        <f>IFERROR(IF(VLOOKUP(C2850,Hoja1!$B$1:$C$6191,2,0)="",_xlfn.XLOOKUP(C2850,Hoja1!$B$2:$B$6191,Hoja1!$A$2:$A$6191),VLOOKUP(C2850,Hoja1!$B$1:$C$6191,2,0)),"No esta en Infor")</f>
        <v>NAC1234</v>
      </c>
      <c r="C2850" s="6" t="s">
        <v>293</v>
      </c>
      <c r="D2850" s="4">
        <v>8152</v>
      </c>
      <c r="E2850" s="6"/>
      <c r="F2850" s="6">
        <v>0</v>
      </c>
      <c r="G2850" s="6">
        <v>0</v>
      </c>
      <c r="H2850" s="6">
        <v>0</v>
      </c>
      <c r="I2850" s="6">
        <v>0</v>
      </c>
      <c r="J2850" s="18">
        <f t="shared" si="3"/>
        <v>8152</v>
      </c>
    </row>
    <row r="2851" spans="1:10" ht="15.75" x14ac:dyDescent="0.25">
      <c r="A2851" s="21">
        <v>45565</v>
      </c>
      <c r="B2851" t="str">
        <f>IFERROR(IF(VLOOKUP(C2851,Hoja1!$B$1:$C$6191,2,0)="",_xlfn.XLOOKUP(C2851,Hoja1!$B$2:$B$6191,Hoja1!$A$2:$A$6191),VLOOKUP(C2851,Hoja1!$B$1:$C$6191,2,0)),"No esta en Infor")</f>
        <v>NAC1236</v>
      </c>
      <c r="C2851" s="6" t="s">
        <v>518</v>
      </c>
      <c r="D2851" s="4">
        <v>1799.52</v>
      </c>
      <c r="E2851" s="6"/>
      <c r="F2851" s="6">
        <v>0</v>
      </c>
      <c r="G2851" s="6">
        <v>0</v>
      </c>
      <c r="H2851" s="6">
        <v>0</v>
      </c>
      <c r="I2851" s="6">
        <v>0</v>
      </c>
      <c r="J2851" s="18">
        <f t="shared" si="3"/>
        <v>1799.52</v>
      </c>
    </row>
    <row r="2852" spans="1:10" ht="15.75" x14ac:dyDescent="0.25">
      <c r="A2852" s="21">
        <v>45565</v>
      </c>
      <c r="B2852" t="str">
        <f>IFERROR(IF(VLOOKUP(C2852,Hoja1!$B$1:$C$6191,2,0)="",_xlfn.XLOOKUP(C2852,Hoja1!$B$2:$B$6191,Hoja1!$A$2:$A$6191),VLOOKUP(C2852,Hoja1!$B$1:$C$6191,2,0)),"No esta en Infor")</f>
        <v>NAC1241</v>
      </c>
      <c r="C2852" s="6" t="s">
        <v>295</v>
      </c>
      <c r="D2852" s="4">
        <v>71186.559999999998</v>
      </c>
      <c r="E2852" s="6"/>
      <c r="F2852" s="6">
        <v>0</v>
      </c>
      <c r="G2852" s="6">
        <v>0</v>
      </c>
      <c r="H2852" s="6">
        <v>0</v>
      </c>
      <c r="I2852" s="6">
        <v>0</v>
      </c>
      <c r="J2852" s="18">
        <f t="shared" si="3"/>
        <v>71186.559999999998</v>
      </c>
    </row>
    <row r="2853" spans="1:10" ht="15.75" x14ac:dyDescent="0.25">
      <c r="A2853" s="21">
        <v>45565</v>
      </c>
      <c r="B2853" t="str">
        <f>IFERROR(IF(VLOOKUP(C2853,Hoja1!$B$1:$C$6191,2,0)="",_xlfn.XLOOKUP(C2853,Hoja1!$B$2:$B$6191,Hoja1!$A$2:$A$6191),VLOOKUP(C2853,Hoja1!$B$1:$C$6191,2,0)),"No esta en Infor")</f>
        <v>NAC1247</v>
      </c>
      <c r="C2853" s="6" t="s">
        <v>298</v>
      </c>
      <c r="D2853" s="4">
        <v>3595.1</v>
      </c>
      <c r="E2853" s="6"/>
      <c r="F2853" s="6">
        <v>0</v>
      </c>
      <c r="G2853" s="6">
        <v>0</v>
      </c>
      <c r="H2853" s="6">
        <v>0</v>
      </c>
      <c r="I2853" s="6">
        <v>0</v>
      </c>
      <c r="J2853" s="18">
        <f t="shared" si="3"/>
        <v>3595.1</v>
      </c>
    </row>
    <row r="2854" spans="1:10" ht="15.75" x14ac:dyDescent="0.25">
      <c r="A2854" s="21">
        <v>45565</v>
      </c>
      <c r="B2854" t="str">
        <f>IFERROR(IF(VLOOKUP(C2854,Hoja1!$B$1:$C$6191,2,0)="",_xlfn.XLOOKUP(C2854,Hoja1!$B$2:$B$6191,Hoja1!$A$2:$A$6191),VLOOKUP(C2854,Hoja1!$B$1:$C$6191,2,0)),"No esta en Infor")</f>
        <v>NAC1248</v>
      </c>
      <c r="C2854" s="6" t="s">
        <v>589</v>
      </c>
      <c r="D2854" s="3">
        <v>213.23</v>
      </c>
      <c r="E2854" s="6"/>
      <c r="F2854" s="6">
        <v>0</v>
      </c>
      <c r="G2854" s="6">
        <v>0</v>
      </c>
      <c r="H2854" s="6">
        <v>0</v>
      </c>
      <c r="I2854" s="6">
        <v>0</v>
      </c>
      <c r="J2854" s="18">
        <f t="shared" si="3"/>
        <v>213.23</v>
      </c>
    </row>
    <row r="2855" spans="1:10" ht="15.75" x14ac:dyDescent="0.25">
      <c r="A2855" s="21">
        <v>45565</v>
      </c>
      <c r="B2855" t="str">
        <f>IFERROR(IF(VLOOKUP(C2855,Hoja1!$B$1:$C$6191,2,0)="",_xlfn.XLOOKUP(C2855,Hoja1!$B$2:$B$6191,Hoja1!$A$2:$A$6191),VLOOKUP(C2855,Hoja1!$B$1:$C$6191,2,0)),"No esta en Infor")</f>
        <v>CAN0051</v>
      </c>
      <c r="C2855" s="6" t="s">
        <v>299</v>
      </c>
      <c r="D2855" s="3">
        <v>0</v>
      </c>
      <c r="E2855" s="6"/>
      <c r="F2855" s="6">
        <v>0</v>
      </c>
      <c r="G2855" s="6">
        <v>-0.34</v>
      </c>
      <c r="H2855" s="6">
        <v>0</v>
      </c>
      <c r="I2855" s="6">
        <v>0</v>
      </c>
      <c r="J2855" s="18">
        <f t="shared" si="3"/>
        <v>-0.34</v>
      </c>
    </row>
    <row r="2856" spans="1:10" ht="15.75" x14ac:dyDescent="0.25">
      <c r="A2856" s="21">
        <v>45565</v>
      </c>
      <c r="B2856" t="str">
        <f>IFERROR(IF(VLOOKUP(C2856,Hoja1!$B$1:$C$6191,2,0)="",_xlfn.XLOOKUP(C2856,Hoja1!$B$2:$B$6191,Hoja1!$A$2:$A$6191),VLOOKUP(C2856,Hoja1!$B$1:$C$6191,2,0)),"No esta en Infor")</f>
        <v>NAC1249</v>
      </c>
      <c r="C2856" s="6" t="s">
        <v>300</v>
      </c>
      <c r="D2856" s="4">
        <v>1444.36</v>
      </c>
      <c r="E2856" s="6"/>
      <c r="F2856" s="6">
        <v>0</v>
      </c>
      <c r="G2856" s="6">
        <v>-17.760000000000002</v>
      </c>
      <c r="H2856" s="6">
        <v>0</v>
      </c>
      <c r="I2856" s="6">
        <v>0</v>
      </c>
      <c r="J2856" s="18">
        <f t="shared" si="3"/>
        <v>1426.6</v>
      </c>
    </row>
    <row r="2857" spans="1:10" ht="15.75" x14ac:dyDescent="0.25">
      <c r="A2857" s="21">
        <v>45565</v>
      </c>
      <c r="B2857" t="str">
        <f>IFERROR(IF(VLOOKUP(C2857,Hoja1!$B$1:$C$6191,2,0)="",_xlfn.XLOOKUP(C2857,Hoja1!$B$2:$B$6191,Hoja1!$A$2:$A$6191),VLOOKUP(C2857,Hoja1!$B$1:$C$6191,2,0)),"No esta en Infor")</f>
        <v>NAC1252</v>
      </c>
      <c r="C2857" s="6" t="s">
        <v>301</v>
      </c>
      <c r="D2857" s="4">
        <v>45306.6</v>
      </c>
      <c r="E2857" s="6"/>
      <c r="F2857" s="6">
        <v>0</v>
      </c>
      <c r="G2857" s="6">
        <v>0</v>
      </c>
      <c r="H2857" s="6">
        <v>0</v>
      </c>
      <c r="I2857" s="6">
        <v>0</v>
      </c>
      <c r="J2857" s="18">
        <f t="shared" si="3"/>
        <v>45306.6</v>
      </c>
    </row>
    <row r="2858" spans="1:10" ht="15.75" x14ac:dyDescent="0.25">
      <c r="A2858" s="21">
        <v>45565</v>
      </c>
      <c r="B2858" t="str">
        <f>IFERROR(IF(VLOOKUP(C2858,Hoja1!$B$1:$C$6191,2,0)="",_xlfn.XLOOKUP(C2858,Hoja1!$B$2:$B$6191,Hoja1!$A$2:$A$6191),VLOOKUP(C2858,Hoja1!$B$1:$C$6191,2,0)),"No esta en Infor")</f>
        <v>CAN0052</v>
      </c>
      <c r="C2858" s="6" t="s">
        <v>639</v>
      </c>
      <c r="D2858" s="4">
        <v>2932.65</v>
      </c>
      <c r="E2858" s="6"/>
      <c r="F2858" s="6">
        <v>0</v>
      </c>
      <c r="G2858" s="6">
        <v>0</v>
      </c>
      <c r="H2858" s="6">
        <v>0</v>
      </c>
      <c r="I2858" s="6">
        <v>0</v>
      </c>
      <c r="J2858" s="18">
        <f t="shared" si="3"/>
        <v>2932.65</v>
      </c>
    </row>
    <row r="2859" spans="1:10" ht="15.75" x14ac:dyDescent="0.25">
      <c r="A2859" s="21">
        <v>45565</v>
      </c>
      <c r="B2859" t="str">
        <f>IFERROR(IF(VLOOKUP(C2859,Hoja1!$B$1:$C$6191,2,0)="",_xlfn.XLOOKUP(C2859,Hoja1!$B$2:$B$6191,Hoja1!$A$2:$A$6191),VLOOKUP(C2859,Hoja1!$B$1:$C$6191,2,0)),"No esta en Infor")</f>
        <v>NAC1254</v>
      </c>
      <c r="C2859" s="6" t="s">
        <v>640</v>
      </c>
      <c r="D2859" s="4">
        <v>1225.4000000000001</v>
      </c>
      <c r="E2859" s="6"/>
      <c r="F2859" s="6">
        <v>0</v>
      </c>
      <c r="G2859" s="6">
        <v>0</v>
      </c>
      <c r="H2859" s="6">
        <v>0</v>
      </c>
      <c r="I2859" s="6">
        <v>0</v>
      </c>
      <c r="J2859" s="18">
        <f t="shared" si="3"/>
        <v>1225.4000000000001</v>
      </c>
    </row>
    <row r="2860" spans="1:10" ht="15.75" x14ac:dyDescent="0.25">
      <c r="A2860" s="21">
        <v>45565</v>
      </c>
      <c r="B2860" t="str">
        <f>IFERROR(IF(VLOOKUP(C2860,Hoja1!$B$1:$C$6191,2,0)="",_xlfn.XLOOKUP(C2860,Hoja1!$B$2:$B$6191,Hoja1!$A$2:$A$6191),VLOOKUP(C2860,Hoja1!$B$1:$C$6191,2,0)),"No esta en Infor")</f>
        <v>NAC1615</v>
      </c>
      <c r="C2860" s="6" t="s">
        <v>520</v>
      </c>
      <c r="D2860" s="3">
        <v>0</v>
      </c>
      <c r="E2860" s="6"/>
      <c r="F2860" s="6">
        <v>-252</v>
      </c>
      <c r="G2860" s="6">
        <v>0</v>
      </c>
      <c r="H2860" s="6">
        <v>0</v>
      </c>
      <c r="I2860" s="6">
        <v>0</v>
      </c>
      <c r="J2860" s="18">
        <f t="shared" si="3"/>
        <v>-252</v>
      </c>
    </row>
    <row r="2861" spans="1:10" ht="15.75" x14ac:dyDescent="0.25">
      <c r="A2861" s="21">
        <v>45565</v>
      </c>
      <c r="B2861" t="str">
        <f>IFERROR(IF(VLOOKUP(C2861,Hoja1!$B$1:$C$6191,2,0)="",_xlfn.XLOOKUP(C2861,Hoja1!$B$2:$B$6191,Hoja1!$A$2:$A$6191),VLOOKUP(C2861,Hoja1!$B$1:$C$6191,2,0)),"No esta en Infor")</f>
        <v>CAN0053</v>
      </c>
      <c r="C2861" s="6" t="s">
        <v>302</v>
      </c>
      <c r="D2861" s="4">
        <v>2677.5</v>
      </c>
      <c r="E2861" s="6"/>
      <c r="F2861" s="6">
        <v>0</v>
      </c>
      <c r="G2861" s="6">
        <v>0</v>
      </c>
      <c r="H2861" s="6">
        <v>0</v>
      </c>
      <c r="I2861" s="6">
        <v>0</v>
      </c>
      <c r="J2861" s="18">
        <f t="shared" si="3"/>
        <v>2677.5</v>
      </c>
    </row>
    <row r="2862" spans="1:10" ht="15.75" x14ac:dyDescent="0.25">
      <c r="A2862" s="21">
        <v>45565</v>
      </c>
      <c r="B2862" t="str">
        <f>IFERROR(IF(VLOOKUP(C2862,Hoja1!$B$1:$C$6191,2,0)="",_xlfn.XLOOKUP(C2862,Hoja1!$B$2:$B$6191,Hoja1!$A$2:$A$6191),VLOOKUP(C2862,Hoja1!$B$1:$C$6191,2,0)),"No esta en Infor")</f>
        <v>CAN0054</v>
      </c>
      <c r="C2862" s="6" t="s">
        <v>36</v>
      </c>
      <c r="D2862" s="4">
        <v>22034.47</v>
      </c>
      <c r="E2862" s="6"/>
      <c r="F2862" s="6">
        <v>0</v>
      </c>
      <c r="G2862" s="6">
        <v>-217.39</v>
      </c>
      <c r="H2862" s="6">
        <v>0</v>
      </c>
      <c r="I2862" s="6">
        <v>0</v>
      </c>
      <c r="J2862" s="18">
        <f t="shared" si="3"/>
        <v>21817.08</v>
      </c>
    </row>
    <row r="2863" spans="1:10" ht="15.75" x14ac:dyDescent="0.25">
      <c r="A2863" s="21">
        <v>45565</v>
      </c>
      <c r="B2863" t="str">
        <f>IFERROR(IF(VLOOKUP(C2863,Hoja1!$B$1:$C$6191,2,0)="",_xlfn.XLOOKUP(C2863,Hoja1!$B$2:$B$6191,Hoja1!$A$2:$A$6191),VLOOKUP(C2863,Hoja1!$B$1:$C$6191,2,0)),"No esta en Infor")</f>
        <v>NAC1260</v>
      </c>
      <c r="C2863" s="6" t="s">
        <v>571</v>
      </c>
      <c r="D2863" s="3">
        <v>0</v>
      </c>
      <c r="E2863" s="6"/>
      <c r="F2863" s="18">
        <v>-19694.63</v>
      </c>
      <c r="G2863" s="6">
        <v>0</v>
      </c>
      <c r="H2863" s="6">
        <v>0</v>
      </c>
      <c r="I2863" s="6">
        <v>0</v>
      </c>
      <c r="J2863" s="18">
        <f t="shared" si="3"/>
        <v>-19694.63</v>
      </c>
    </row>
    <row r="2864" spans="1:10" ht="15.75" x14ac:dyDescent="0.25">
      <c r="A2864" s="21">
        <v>45565</v>
      </c>
      <c r="B2864" t="str">
        <f>IFERROR(IF(VLOOKUP(C2864,Hoja1!$B$1:$C$6191,2,0)="",_xlfn.XLOOKUP(C2864,Hoja1!$B$2:$B$6191,Hoja1!$A$2:$A$6191),VLOOKUP(C2864,Hoja1!$B$1:$C$6191,2,0)),"No esta en Infor")</f>
        <v>NAC1283</v>
      </c>
      <c r="C2864" s="6" t="s">
        <v>308</v>
      </c>
      <c r="D2864" s="4">
        <v>38418.400000000001</v>
      </c>
      <c r="E2864" s="6"/>
      <c r="F2864" s="6">
        <v>0</v>
      </c>
      <c r="G2864" s="6">
        <v>-118</v>
      </c>
      <c r="H2864" s="6">
        <v>0</v>
      </c>
      <c r="I2864" s="6">
        <v>0</v>
      </c>
      <c r="J2864" s="18">
        <f t="shared" si="3"/>
        <v>38300.400000000001</v>
      </c>
    </row>
    <row r="2865" spans="1:10" ht="15.75" x14ac:dyDescent="0.25">
      <c r="A2865" s="21">
        <v>45565</v>
      </c>
      <c r="B2865" t="str">
        <f>IFERROR(IF(VLOOKUP(C2865,Hoja1!$B$1:$C$6191,2,0)="",_xlfn.XLOOKUP(C2865,Hoja1!$B$2:$B$6191,Hoja1!$A$2:$A$6191),VLOOKUP(C2865,Hoja1!$B$1:$C$6191,2,0)),"No esta en Infor")</f>
        <v>NAC1292</v>
      </c>
      <c r="C2865" s="6" t="s">
        <v>46</v>
      </c>
      <c r="D2865" s="4">
        <v>114699.4</v>
      </c>
      <c r="E2865" s="6"/>
      <c r="F2865" s="6">
        <v>0</v>
      </c>
      <c r="G2865" s="6">
        <v>0</v>
      </c>
      <c r="H2865" s="6">
        <v>0</v>
      </c>
      <c r="I2865" s="6">
        <v>0</v>
      </c>
      <c r="J2865" s="18">
        <f t="shared" si="3"/>
        <v>114699.4</v>
      </c>
    </row>
    <row r="2866" spans="1:10" ht="15.75" x14ac:dyDescent="0.25">
      <c r="A2866" s="21">
        <v>45565</v>
      </c>
      <c r="B2866" t="str">
        <f>IFERROR(IF(VLOOKUP(C2866,Hoja1!$B$1:$C$6191,2,0)="",_xlfn.XLOOKUP(C2866,Hoja1!$B$2:$B$6191,Hoja1!$A$2:$A$6191),VLOOKUP(C2866,Hoja1!$B$1:$C$6191,2,0)),"No esta en Infor")</f>
        <v>SH02924</v>
      </c>
      <c r="C2866" s="6" t="s">
        <v>696</v>
      </c>
      <c r="D2866" s="3">
        <v>1.1200000000000001</v>
      </c>
      <c r="E2866" s="6"/>
      <c r="F2866" s="6">
        <v>0</v>
      </c>
      <c r="G2866" s="6">
        <v>0</v>
      </c>
      <c r="H2866" s="6">
        <v>0</v>
      </c>
      <c r="I2866" s="6">
        <v>0</v>
      </c>
      <c r="J2866" s="18">
        <f t="shared" si="3"/>
        <v>1.1200000000000001</v>
      </c>
    </row>
    <row r="2867" spans="1:10" ht="15.75" x14ac:dyDescent="0.25">
      <c r="A2867" s="21">
        <v>45565</v>
      </c>
      <c r="B2867" t="str">
        <f>IFERROR(IF(VLOOKUP(C2867,Hoja1!$B$1:$C$6191,2,0)="",_xlfn.XLOOKUP(C2867,Hoja1!$B$2:$B$6191,Hoja1!$A$2:$A$6191),VLOOKUP(C2867,Hoja1!$B$1:$C$6191,2,0)),"No esta en Infor")</f>
        <v>NAC1303</v>
      </c>
      <c r="C2867" s="6" t="s">
        <v>697</v>
      </c>
      <c r="D2867" s="4">
        <v>3424</v>
      </c>
      <c r="E2867" s="6"/>
      <c r="F2867" s="6">
        <v>0</v>
      </c>
      <c r="G2867" s="6">
        <v>0</v>
      </c>
      <c r="H2867" s="6">
        <v>0</v>
      </c>
      <c r="I2867" s="6">
        <v>0</v>
      </c>
      <c r="J2867" s="18">
        <f t="shared" si="3"/>
        <v>3424</v>
      </c>
    </row>
    <row r="2868" spans="1:10" ht="15.75" x14ac:dyDescent="0.25">
      <c r="A2868" s="21">
        <v>45565</v>
      </c>
      <c r="B2868" t="str">
        <f>IFERROR(IF(VLOOKUP(C2868,Hoja1!$B$1:$C$6191,2,0)="",_xlfn.XLOOKUP(C2868,Hoja1!$B$2:$B$6191,Hoja1!$A$2:$A$6191),VLOOKUP(C2868,Hoja1!$B$1:$C$6191,2,0)),"No esta en Infor")</f>
        <v>NAC1312</v>
      </c>
      <c r="C2868" s="6" t="s">
        <v>314</v>
      </c>
      <c r="D2868" s="4">
        <v>91392.47</v>
      </c>
      <c r="E2868" s="6"/>
      <c r="F2868" s="18">
        <v>210964.39</v>
      </c>
      <c r="G2868" s="18">
        <v>25233.55</v>
      </c>
      <c r="H2868" s="18">
        <v>1743.04</v>
      </c>
      <c r="I2868" s="18">
        <v>4649.8900000000003</v>
      </c>
      <c r="J2868" s="18">
        <f t="shared" si="3"/>
        <v>333983.33999999997</v>
      </c>
    </row>
    <row r="2869" spans="1:10" ht="15.75" x14ac:dyDescent="0.25">
      <c r="A2869" s="21">
        <v>45565</v>
      </c>
      <c r="B2869" t="str">
        <f>IFERROR(IF(VLOOKUP(C2869,Hoja1!$B$1:$C$6191,2,0)="",_xlfn.XLOOKUP(C2869,Hoja1!$B$2:$B$6191,Hoja1!$A$2:$A$6191),VLOOKUP(C2869,Hoja1!$B$1:$C$6191,2,0)),"No esta en Infor")</f>
        <v>CAN0060</v>
      </c>
      <c r="C2869" s="6" t="s">
        <v>422</v>
      </c>
      <c r="D2869" s="3">
        <v>0</v>
      </c>
      <c r="E2869" s="6"/>
      <c r="F2869" s="6">
        <v>-28.5</v>
      </c>
      <c r="G2869" s="6">
        <v>0</v>
      </c>
      <c r="H2869" s="6">
        <v>0</v>
      </c>
      <c r="I2869" s="6">
        <v>0</v>
      </c>
      <c r="J2869" s="18">
        <f t="shared" si="3"/>
        <v>-28.5</v>
      </c>
    </row>
    <row r="2870" spans="1:10" ht="15.75" x14ac:dyDescent="0.25">
      <c r="A2870" s="21">
        <v>45565</v>
      </c>
      <c r="B2870" t="str">
        <f>IFERROR(IF(VLOOKUP(C2870,Hoja1!$B$1:$C$6191,2,0)="",_xlfn.XLOOKUP(C2870,Hoja1!$B$2:$B$6191,Hoja1!$A$2:$A$6191),VLOOKUP(C2870,Hoja1!$B$1:$C$6191,2,0)),"No esta en Infor")</f>
        <v>NAC1332</v>
      </c>
      <c r="C2870" s="6" t="s">
        <v>317</v>
      </c>
      <c r="D2870" s="3">
        <v>252</v>
      </c>
      <c r="E2870" s="6"/>
      <c r="F2870" s="6">
        <v>0</v>
      </c>
      <c r="G2870" s="6">
        <v>0</v>
      </c>
      <c r="H2870" s="6">
        <v>0</v>
      </c>
      <c r="I2870" s="6">
        <v>0</v>
      </c>
      <c r="J2870" s="18">
        <f t="shared" si="3"/>
        <v>252</v>
      </c>
    </row>
    <row r="2871" spans="1:10" ht="15.75" x14ac:dyDescent="0.25">
      <c r="A2871" s="21">
        <v>45565</v>
      </c>
      <c r="B2871" t="str">
        <f>IFERROR(IF(VLOOKUP(C2871,Hoja1!$B$1:$C$6191,2,0)="",_xlfn.XLOOKUP(C2871,Hoja1!$B$2:$B$6191,Hoja1!$A$2:$A$6191),VLOOKUP(C2871,Hoja1!$B$1:$C$6191,2,0)),"No esta en Infor")</f>
        <v>NAC1333</v>
      </c>
      <c r="C2871" s="6" t="s">
        <v>318</v>
      </c>
      <c r="D2871" s="4">
        <v>49497.9</v>
      </c>
      <c r="E2871" s="6"/>
      <c r="F2871" s="6">
        <v>0</v>
      </c>
      <c r="G2871" s="6">
        <v>0</v>
      </c>
      <c r="H2871" s="6">
        <v>0</v>
      </c>
      <c r="I2871" s="6">
        <v>0</v>
      </c>
      <c r="J2871" s="18">
        <f t="shared" si="3"/>
        <v>49497.9</v>
      </c>
    </row>
    <row r="2872" spans="1:10" ht="15.75" x14ac:dyDescent="0.25">
      <c r="A2872" s="21">
        <v>45565</v>
      </c>
      <c r="B2872" t="str">
        <f>IFERROR(IF(VLOOKUP(C2872,Hoja1!$B$1:$C$6191,2,0)="",_xlfn.XLOOKUP(C2872,Hoja1!$B$2:$B$6191,Hoja1!$A$2:$A$6191),VLOOKUP(C2872,Hoja1!$B$1:$C$6191,2,0)),"No esta en Infor")</f>
        <v>SH02288</v>
      </c>
      <c r="C2872" s="6" t="s">
        <v>698</v>
      </c>
      <c r="D2872" s="3">
        <v>0</v>
      </c>
      <c r="E2872" s="6"/>
      <c r="F2872" s="6">
        <v>0</v>
      </c>
      <c r="G2872" s="6">
        <v>0</v>
      </c>
      <c r="H2872" s="6">
        <v>48.29</v>
      </c>
      <c r="I2872" s="6">
        <v>0</v>
      </c>
      <c r="J2872" s="18">
        <f t="shared" si="3"/>
        <v>48.29</v>
      </c>
    </row>
    <row r="2873" spans="1:10" ht="15.75" x14ac:dyDescent="0.25">
      <c r="A2873" s="21">
        <v>45565</v>
      </c>
      <c r="B2873" t="str">
        <f>IFERROR(IF(VLOOKUP(C2873,Hoja1!$B$1:$C$6191,2,0)="",_xlfn.XLOOKUP(C2873,Hoja1!$B$2:$B$6191,Hoja1!$A$2:$A$6191),VLOOKUP(C2873,Hoja1!$B$1:$C$6191,2,0)),"No esta en Infor")</f>
        <v>SH02293</v>
      </c>
      <c r="C2873" s="6" t="s">
        <v>699</v>
      </c>
      <c r="D2873" s="3">
        <v>7.3</v>
      </c>
      <c r="E2873" s="6"/>
      <c r="F2873" s="6">
        <v>0</v>
      </c>
      <c r="G2873" s="6">
        <v>0</v>
      </c>
      <c r="H2873" s="6">
        <v>0</v>
      </c>
      <c r="I2873" s="6">
        <v>0</v>
      </c>
      <c r="J2873" s="18">
        <f t="shared" si="3"/>
        <v>7.3</v>
      </c>
    </row>
    <row r="2874" spans="1:10" ht="15.75" x14ac:dyDescent="0.25">
      <c r="A2874" s="21">
        <v>45565</v>
      </c>
      <c r="B2874" t="str">
        <f>IFERROR(IF(VLOOKUP(C2874,Hoja1!$B$1:$C$6191,2,0)="",_xlfn.XLOOKUP(C2874,Hoja1!$B$2:$B$6191,Hoja1!$A$2:$A$6191),VLOOKUP(C2874,Hoja1!$B$1:$C$6191,2,0)),"No esta en Infor")</f>
        <v>NAC1346</v>
      </c>
      <c r="C2874" s="6" t="s">
        <v>321</v>
      </c>
      <c r="D2874" s="3">
        <v>-47.94</v>
      </c>
      <c r="E2874" s="6"/>
      <c r="F2874" s="6">
        <v>0</v>
      </c>
      <c r="G2874" s="6">
        <v>0</v>
      </c>
      <c r="H2874" s="6">
        <v>0</v>
      </c>
      <c r="I2874" s="6">
        <v>0</v>
      </c>
      <c r="J2874" s="18">
        <f t="shared" ref="J2874:J2914" si="4">SUM(D2874:I2874)</f>
        <v>-47.94</v>
      </c>
    </row>
    <row r="2875" spans="1:10" ht="15.75" x14ac:dyDescent="0.25">
      <c r="A2875" s="21">
        <v>45565</v>
      </c>
      <c r="B2875" t="str">
        <f>IFERROR(IF(VLOOKUP(C2875,Hoja1!$B$1:$C$6191,2,0)="",_xlfn.XLOOKUP(C2875,Hoja1!$B$2:$B$6191,Hoja1!$A$2:$A$6191),VLOOKUP(C2875,Hoja1!$B$1:$C$6191,2,0)),"No esta en Infor")</f>
        <v>NAC1349</v>
      </c>
      <c r="C2875" s="6" t="s">
        <v>322</v>
      </c>
      <c r="D2875" s="3">
        <v>0</v>
      </c>
      <c r="E2875" s="6"/>
      <c r="F2875" s="6">
        <v>0</v>
      </c>
      <c r="G2875" s="6">
        <v>-178.85</v>
      </c>
      <c r="H2875" s="6">
        <v>-169.96</v>
      </c>
      <c r="I2875" s="6">
        <v>0</v>
      </c>
      <c r="J2875" s="18">
        <f t="shared" si="4"/>
        <v>-348.81</v>
      </c>
    </row>
    <row r="2876" spans="1:10" ht="15.75" x14ac:dyDescent="0.25">
      <c r="A2876" s="21">
        <v>45565</v>
      </c>
      <c r="B2876" t="str">
        <f>IFERROR(IF(VLOOKUP(C2876,Hoja1!$B$1:$C$6191,2,0)="",_xlfn.XLOOKUP(C2876,Hoja1!$B$2:$B$6191,Hoja1!$A$2:$A$6191),VLOOKUP(C2876,Hoja1!$B$1:$C$6191,2,0)),"No esta en Infor")</f>
        <v>NAC1348</v>
      </c>
      <c r="C2876" s="6" t="s">
        <v>323</v>
      </c>
      <c r="D2876" s="3">
        <v>197.25</v>
      </c>
      <c r="E2876" s="6"/>
      <c r="F2876" s="6">
        <v>0</v>
      </c>
      <c r="G2876" s="6">
        <v>0</v>
      </c>
      <c r="H2876" s="6">
        <v>0</v>
      </c>
      <c r="I2876" s="6">
        <v>0</v>
      </c>
      <c r="J2876" s="18">
        <f t="shared" si="4"/>
        <v>197.25</v>
      </c>
    </row>
    <row r="2877" spans="1:10" ht="15.75" x14ac:dyDescent="0.25">
      <c r="A2877" s="21">
        <v>45565</v>
      </c>
      <c r="B2877" t="str">
        <f>IFERROR(IF(VLOOKUP(C2877,Hoja1!$B$1:$C$6191,2,0)="",_xlfn.XLOOKUP(C2877,Hoja1!$B$2:$B$6191,Hoja1!$A$2:$A$6191),VLOOKUP(C2877,Hoja1!$B$1:$C$6191,2,0)),"No esta en Infor")</f>
        <v>NAC1353</v>
      </c>
      <c r="C2877" s="6" t="s">
        <v>700</v>
      </c>
      <c r="D2877" s="4">
        <v>5220</v>
      </c>
      <c r="E2877" s="6"/>
      <c r="F2877" s="6">
        <v>0</v>
      </c>
      <c r="G2877" s="6">
        <v>0</v>
      </c>
      <c r="H2877" s="6">
        <v>0</v>
      </c>
      <c r="I2877" s="6">
        <v>0</v>
      </c>
      <c r="J2877" s="18">
        <f t="shared" si="4"/>
        <v>5220</v>
      </c>
    </row>
    <row r="2878" spans="1:10" ht="15.75" x14ac:dyDescent="0.25">
      <c r="A2878" s="21">
        <v>45565</v>
      </c>
      <c r="B2878" t="str">
        <f>IFERROR(IF(VLOOKUP(C2878,Hoja1!$B$1:$C$6191,2,0)="",_xlfn.XLOOKUP(C2878,Hoja1!$B$2:$B$6191,Hoja1!$A$2:$A$6191),VLOOKUP(C2878,Hoja1!$B$1:$C$6191,2,0)),"No esta en Infor")</f>
        <v>NAC1356</v>
      </c>
      <c r="C2878" s="6" t="s">
        <v>325</v>
      </c>
      <c r="D2878" s="3">
        <v>0</v>
      </c>
      <c r="E2878" s="6"/>
      <c r="F2878" s="6">
        <v>0</v>
      </c>
      <c r="G2878" s="6">
        <v>0</v>
      </c>
      <c r="H2878" s="6">
        <v>-421.28</v>
      </c>
      <c r="I2878" s="6">
        <v>0</v>
      </c>
      <c r="J2878" s="18">
        <f t="shared" si="4"/>
        <v>-421.28</v>
      </c>
    </row>
    <row r="2879" spans="1:10" ht="15.75" x14ac:dyDescent="0.25">
      <c r="A2879" s="21">
        <v>45565</v>
      </c>
      <c r="B2879" t="str">
        <f>IFERROR(IF(VLOOKUP(C2879,Hoja1!$B$1:$C$6191,2,0)="",_xlfn.XLOOKUP(C2879,Hoja1!$B$2:$B$6191,Hoja1!$A$2:$A$6191),VLOOKUP(C2879,Hoja1!$B$1:$C$6191,2,0)),"No esta en Infor")</f>
        <v>NAC1359</v>
      </c>
      <c r="C2879" s="6" t="s">
        <v>524</v>
      </c>
      <c r="D2879" s="4">
        <v>18089.099999999999</v>
      </c>
      <c r="E2879" s="6"/>
      <c r="F2879" s="6">
        <v>0</v>
      </c>
      <c r="G2879" s="6">
        <v>0</v>
      </c>
      <c r="H2879" s="6">
        <v>0</v>
      </c>
      <c r="I2879" s="6">
        <v>0</v>
      </c>
      <c r="J2879" s="18">
        <f t="shared" si="4"/>
        <v>18089.099999999999</v>
      </c>
    </row>
    <row r="2880" spans="1:10" ht="15.75" x14ac:dyDescent="0.25">
      <c r="A2880" s="21">
        <v>45565</v>
      </c>
      <c r="B2880" t="str">
        <f>IFERROR(IF(VLOOKUP(C2880,Hoja1!$B$1:$C$6191,2,0)="",_xlfn.XLOOKUP(C2880,Hoja1!$B$2:$B$6191,Hoja1!$A$2:$A$6191),VLOOKUP(C2880,Hoja1!$B$1:$C$6191,2,0)),"No esta en Infor")</f>
        <v>NAC1362</v>
      </c>
      <c r="C2880" s="6" t="s">
        <v>701</v>
      </c>
      <c r="D2880" s="4">
        <v>3780</v>
      </c>
      <c r="E2880" s="6"/>
      <c r="F2880" s="6">
        <v>0</v>
      </c>
      <c r="G2880" s="6">
        <v>0</v>
      </c>
      <c r="H2880" s="6">
        <v>0</v>
      </c>
      <c r="I2880" s="6">
        <v>0</v>
      </c>
      <c r="J2880" s="18">
        <f t="shared" si="4"/>
        <v>3780</v>
      </c>
    </row>
    <row r="2881" spans="1:10" ht="15.75" x14ac:dyDescent="0.25">
      <c r="A2881" s="21">
        <v>45565</v>
      </c>
      <c r="B2881" t="str">
        <f>IFERROR(IF(VLOOKUP(C2881,Hoja1!$B$1:$C$6191,2,0)="",_xlfn.XLOOKUP(C2881,Hoja1!$B$2:$B$6191,Hoja1!$A$2:$A$6191),VLOOKUP(C2881,Hoja1!$B$1:$C$6191,2,0)),"No esta en Infor")</f>
        <v>CAN0065</v>
      </c>
      <c r="C2881" s="6" t="s">
        <v>327</v>
      </c>
      <c r="D2881" s="4">
        <v>39664.71</v>
      </c>
      <c r="E2881" s="6"/>
      <c r="F2881" s="6">
        <v>0</v>
      </c>
      <c r="G2881" s="6">
        <v>0</v>
      </c>
      <c r="H2881" s="6">
        <v>0</v>
      </c>
      <c r="I2881" s="6">
        <v>0</v>
      </c>
      <c r="J2881" s="18">
        <f t="shared" si="4"/>
        <v>39664.71</v>
      </c>
    </row>
    <row r="2882" spans="1:10" ht="15.75" x14ac:dyDescent="0.25">
      <c r="A2882" s="21">
        <v>45565</v>
      </c>
      <c r="B2882" t="str">
        <f>IFERROR(IF(VLOOKUP(C2882,Hoja1!$B$1:$C$6191,2,0)="",_xlfn.XLOOKUP(C2882,Hoja1!$B$2:$B$6191,Hoja1!$A$2:$A$6191),VLOOKUP(C2882,Hoja1!$B$1:$C$6191,2,0)),"No esta en Infor")</f>
        <v>NAC1367</v>
      </c>
      <c r="C2882" s="6" t="s">
        <v>424</v>
      </c>
      <c r="D2882" s="4">
        <v>3347.5</v>
      </c>
      <c r="E2882" s="6"/>
      <c r="F2882" s="6">
        <v>0</v>
      </c>
      <c r="G2882" s="6">
        <v>0</v>
      </c>
      <c r="H2882" s="6">
        <v>0</v>
      </c>
      <c r="I2882" s="6">
        <v>0</v>
      </c>
      <c r="J2882" s="18">
        <f t="shared" si="4"/>
        <v>3347.5</v>
      </c>
    </row>
    <row r="2883" spans="1:10" ht="15.75" x14ac:dyDescent="0.25">
      <c r="A2883" s="21">
        <v>45565</v>
      </c>
      <c r="B2883" t="str">
        <f>IFERROR(IF(VLOOKUP(C2883,Hoja1!$B$1:$C$6191,2,0)="",_xlfn.XLOOKUP(C2883,Hoja1!$B$2:$B$6191,Hoja1!$A$2:$A$6191),VLOOKUP(C2883,Hoja1!$B$1:$C$6191,2,0)),"No esta en Infor")</f>
        <v>SH02968</v>
      </c>
      <c r="C2883" s="6" t="s">
        <v>702</v>
      </c>
      <c r="D2883" s="3">
        <v>74.47</v>
      </c>
      <c r="E2883" s="6"/>
      <c r="F2883" s="6">
        <v>0</v>
      </c>
      <c r="G2883" s="6">
        <v>0</v>
      </c>
      <c r="H2883" s="6">
        <v>0</v>
      </c>
      <c r="I2883" s="6">
        <v>0</v>
      </c>
      <c r="J2883" s="18">
        <f t="shared" si="4"/>
        <v>74.47</v>
      </c>
    </row>
    <row r="2884" spans="1:10" ht="15.75" x14ac:dyDescent="0.25">
      <c r="A2884" s="21">
        <v>45565</v>
      </c>
      <c r="B2884" t="str">
        <f>IFERROR(IF(VLOOKUP(C2884,Hoja1!$B$1:$C$6191,2,0)="",_xlfn.XLOOKUP(C2884,Hoja1!$B$2:$B$6191,Hoja1!$A$2:$A$6191),VLOOKUP(C2884,Hoja1!$B$1:$C$6191,2,0)),"No esta en Infor")</f>
        <v>NAC1381</v>
      </c>
      <c r="C2884" s="6" t="s">
        <v>478</v>
      </c>
      <c r="D2884" s="3">
        <v>0</v>
      </c>
      <c r="E2884" s="6"/>
      <c r="F2884" s="6">
        <v>-5.28</v>
      </c>
      <c r="G2884" s="6">
        <v>0</v>
      </c>
      <c r="H2884" s="6">
        <v>0</v>
      </c>
      <c r="I2884" s="6">
        <v>0</v>
      </c>
      <c r="J2884" s="18">
        <f t="shared" si="4"/>
        <v>-5.28</v>
      </c>
    </row>
    <row r="2885" spans="1:10" ht="15.75" x14ac:dyDescent="0.25">
      <c r="A2885" s="21">
        <v>45565</v>
      </c>
      <c r="B2885" t="str">
        <f>IFERROR(IF(VLOOKUP(C2885,Hoja1!$B$1:$C$6191,2,0)="",_xlfn.XLOOKUP(C2885,Hoja1!$B$2:$B$6191,Hoja1!$A$2:$A$6191),VLOOKUP(C2885,Hoja1!$B$1:$C$6191,2,0)),"No esta en Infor")</f>
        <v>NAC1382</v>
      </c>
      <c r="C2885" s="6" t="s">
        <v>332</v>
      </c>
      <c r="D2885" s="4">
        <v>91587.89</v>
      </c>
      <c r="E2885" s="6"/>
      <c r="F2885" s="6">
        <v>0</v>
      </c>
      <c r="G2885" s="6">
        <v>0</v>
      </c>
      <c r="H2885" s="6">
        <v>0</v>
      </c>
      <c r="I2885" s="6">
        <v>0</v>
      </c>
      <c r="J2885" s="18">
        <f t="shared" si="4"/>
        <v>91587.89</v>
      </c>
    </row>
    <row r="2886" spans="1:10" ht="15.75" x14ac:dyDescent="0.25">
      <c r="A2886" s="21">
        <v>45565</v>
      </c>
      <c r="B2886" t="str">
        <f>IFERROR(IF(VLOOKUP(C2886,Hoja1!$B$1:$C$6191,2,0)="",_xlfn.XLOOKUP(C2886,Hoja1!$B$2:$B$6191,Hoja1!$A$2:$A$6191),VLOOKUP(C2886,Hoja1!$B$1:$C$6191,2,0)),"No esta en Infor")</f>
        <v>NAC1385</v>
      </c>
      <c r="C2886" s="6" t="s">
        <v>428</v>
      </c>
      <c r="D2886" s="4">
        <v>23811.3</v>
      </c>
      <c r="E2886" s="6"/>
      <c r="F2886" s="6">
        <v>0</v>
      </c>
      <c r="G2886" s="6">
        <v>0</v>
      </c>
      <c r="H2886" s="6">
        <v>0</v>
      </c>
      <c r="I2886" s="6">
        <v>0</v>
      </c>
      <c r="J2886" s="18">
        <f t="shared" si="4"/>
        <v>23811.3</v>
      </c>
    </row>
    <row r="2887" spans="1:10" ht="15.75" x14ac:dyDescent="0.25">
      <c r="A2887" s="21">
        <v>45565</v>
      </c>
      <c r="B2887" t="str">
        <f>IFERROR(IF(VLOOKUP(C2887,Hoja1!$B$1:$C$6191,2,0)="",_xlfn.XLOOKUP(C2887,Hoja1!$B$2:$B$6191,Hoja1!$A$2:$A$6191),VLOOKUP(C2887,Hoja1!$B$1:$C$6191,2,0)),"No esta en Infor")</f>
        <v>NAC1386</v>
      </c>
      <c r="C2887" s="6" t="s">
        <v>703</v>
      </c>
      <c r="D2887" s="4">
        <v>1907.18</v>
      </c>
      <c r="E2887" s="6"/>
      <c r="F2887" s="6">
        <v>0</v>
      </c>
      <c r="G2887" s="6">
        <v>0</v>
      </c>
      <c r="H2887" s="6">
        <v>0</v>
      </c>
      <c r="I2887" s="6">
        <v>0</v>
      </c>
      <c r="J2887" s="18">
        <f t="shared" si="4"/>
        <v>1907.18</v>
      </c>
    </row>
    <row r="2888" spans="1:10" ht="15.75" x14ac:dyDescent="0.25">
      <c r="A2888" s="21">
        <v>45565</v>
      </c>
      <c r="B2888" t="str">
        <f>IFERROR(IF(VLOOKUP(C2888,Hoja1!$B$1:$C$6191,2,0)="",_xlfn.XLOOKUP(C2888,Hoja1!$B$2:$B$6191,Hoja1!$A$2:$A$6191),VLOOKUP(C2888,Hoja1!$B$1:$C$6191,2,0)),"No esta en Infor")</f>
        <v>NAC1395</v>
      </c>
      <c r="C2888" s="6" t="s">
        <v>337</v>
      </c>
      <c r="D2888" s="4">
        <v>32662.15</v>
      </c>
      <c r="E2888" s="6"/>
      <c r="F2888" s="6">
        <v>0</v>
      </c>
      <c r="G2888" s="6">
        <v>0</v>
      </c>
      <c r="H2888" s="6">
        <v>0</v>
      </c>
      <c r="I2888" s="6">
        <v>0</v>
      </c>
      <c r="J2888" s="18">
        <f t="shared" si="4"/>
        <v>32662.15</v>
      </c>
    </row>
    <row r="2889" spans="1:10" ht="15.75" x14ac:dyDescent="0.25">
      <c r="A2889" s="21">
        <v>45565</v>
      </c>
      <c r="B2889" t="str">
        <f>IFERROR(IF(VLOOKUP(C2889,Hoja1!$B$1:$C$6191,2,0)="",_xlfn.XLOOKUP(C2889,Hoja1!$B$2:$B$6191,Hoja1!$A$2:$A$6191),VLOOKUP(C2889,Hoja1!$B$1:$C$6191,2,0)),"No esta en Infor")</f>
        <v>NAC1399</v>
      </c>
      <c r="C2889" s="6" t="s">
        <v>704</v>
      </c>
      <c r="D2889" s="4">
        <v>20388.25</v>
      </c>
      <c r="E2889" s="6"/>
      <c r="F2889" s="6">
        <v>0</v>
      </c>
      <c r="G2889" s="6">
        <v>0</v>
      </c>
      <c r="H2889" s="6">
        <v>0</v>
      </c>
      <c r="I2889" s="6">
        <v>0</v>
      </c>
      <c r="J2889" s="18">
        <f t="shared" si="4"/>
        <v>20388.25</v>
      </c>
    </row>
    <row r="2890" spans="1:10" ht="15.75" x14ac:dyDescent="0.25">
      <c r="A2890" s="21">
        <v>45565</v>
      </c>
      <c r="B2890" t="str">
        <f>IFERROR(IF(VLOOKUP(C2890,Hoja1!$B$1:$C$6191,2,0)="",_xlfn.XLOOKUP(C2890,Hoja1!$B$2:$B$6191,Hoja1!$A$2:$A$6191),VLOOKUP(C2890,Hoja1!$B$1:$C$6191,2,0)),"No esta en Infor")</f>
        <v>NAC1404</v>
      </c>
      <c r="C2890" s="6" t="s">
        <v>592</v>
      </c>
      <c r="D2890" s="3">
        <v>0</v>
      </c>
      <c r="E2890" s="6"/>
      <c r="F2890" s="6">
        <v>-85.32</v>
      </c>
      <c r="G2890" s="6">
        <v>0</v>
      </c>
      <c r="H2890" s="6">
        <v>0</v>
      </c>
      <c r="I2890" s="6">
        <v>0</v>
      </c>
      <c r="J2890" s="18">
        <f t="shared" si="4"/>
        <v>-85.32</v>
      </c>
    </row>
    <row r="2891" spans="1:10" ht="15.75" x14ac:dyDescent="0.25">
      <c r="A2891" s="21">
        <v>45565</v>
      </c>
      <c r="B2891" t="str">
        <f>IFERROR(IF(VLOOKUP(C2891,Hoja1!$B$1:$C$6191,2,0)="",_xlfn.XLOOKUP(C2891,Hoja1!$B$2:$B$6191,Hoja1!$A$2:$A$6191),VLOOKUP(C2891,Hoja1!$B$1:$C$6191,2,0)),"No esta en Infor")</f>
        <v>SH02913</v>
      </c>
      <c r="C2891" s="6" t="s">
        <v>705</v>
      </c>
      <c r="D2891" s="3">
        <v>-94.12</v>
      </c>
      <c r="E2891" s="6"/>
      <c r="F2891" s="6">
        <v>0</v>
      </c>
      <c r="G2891" s="6">
        <v>0</v>
      </c>
      <c r="H2891" s="6">
        <v>0</v>
      </c>
      <c r="I2891" s="6">
        <v>0</v>
      </c>
      <c r="J2891" s="18">
        <f t="shared" si="4"/>
        <v>-94.12</v>
      </c>
    </row>
    <row r="2892" spans="1:10" ht="15.75" x14ac:dyDescent="0.25">
      <c r="A2892" s="21">
        <v>45565</v>
      </c>
      <c r="B2892" t="str">
        <f>IFERROR(IF(VLOOKUP(C2892,Hoja1!$B$1:$C$6191,2,0)="",_xlfn.XLOOKUP(C2892,Hoja1!$B$2:$B$6191,Hoja1!$A$2:$A$6191),VLOOKUP(C2892,Hoja1!$B$1:$C$6191,2,0)),"No esta en Infor")</f>
        <v>NAC1408</v>
      </c>
      <c r="C2892" s="6" t="s">
        <v>530</v>
      </c>
      <c r="D2892" s="4">
        <v>6677.08</v>
      </c>
      <c r="E2892" s="6"/>
      <c r="F2892" s="6">
        <v>0</v>
      </c>
      <c r="G2892" s="6">
        <v>0</v>
      </c>
      <c r="H2892" s="6">
        <v>0</v>
      </c>
      <c r="I2892" s="6">
        <v>0</v>
      </c>
      <c r="J2892" s="18">
        <f t="shared" si="4"/>
        <v>6677.08</v>
      </c>
    </row>
    <row r="2893" spans="1:10" ht="15.75" x14ac:dyDescent="0.25">
      <c r="A2893" s="21">
        <v>45565</v>
      </c>
      <c r="B2893" t="str">
        <f>IFERROR(IF(VLOOKUP(C2893,Hoja1!$B$1:$C$6191,2,0)="",_xlfn.XLOOKUP(C2893,Hoja1!$B$2:$B$6191,Hoja1!$A$2:$A$6191),VLOOKUP(C2893,Hoja1!$B$1:$C$6191,2,0)),"No esta en Infor")</f>
        <v>CAN0071</v>
      </c>
      <c r="C2893" s="6" t="s">
        <v>341</v>
      </c>
      <c r="D2893" s="3">
        <v>957.65</v>
      </c>
      <c r="E2893" s="6"/>
      <c r="F2893" s="6">
        <v>0</v>
      </c>
      <c r="G2893" s="6">
        <v>0</v>
      </c>
      <c r="H2893" s="6">
        <v>0</v>
      </c>
      <c r="I2893" s="6">
        <v>0</v>
      </c>
      <c r="J2893" s="18">
        <f t="shared" si="4"/>
        <v>957.65</v>
      </c>
    </row>
    <row r="2894" spans="1:10" ht="15.75" x14ac:dyDescent="0.25">
      <c r="A2894" s="21">
        <v>45565</v>
      </c>
      <c r="B2894" t="str">
        <f>IFERROR(IF(VLOOKUP(C2894,Hoja1!$B$1:$C$6191,2,0)="",_xlfn.XLOOKUP(C2894,Hoja1!$B$2:$B$6191,Hoja1!$A$2:$A$6191),VLOOKUP(C2894,Hoja1!$B$1:$C$6191,2,0)),"No esta en Infor")</f>
        <v>NAC1417</v>
      </c>
      <c r="C2894" s="6" t="s">
        <v>645</v>
      </c>
      <c r="D2894" s="4">
        <v>95305</v>
      </c>
      <c r="E2894" s="6"/>
      <c r="F2894" s="6">
        <v>0</v>
      </c>
      <c r="G2894" s="6">
        <v>0</v>
      </c>
      <c r="H2894" s="6">
        <v>0</v>
      </c>
      <c r="I2894" s="6">
        <v>0</v>
      </c>
      <c r="J2894" s="18">
        <f t="shared" si="4"/>
        <v>95305</v>
      </c>
    </row>
    <row r="2895" spans="1:10" ht="15.75" x14ac:dyDescent="0.25">
      <c r="A2895" s="21">
        <v>45565</v>
      </c>
      <c r="B2895" t="str">
        <f>IFERROR(IF(VLOOKUP(C2895,Hoja1!$B$1:$C$6191,2,0)="",_xlfn.XLOOKUP(C2895,Hoja1!$B$2:$B$6191,Hoja1!$A$2:$A$6191),VLOOKUP(C2895,Hoja1!$B$1:$C$6191,2,0)),"No esta en Infor")</f>
        <v>NAC1424</v>
      </c>
      <c r="C2895" s="6" t="s">
        <v>345</v>
      </c>
      <c r="D2895" s="4">
        <v>26088.65</v>
      </c>
      <c r="E2895" s="6"/>
      <c r="F2895" s="6">
        <v>0</v>
      </c>
      <c r="G2895" s="6">
        <v>0</v>
      </c>
      <c r="H2895" s="6">
        <v>0</v>
      </c>
      <c r="I2895" s="6">
        <v>0</v>
      </c>
      <c r="J2895" s="18">
        <f t="shared" si="4"/>
        <v>26088.65</v>
      </c>
    </row>
    <row r="2896" spans="1:10" ht="15.75" x14ac:dyDescent="0.25">
      <c r="A2896" s="21">
        <v>45565</v>
      </c>
      <c r="B2896" t="str">
        <f>IFERROR(IF(VLOOKUP(C2896,Hoja1!$B$1:$C$6191,2,0)="",_xlfn.XLOOKUP(C2896,Hoja1!$B$2:$B$6191,Hoja1!$A$2:$A$6191),VLOOKUP(C2896,Hoja1!$B$1:$C$6191,2,0)),"No esta en Infor")</f>
        <v>NAC1432</v>
      </c>
      <c r="C2896" s="6" t="s">
        <v>575</v>
      </c>
      <c r="D2896" s="3">
        <v>0</v>
      </c>
      <c r="E2896" s="6"/>
      <c r="F2896" s="6">
        <v>-536.64</v>
      </c>
      <c r="G2896" s="6">
        <v>0</v>
      </c>
      <c r="H2896" s="6">
        <v>0</v>
      </c>
      <c r="I2896" s="6">
        <v>0</v>
      </c>
      <c r="J2896" s="18">
        <f t="shared" si="4"/>
        <v>-536.64</v>
      </c>
    </row>
    <row r="2897" spans="1:10" ht="15.75" x14ac:dyDescent="0.25">
      <c r="A2897" s="21">
        <v>45565</v>
      </c>
      <c r="B2897" t="str">
        <f>IFERROR(IF(VLOOKUP(C2897,Hoja1!$B$1:$C$6191,2,0)="",_xlfn.XLOOKUP(C2897,Hoja1!$B$2:$B$6191,Hoja1!$A$2:$A$6191),VLOOKUP(C2897,Hoja1!$B$1:$C$6191,2,0)),"No esta en Infor")</f>
        <v>CAN0074</v>
      </c>
      <c r="C2897" s="6" t="s">
        <v>350</v>
      </c>
      <c r="D2897" s="4">
        <v>-2282.2600000000002</v>
      </c>
      <c r="E2897" s="6"/>
      <c r="F2897" s="6">
        <v>0</v>
      </c>
      <c r="G2897" s="6">
        <v>0</v>
      </c>
      <c r="H2897" s="6">
        <v>0</v>
      </c>
      <c r="I2897" s="6">
        <v>0</v>
      </c>
      <c r="J2897" s="18">
        <f t="shared" si="4"/>
        <v>-2282.2600000000002</v>
      </c>
    </row>
    <row r="2898" spans="1:10" ht="15.75" x14ac:dyDescent="0.25">
      <c r="A2898" s="21">
        <v>45565</v>
      </c>
      <c r="B2898" t="str">
        <f>IFERROR(IF(VLOOKUP(C2898,Hoja1!$B$1:$C$6191,2,0)="",_xlfn.XLOOKUP(C2898,Hoja1!$B$2:$B$6191,Hoja1!$A$2:$A$6191),VLOOKUP(C2898,Hoja1!$B$1:$C$6191,2,0)),"No esta en Infor")</f>
        <v>NAC1449</v>
      </c>
      <c r="C2898" s="6" t="s">
        <v>706</v>
      </c>
      <c r="D2898" s="4">
        <v>14911.15</v>
      </c>
      <c r="E2898" s="6"/>
      <c r="F2898" s="6">
        <v>0</v>
      </c>
      <c r="G2898" s="6">
        <v>0</v>
      </c>
      <c r="H2898" s="6">
        <v>0</v>
      </c>
      <c r="I2898" s="6">
        <v>0</v>
      </c>
      <c r="J2898" s="18">
        <f t="shared" si="4"/>
        <v>14911.15</v>
      </c>
    </row>
    <row r="2899" spans="1:10" ht="15.75" x14ac:dyDescent="0.25">
      <c r="A2899" s="21">
        <v>45565</v>
      </c>
      <c r="B2899" t="str">
        <f>IFERROR(IF(VLOOKUP(C2899,Hoja1!$B$1:$C$6191,2,0)="",_xlfn.XLOOKUP(C2899,Hoja1!$B$2:$B$6191,Hoja1!$A$2:$A$6191),VLOOKUP(C2899,Hoja1!$B$1:$C$6191,2,0)),"No esta en Infor")</f>
        <v>NAC1471</v>
      </c>
      <c r="C2899" s="6" t="s">
        <v>351</v>
      </c>
      <c r="D2899" s="4">
        <v>10277.969999999999</v>
      </c>
      <c r="E2899" s="6"/>
      <c r="F2899" s="6">
        <v>0</v>
      </c>
      <c r="G2899" s="6">
        <v>0</v>
      </c>
      <c r="H2899" s="6">
        <v>0</v>
      </c>
      <c r="I2899" s="6">
        <v>0</v>
      </c>
      <c r="J2899" s="18">
        <f t="shared" si="4"/>
        <v>10277.969999999999</v>
      </c>
    </row>
    <row r="2900" spans="1:10" ht="15.75" x14ac:dyDescent="0.25">
      <c r="A2900" s="21">
        <v>45565</v>
      </c>
      <c r="B2900" t="str">
        <f>IFERROR(IF(VLOOKUP(C2900,Hoja1!$B$1:$C$6191,2,0)="",_xlfn.XLOOKUP(C2900,Hoja1!$B$2:$B$6191,Hoja1!$A$2:$A$6191),VLOOKUP(C2900,Hoja1!$B$1:$C$6191,2,0)),"No esta en Infor")</f>
        <v>NAC1472</v>
      </c>
      <c r="C2900" s="6" t="s">
        <v>647</v>
      </c>
      <c r="D2900" s="4">
        <v>12528.5</v>
      </c>
      <c r="E2900" s="6"/>
      <c r="F2900" s="6">
        <v>0</v>
      </c>
      <c r="G2900" s="6">
        <v>0</v>
      </c>
      <c r="H2900" s="6">
        <v>0</v>
      </c>
      <c r="I2900" s="6">
        <v>0</v>
      </c>
      <c r="J2900" s="18">
        <f t="shared" si="4"/>
        <v>12528.5</v>
      </c>
    </row>
    <row r="2901" spans="1:10" ht="15.75" x14ac:dyDescent="0.25">
      <c r="A2901" s="21">
        <v>45565</v>
      </c>
      <c r="B2901" t="str">
        <f>IFERROR(IF(VLOOKUP(C2901,Hoja1!$B$1:$C$6191,2,0)="",_xlfn.XLOOKUP(C2901,Hoja1!$B$2:$B$6191,Hoja1!$A$2:$A$6191),VLOOKUP(C2901,Hoja1!$B$1:$C$6191,2,0)),"No esta en Infor")</f>
        <v>NAC1473</v>
      </c>
      <c r="C2901" s="6" t="s">
        <v>532</v>
      </c>
      <c r="D2901" s="4">
        <v>14287</v>
      </c>
      <c r="E2901" s="6"/>
      <c r="F2901" s="6">
        <v>0</v>
      </c>
      <c r="G2901" s="6">
        <v>0</v>
      </c>
      <c r="H2901" s="6">
        <v>0</v>
      </c>
      <c r="I2901" s="6">
        <v>0</v>
      </c>
      <c r="J2901" s="18">
        <f t="shared" si="4"/>
        <v>14287</v>
      </c>
    </row>
    <row r="2902" spans="1:10" ht="15.75" x14ac:dyDescent="0.25">
      <c r="A2902" s="21">
        <v>45565</v>
      </c>
      <c r="B2902" t="str">
        <f>IFERROR(IF(VLOOKUP(C2902,Hoja1!$B$1:$C$6191,2,0)="",_xlfn.XLOOKUP(C2902,Hoja1!$B$2:$B$6191,Hoja1!$A$2:$A$6191),VLOOKUP(C2902,Hoja1!$B$1:$C$6191,2,0)),"No esta en Infor")</f>
        <v>NAC1474</v>
      </c>
      <c r="C2902" s="6" t="s">
        <v>352</v>
      </c>
      <c r="D2902" s="3">
        <v>787.73</v>
      </c>
      <c r="E2902" s="6"/>
      <c r="F2902" s="6">
        <v>0</v>
      </c>
      <c r="G2902" s="6">
        <v>0</v>
      </c>
      <c r="H2902" s="6">
        <v>0</v>
      </c>
      <c r="I2902" s="6">
        <v>0</v>
      </c>
      <c r="J2902" s="18">
        <f t="shared" si="4"/>
        <v>787.73</v>
      </c>
    </row>
    <row r="2903" spans="1:10" ht="15.75" x14ac:dyDescent="0.25">
      <c r="A2903" s="21">
        <v>45565</v>
      </c>
      <c r="B2903" t="str">
        <f>IFERROR(IF(VLOOKUP(C2903,Hoja1!$B$1:$C$6191,2,0)="",_xlfn.XLOOKUP(C2903,Hoja1!$B$2:$B$6191,Hoja1!$A$2:$A$6191),VLOOKUP(C2903,Hoja1!$B$1:$C$6191,2,0)),"No esta en Infor")</f>
        <v>CAN0080</v>
      </c>
      <c r="C2903" s="6" t="s">
        <v>533</v>
      </c>
      <c r="D2903" s="3">
        <v>0</v>
      </c>
      <c r="E2903" s="6"/>
      <c r="F2903" s="6">
        <v>-93.6</v>
      </c>
      <c r="G2903" s="6">
        <v>0</v>
      </c>
      <c r="H2903" s="6">
        <v>0</v>
      </c>
      <c r="I2903" s="6">
        <v>0</v>
      </c>
      <c r="J2903" s="18">
        <f t="shared" si="4"/>
        <v>-93.6</v>
      </c>
    </row>
    <row r="2904" spans="1:10" ht="15.75" x14ac:dyDescent="0.25">
      <c r="A2904" s="21">
        <v>45565</v>
      </c>
      <c r="B2904" t="str">
        <f>IFERROR(IF(VLOOKUP(C2904,Hoja1!$B$1:$C$6191,2,0)="",_xlfn.XLOOKUP(C2904,Hoja1!$B$2:$B$6191,Hoja1!$A$2:$A$6191),VLOOKUP(C2904,Hoja1!$B$1:$C$6191,2,0)),"No esta en Infor")</f>
        <v>NAC1482</v>
      </c>
      <c r="C2904" s="6" t="s">
        <v>356</v>
      </c>
      <c r="D2904" s="3">
        <v>405.54</v>
      </c>
      <c r="E2904" s="6"/>
      <c r="F2904" s="6">
        <v>0</v>
      </c>
      <c r="G2904" s="6">
        <v>0</v>
      </c>
      <c r="H2904" s="6">
        <v>0</v>
      </c>
      <c r="I2904" s="6">
        <v>0</v>
      </c>
      <c r="J2904" s="18">
        <f t="shared" si="4"/>
        <v>405.54</v>
      </c>
    </row>
    <row r="2905" spans="1:10" ht="15.75" x14ac:dyDescent="0.25">
      <c r="A2905" s="21">
        <v>45565</v>
      </c>
      <c r="B2905" t="str">
        <f>IFERROR(IF(VLOOKUP(C2905,Hoja1!$B$1:$C$6191,2,0)="",_xlfn.XLOOKUP(C2905,Hoja1!$B$2:$B$6191,Hoja1!$A$2:$A$6191),VLOOKUP(C2905,Hoja1!$B$1:$C$6191,2,0)),"No esta en Infor")</f>
        <v>NAC1483</v>
      </c>
      <c r="C2905" s="6" t="s">
        <v>357</v>
      </c>
      <c r="D2905" s="4">
        <v>4477.68</v>
      </c>
      <c r="E2905" s="6"/>
      <c r="F2905" s="6">
        <v>0</v>
      </c>
      <c r="G2905" s="6">
        <v>0</v>
      </c>
      <c r="H2905" s="6">
        <v>0</v>
      </c>
      <c r="I2905" s="6">
        <v>0</v>
      </c>
      <c r="J2905" s="18">
        <f t="shared" si="4"/>
        <v>4477.68</v>
      </c>
    </row>
    <row r="2906" spans="1:10" ht="15.75" x14ac:dyDescent="0.25">
      <c r="A2906" s="21">
        <v>45565</v>
      </c>
      <c r="B2906" t="str">
        <f>IFERROR(IF(VLOOKUP(C2906,Hoja1!$B$1:$C$6191,2,0)="",_xlfn.XLOOKUP(C2906,Hoja1!$B$2:$B$6191,Hoja1!$A$2:$A$6191),VLOOKUP(C2906,Hoja1!$B$1:$C$6191,2,0)),"No esta en Infor")</f>
        <v>CAN0081</v>
      </c>
      <c r="C2906" s="6" t="s">
        <v>431</v>
      </c>
      <c r="D2906" s="4">
        <v>1646.41</v>
      </c>
      <c r="E2906" s="6"/>
      <c r="F2906" s="6">
        <v>-585</v>
      </c>
      <c r="G2906" s="6">
        <v>0</v>
      </c>
      <c r="H2906" s="6">
        <v>0</v>
      </c>
      <c r="I2906" s="6">
        <v>0</v>
      </c>
      <c r="J2906" s="18">
        <f t="shared" si="4"/>
        <v>1061.4100000000001</v>
      </c>
    </row>
    <row r="2907" spans="1:10" ht="15.75" x14ac:dyDescent="0.25">
      <c r="A2907" s="21">
        <v>45565</v>
      </c>
      <c r="B2907" t="str">
        <f>IFERROR(IF(VLOOKUP(C2907,Hoja1!$B$1:$C$6191,2,0)="",_xlfn.XLOOKUP(C2907,Hoja1!$B$2:$B$6191,Hoja1!$A$2:$A$6191),VLOOKUP(C2907,Hoja1!$B$1:$C$6191,2,0)),"No esta en Infor")</f>
        <v>NAC1504</v>
      </c>
      <c r="C2907" s="6" t="s">
        <v>363</v>
      </c>
      <c r="D2907" s="3">
        <v>-0.1</v>
      </c>
      <c r="E2907" s="6"/>
      <c r="F2907" s="6">
        <v>0</v>
      </c>
      <c r="G2907" s="6">
        <v>0</v>
      </c>
      <c r="H2907" s="6">
        <v>0</v>
      </c>
      <c r="I2907" s="6">
        <v>0</v>
      </c>
      <c r="J2907" s="18">
        <f t="shared" si="4"/>
        <v>-0.1</v>
      </c>
    </row>
    <row r="2908" spans="1:10" ht="15.75" x14ac:dyDescent="0.25">
      <c r="A2908" s="21">
        <v>45565</v>
      </c>
      <c r="B2908" t="str">
        <f>IFERROR(IF(VLOOKUP(C2908,Hoja1!$B$1:$C$6191,2,0)="",_xlfn.XLOOKUP(C2908,Hoja1!$B$2:$B$6191,Hoja1!$A$2:$A$6191),VLOOKUP(C2908,Hoja1!$B$1:$C$6191,2,0)),"No esta en Infor")</f>
        <v>NAC1506</v>
      </c>
      <c r="C2908" s="6" t="s">
        <v>364</v>
      </c>
      <c r="D2908" s="4">
        <v>1022</v>
      </c>
      <c r="E2908" s="6"/>
      <c r="F2908" s="6">
        <v>0</v>
      </c>
      <c r="G2908" s="6">
        <v>0</v>
      </c>
      <c r="H2908" s="6">
        <v>0</v>
      </c>
      <c r="I2908" s="6">
        <v>0</v>
      </c>
      <c r="J2908" s="18">
        <f t="shared" si="4"/>
        <v>1022</v>
      </c>
    </row>
    <row r="2909" spans="1:10" ht="15.75" x14ac:dyDescent="0.25">
      <c r="A2909" s="21">
        <v>45565</v>
      </c>
      <c r="B2909" t="str">
        <f>IFERROR(IF(VLOOKUP(C2909,Hoja1!$B$1:$C$6191,2,0)="",_xlfn.XLOOKUP(C2909,Hoja1!$B$2:$B$6191,Hoja1!$A$2:$A$6191),VLOOKUP(C2909,Hoja1!$B$1:$C$6191,2,0)),"No esta en Infor")</f>
        <v>CAN0083</v>
      </c>
      <c r="C2909" s="6" t="s">
        <v>433</v>
      </c>
      <c r="D2909" s="4">
        <v>2423.85</v>
      </c>
      <c r="E2909" s="6"/>
      <c r="F2909" s="6">
        <v>0</v>
      </c>
      <c r="G2909" s="6">
        <v>0</v>
      </c>
      <c r="H2909" s="6">
        <v>0</v>
      </c>
      <c r="I2909" s="6">
        <v>0</v>
      </c>
      <c r="J2909" s="18">
        <f t="shared" si="4"/>
        <v>2423.85</v>
      </c>
    </row>
    <row r="2910" spans="1:10" ht="15.75" x14ac:dyDescent="0.25">
      <c r="A2910" s="21">
        <v>45565</v>
      </c>
      <c r="B2910" t="str">
        <f>IFERROR(IF(VLOOKUP(C2910,Hoja1!$B$1:$C$6191,2,0)="",_xlfn.XLOOKUP(C2910,Hoja1!$B$2:$B$6191,Hoja1!$A$2:$A$6191),VLOOKUP(C2910,Hoja1!$B$1:$C$6191,2,0)),"No esta en Infor")</f>
        <v>NAC1517</v>
      </c>
      <c r="C2910" s="6" t="s">
        <v>365</v>
      </c>
      <c r="D2910" s="4">
        <v>28066.44</v>
      </c>
      <c r="E2910" s="6"/>
      <c r="F2910" s="6">
        <v>-647.97</v>
      </c>
      <c r="G2910" s="6">
        <v>-127.3</v>
      </c>
      <c r="H2910" s="6">
        <v>-501.9</v>
      </c>
      <c r="I2910" s="6">
        <v>0</v>
      </c>
      <c r="J2910" s="18">
        <f t="shared" si="4"/>
        <v>26789.269999999997</v>
      </c>
    </row>
    <row r="2911" spans="1:10" ht="15.75" x14ac:dyDescent="0.25">
      <c r="A2911" s="21">
        <v>45565</v>
      </c>
      <c r="B2911" t="str">
        <f>IFERROR(IF(VLOOKUP(C2911,Hoja1!$B$1:$C$6191,2,0)="",_xlfn.XLOOKUP(C2911,Hoja1!$B$2:$B$6191,Hoja1!$A$2:$A$6191),VLOOKUP(C2911,Hoja1!$B$1:$C$6191,2,0)),"No esta en Infor")</f>
        <v>NAC1521</v>
      </c>
      <c r="C2911" s="6" t="s">
        <v>593</v>
      </c>
      <c r="D2911" s="3">
        <v>0</v>
      </c>
      <c r="E2911" s="6"/>
      <c r="F2911" s="6">
        <v>-100</v>
      </c>
      <c r="G2911" s="6">
        <v>0</v>
      </c>
      <c r="H2911" s="6">
        <v>0</v>
      </c>
      <c r="I2911" s="6">
        <v>0</v>
      </c>
      <c r="J2911" s="18">
        <f t="shared" si="4"/>
        <v>-100</v>
      </c>
    </row>
    <row r="2912" spans="1:10" ht="15.75" x14ac:dyDescent="0.25">
      <c r="A2912" s="21">
        <v>45565</v>
      </c>
      <c r="B2912" t="str">
        <f>IFERROR(IF(VLOOKUP(C2912,Hoja1!$B$1:$C$6191,2,0)="",_xlfn.XLOOKUP(C2912,Hoja1!$B$2:$B$6191,Hoja1!$A$2:$A$6191),VLOOKUP(C2912,Hoja1!$B$1:$C$6191,2,0)),"No esta en Infor")</f>
        <v>CAN0088</v>
      </c>
      <c r="C2912" s="6" t="s">
        <v>369</v>
      </c>
      <c r="D2912" s="3">
        <v>0</v>
      </c>
      <c r="E2912" s="6"/>
      <c r="F2912" s="6">
        <v>0</v>
      </c>
      <c r="G2912" s="6">
        <v>-891</v>
      </c>
      <c r="H2912" s="6">
        <v>0</v>
      </c>
      <c r="I2912" s="6">
        <v>0</v>
      </c>
      <c r="J2912" s="18">
        <f t="shared" si="4"/>
        <v>-891</v>
      </c>
    </row>
    <row r="2913" spans="1:10" ht="15.75" x14ac:dyDescent="0.25">
      <c r="A2913" s="21">
        <v>45565</v>
      </c>
      <c r="B2913" t="str">
        <f>IFERROR(IF(VLOOKUP(C2913,Hoja1!$B$1:$C$6191,2,0)="",_xlfn.XLOOKUP(C2913,Hoja1!$B$2:$B$6191,Hoja1!$A$2:$A$6191),VLOOKUP(C2913,Hoja1!$B$1:$C$6191,2,0)),"No esta en Infor")</f>
        <v>NAC1533</v>
      </c>
      <c r="C2913" s="6" t="s">
        <v>483</v>
      </c>
      <c r="D2913" s="3">
        <v>327.35000000000002</v>
      </c>
      <c r="E2913" s="6"/>
      <c r="F2913" s="6">
        <v>0</v>
      </c>
      <c r="G2913" s="6">
        <v>0</v>
      </c>
      <c r="H2913" s="6">
        <v>0</v>
      </c>
      <c r="I2913" s="6">
        <v>0</v>
      </c>
      <c r="J2913" s="18">
        <f t="shared" si="4"/>
        <v>327.35000000000002</v>
      </c>
    </row>
    <row r="2914" spans="1:10" ht="15.75" x14ac:dyDescent="0.25">
      <c r="A2914" s="21">
        <v>45565</v>
      </c>
      <c r="B2914" t="str">
        <f>IFERROR(IF(VLOOKUP(C2914,Hoja1!$B$1:$C$6191,2,0)="",_xlfn.XLOOKUP(C2914,Hoja1!$B$2:$B$6191,Hoja1!$A$2:$A$6191),VLOOKUP(C2914,Hoja1!$B$1:$C$6191,2,0)),"No esta en Infor")</f>
        <v>NAC1539</v>
      </c>
      <c r="C2914" s="6" t="s">
        <v>58</v>
      </c>
      <c r="D2914" s="4">
        <v>25576.28</v>
      </c>
      <c r="E2914" s="6"/>
      <c r="F2914" s="6">
        <v>0</v>
      </c>
      <c r="G2914" s="18">
        <v>-3921</v>
      </c>
      <c r="H2914" s="18">
        <v>-1603.8</v>
      </c>
      <c r="I2914" s="6">
        <v>0</v>
      </c>
      <c r="J2914" s="18">
        <f t="shared" si="4"/>
        <v>20051.48</v>
      </c>
    </row>
    <row r="2915" spans="1:10" ht="15.75" x14ac:dyDescent="0.25">
      <c r="A2915" s="21">
        <v>45596</v>
      </c>
      <c r="B2915" t="str">
        <f>IFERROR(IF(VLOOKUP(C2915,Hoja1!$B$1:$C$6191,2,0)="",_xlfn.XLOOKUP(C2915,Hoja1!$B$2:$B$6191,Hoja1!$A$2:$A$6191),VLOOKUP(C2915,Hoja1!$B$1:$C$6191,2,0)),"No esta en Infor")</f>
        <v>NAC0476</v>
      </c>
      <c r="C2915" s="1" t="s">
        <v>11</v>
      </c>
      <c r="D2915" s="2">
        <v>181735.1</v>
      </c>
      <c r="E2915" s="6"/>
      <c r="F2915" s="1">
        <v>324.08</v>
      </c>
      <c r="G2915" s="2">
        <v>2700</v>
      </c>
      <c r="H2915" s="1">
        <v>-345.39</v>
      </c>
      <c r="I2915" s="1">
        <v>0</v>
      </c>
      <c r="J2915" s="17">
        <f>SUM(D2915:I2915)</f>
        <v>184413.78999999998</v>
      </c>
    </row>
    <row r="2916" spans="1:10" ht="15.75" x14ac:dyDescent="0.25">
      <c r="A2916" s="21">
        <v>45596</v>
      </c>
      <c r="B2916" t="str">
        <f>IFERROR(IF(VLOOKUP(C2916,Hoja1!$B$1:$C$6191,2,0)="",_xlfn.XLOOKUP(C2916,Hoja1!$B$2:$B$6191,Hoja1!$A$2:$A$6191),VLOOKUP(C2916,Hoja1!$B$1:$C$6191,2,0)),"No esta en Infor")</f>
        <v>NAC0483</v>
      </c>
      <c r="C2916" s="1" t="s">
        <v>12</v>
      </c>
      <c r="D2916" s="1">
        <v>192.3</v>
      </c>
      <c r="E2916" s="6"/>
      <c r="F2916" s="1">
        <v>0</v>
      </c>
      <c r="G2916" s="1">
        <v>0</v>
      </c>
      <c r="H2916" s="1">
        <v>0</v>
      </c>
      <c r="I2916" s="1">
        <v>474.11</v>
      </c>
      <c r="J2916" s="17">
        <f t="shared" ref="J2916:J2979" si="5">SUM(D2916:I2916)</f>
        <v>666.41000000000008</v>
      </c>
    </row>
    <row r="2917" spans="1:10" ht="15.75" x14ac:dyDescent="0.25">
      <c r="A2917" s="21">
        <v>45596</v>
      </c>
      <c r="B2917" t="str">
        <f>IFERROR(IF(VLOOKUP(C2917,Hoja1!$B$1:$C$6191,2,0)="",_xlfn.XLOOKUP(C2917,Hoja1!$B$2:$B$6191,Hoja1!$A$2:$A$6191),VLOOKUP(C2917,Hoja1!$B$1:$C$6191,2,0)),"No esta en Infor")</f>
        <v>CAN0002</v>
      </c>
      <c r="C2917" s="1" t="s">
        <v>87</v>
      </c>
      <c r="D2917" s="2">
        <v>13082.86</v>
      </c>
      <c r="E2917" s="6"/>
      <c r="F2917" s="1">
        <v>0</v>
      </c>
      <c r="G2917" s="1">
        <v>-972</v>
      </c>
      <c r="H2917" s="1">
        <v>417.53</v>
      </c>
      <c r="I2917" s="1">
        <v>0</v>
      </c>
      <c r="J2917" s="17">
        <f t="shared" si="5"/>
        <v>12528.390000000001</v>
      </c>
    </row>
    <row r="2918" spans="1:10" ht="15.75" x14ac:dyDescent="0.25">
      <c r="A2918" s="21">
        <v>45596</v>
      </c>
      <c r="B2918" t="str">
        <f>IFERROR(IF(VLOOKUP(C2918,Hoja1!$B$1:$C$6191,2,0)="",_xlfn.XLOOKUP(C2918,Hoja1!$B$2:$B$6191,Hoja1!$A$2:$A$6191),VLOOKUP(C2918,Hoja1!$B$1:$C$6191,2,0)),"No esta en Infor")</f>
        <v>NAC0573</v>
      </c>
      <c r="C2918" s="1" t="s">
        <v>15</v>
      </c>
      <c r="D2918" s="2">
        <v>7823.7</v>
      </c>
      <c r="E2918" s="6"/>
      <c r="F2918" s="1">
        <v>0</v>
      </c>
      <c r="G2918" s="1">
        <v>0</v>
      </c>
      <c r="H2918" s="1">
        <v>0</v>
      </c>
      <c r="I2918" s="1">
        <v>283.5</v>
      </c>
      <c r="J2918" s="17">
        <f t="shared" si="5"/>
        <v>8107.2</v>
      </c>
    </row>
    <row r="2919" spans="1:10" ht="15.75" x14ac:dyDescent="0.25">
      <c r="A2919" s="21">
        <v>45596</v>
      </c>
      <c r="B2919" t="str">
        <f>IFERROR(IF(VLOOKUP(C2919,Hoja1!$B$1:$C$6191,2,0)="",_xlfn.XLOOKUP(C2919,Hoja1!$B$2:$B$6191,Hoja1!$A$2:$A$6191),VLOOKUP(C2919,Hoja1!$B$1:$C$6191,2,0)),"No esta en Infor")</f>
        <v>NAC0618</v>
      </c>
      <c r="C2919" s="1" t="s">
        <v>488</v>
      </c>
      <c r="D2919" s="1">
        <v>0</v>
      </c>
      <c r="E2919" s="6"/>
      <c r="F2919" s="1">
        <v>0</v>
      </c>
      <c r="G2919" s="1">
        <v>120.02</v>
      </c>
      <c r="H2919" s="1">
        <v>0</v>
      </c>
      <c r="I2919" s="1">
        <v>0</v>
      </c>
      <c r="J2919" s="17">
        <f t="shared" si="5"/>
        <v>120.02</v>
      </c>
    </row>
    <row r="2920" spans="1:10" ht="15.75" x14ac:dyDescent="0.25">
      <c r="A2920" s="21">
        <v>45596</v>
      </c>
      <c r="B2920" t="str">
        <f>IFERROR(IF(VLOOKUP(C2920,Hoja1!$B$1:$C$6191,2,0)="",_xlfn.XLOOKUP(C2920,Hoja1!$B$2:$B$6191,Hoja1!$A$2:$A$6191),VLOOKUP(C2920,Hoja1!$B$1:$C$6191,2,0)),"No esta en Infor")</f>
        <v>CAN0011</v>
      </c>
      <c r="C2920" s="1" t="s">
        <v>121</v>
      </c>
      <c r="D2920" s="1">
        <v>589.86</v>
      </c>
      <c r="E2920" s="6"/>
      <c r="F2920" s="2">
        <v>2709.74</v>
      </c>
      <c r="G2920" s="1">
        <v>0</v>
      </c>
      <c r="H2920" s="1">
        <v>381.94</v>
      </c>
      <c r="I2920" s="1">
        <v>0</v>
      </c>
      <c r="J2920" s="17">
        <f t="shared" si="5"/>
        <v>3681.54</v>
      </c>
    </row>
    <row r="2921" spans="1:10" ht="15.75" x14ac:dyDescent="0.25">
      <c r="A2921" s="21">
        <v>45596</v>
      </c>
      <c r="B2921" t="str">
        <f>IFERROR(IF(VLOOKUP(C2921,Hoja1!$B$1:$C$6191,2,0)="",_xlfn.XLOOKUP(C2921,Hoja1!$B$2:$B$6191,Hoja1!$A$2:$A$6191),VLOOKUP(C2921,Hoja1!$B$1:$C$6191,2,0)),"No esta en Infor")</f>
        <v>NAC0673</v>
      </c>
      <c r="C2921" s="1" t="s">
        <v>390</v>
      </c>
      <c r="D2921" s="1">
        <v>0</v>
      </c>
      <c r="E2921" s="6"/>
      <c r="F2921" s="1">
        <v>0</v>
      </c>
      <c r="G2921" s="1">
        <v>32.729999999999997</v>
      </c>
      <c r="H2921" s="1">
        <v>0</v>
      </c>
      <c r="I2921" s="1">
        <v>0</v>
      </c>
      <c r="J2921" s="17">
        <f t="shared" si="5"/>
        <v>32.729999999999997</v>
      </c>
    </row>
    <row r="2922" spans="1:10" ht="15.75" x14ac:dyDescent="0.25">
      <c r="A2922" s="21">
        <v>45596</v>
      </c>
      <c r="B2922" t="str">
        <f>IFERROR(IF(VLOOKUP(C2922,Hoja1!$B$1:$C$6191,2,0)="",_xlfn.XLOOKUP(C2922,Hoja1!$B$2:$B$6191,Hoja1!$A$2:$A$6191),VLOOKUP(C2922,Hoja1!$B$1:$C$6191,2,0)),"No esta en Infor")</f>
        <v>NAC0729</v>
      </c>
      <c r="C2922" s="1" t="s">
        <v>148</v>
      </c>
      <c r="D2922" s="1">
        <v>0</v>
      </c>
      <c r="E2922" s="6"/>
      <c r="F2922" s="1">
        <v>0</v>
      </c>
      <c r="G2922" s="1">
        <v>316</v>
      </c>
      <c r="H2922" s="1">
        <v>0</v>
      </c>
      <c r="I2922" s="1">
        <v>0</v>
      </c>
      <c r="J2922" s="17">
        <f t="shared" si="5"/>
        <v>316</v>
      </c>
    </row>
    <row r="2923" spans="1:10" ht="15.75" x14ac:dyDescent="0.25">
      <c r="A2923" s="21">
        <v>45596</v>
      </c>
      <c r="B2923" t="str">
        <f>IFERROR(IF(VLOOKUP(C2923,Hoja1!$B$1:$C$6191,2,0)="",_xlfn.XLOOKUP(C2923,Hoja1!$B$2:$B$6191,Hoja1!$A$2:$A$6191),VLOOKUP(C2923,Hoja1!$B$1:$C$6191,2,0)),"No esta en Infor")</f>
        <v>NAC0734</v>
      </c>
      <c r="C2923" s="1" t="s">
        <v>149</v>
      </c>
      <c r="D2923" s="1">
        <v>0</v>
      </c>
      <c r="E2923" s="6"/>
      <c r="F2923" s="1">
        <v>547.29999999999995</v>
      </c>
      <c r="G2923" s="1">
        <v>0</v>
      </c>
      <c r="H2923" s="1">
        <v>0</v>
      </c>
      <c r="I2923" s="1">
        <v>0</v>
      </c>
      <c r="J2923" s="17">
        <f t="shared" si="5"/>
        <v>547.29999999999995</v>
      </c>
    </row>
    <row r="2924" spans="1:10" ht="15.75" x14ac:dyDescent="0.25">
      <c r="A2924" s="21">
        <v>45596</v>
      </c>
      <c r="B2924" t="str">
        <f>IFERROR(IF(VLOOKUP(C2924,Hoja1!$B$1:$C$6191,2,0)="",_xlfn.XLOOKUP(C2924,Hoja1!$B$2:$B$6191,Hoja1!$A$2:$A$6191),VLOOKUP(C2924,Hoja1!$B$1:$C$6191,2,0)),"No esta en Infor")</f>
        <v>CAN0018</v>
      </c>
      <c r="C2924" s="1" t="s">
        <v>21</v>
      </c>
      <c r="D2924" s="2">
        <v>21732.5</v>
      </c>
      <c r="E2924" s="6"/>
      <c r="F2924" s="2">
        <v>21936.91</v>
      </c>
      <c r="G2924" s="2">
        <v>17809.47</v>
      </c>
      <c r="H2924" s="1">
        <v>0</v>
      </c>
      <c r="I2924" s="2">
        <v>3809.19</v>
      </c>
      <c r="J2924" s="17">
        <f t="shared" si="5"/>
        <v>65288.070000000007</v>
      </c>
    </row>
    <row r="2925" spans="1:10" ht="15.75" x14ac:dyDescent="0.25">
      <c r="A2925" s="21">
        <v>45596</v>
      </c>
      <c r="B2925" t="str">
        <f>IFERROR(IF(VLOOKUP(C2925,Hoja1!$B$1:$C$6191,2,0)="",_xlfn.XLOOKUP(C2925,Hoja1!$B$2:$B$6191,Hoja1!$A$2:$A$6191),VLOOKUP(C2925,Hoja1!$B$1:$C$6191,2,0)),"No esta en Infor")</f>
        <v>NAC0823</v>
      </c>
      <c r="C2925" s="1" t="s">
        <v>497</v>
      </c>
      <c r="D2925" s="1">
        <v>0</v>
      </c>
      <c r="E2925" s="6"/>
      <c r="F2925" s="1">
        <v>25.01</v>
      </c>
      <c r="G2925" s="1">
        <v>39.479999999999997</v>
      </c>
      <c r="H2925" s="1">
        <v>0</v>
      </c>
      <c r="I2925" s="1">
        <v>0</v>
      </c>
      <c r="J2925" s="17">
        <f t="shared" si="5"/>
        <v>64.489999999999995</v>
      </c>
    </row>
    <row r="2926" spans="1:10" ht="15.75" x14ac:dyDescent="0.25">
      <c r="A2926" s="21">
        <v>45596</v>
      </c>
      <c r="B2926" t="str">
        <f>IFERROR(IF(VLOOKUP(C2926,Hoja1!$B$1:$C$6191,2,0)="",_xlfn.XLOOKUP(C2926,Hoja1!$B$2:$B$6191,Hoja1!$A$2:$A$6191),VLOOKUP(C2926,Hoja1!$B$1:$C$6191,2,0)),"No esta en Infor")</f>
        <v>NAC0838</v>
      </c>
      <c r="C2926" s="1" t="s">
        <v>396</v>
      </c>
      <c r="D2926" s="1">
        <v>0</v>
      </c>
      <c r="E2926" s="6"/>
      <c r="F2926" s="1">
        <v>0</v>
      </c>
      <c r="G2926" s="1">
        <v>54</v>
      </c>
      <c r="H2926" s="1">
        <v>0</v>
      </c>
      <c r="I2926" s="1">
        <v>0</v>
      </c>
      <c r="J2926" s="17">
        <f t="shared" si="5"/>
        <v>54</v>
      </c>
    </row>
    <row r="2927" spans="1:10" ht="15.75" x14ac:dyDescent="0.25">
      <c r="A2927" s="21">
        <v>45596</v>
      </c>
      <c r="B2927" t="str">
        <f>IFERROR(IF(VLOOKUP(C2927,Hoja1!$B$1:$C$6191,2,0)="",_xlfn.XLOOKUP(C2927,Hoja1!$B$2:$B$6191,Hoja1!$A$2:$A$6191),VLOOKUP(C2927,Hoja1!$B$1:$C$6191,2,0)),"No esta en Infor")</f>
        <v>NAC0862</v>
      </c>
      <c r="C2927" s="1" t="s">
        <v>190</v>
      </c>
      <c r="D2927" s="1">
        <v>0</v>
      </c>
      <c r="E2927" s="6"/>
      <c r="F2927" s="1">
        <v>96.3</v>
      </c>
      <c r="G2927" s="1">
        <v>0</v>
      </c>
      <c r="H2927" s="1">
        <v>0</v>
      </c>
      <c r="I2927" s="1">
        <v>0</v>
      </c>
      <c r="J2927" s="17">
        <f t="shared" si="5"/>
        <v>96.3</v>
      </c>
    </row>
    <row r="2928" spans="1:10" ht="15.75" x14ac:dyDescent="0.25">
      <c r="A2928" s="21">
        <v>45596</v>
      </c>
      <c r="B2928" t="str">
        <f>IFERROR(IF(VLOOKUP(C2928,Hoja1!$B$1:$C$6191,2,0)="",_xlfn.XLOOKUP(C2928,Hoja1!$B$2:$B$6191,Hoja1!$A$2:$A$6191),VLOOKUP(C2928,Hoja1!$B$1:$C$6191,2,0)),"No esta en Infor")</f>
        <v>NAC0869</v>
      </c>
      <c r="C2928" s="1" t="s">
        <v>192</v>
      </c>
      <c r="D2928" s="1">
        <v>0</v>
      </c>
      <c r="E2928" s="6"/>
      <c r="F2928" s="1">
        <v>133.5</v>
      </c>
      <c r="G2928" s="1">
        <v>399</v>
      </c>
      <c r="H2928" s="1">
        <v>0</v>
      </c>
      <c r="I2928" s="1">
        <v>0</v>
      </c>
      <c r="J2928" s="17">
        <f t="shared" si="5"/>
        <v>532.5</v>
      </c>
    </row>
    <row r="2929" spans="1:10" ht="15.75" x14ac:dyDescent="0.25">
      <c r="A2929" s="21">
        <v>45596</v>
      </c>
      <c r="B2929" t="str">
        <f>IFERROR(IF(VLOOKUP(C2929,Hoja1!$B$1:$C$6191,2,0)="",_xlfn.XLOOKUP(C2929,Hoja1!$B$2:$B$6191,Hoja1!$A$2:$A$6191),VLOOKUP(C2929,Hoja1!$B$1:$C$6191,2,0)),"No esta en Infor")</f>
        <v>NAC0894</v>
      </c>
      <c r="C2929" s="1" t="s">
        <v>199</v>
      </c>
      <c r="D2929" s="2">
        <v>11942.85</v>
      </c>
      <c r="E2929" s="6"/>
      <c r="F2929" s="2">
        <v>-3090</v>
      </c>
      <c r="G2929" s="1">
        <v>810</v>
      </c>
      <c r="H2929" s="1">
        <v>0</v>
      </c>
      <c r="I2929" s="1">
        <v>0</v>
      </c>
      <c r="J2929" s="17">
        <f t="shared" si="5"/>
        <v>9662.85</v>
      </c>
    </row>
    <row r="2930" spans="1:10" ht="15.75" x14ac:dyDescent="0.25">
      <c r="A2930" s="21">
        <v>45596</v>
      </c>
      <c r="B2930" t="str">
        <f>IFERROR(IF(VLOOKUP(C2930,Hoja1!$B$1:$C$6191,2,0)="",_xlfn.XLOOKUP(C2930,Hoja1!$B$2:$B$6191,Hoja1!$A$2:$A$6191),VLOOKUP(C2930,Hoja1!$B$1:$C$6191,2,0)),"No esta en Infor")</f>
        <v>NAC0900</v>
      </c>
      <c r="C2930" s="1" t="s">
        <v>201</v>
      </c>
      <c r="D2930" s="1">
        <v>435</v>
      </c>
      <c r="E2930" s="6"/>
      <c r="F2930" s="2">
        <v>1800.28</v>
      </c>
      <c r="G2930" s="1">
        <v>0</v>
      </c>
      <c r="H2930" s="1">
        <v>0</v>
      </c>
      <c r="I2930" s="1">
        <v>0</v>
      </c>
      <c r="J2930" s="17">
        <f t="shared" si="5"/>
        <v>2235.2799999999997</v>
      </c>
    </row>
    <row r="2931" spans="1:10" ht="15.75" x14ac:dyDescent="0.25">
      <c r="A2931" s="21">
        <v>45596</v>
      </c>
      <c r="B2931" t="str">
        <f>IFERROR(IF(VLOOKUP(C2931,Hoja1!$B$1:$C$6191,2,0)="",_xlfn.XLOOKUP(C2931,Hoja1!$B$2:$B$6191,Hoja1!$A$2:$A$6191),VLOOKUP(C2931,Hoja1!$B$1:$C$6191,2,0)),"No esta en Infor")</f>
        <v>CAN0023</v>
      </c>
      <c r="C2931" s="1" t="s">
        <v>554</v>
      </c>
      <c r="D2931" s="1">
        <v>0</v>
      </c>
      <c r="E2931" s="6"/>
      <c r="F2931" s="1">
        <v>508.5</v>
      </c>
      <c r="G2931" s="1">
        <v>0</v>
      </c>
      <c r="H2931" s="1">
        <v>0</v>
      </c>
      <c r="I2931" s="1">
        <v>0</v>
      </c>
      <c r="J2931" s="17">
        <f t="shared" si="5"/>
        <v>508.5</v>
      </c>
    </row>
    <row r="2932" spans="1:10" ht="15.75" x14ac:dyDescent="0.25">
      <c r="A2932" s="21">
        <v>45596</v>
      </c>
      <c r="B2932" t="str">
        <f>IFERROR(IF(VLOOKUP(C2932,Hoja1!$B$1:$C$6191,2,0)="",_xlfn.XLOOKUP(C2932,Hoja1!$B$2:$B$6191,Hoja1!$A$2:$A$6191),VLOOKUP(C2932,Hoja1!$B$1:$C$6191,2,0)),"No esta en Infor")</f>
        <v>NAC0914</v>
      </c>
      <c r="C2932" s="1" t="s">
        <v>202</v>
      </c>
      <c r="D2932" s="1">
        <v>0</v>
      </c>
      <c r="E2932" s="6"/>
      <c r="F2932" s="1">
        <v>0</v>
      </c>
      <c r="G2932" s="1">
        <v>354.79</v>
      </c>
      <c r="H2932" s="1">
        <v>0</v>
      </c>
      <c r="I2932" s="1">
        <v>0</v>
      </c>
      <c r="J2932" s="17">
        <f t="shared" si="5"/>
        <v>354.79</v>
      </c>
    </row>
    <row r="2933" spans="1:10" ht="15.75" x14ac:dyDescent="0.25">
      <c r="A2933" s="21">
        <v>45596</v>
      </c>
      <c r="B2933" t="str">
        <f>IFERROR(IF(VLOOKUP(C2933,Hoja1!$B$1:$C$6191,2,0)="",_xlfn.XLOOKUP(C2933,Hoja1!$B$2:$B$6191,Hoja1!$A$2:$A$6191),VLOOKUP(C2933,Hoja1!$B$1:$C$6191,2,0)),"No esta en Infor")</f>
        <v>CAN0025</v>
      </c>
      <c r="C2933" s="1" t="s">
        <v>26</v>
      </c>
      <c r="D2933" s="2">
        <v>35040.17</v>
      </c>
      <c r="E2933" s="6"/>
      <c r="F2933" s="1">
        <v>0</v>
      </c>
      <c r="G2933" s="2">
        <v>3757.41</v>
      </c>
      <c r="H2933" s="1">
        <v>161.44999999999999</v>
      </c>
      <c r="I2933" s="1">
        <v>0</v>
      </c>
      <c r="J2933" s="17">
        <f t="shared" si="5"/>
        <v>38959.03</v>
      </c>
    </row>
    <row r="2934" spans="1:10" ht="15.75" x14ac:dyDescent="0.25">
      <c r="A2934" s="21">
        <v>45596</v>
      </c>
      <c r="B2934" t="str">
        <f>IFERROR(IF(VLOOKUP(C2934,Hoja1!$B$1:$C$6191,2,0)="",_xlfn.XLOOKUP(C2934,Hoja1!$B$2:$B$6191,Hoja1!$A$2:$A$6191),VLOOKUP(C2934,Hoja1!$B$1:$C$6191,2,0)),"No esta en Infor")</f>
        <v>NAC0924</v>
      </c>
      <c r="C2934" s="1" t="s">
        <v>205</v>
      </c>
      <c r="D2934" s="1">
        <v>0</v>
      </c>
      <c r="E2934" s="6"/>
      <c r="F2934" s="1">
        <v>0</v>
      </c>
      <c r="G2934" s="1">
        <v>336.28</v>
      </c>
      <c r="H2934" s="1">
        <v>0</v>
      </c>
      <c r="I2934" s="1">
        <v>0</v>
      </c>
      <c r="J2934" s="17">
        <f t="shared" si="5"/>
        <v>336.28</v>
      </c>
    </row>
    <row r="2935" spans="1:10" ht="15.75" x14ac:dyDescent="0.25">
      <c r="A2935" s="21">
        <v>45596</v>
      </c>
      <c r="B2935" t="str">
        <f>IFERROR(IF(VLOOKUP(C2935,Hoja1!$B$1:$C$6191,2,0)="",_xlfn.XLOOKUP(C2935,Hoja1!$B$2:$B$6191,Hoja1!$A$2:$A$6191),VLOOKUP(C2935,Hoja1!$B$1:$C$6191,2,0)),"No esta en Infor")</f>
        <v>CAN0030</v>
      </c>
      <c r="C2935" s="1" t="s">
        <v>210</v>
      </c>
      <c r="D2935" s="2">
        <v>1367.21</v>
      </c>
      <c r="E2935" s="6"/>
      <c r="F2935" s="1">
        <v>0</v>
      </c>
      <c r="G2935" s="2">
        <v>8855.2800000000007</v>
      </c>
      <c r="H2935" s="1">
        <v>0</v>
      </c>
      <c r="I2935" s="1">
        <v>0</v>
      </c>
      <c r="J2935" s="17">
        <f t="shared" si="5"/>
        <v>10222.490000000002</v>
      </c>
    </row>
    <row r="2936" spans="1:10" ht="15.75" x14ac:dyDescent="0.25">
      <c r="A2936" s="21">
        <v>45596</v>
      </c>
      <c r="B2936" t="str">
        <f>IFERROR(IF(VLOOKUP(C2936,Hoja1!$B$1:$C$6191,2,0)="",_xlfn.XLOOKUP(C2936,Hoja1!$B$2:$B$6191,Hoja1!$A$2:$A$6191),VLOOKUP(C2936,Hoja1!$B$1:$C$6191,2,0)),"No esta en Infor")</f>
        <v>NAC0972</v>
      </c>
      <c r="C2936" s="1" t="s">
        <v>221</v>
      </c>
      <c r="D2936" s="2">
        <v>2277.15</v>
      </c>
      <c r="E2936" s="6"/>
      <c r="F2936" s="1">
        <v>0</v>
      </c>
      <c r="G2936" s="1">
        <v>0</v>
      </c>
      <c r="H2936" s="1">
        <v>217.86</v>
      </c>
      <c r="I2936" s="1">
        <v>0</v>
      </c>
      <c r="J2936" s="17">
        <f t="shared" si="5"/>
        <v>2495.0100000000002</v>
      </c>
    </row>
    <row r="2937" spans="1:10" ht="15.75" x14ac:dyDescent="0.25">
      <c r="A2937" s="21">
        <v>45596</v>
      </c>
      <c r="B2937" t="str">
        <f>IFERROR(IF(VLOOKUP(C2937,Hoja1!$B$1:$C$6191,2,0)="",_xlfn.XLOOKUP(C2937,Hoja1!$B$2:$B$6191,Hoja1!$A$2:$A$6191),VLOOKUP(C2937,Hoja1!$B$1:$C$6191,2,0)),"No esta en Infor")</f>
        <v>NAC0988</v>
      </c>
      <c r="C2937" s="1" t="s">
        <v>29</v>
      </c>
      <c r="D2937" s="2">
        <v>19976</v>
      </c>
      <c r="E2937" s="6"/>
      <c r="F2937" s="1">
        <v>106</v>
      </c>
      <c r="G2937" s="1">
        <v>0</v>
      </c>
      <c r="H2937" s="1">
        <v>-520</v>
      </c>
      <c r="I2937" s="2">
        <v>9360</v>
      </c>
      <c r="J2937" s="17">
        <f t="shared" si="5"/>
        <v>28922</v>
      </c>
    </row>
    <row r="2938" spans="1:10" ht="15.75" x14ac:dyDescent="0.25">
      <c r="A2938" s="21">
        <v>45596</v>
      </c>
      <c r="B2938" t="str">
        <f>IFERROR(IF(VLOOKUP(C2938,Hoja1!$B$1:$C$6191,2,0)="",_xlfn.XLOOKUP(C2938,Hoja1!$B$2:$B$6191,Hoja1!$A$2:$A$6191),VLOOKUP(C2938,Hoja1!$B$1:$C$6191,2,0)),"No esta en Infor")</f>
        <v>NAC1040</v>
      </c>
      <c r="C2938" s="1" t="s">
        <v>30</v>
      </c>
      <c r="D2938" s="2">
        <v>315868.24</v>
      </c>
      <c r="E2938" s="6"/>
      <c r="F2938" s="2">
        <v>-1244.44</v>
      </c>
      <c r="G2938" s="2">
        <v>8556.86</v>
      </c>
      <c r="H2938" s="1">
        <v>-649.85</v>
      </c>
      <c r="I2938" s="1">
        <v>-0.2</v>
      </c>
      <c r="J2938" s="17">
        <f t="shared" si="5"/>
        <v>322530.61</v>
      </c>
    </row>
    <row r="2939" spans="1:10" ht="15.75" x14ac:dyDescent="0.25">
      <c r="A2939" s="21">
        <v>45596</v>
      </c>
      <c r="B2939" t="str">
        <f>IFERROR(IF(VLOOKUP(C2939,Hoja1!$B$1:$C$6191,2,0)="",_xlfn.XLOOKUP(C2939,Hoja1!$B$2:$B$6191,Hoja1!$A$2:$A$6191),VLOOKUP(C2939,Hoja1!$B$1:$C$6191,2,0)),"No esta en Infor")</f>
        <v>CAN0035</v>
      </c>
      <c r="C2939" s="1" t="s">
        <v>31</v>
      </c>
      <c r="D2939" s="2">
        <v>3614.88</v>
      </c>
      <c r="E2939" s="6"/>
      <c r="F2939" s="1">
        <v>0</v>
      </c>
      <c r="G2939" s="1">
        <v>0</v>
      </c>
      <c r="H2939" s="1">
        <v>0</v>
      </c>
      <c r="I2939" s="1">
        <v>374.36</v>
      </c>
      <c r="J2939" s="17">
        <f t="shared" si="5"/>
        <v>3989.2400000000002</v>
      </c>
    </row>
    <row r="2940" spans="1:10" ht="15.75" x14ac:dyDescent="0.25">
      <c r="A2940" s="21">
        <v>45596</v>
      </c>
      <c r="B2940" t="str">
        <f>IFERROR(IF(VLOOKUP(C2940,Hoja1!$B$1:$C$6191,2,0)="",_xlfn.XLOOKUP(C2940,Hoja1!$B$2:$B$6191,Hoja1!$A$2:$A$6191),VLOOKUP(C2940,Hoja1!$B$1:$C$6191,2,0)),"No esta en Infor")</f>
        <v>NAC1105</v>
      </c>
      <c r="C2940" s="1" t="s">
        <v>32</v>
      </c>
      <c r="D2940" s="2">
        <v>3908.11</v>
      </c>
      <c r="E2940" s="6"/>
      <c r="F2940" s="1">
        <v>750.71</v>
      </c>
      <c r="G2940" s="1">
        <v>455.47</v>
      </c>
      <c r="H2940" s="1">
        <v>874.46</v>
      </c>
      <c r="I2940" s="2">
        <v>2571.0500000000002</v>
      </c>
      <c r="J2940" s="17">
        <f t="shared" si="5"/>
        <v>8559.7999999999993</v>
      </c>
    </row>
    <row r="2941" spans="1:10" ht="15.75" x14ac:dyDescent="0.25">
      <c r="A2941" s="21">
        <v>45596</v>
      </c>
      <c r="B2941" t="str">
        <f>IFERROR(IF(VLOOKUP(C2941,Hoja1!$B$1:$C$6191,2,0)="",_xlfn.XLOOKUP(C2941,Hoja1!$B$2:$B$6191,Hoja1!$A$2:$A$6191),VLOOKUP(C2941,Hoja1!$B$1:$C$6191,2,0)),"No esta en Infor")</f>
        <v>NAC1108</v>
      </c>
      <c r="C2941" s="1" t="s">
        <v>468</v>
      </c>
      <c r="D2941" s="1">
        <v>0</v>
      </c>
      <c r="E2941" s="6"/>
      <c r="F2941" s="1">
        <v>0</v>
      </c>
      <c r="G2941" s="1">
        <v>194.84</v>
      </c>
      <c r="H2941" s="1">
        <v>0</v>
      </c>
      <c r="I2941" s="1">
        <v>0</v>
      </c>
      <c r="J2941" s="17">
        <f t="shared" si="5"/>
        <v>194.84</v>
      </c>
    </row>
    <row r="2942" spans="1:10" ht="15.75" x14ac:dyDescent="0.25">
      <c r="A2942" s="21">
        <v>45596</v>
      </c>
      <c r="B2942" t="str">
        <f>IFERROR(IF(VLOOKUP(C2942,Hoja1!$B$1:$C$6191,2,0)="",_xlfn.XLOOKUP(C2942,Hoja1!$B$2:$B$6191,Hoja1!$A$2:$A$6191),VLOOKUP(C2942,Hoja1!$B$1:$C$6191,2,0)),"No esta en Infor")</f>
        <v>NAC1611</v>
      </c>
      <c r="C2942" s="1" t="s">
        <v>565</v>
      </c>
      <c r="D2942" s="2">
        <v>72013.990000000005</v>
      </c>
      <c r="E2942" s="6"/>
      <c r="F2942" s="1">
        <v>-327.3</v>
      </c>
      <c r="G2942" s="2">
        <v>15384</v>
      </c>
      <c r="H2942" s="1">
        <v>0</v>
      </c>
      <c r="I2942" s="1">
        <v>-184</v>
      </c>
      <c r="J2942" s="17">
        <f t="shared" si="5"/>
        <v>86886.69</v>
      </c>
    </row>
    <row r="2943" spans="1:10" ht="15.75" x14ac:dyDescent="0.25">
      <c r="A2943" s="21">
        <v>45596</v>
      </c>
      <c r="B2943" t="str">
        <f>IFERROR(IF(VLOOKUP(C2943,Hoja1!$B$1:$C$6191,2,0)="",_xlfn.XLOOKUP(C2943,Hoja1!$B$2:$B$6191,Hoja1!$A$2:$A$6191),VLOOKUP(C2943,Hoja1!$B$1:$C$6191,2,0)),"No esta en Infor")</f>
        <v>NAC1144</v>
      </c>
      <c r="C2943" s="1" t="s">
        <v>411</v>
      </c>
      <c r="D2943" s="1">
        <v>167.4</v>
      </c>
      <c r="E2943" s="6"/>
      <c r="F2943" s="1">
        <v>0</v>
      </c>
      <c r="G2943" s="1">
        <v>29.71</v>
      </c>
      <c r="H2943" s="1">
        <v>0</v>
      </c>
      <c r="I2943" s="1">
        <v>0</v>
      </c>
      <c r="J2943" s="17">
        <f t="shared" si="5"/>
        <v>197.11</v>
      </c>
    </row>
    <row r="2944" spans="1:10" ht="15.75" x14ac:dyDescent="0.25">
      <c r="A2944" s="21">
        <v>45596</v>
      </c>
      <c r="B2944" t="str">
        <f>IFERROR(IF(VLOOKUP(C2944,Hoja1!$B$1:$C$6191,2,0)="",_xlfn.XLOOKUP(C2944,Hoja1!$B$2:$B$6191,Hoja1!$A$2:$A$6191),VLOOKUP(C2944,Hoja1!$B$1:$C$6191,2,0)),"No esta en Infor")</f>
        <v>NAC1146</v>
      </c>
      <c r="C2944" s="1" t="s">
        <v>33</v>
      </c>
      <c r="D2944" s="2">
        <v>25248.59</v>
      </c>
      <c r="E2944" s="6"/>
      <c r="F2944" s="1">
        <v>0</v>
      </c>
      <c r="G2944" s="1">
        <v>0</v>
      </c>
      <c r="H2944" s="2">
        <v>1602.35</v>
      </c>
      <c r="I2944" s="1">
        <v>36.229999999999997</v>
      </c>
      <c r="J2944" s="17">
        <f t="shared" si="5"/>
        <v>26887.17</v>
      </c>
    </row>
    <row r="2945" spans="1:10" ht="15.75" x14ac:dyDescent="0.25">
      <c r="A2945" s="21">
        <v>45596</v>
      </c>
      <c r="B2945" t="str">
        <f>IFERROR(IF(VLOOKUP(C2945,Hoja1!$B$1:$C$6191,2,0)="",_xlfn.XLOOKUP(C2945,Hoja1!$B$2:$B$6191,Hoja1!$A$2:$A$6191),VLOOKUP(C2945,Hoja1!$B$1:$C$6191,2,0)),"No esta en Infor")</f>
        <v>NAC1187</v>
      </c>
      <c r="C2945" s="1" t="s">
        <v>471</v>
      </c>
      <c r="D2945" s="1">
        <v>916.5</v>
      </c>
      <c r="E2945" s="6"/>
      <c r="F2945" s="1">
        <v>882</v>
      </c>
      <c r="G2945" s="1">
        <v>0</v>
      </c>
      <c r="H2945" s="1">
        <v>0</v>
      </c>
      <c r="I2945" s="1">
        <v>0</v>
      </c>
      <c r="J2945" s="17">
        <f t="shared" si="5"/>
        <v>1798.5</v>
      </c>
    </row>
    <row r="2946" spans="1:10" ht="15.75" x14ac:dyDescent="0.25">
      <c r="A2946" s="21">
        <v>45596</v>
      </c>
      <c r="B2946" t="str">
        <f>IFERROR(IF(VLOOKUP(C2946,Hoja1!$B$1:$C$6191,2,0)="",_xlfn.XLOOKUP(C2946,Hoja1!$B$2:$B$6191,Hoja1!$A$2:$A$6191),VLOOKUP(C2946,Hoja1!$B$1:$C$6191,2,0)),"No esta en Infor")</f>
        <v>CAN0044</v>
      </c>
      <c r="C2946" s="1" t="s">
        <v>35</v>
      </c>
      <c r="D2946" s="1">
        <v>0</v>
      </c>
      <c r="E2946" s="6"/>
      <c r="F2946" s="1">
        <v>0</v>
      </c>
      <c r="G2946" s="1">
        <v>0</v>
      </c>
      <c r="H2946" s="1">
        <v>81.36</v>
      </c>
      <c r="I2946" s="1">
        <v>755.04</v>
      </c>
      <c r="J2946" s="17">
        <f t="shared" si="5"/>
        <v>836.4</v>
      </c>
    </row>
    <row r="2947" spans="1:10" ht="15.75" x14ac:dyDescent="0.25">
      <c r="A2947" s="21">
        <v>45596</v>
      </c>
      <c r="B2947" t="str">
        <f>IFERROR(IF(VLOOKUP(C2947,Hoja1!$B$1:$C$6191,2,0)="",_xlfn.XLOOKUP(C2947,Hoja1!$B$2:$B$6191,Hoja1!$A$2:$A$6191),VLOOKUP(C2947,Hoja1!$B$1:$C$6191,2,0)),"No esta en Infor")</f>
        <v>NAC1200</v>
      </c>
      <c r="C2947" s="1" t="s">
        <v>473</v>
      </c>
      <c r="D2947" s="1">
        <v>397.36</v>
      </c>
      <c r="E2947" s="6"/>
      <c r="F2947" s="1">
        <v>0</v>
      </c>
      <c r="G2947" s="1">
        <v>24.37</v>
      </c>
      <c r="H2947" s="1">
        <v>0</v>
      </c>
      <c r="I2947" s="1">
        <v>0</v>
      </c>
      <c r="J2947" s="17">
        <f t="shared" si="5"/>
        <v>421.73</v>
      </c>
    </row>
    <row r="2948" spans="1:10" ht="15.75" x14ac:dyDescent="0.25">
      <c r="A2948" s="21">
        <v>45596</v>
      </c>
      <c r="B2948" t="str">
        <f>IFERROR(IF(VLOOKUP(C2948,Hoja1!$B$1:$C$6191,2,0)="",_xlfn.XLOOKUP(C2948,Hoja1!$B$2:$B$6191,Hoja1!$A$2:$A$6191),VLOOKUP(C2948,Hoja1!$B$1:$C$6191,2,0)),"No esta en Infor")</f>
        <v>NAC1216</v>
      </c>
      <c r="C2948" s="1" t="s">
        <v>287</v>
      </c>
      <c r="D2948" s="1">
        <v>0</v>
      </c>
      <c r="E2948" s="6"/>
      <c r="F2948" s="1">
        <v>32.979999999999997</v>
      </c>
      <c r="G2948" s="1">
        <v>0</v>
      </c>
      <c r="H2948" s="1">
        <v>0</v>
      </c>
      <c r="I2948" s="1">
        <v>0</v>
      </c>
      <c r="J2948" s="17">
        <f t="shared" si="5"/>
        <v>32.979999999999997</v>
      </c>
    </row>
    <row r="2949" spans="1:10" ht="15.75" x14ac:dyDescent="0.25">
      <c r="A2949" s="21">
        <v>45596</v>
      </c>
      <c r="B2949" t="str">
        <f>IFERROR(IF(VLOOKUP(C2949,Hoja1!$B$1:$C$6191,2,0)="",_xlfn.XLOOKUP(C2949,Hoja1!$B$2:$B$6191,Hoja1!$A$2:$A$6191),VLOOKUP(C2949,Hoja1!$B$1:$C$6191,2,0)),"No esta en Infor")</f>
        <v>NAC1233</v>
      </c>
      <c r="C2949" s="1" t="s">
        <v>292</v>
      </c>
      <c r="D2949" s="1">
        <v>0</v>
      </c>
      <c r="E2949" s="6"/>
      <c r="F2949" s="1">
        <v>0</v>
      </c>
      <c r="G2949" s="1">
        <v>0</v>
      </c>
      <c r="H2949" s="2">
        <v>10349.299999999999</v>
      </c>
      <c r="I2949" s="1">
        <v>-451.95</v>
      </c>
      <c r="J2949" s="17">
        <f t="shared" si="5"/>
        <v>9897.3499999999985</v>
      </c>
    </row>
    <row r="2950" spans="1:10" ht="15.75" x14ac:dyDescent="0.25">
      <c r="A2950" s="21">
        <v>45596</v>
      </c>
      <c r="B2950" t="str">
        <f>IFERROR(IF(VLOOKUP(C2950,Hoja1!$B$1:$C$6191,2,0)="",_xlfn.XLOOKUP(C2950,Hoja1!$B$2:$B$6191,Hoja1!$A$2:$A$6191),VLOOKUP(C2950,Hoja1!$B$1:$C$6191,2,0)),"No esta en Infor")</f>
        <v>CAN0054</v>
      </c>
      <c r="C2950" s="1" t="s">
        <v>36</v>
      </c>
      <c r="D2950" s="2">
        <v>21101.14</v>
      </c>
      <c r="E2950" s="6"/>
      <c r="F2950" s="1">
        <v>0</v>
      </c>
      <c r="G2950" s="1">
        <v>645.78</v>
      </c>
      <c r="H2950" s="1">
        <v>-69</v>
      </c>
      <c r="I2950" s="1">
        <v>492.75</v>
      </c>
      <c r="J2950" s="17">
        <f t="shared" si="5"/>
        <v>22170.67</v>
      </c>
    </row>
    <row r="2951" spans="1:10" ht="15.75" x14ac:dyDescent="0.25">
      <c r="A2951" s="21">
        <v>45596</v>
      </c>
      <c r="B2951" t="str">
        <f>IFERROR(IF(VLOOKUP(C2951,Hoja1!$B$1:$C$6191,2,0)="",_xlfn.XLOOKUP(C2951,Hoja1!$B$2:$B$6191,Hoja1!$A$2:$A$6191),VLOOKUP(C2951,Hoja1!$B$1:$C$6191,2,0)),"No esta en Infor")</f>
        <v>NAC1281</v>
      </c>
      <c r="C2951" s="1" t="s">
        <v>37</v>
      </c>
      <c r="D2951" s="2">
        <v>3562.34</v>
      </c>
      <c r="E2951" s="6"/>
      <c r="F2951" s="1">
        <v>933.35</v>
      </c>
      <c r="G2951" s="2">
        <v>2328.11</v>
      </c>
      <c r="H2951" s="2">
        <v>2567.4899999999998</v>
      </c>
      <c r="I2951" s="2">
        <v>5478.19</v>
      </c>
      <c r="J2951" s="17">
        <f t="shared" si="5"/>
        <v>14869.48</v>
      </c>
    </row>
    <row r="2952" spans="1:10" ht="15.75" x14ac:dyDescent="0.25">
      <c r="A2952" s="21">
        <v>45596</v>
      </c>
      <c r="B2952" t="str">
        <f>IFERROR(IF(VLOOKUP(C2952,Hoja1!$B$1:$C$6191,2,0)="",_xlfn.XLOOKUP(C2952,Hoja1!$B$2:$B$6191,Hoja1!$A$2:$A$6191),VLOOKUP(C2952,Hoja1!$B$1:$C$6191,2,0)),"No esta en Infor")</f>
        <v>NAC1323</v>
      </c>
      <c r="C2952" s="1" t="s">
        <v>49</v>
      </c>
      <c r="D2952" s="2">
        <v>441987.89</v>
      </c>
      <c r="E2952" s="6"/>
      <c r="F2952" s="2">
        <v>1550</v>
      </c>
      <c r="G2952" s="2">
        <v>37810.26</v>
      </c>
      <c r="H2952" s="2">
        <v>7029.87</v>
      </c>
      <c r="I2952" s="1">
        <v>0</v>
      </c>
      <c r="J2952" s="17">
        <f t="shared" si="5"/>
        <v>488378.02</v>
      </c>
    </row>
    <row r="2953" spans="1:10" ht="15.75" x14ac:dyDescent="0.25">
      <c r="A2953" s="21">
        <v>45596</v>
      </c>
      <c r="B2953" t="str">
        <f>IFERROR(IF(VLOOKUP(C2953,Hoja1!$B$1:$C$6191,2,0)="",_xlfn.XLOOKUP(C2953,Hoja1!$B$2:$B$6191,Hoja1!$A$2:$A$6191),VLOOKUP(C2953,Hoja1!$B$1:$C$6191,2,0)),"No esta en Infor")</f>
        <v>NAC1327</v>
      </c>
      <c r="C2953" s="1" t="s">
        <v>50</v>
      </c>
      <c r="D2953" s="2">
        <v>177260.88</v>
      </c>
      <c r="E2953" s="6"/>
      <c r="F2953" s="2">
        <v>3718.01</v>
      </c>
      <c r="G2953" s="1">
        <v>-77.7</v>
      </c>
      <c r="H2953" s="1">
        <v>0</v>
      </c>
      <c r="I2953" s="1">
        <v>0</v>
      </c>
      <c r="J2953" s="17">
        <f t="shared" si="5"/>
        <v>180901.19</v>
      </c>
    </row>
    <row r="2954" spans="1:10" ht="15.75" x14ac:dyDescent="0.25">
      <c r="A2954" s="21">
        <v>45596</v>
      </c>
      <c r="B2954" t="str">
        <f>IFERROR(IF(VLOOKUP(C2954,Hoja1!$B$1:$C$6191,2,0)="",_xlfn.XLOOKUP(C2954,Hoja1!$B$2:$B$6191,Hoja1!$A$2:$A$6191),VLOOKUP(C2954,Hoja1!$B$1:$C$6191,2,0)),"No esta en Infor")</f>
        <v>CAN0059</v>
      </c>
      <c r="C2954" s="1" t="s">
        <v>51</v>
      </c>
      <c r="D2954" s="1">
        <v>0</v>
      </c>
      <c r="E2954" s="6"/>
      <c r="F2954" s="1">
        <v>0</v>
      </c>
      <c r="G2954" s="1">
        <v>49.14</v>
      </c>
      <c r="H2954" s="1">
        <v>0</v>
      </c>
      <c r="I2954" s="1">
        <v>787.12</v>
      </c>
      <c r="J2954" s="17">
        <f t="shared" si="5"/>
        <v>836.26</v>
      </c>
    </row>
    <row r="2955" spans="1:10" ht="15.75" x14ac:dyDescent="0.25">
      <c r="A2955" s="21">
        <v>45596</v>
      </c>
      <c r="B2955" t="str">
        <f>IFERROR(IF(VLOOKUP(C2955,Hoja1!$B$1:$C$6191,2,0)="",_xlfn.XLOOKUP(C2955,Hoja1!$B$2:$B$6191,Hoja1!$A$2:$A$6191),VLOOKUP(C2955,Hoja1!$B$1:$C$6191,2,0)),"No esta en Infor")</f>
        <v>NAC1333</v>
      </c>
      <c r="C2955" s="1" t="s">
        <v>318</v>
      </c>
      <c r="D2955" s="2">
        <v>40997.9</v>
      </c>
      <c r="E2955" s="6"/>
      <c r="F2955" s="2">
        <v>3284</v>
      </c>
      <c r="G2955" s="1">
        <v>0</v>
      </c>
      <c r="H2955" s="1">
        <v>0</v>
      </c>
      <c r="I2955" s="1">
        <v>0</v>
      </c>
      <c r="J2955" s="17">
        <f t="shared" si="5"/>
        <v>44281.9</v>
      </c>
    </row>
    <row r="2956" spans="1:10" ht="15.75" x14ac:dyDescent="0.25">
      <c r="A2956" s="21">
        <v>45596</v>
      </c>
      <c r="B2956" t="str">
        <f>IFERROR(IF(VLOOKUP(C2956,Hoja1!$B$1:$C$6191,2,0)="",_xlfn.XLOOKUP(C2956,Hoja1!$B$2:$B$6191,Hoja1!$A$2:$A$6191),VLOOKUP(C2956,Hoja1!$B$1:$C$6191,2,0)),"No esta en Infor")</f>
        <v>CAN0069</v>
      </c>
      <c r="C2956" s="1" t="s">
        <v>340</v>
      </c>
      <c r="D2956" s="2">
        <v>4576.5</v>
      </c>
      <c r="E2956" s="6"/>
      <c r="F2956" s="1">
        <v>0</v>
      </c>
      <c r="G2956" s="1">
        <v>0</v>
      </c>
      <c r="H2956" s="1">
        <v>0</v>
      </c>
      <c r="I2956" s="1">
        <v>540.15</v>
      </c>
      <c r="J2956" s="17">
        <f t="shared" si="5"/>
        <v>5116.6499999999996</v>
      </c>
    </row>
    <row r="2957" spans="1:10" ht="15.75" x14ac:dyDescent="0.25">
      <c r="A2957" s="21">
        <v>45596</v>
      </c>
      <c r="B2957" t="str">
        <f>IFERROR(IF(VLOOKUP(C2957,Hoja1!$B$1:$C$6191,2,0)="",_xlfn.XLOOKUP(C2957,Hoja1!$B$2:$B$6191,Hoja1!$A$2:$A$6191),VLOOKUP(C2957,Hoja1!$B$1:$C$6191,2,0)),"No esta en Infor")</f>
        <v>NAC1448</v>
      </c>
      <c r="C2957" s="1" t="s">
        <v>9</v>
      </c>
      <c r="D2957" s="2">
        <v>39041.68</v>
      </c>
      <c r="E2957" s="6"/>
      <c r="F2957" s="2">
        <v>5270</v>
      </c>
      <c r="G2957" s="1">
        <v>300</v>
      </c>
      <c r="H2957" s="1">
        <v>0</v>
      </c>
      <c r="I2957" s="1">
        <v>0</v>
      </c>
      <c r="J2957" s="17">
        <f t="shared" si="5"/>
        <v>44611.68</v>
      </c>
    </row>
    <row r="2958" spans="1:10" ht="15.75" x14ac:dyDescent="0.25">
      <c r="A2958" s="21">
        <v>45596</v>
      </c>
      <c r="B2958" t="str">
        <f>IFERROR(IF(VLOOKUP(C2958,Hoja1!$B$1:$C$6191,2,0)="",_xlfn.XLOOKUP(C2958,Hoja1!$B$2:$B$6191,Hoja1!$A$2:$A$6191),VLOOKUP(C2958,Hoja1!$B$1:$C$6191,2,0)),"No esta en Infor")</f>
        <v>CAN0073</v>
      </c>
      <c r="C2958" s="1" t="s">
        <v>349</v>
      </c>
      <c r="D2958" s="2">
        <v>4056.12</v>
      </c>
      <c r="E2958" s="6"/>
      <c r="F2958" s="1">
        <v>755.66</v>
      </c>
      <c r="G2958" s="1">
        <v>598.61</v>
      </c>
      <c r="H2958" s="1">
        <v>0</v>
      </c>
      <c r="I2958" s="1">
        <v>0</v>
      </c>
      <c r="J2958" s="17">
        <f t="shared" si="5"/>
        <v>5410.3899999999994</v>
      </c>
    </row>
    <row r="2959" spans="1:10" ht="15.75" x14ac:dyDescent="0.25">
      <c r="A2959" s="21">
        <v>45596</v>
      </c>
      <c r="B2959" t="str">
        <f>IFERROR(IF(VLOOKUP(C2959,Hoja1!$B$1:$C$6191,2,0)="",_xlfn.XLOOKUP(C2959,Hoja1!$B$2:$B$6191,Hoja1!$A$2:$A$6191),VLOOKUP(C2959,Hoja1!$B$1:$C$6191,2,0)),"No esta en Infor")</f>
        <v>NAC1450</v>
      </c>
      <c r="C2959" s="1" t="s">
        <v>54</v>
      </c>
      <c r="D2959" s="2">
        <v>9331.86</v>
      </c>
      <c r="E2959" s="6"/>
      <c r="F2959" s="1">
        <v>0</v>
      </c>
      <c r="G2959" s="1">
        <v>12</v>
      </c>
      <c r="H2959" s="1">
        <v>0</v>
      </c>
      <c r="I2959" s="1">
        <v>108.75</v>
      </c>
      <c r="J2959" s="17">
        <f t="shared" si="5"/>
        <v>9452.61</v>
      </c>
    </row>
    <row r="2960" spans="1:10" ht="15.75" x14ac:dyDescent="0.25">
      <c r="A2960" s="21">
        <v>45596</v>
      </c>
      <c r="B2960" t="str">
        <f>IFERROR(IF(VLOOKUP(C2960,Hoja1!$B$1:$C$6191,2,0)="",_xlfn.XLOOKUP(C2960,Hoja1!$B$2:$B$6191,Hoja1!$A$2:$A$6191),VLOOKUP(C2960,Hoja1!$B$1:$C$6191,2,0)),"No esta en Infor")</f>
        <v>NAC1500</v>
      </c>
      <c r="C2960" s="1" t="s">
        <v>432</v>
      </c>
      <c r="D2960" s="1">
        <v>-0.06</v>
      </c>
      <c r="E2960" s="6"/>
      <c r="F2960" s="1">
        <v>0</v>
      </c>
      <c r="G2960" s="1">
        <v>51.8</v>
      </c>
      <c r="H2960" s="1">
        <v>0</v>
      </c>
      <c r="I2960" s="1">
        <v>0</v>
      </c>
      <c r="J2960" s="17">
        <f t="shared" si="5"/>
        <v>51.739999999999995</v>
      </c>
    </row>
    <row r="2961" spans="1:10" ht="15.75" x14ac:dyDescent="0.25">
      <c r="A2961" s="21">
        <v>45596</v>
      </c>
      <c r="B2961" t="str">
        <f>IFERROR(IF(VLOOKUP(C2961,Hoja1!$B$1:$C$6191,2,0)="",_xlfn.XLOOKUP(C2961,Hoja1!$B$2:$B$6191,Hoja1!$A$2:$A$6191),VLOOKUP(C2961,Hoja1!$B$1:$C$6191,2,0)),"No esta en Infor")</f>
        <v>NAC1512</v>
      </c>
      <c r="C2961" s="1" t="s">
        <v>56</v>
      </c>
      <c r="D2961" s="1">
        <v>0</v>
      </c>
      <c r="E2961" s="6"/>
      <c r="F2961" s="1">
        <v>0</v>
      </c>
      <c r="G2961" s="1">
        <v>0</v>
      </c>
      <c r="H2961" s="1">
        <v>0</v>
      </c>
      <c r="I2961" s="2">
        <v>12490</v>
      </c>
      <c r="J2961" s="17">
        <f t="shared" si="5"/>
        <v>12490</v>
      </c>
    </row>
    <row r="2962" spans="1:10" ht="15.75" x14ac:dyDescent="0.25">
      <c r="A2962" s="21">
        <v>45596</v>
      </c>
      <c r="B2962" t="str">
        <f>IFERROR(IF(VLOOKUP(C2962,Hoja1!$B$1:$C$6191,2,0)="",_xlfn.XLOOKUP(C2962,Hoja1!$B$2:$B$6191,Hoja1!$A$2:$A$6191),VLOOKUP(C2962,Hoja1!$B$1:$C$6191,2,0)),"No esta en Infor")</f>
        <v>CAN0087</v>
      </c>
      <c r="C2962" s="19" t="s">
        <v>1091</v>
      </c>
      <c r="D2962" s="2">
        <v>0</v>
      </c>
      <c r="E2962" s="6"/>
      <c r="F2962" s="2">
        <v>1090.1500000000001</v>
      </c>
      <c r="G2962" s="1">
        <v>0</v>
      </c>
      <c r="H2962" s="1">
        <v>0</v>
      </c>
      <c r="I2962" s="1">
        <v>0</v>
      </c>
      <c r="J2962" s="17">
        <f t="shared" si="5"/>
        <v>1090.1500000000001</v>
      </c>
    </row>
    <row r="2963" spans="1:10" ht="15.75" x14ac:dyDescent="0.25">
      <c r="A2963" s="21">
        <v>45596</v>
      </c>
      <c r="B2963" t="str">
        <f>IFERROR(IF(VLOOKUP(C2963,Hoja1!$B$1:$C$6191,2,0)="",_xlfn.XLOOKUP(C2963,Hoja1!$B$2:$B$6191,Hoja1!$A$2:$A$6191),VLOOKUP(C2963,Hoja1!$B$1:$C$6191,2,0)),"No esta en Infor")</f>
        <v>NAC1614</v>
      </c>
      <c r="C2963" s="3" t="s">
        <v>563</v>
      </c>
      <c r="D2963" s="3">
        <v>14.6</v>
      </c>
      <c r="E2963" s="6"/>
      <c r="F2963" s="3">
        <v>106.09</v>
      </c>
      <c r="G2963" s="3">
        <v>9.34</v>
      </c>
      <c r="H2963" s="3">
        <v>0</v>
      </c>
      <c r="I2963" s="3">
        <v>0</v>
      </c>
      <c r="J2963" s="18">
        <f t="shared" si="5"/>
        <v>130.03</v>
      </c>
    </row>
    <row r="2964" spans="1:10" ht="15.75" x14ac:dyDescent="0.25">
      <c r="A2964" s="21">
        <v>45596</v>
      </c>
      <c r="B2964" t="str">
        <f>IFERROR(IF(VLOOKUP(C2964,Hoja1!$B$1:$C$6191,2,0)="",_xlfn.XLOOKUP(C2964,Hoja1!$B$2:$B$6191,Hoja1!$A$2:$A$6191),VLOOKUP(C2964,Hoja1!$B$1:$C$6191,2,0)),"No esta en Infor")</f>
        <v>NAC0456</v>
      </c>
      <c r="C2964" s="3" t="s">
        <v>10</v>
      </c>
      <c r="D2964" s="3">
        <v>334.63</v>
      </c>
      <c r="E2964" s="6"/>
      <c r="F2964" s="3">
        <v>-5.4</v>
      </c>
      <c r="G2964" s="3">
        <v>-42.12</v>
      </c>
      <c r="H2964" s="3">
        <v>0</v>
      </c>
      <c r="I2964" s="3">
        <v>0</v>
      </c>
      <c r="J2964" s="18">
        <f t="shared" si="5"/>
        <v>287.11</v>
      </c>
    </row>
    <row r="2965" spans="1:10" ht="15.75" x14ac:dyDescent="0.25">
      <c r="A2965" s="21">
        <v>45596</v>
      </c>
      <c r="B2965" t="str">
        <f>IFERROR(IF(VLOOKUP(C2965,Hoja1!$B$1:$C$6191,2,0)="",_xlfn.XLOOKUP(C2965,Hoja1!$B$2:$B$6191,Hoja1!$A$2:$A$6191),VLOOKUP(C2965,Hoja1!$B$1:$C$6191,2,0)),"No esta en Infor")</f>
        <v>NAC0459</v>
      </c>
      <c r="C2965" s="3" t="s">
        <v>435</v>
      </c>
      <c r="D2965" s="3">
        <v>87.58</v>
      </c>
      <c r="E2965" s="6"/>
      <c r="F2965" s="3">
        <v>0</v>
      </c>
      <c r="G2965" s="3">
        <v>0</v>
      </c>
      <c r="H2965" s="3">
        <v>0</v>
      </c>
      <c r="I2965" s="3">
        <v>0</v>
      </c>
      <c r="J2965" s="18">
        <f t="shared" si="5"/>
        <v>87.58</v>
      </c>
    </row>
    <row r="2966" spans="1:10" ht="15.75" x14ac:dyDescent="0.25">
      <c r="A2966" s="21">
        <v>45596</v>
      </c>
      <c r="B2966" t="str">
        <f>IFERROR(IF(VLOOKUP(C2966,Hoja1!$B$1:$C$6191,2,0)="",_xlfn.XLOOKUP(C2966,Hoja1!$B$2:$B$6191,Hoja1!$A$2:$A$6191),VLOOKUP(C2966,Hoja1!$B$1:$C$6191,2,0)),"No esta en Infor")</f>
        <v>NAC0470</v>
      </c>
      <c r="C2966" s="3" t="s">
        <v>62</v>
      </c>
      <c r="D2966" s="4">
        <v>2772.67</v>
      </c>
      <c r="E2966" s="6"/>
      <c r="F2966" s="3">
        <v>0</v>
      </c>
      <c r="G2966" s="3">
        <v>0</v>
      </c>
      <c r="H2966" s="3">
        <v>0</v>
      </c>
      <c r="I2966" s="3">
        <v>0</v>
      </c>
      <c r="J2966" s="18">
        <f t="shared" si="5"/>
        <v>2772.67</v>
      </c>
    </row>
    <row r="2967" spans="1:10" ht="15.75" x14ac:dyDescent="0.25">
      <c r="A2967" s="21">
        <v>45596</v>
      </c>
      <c r="B2967" t="str">
        <f>IFERROR(IF(VLOOKUP(C2967,Hoja1!$B$1:$C$6191,2,0)="",_xlfn.XLOOKUP(C2967,Hoja1!$B$2:$B$6191,Hoja1!$A$2:$A$6191),VLOOKUP(C2967,Hoja1!$B$1:$C$6191,2,0)),"No esta en Infor")</f>
        <v>NAC0474</v>
      </c>
      <c r="C2967" s="3" t="s">
        <v>375</v>
      </c>
      <c r="D2967" s="3">
        <v>-3</v>
      </c>
      <c r="E2967" s="6"/>
      <c r="F2967" s="3">
        <v>0</v>
      </c>
      <c r="G2967" s="3">
        <v>0</v>
      </c>
      <c r="H2967" s="3">
        <v>0</v>
      </c>
      <c r="I2967" s="3">
        <v>0</v>
      </c>
      <c r="J2967" s="18">
        <f t="shared" si="5"/>
        <v>-3</v>
      </c>
    </row>
    <row r="2968" spans="1:10" ht="15.75" x14ac:dyDescent="0.25">
      <c r="A2968" s="21">
        <v>45596</v>
      </c>
      <c r="B2968" t="str">
        <f>IFERROR(IF(VLOOKUP(C2968,Hoja1!$B$1:$C$6191,2,0)="",_xlfn.XLOOKUP(C2968,Hoja1!$B$2:$B$6191,Hoja1!$A$2:$A$6191),VLOOKUP(C2968,Hoja1!$B$1:$C$6191,2,0)),"No esta en Infor")</f>
        <v>NAC0475</v>
      </c>
      <c r="C2968" s="3" t="s">
        <v>63</v>
      </c>
      <c r="D2968" s="4">
        <v>5191.88</v>
      </c>
      <c r="E2968" s="6"/>
      <c r="F2968" s="3">
        <v>0</v>
      </c>
      <c r="G2968" s="3">
        <v>0</v>
      </c>
      <c r="H2968" s="3">
        <v>0</v>
      </c>
      <c r="I2968" s="3">
        <v>0</v>
      </c>
      <c r="J2968" s="18">
        <f t="shared" si="5"/>
        <v>5191.88</v>
      </c>
    </row>
    <row r="2969" spans="1:10" ht="15.75" x14ac:dyDescent="0.25">
      <c r="A2969" s="21">
        <v>45596</v>
      </c>
      <c r="B2969" t="str">
        <f>IFERROR(IF(VLOOKUP(C2969,Hoja1!$B$1:$C$6191,2,0)="",_xlfn.XLOOKUP(C2969,Hoja1!$B$2:$B$6191,Hoja1!$A$2:$A$6191),VLOOKUP(C2969,Hoja1!$B$1:$C$6191,2,0)),"No esta en Infor")</f>
        <v>CAN0001</v>
      </c>
      <c r="C2969" s="3" t="s">
        <v>64</v>
      </c>
      <c r="D2969" s="4">
        <v>34828.81</v>
      </c>
      <c r="E2969" s="6"/>
      <c r="F2969" s="3">
        <v>0</v>
      </c>
      <c r="G2969" s="3">
        <v>0</v>
      </c>
      <c r="H2969" s="3">
        <v>0</v>
      </c>
      <c r="I2969" s="3">
        <v>0</v>
      </c>
      <c r="J2969" s="18">
        <f t="shared" si="5"/>
        <v>34828.81</v>
      </c>
    </row>
    <row r="2970" spans="1:10" ht="15.75" x14ac:dyDescent="0.25">
      <c r="A2970" s="21">
        <v>45596</v>
      </c>
      <c r="B2970" t="str">
        <f>IFERROR(IF(VLOOKUP(C2970,Hoja1!$B$1:$C$6191,2,0)="",_xlfn.XLOOKUP(C2970,Hoja1!$B$2:$B$6191,Hoja1!$A$2:$A$6191),VLOOKUP(C2970,Hoja1!$B$1:$C$6191,2,0)),"No esta en Infor")</f>
        <v>SH03065</v>
      </c>
      <c r="C2970" s="3" t="s">
        <v>707</v>
      </c>
      <c r="D2970" s="3">
        <v>-171.84</v>
      </c>
      <c r="E2970" s="6"/>
      <c r="F2970" s="3">
        <v>0</v>
      </c>
      <c r="G2970" s="3">
        <v>0</v>
      </c>
      <c r="H2970" s="3">
        <v>0</v>
      </c>
      <c r="I2970" s="3">
        <v>0</v>
      </c>
      <c r="J2970" s="18">
        <f t="shared" si="5"/>
        <v>-171.84</v>
      </c>
    </row>
    <row r="2971" spans="1:10" ht="15.75" x14ac:dyDescent="0.25">
      <c r="A2971" s="21">
        <v>45596</v>
      </c>
      <c r="B2971" t="str">
        <f>IFERROR(IF(VLOOKUP(C2971,Hoja1!$B$1:$C$6191,2,0)="",_xlfn.XLOOKUP(C2971,Hoja1!$B$2:$B$6191,Hoja1!$A$2:$A$6191),VLOOKUP(C2971,Hoja1!$B$1:$C$6191,2,0)),"No esta en Infor")</f>
        <v>NAC0513</v>
      </c>
      <c r="C2971" s="3" t="s">
        <v>377</v>
      </c>
      <c r="D2971" s="3">
        <v>0</v>
      </c>
      <c r="E2971" s="6"/>
      <c r="F2971" s="3">
        <v>0</v>
      </c>
      <c r="G2971" s="3">
        <v>-220.24</v>
      </c>
      <c r="H2971" s="3">
        <v>0</v>
      </c>
      <c r="I2971" s="3">
        <v>0</v>
      </c>
      <c r="J2971" s="18">
        <f t="shared" si="5"/>
        <v>-220.24</v>
      </c>
    </row>
    <row r="2972" spans="1:10" ht="15.75" x14ac:dyDescent="0.25">
      <c r="A2972" s="21">
        <v>45596</v>
      </c>
      <c r="B2972" t="str">
        <f>IFERROR(IF(VLOOKUP(C2972,Hoja1!$B$1:$C$6191,2,0)="",_xlfn.XLOOKUP(C2972,Hoja1!$B$2:$B$6191,Hoja1!$A$2:$A$6191),VLOOKUP(C2972,Hoja1!$B$1:$C$6191,2,0)),"No esta en Infor")</f>
        <v>NAC0520</v>
      </c>
      <c r="C2972" s="3" t="s">
        <v>68</v>
      </c>
      <c r="D2972" s="4">
        <v>289522.59999999998</v>
      </c>
      <c r="E2972" s="6"/>
      <c r="F2972" s="3">
        <v>0</v>
      </c>
      <c r="G2972" s="3">
        <v>-13.6</v>
      </c>
      <c r="H2972" s="3">
        <v>0</v>
      </c>
      <c r="I2972" s="3">
        <v>-458.33</v>
      </c>
      <c r="J2972" s="18">
        <f t="shared" si="5"/>
        <v>289050.67</v>
      </c>
    </row>
    <row r="2973" spans="1:10" ht="15.75" x14ac:dyDescent="0.25">
      <c r="A2973" s="21">
        <v>45596</v>
      </c>
      <c r="B2973" t="str">
        <f>IFERROR(IF(VLOOKUP(C2973,Hoja1!$B$1:$C$6191,2,0)="",_xlfn.XLOOKUP(C2973,Hoja1!$B$2:$B$6191,Hoja1!$A$2:$A$6191),VLOOKUP(C2973,Hoja1!$B$1:$C$6191,2,0)),"No esta en Infor")</f>
        <v>NAC1617</v>
      </c>
      <c r="C2973" s="3" t="s">
        <v>70</v>
      </c>
      <c r="D2973" s="3">
        <v>0</v>
      </c>
      <c r="E2973" s="6"/>
      <c r="F2973" s="3">
        <v>0</v>
      </c>
      <c r="G2973" s="3">
        <v>0</v>
      </c>
      <c r="H2973" s="3">
        <v>0</v>
      </c>
      <c r="I2973" s="4">
        <v>8803.11</v>
      </c>
      <c r="J2973" s="18">
        <f t="shared" si="5"/>
        <v>8803.11</v>
      </c>
    </row>
    <row r="2974" spans="1:10" ht="15.75" x14ac:dyDescent="0.25">
      <c r="A2974" s="21">
        <v>45596</v>
      </c>
      <c r="B2974" t="str">
        <f>IFERROR(IF(VLOOKUP(C2974,Hoja1!$B$1:$C$6191,2,0)="",_xlfn.XLOOKUP(C2974,Hoja1!$B$2:$B$6191,Hoja1!$A$2:$A$6191),VLOOKUP(C2974,Hoja1!$B$1:$C$6191,2,0)),"No esta en Infor")</f>
        <v>NAC0525</v>
      </c>
      <c r="C2974" s="3" t="s">
        <v>71</v>
      </c>
      <c r="D2974" s="4">
        <v>21958</v>
      </c>
      <c r="E2974" s="6"/>
      <c r="F2974" s="3">
        <v>0</v>
      </c>
      <c r="G2974" s="3">
        <v>0</v>
      </c>
      <c r="H2974" s="3">
        <v>0</v>
      </c>
      <c r="I2974" s="3">
        <v>0</v>
      </c>
      <c r="J2974" s="18">
        <f t="shared" si="5"/>
        <v>21958</v>
      </c>
    </row>
    <row r="2975" spans="1:10" ht="15.75" x14ac:dyDescent="0.25">
      <c r="A2975" s="21">
        <v>45596</v>
      </c>
      <c r="B2975" t="str">
        <f>IFERROR(IF(VLOOKUP(C2975,Hoja1!$B$1:$C$6191,2,0)="",_xlfn.XLOOKUP(C2975,Hoja1!$B$2:$B$6191,Hoja1!$A$2:$A$6191),VLOOKUP(C2975,Hoja1!$B$1:$C$6191,2,0)),"No esta en Infor")</f>
        <v>SH00093</v>
      </c>
      <c r="C2975" s="3" t="s">
        <v>708</v>
      </c>
      <c r="D2975" s="3">
        <v>-215.23</v>
      </c>
      <c r="E2975" s="6"/>
      <c r="F2975" s="3">
        <v>0</v>
      </c>
      <c r="G2975" s="3">
        <v>0</v>
      </c>
      <c r="H2975" s="3">
        <v>0</v>
      </c>
      <c r="I2975" s="3">
        <v>0</v>
      </c>
      <c r="J2975" s="18">
        <f t="shared" si="5"/>
        <v>-215.23</v>
      </c>
    </row>
    <row r="2976" spans="1:10" ht="15.75" x14ac:dyDescent="0.25">
      <c r="A2976" s="21">
        <v>45596</v>
      </c>
      <c r="B2976" t="str">
        <f>IFERROR(IF(VLOOKUP(C2976,Hoja1!$B$1:$C$6191,2,0)="",_xlfn.XLOOKUP(C2976,Hoja1!$B$2:$B$6191,Hoja1!$A$2:$A$6191),VLOOKUP(C2976,Hoja1!$B$1:$C$6191,2,0)),"No esta en Infor")</f>
        <v>SH03061</v>
      </c>
      <c r="C2976" s="3" t="s">
        <v>709</v>
      </c>
      <c r="D2976" s="3">
        <v>-62.39</v>
      </c>
      <c r="E2976" s="6"/>
      <c r="F2976" s="3">
        <v>0</v>
      </c>
      <c r="G2976" s="3">
        <v>0</v>
      </c>
      <c r="H2976" s="3">
        <v>0</v>
      </c>
      <c r="I2976" s="3">
        <v>0</v>
      </c>
      <c r="J2976" s="18">
        <f t="shared" si="5"/>
        <v>-62.39</v>
      </c>
    </row>
    <row r="2977" spans="1:10" ht="15.75" x14ac:dyDescent="0.25">
      <c r="A2977" s="21">
        <v>45596</v>
      </c>
      <c r="B2977" t="str">
        <f>IFERROR(IF(VLOOKUP(C2977,Hoja1!$B$1:$C$6191,2,0)="",_xlfn.XLOOKUP(C2977,Hoja1!$B$2:$B$6191,Hoja1!$A$2:$A$6191),VLOOKUP(C2977,Hoja1!$B$1:$C$6191,2,0)),"No esta en Infor")</f>
        <v>NAC0528</v>
      </c>
      <c r="C2977" s="3" t="s">
        <v>76</v>
      </c>
      <c r="D2977" s="4">
        <v>82443</v>
      </c>
      <c r="E2977" s="6"/>
      <c r="F2977" s="3">
        <v>0</v>
      </c>
      <c r="G2977" s="3">
        <v>0</v>
      </c>
      <c r="H2977" s="3">
        <v>0</v>
      </c>
      <c r="I2977" s="3">
        <v>0</v>
      </c>
      <c r="J2977" s="18">
        <f t="shared" si="5"/>
        <v>82443</v>
      </c>
    </row>
    <row r="2978" spans="1:10" ht="15.75" x14ac:dyDescent="0.25">
      <c r="A2978" s="21">
        <v>45596</v>
      </c>
      <c r="B2978" t="str">
        <f>IFERROR(IF(VLOOKUP(C2978,Hoja1!$B$1:$C$6191,2,0)="",_xlfn.XLOOKUP(C2978,Hoja1!$B$2:$B$6191,Hoja1!$A$2:$A$6191),VLOOKUP(C2978,Hoja1!$B$1:$C$6191,2,0)),"No esta en Infor")</f>
        <v>NAC0532</v>
      </c>
      <c r="C2978" s="3" t="s">
        <v>612</v>
      </c>
      <c r="D2978" s="3">
        <v>-92.32</v>
      </c>
      <c r="E2978" s="6"/>
      <c r="F2978" s="3">
        <v>0</v>
      </c>
      <c r="G2978" s="3">
        <v>0</v>
      </c>
      <c r="H2978" s="3">
        <v>0</v>
      </c>
      <c r="I2978" s="3">
        <v>0</v>
      </c>
      <c r="J2978" s="18">
        <f t="shared" si="5"/>
        <v>-92.32</v>
      </c>
    </row>
    <row r="2979" spans="1:10" ht="15.75" x14ac:dyDescent="0.25">
      <c r="A2979" s="21">
        <v>45596</v>
      </c>
      <c r="B2979" t="str">
        <f>IFERROR(IF(VLOOKUP(C2979,Hoja1!$B$1:$C$6191,2,0)="",_xlfn.XLOOKUP(C2979,Hoja1!$B$2:$B$6191,Hoja1!$A$2:$A$6191),VLOOKUP(C2979,Hoja1!$B$1:$C$6191,2,0)),"No esta en Infor")</f>
        <v>NAC0534</v>
      </c>
      <c r="C2979" s="3" t="s">
        <v>78</v>
      </c>
      <c r="D2979" s="4">
        <v>11924</v>
      </c>
      <c r="E2979" s="6"/>
      <c r="F2979" s="3">
        <v>0</v>
      </c>
      <c r="G2979" s="3">
        <v>0</v>
      </c>
      <c r="H2979" s="3">
        <v>0</v>
      </c>
      <c r="I2979" s="3">
        <v>0</v>
      </c>
      <c r="J2979" s="18">
        <f t="shared" si="5"/>
        <v>11924</v>
      </c>
    </row>
    <row r="2980" spans="1:10" ht="15.75" x14ac:dyDescent="0.25">
      <c r="A2980" s="21">
        <v>45596</v>
      </c>
      <c r="B2980" t="str">
        <f>IFERROR(IF(VLOOKUP(C2980,Hoja1!$B$1:$C$6191,2,0)="",_xlfn.XLOOKUP(C2980,Hoja1!$B$2:$B$6191,Hoja1!$A$2:$A$6191),VLOOKUP(C2980,Hoja1!$B$1:$C$6191,2,0)),"No esta en Infor")</f>
        <v>NAC0537</v>
      </c>
      <c r="C2980" s="3" t="s">
        <v>13</v>
      </c>
      <c r="D2980" s="3">
        <v>582.55999999999995</v>
      </c>
      <c r="E2980" s="6"/>
      <c r="F2980" s="3">
        <v>0</v>
      </c>
      <c r="G2980" s="3">
        <v>0</v>
      </c>
      <c r="H2980" s="3">
        <v>0</v>
      </c>
      <c r="I2980" s="3">
        <v>0</v>
      </c>
      <c r="J2980" s="18">
        <f t="shared" ref="J2980:J3043" si="6">SUM(D2980:I2980)</f>
        <v>582.55999999999995</v>
      </c>
    </row>
    <row r="2981" spans="1:10" ht="15.75" x14ac:dyDescent="0.25">
      <c r="A2981" s="21">
        <v>45596</v>
      </c>
      <c r="B2981" t="str">
        <f>IFERROR(IF(VLOOKUP(C2981,Hoja1!$B$1:$C$6191,2,0)="",_xlfn.XLOOKUP(C2981,Hoja1!$B$2:$B$6191,Hoja1!$A$2:$A$6191),VLOOKUP(C2981,Hoja1!$B$1:$C$6191,2,0)),"No esta en Infor")</f>
        <v>NAC0546</v>
      </c>
      <c r="C2981" s="3" t="s">
        <v>83</v>
      </c>
      <c r="D2981" s="4">
        <v>5920</v>
      </c>
      <c r="E2981" s="6"/>
      <c r="F2981" s="3">
        <v>0</v>
      </c>
      <c r="G2981" s="3">
        <v>0</v>
      </c>
      <c r="H2981" s="3">
        <v>0</v>
      </c>
      <c r="I2981" s="3">
        <v>0</v>
      </c>
      <c r="J2981" s="18">
        <f t="shared" si="6"/>
        <v>5920</v>
      </c>
    </row>
    <row r="2982" spans="1:10" ht="15.75" x14ac:dyDescent="0.25">
      <c r="A2982" s="21">
        <v>45596</v>
      </c>
      <c r="B2982" t="str">
        <f>IFERROR(IF(VLOOKUP(C2982,Hoja1!$B$1:$C$6191,2,0)="",_xlfn.XLOOKUP(C2982,Hoja1!$B$2:$B$6191,Hoja1!$A$2:$A$6191),VLOOKUP(C2982,Hoja1!$B$1:$C$6191,2,0)),"No esta en Infor")</f>
        <v>NAC0550</v>
      </c>
      <c r="C2982" s="3" t="s">
        <v>84</v>
      </c>
      <c r="D2982" s="4">
        <v>159820.32999999999</v>
      </c>
      <c r="E2982" s="6"/>
      <c r="F2982" s="3">
        <v>0</v>
      </c>
      <c r="G2982" s="3">
        <v>0</v>
      </c>
      <c r="H2982" s="3">
        <v>0</v>
      </c>
      <c r="I2982" s="3">
        <v>0</v>
      </c>
      <c r="J2982" s="18">
        <f t="shared" si="6"/>
        <v>159820.32999999999</v>
      </c>
    </row>
    <row r="2983" spans="1:10" ht="15.75" x14ac:dyDescent="0.25">
      <c r="A2983" s="21">
        <v>45596</v>
      </c>
      <c r="B2983" t="str">
        <f>IFERROR(IF(VLOOKUP(C2983,Hoja1!$B$1:$C$6191,2,0)="",_xlfn.XLOOKUP(C2983,Hoja1!$B$2:$B$6191,Hoja1!$A$2:$A$6191),VLOOKUP(C2983,Hoja1!$B$1:$C$6191,2,0)),"No esta en Infor")</f>
        <v>NAC0551</v>
      </c>
      <c r="C2983" s="3" t="s">
        <v>85</v>
      </c>
      <c r="D2983" s="4">
        <v>6840</v>
      </c>
      <c r="E2983" s="6"/>
      <c r="F2983" s="3">
        <v>0</v>
      </c>
      <c r="G2983" s="3">
        <v>0</v>
      </c>
      <c r="H2983" s="3">
        <v>0</v>
      </c>
      <c r="I2983" s="3">
        <v>0</v>
      </c>
      <c r="J2983" s="18">
        <f t="shared" si="6"/>
        <v>6840</v>
      </c>
    </row>
    <row r="2984" spans="1:10" ht="15.75" x14ac:dyDescent="0.25">
      <c r="A2984" s="21">
        <v>45596</v>
      </c>
      <c r="B2984" t="str">
        <f>IFERROR(IF(VLOOKUP(C2984,Hoja1!$B$1:$C$6191,2,0)="",_xlfn.XLOOKUP(C2984,Hoja1!$B$2:$B$6191,Hoja1!$A$2:$A$6191),VLOOKUP(C2984,Hoja1!$B$1:$C$6191,2,0)),"No esta en Infor")</f>
        <v>NAC0556</v>
      </c>
      <c r="C2984" s="3" t="s">
        <v>14</v>
      </c>
      <c r="D2984" s="4">
        <v>73468.929999999993</v>
      </c>
      <c r="E2984" s="6"/>
      <c r="F2984" s="3">
        <v>0</v>
      </c>
      <c r="G2984" s="3">
        <v>0</v>
      </c>
      <c r="H2984" s="3">
        <v>0</v>
      </c>
      <c r="I2984" s="3">
        <v>0</v>
      </c>
      <c r="J2984" s="18">
        <f t="shared" si="6"/>
        <v>73468.929999999993</v>
      </c>
    </row>
    <row r="2985" spans="1:10" ht="15.75" x14ac:dyDescent="0.25">
      <c r="A2985" s="21">
        <v>45596</v>
      </c>
      <c r="B2985" t="str">
        <f>IFERROR(IF(VLOOKUP(C2985,Hoja1!$B$1:$C$6191,2,0)="",_xlfn.XLOOKUP(C2985,Hoja1!$B$2:$B$6191,Hoja1!$A$2:$A$6191),VLOOKUP(C2985,Hoja1!$B$1:$C$6191,2,0)),"No esta en Infor")</f>
        <v>NAC0558</v>
      </c>
      <c r="C2985" s="3" t="s">
        <v>86</v>
      </c>
      <c r="D2985" s="4">
        <v>10192.4</v>
      </c>
      <c r="E2985" s="6"/>
      <c r="F2985" s="3">
        <v>0</v>
      </c>
      <c r="G2985" s="3">
        <v>0</v>
      </c>
      <c r="H2985" s="3">
        <v>0</v>
      </c>
      <c r="I2985" s="3">
        <v>0</v>
      </c>
      <c r="J2985" s="18">
        <f t="shared" si="6"/>
        <v>10192.4</v>
      </c>
    </row>
    <row r="2986" spans="1:10" ht="15.75" x14ac:dyDescent="0.25">
      <c r="A2986" s="21">
        <v>45596</v>
      </c>
      <c r="B2986" t="str">
        <f>IFERROR(IF(VLOOKUP(C2986,Hoja1!$B$1:$C$6191,2,0)="",_xlfn.XLOOKUP(C2986,Hoja1!$B$2:$B$6191,Hoja1!$A$2:$A$6191),VLOOKUP(C2986,Hoja1!$B$1:$C$6191,2,0)),"No esta en Infor")</f>
        <v>NAC0567</v>
      </c>
      <c r="C2986" s="3" t="s">
        <v>541</v>
      </c>
      <c r="D2986" s="3">
        <v>-608.84</v>
      </c>
      <c r="E2986" s="6"/>
      <c r="F2986" s="3">
        <v>0</v>
      </c>
      <c r="G2986" s="3">
        <v>0</v>
      </c>
      <c r="H2986" s="3">
        <v>0</v>
      </c>
      <c r="I2986" s="3">
        <v>0</v>
      </c>
      <c r="J2986" s="18">
        <f t="shared" si="6"/>
        <v>-608.84</v>
      </c>
    </row>
    <row r="2987" spans="1:10" ht="15.75" x14ac:dyDescent="0.25">
      <c r="A2987" s="21">
        <v>45596</v>
      </c>
      <c r="B2987" t="str">
        <f>IFERROR(IF(VLOOKUP(C2987,Hoja1!$B$1:$C$6191,2,0)="",_xlfn.XLOOKUP(C2987,Hoja1!$B$2:$B$6191,Hoja1!$A$2:$A$6191),VLOOKUP(C2987,Hoja1!$B$1:$C$6191,2,0)),"No esta en Infor")</f>
        <v>SH02874</v>
      </c>
      <c r="C2987" s="3" t="s">
        <v>650</v>
      </c>
      <c r="D2987" s="3">
        <v>13.83</v>
      </c>
      <c r="E2987" s="6"/>
      <c r="F2987" s="3">
        <v>0</v>
      </c>
      <c r="G2987" s="3">
        <v>0</v>
      </c>
      <c r="H2987" s="3">
        <v>0</v>
      </c>
      <c r="I2987" s="3">
        <v>0</v>
      </c>
      <c r="J2987" s="18">
        <f t="shared" si="6"/>
        <v>13.83</v>
      </c>
    </row>
    <row r="2988" spans="1:10" ht="15.75" x14ac:dyDescent="0.25">
      <c r="A2988" s="21">
        <v>45596</v>
      </c>
      <c r="B2988" t="str">
        <f>IFERROR(IF(VLOOKUP(C2988,Hoja1!$B$1:$C$6191,2,0)="",_xlfn.XLOOKUP(C2988,Hoja1!$B$2:$B$6191,Hoja1!$A$2:$A$6191),VLOOKUP(C2988,Hoja1!$B$1:$C$6191,2,0)),"No esta en Infor")</f>
        <v>SH00234</v>
      </c>
      <c r="C2988" s="3" t="s">
        <v>710</v>
      </c>
      <c r="D2988" s="3">
        <v>-56.02</v>
      </c>
      <c r="E2988" s="6"/>
      <c r="F2988" s="3">
        <v>0</v>
      </c>
      <c r="G2988" s="3">
        <v>0</v>
      </c>
      <c r="H2988" s="3">
        <v>0</v>
      </c>
      <c r="I2988" s="3">
        <v>0</v>
      </c>
      <c r="J2988" s="18">
        <f t="shared" si="6"/>
        <v>-56.02</v>
      </c>
    </row>
    <row r="2989" spans="1:10" ht="15.75" x14ac:dyDescent="0.25">
      <c r="A2989" s="21">
        <v>45596</v>
      </c>
      <c r="B2989" t="str">
        <f>IFERROR(IF(VLOOKUP(C2989,Hoja1!$B$1:$C$6191,2,0)="",_xlfn.XLOOKUP(C2989,Hoja1!$B$2:$B$6191,Hoja1!$A$2:$A$6191),VLOOKUP(C2989,Hoja1!$B$1:$C$6191,2,0)),"No esta en Infor")</f>
        <v>CAN0003</v>
      </c>
      <c r="C2989" s="3" t="s">
        <v>441</v>
      </c>
      <c r="D2989" s="4">
        <v>30178.31</v>
      </c>
      <c r="E2989" s="6"/>
      <c r="F2989" s="3">
        <v>0</v>
      </c>
      <c r="G2989" s="3">
        <v>0</v>
      </c>
      <c r="H2989" s="3">
        <v>0</v>
      </c>
      <c r="I2989" s="3">
        <v>0</v>
      </c>
      <c r="J2989" s="18">
        <f t="shared" si="6"/>
        <v>30178.31</v>
      </c>
    </row>
    <row r="2990" spans="1:10" ht="15.75" x14ac:dyDescent="0.25">
      <c r="A2990" s="21">
        <v>45596</v>
      </c>
      <c r="B2990" t="str">
        <f>IFERROR(IF(VLOOKUP(C2990,Hoja1!$B$1:$C$6191,2,0)="",_xlfn.XLOOKUP(C2990,Hoja1!$B$2:$B$6191,Hoja1!$A$2:$A$6191),VLOOKUP(C2990,Hoja1!$B$1:$C$6191,2,0)),"No esta en Infor")</f>
        <v>CAN0005</v>
      </c>
      <c r="C2990" s="3" t="s">
        <v>90</v>
      </c>
      <c r="D2990" s="4">
        <v>134573.54999999999</v>
      </c>
      <c r="E2990" s="6"/>
      <c r="F2990" s="3">
        <v>0</v>
      </c>
      <c r="G2990" s="3">
        <v>0</v>
      </c>
      <c r="H2990" s="3">
        <v>0</v>
      </c>
      <c r="I2990" s="3">
        <v>0</v>
      </c>
      <c r="J2990" s="18">
        <f t="shared" si="6"/>
        <v>134573.54999999999</v>
      </c>
    </row>
    <row r="2991" spans="1:10" ht="15.75" x14ac:dyDescent="0.25">
      <c r="A2991" s="21">
        <v>45596</v>
      </c>
      <c r="B2991" t="str">
        <f>IFERROR(IF(VLOOKUP(C2991,Hoja1!$B$1:$C$6191,2,0)="",_xlfn.XLOOKUP(C2991,Hoja1!$B$2:$B$6191,Hoja1!$A$2:$A$6191),VLOOKUP(C2991,Hoja1!$B$1:$C$6191,2,0)),"No esta en Infor")</f>
        <v>NAC0583</v>
      </c>
      <c r="C2991" s="3" t="s">
        <v>385</v>
      </c>
      <c r="D2991" s="3">
        <v>-188.56</v>
      </c>
      <c r="E2991" s="6"/>
      <c r="F2991" s="3">
        <v>0</v>
      </c>
      <c r="G2991" s="3">
        <v>0</v>
      </c>
      <c r="H2991" s="3">
        <v>0</v>
      </c>
      <c r="I2991" s="3">
        <v>0</v>
      </c>
      <c r="J2991" s="18">
        <f t="shared" si="6"/>
        <v>-188.56</v>
      </c>
    </row>
    <row r="2992" spans="1:10" ht="15.75" x14ac:dyDescent="0.25">
      <c r="A2992" s="21">
        <v>45596</v>
      </c>
      <c r="B2992" t="str">
        <f>IFERROR(IF(VLOOKUP(C2992,Hoja1!$B$1:$C$6191,2,0)="",_xlfn.XLOOKUP(C2992,Hoja1!$B$2:$B$6191,Hoja1!$A$2:$A$6191),VLOOKUP(C2992,Hoja1!$B$1:$C$6191,2,0)),"No esta en Infor")</f>
        <v>NAC0584</v>
      </c>
      <c r="C2992" s="3" t="s">
        <v>91</v>
      </c>
      <c r="D2992" s="4">
        <v>-3164.2</v>
      </c>
      <c r="E2992" s="6"/>
      <c r="F2992" s="3">
        <v>0</v>
      </c>
      <c r="G2992" s="3">
        <v>0</v>
      </c>
      <c r="H2992" s="3">
        <v>0</v>
      </c>
      <c r="I2992" s="3">
        <v>0</v>
      </c>
      <c r="J2992" s="18">
        <f t="shared" si="6"/>
        <v>-3164.2</v>
      </c>
    </row>
    <row r="2993" spans="1:10" ht="15.75" x14ac:dyDescent="0.25">
      <c r="A2993" s="21">
        <v>45596</v>
      </c>
      <c r="B2993" t="str">
        <f>IFERROR(IF(VLOOKUP(C2993,Hoja1!$B$1:$C$6191,2,0)="",_xlfn.XLOOKUP(C2993,Hoja1!$B$2:$B$6191,Hoja1!$A$2:$A$6191),VLOOKUP(C2993,Hoja1!$B$1:$C$6191,2,0)),"No esta en Infor")</f>
        <v>NAC0594</v>
      </c>
      <c r="C2993" s="3" t="s">
        <v>94</v>
      </c>
      <c r="D2993" s="4">
        <v>16786.5</v>
      </c>
      <c r="E2993" s="6"/>
      <c r="F2993" s="3">
        <v>0</v>
      </c>
      <c r="G2993" s="3">
        <v>0</v>
      </c>
      <c r="H2993" s="3">
        <v>0</v>
      </c>
      <c r="I2993" s="3">
        <v>0</v>
      </c>
      <c r="J2993" s="18">
        <f t="shared" si="6"/>
        <v>16786.5</v>
      </c>
    </row>
    <row r="2994" spans="1:10" ht="15.75" x14ac:dyDescent="0.25">
      <c r="A2994" s="21">
        <v>45596</v>
      </c>
      <c r="B2994" t="str">
        <f>IFERROR(IF(VLOOKUP(C2994,Hoja1!$B$1:$C$6191,2,0)="",_xlfn.XLOOKUP(C2994,Hoja1!$B$2:$B$6191,Hoja1!$A$2:$A$6191),VLOOKUP(C2994,Hoja1!$B$1:$C$6191,2,0)),"No esta en Infor")</f>
        <v>SH00267</v>
      </c>
      <c r="C2994" s="3" t="s">
        <v>386</v>
      </c>
      <c r="D2994" s="3">
        <v>-157.99</v>
      </c>
      <c r="E2994" s="6"/>
      <c r="F2994" s="3">
        <v>0</v>
      </c>
      <c r="G2994" s="3">
        <v>0</v>
      </c>
      <c r="H2994" s="3">
        <v>0</v>
      </c>
      <c r="I2994" s="3">
        <v>0</v>
      </c>
      <c r="J2994" s="18">
        <f t="shared" si="6"/>
        <v>-157.99</v>
      </c>
    </row>
    <row r="2995" spans="1:10" ht="15.75" x14ac:dyDescent="0.25">
      <c r="A2995" s="21">
        <v>45596</v>
      </c>
      <c r="B2995" t="str">
        <f>IFERROR(IF(VLOOKUP(C2995,Hoja1!$B$1:$C$6191,2,0)="",_xlfn.XLOOKUP(C2995,Hoja1!$B$2:$B$6191,Hoja1!$A$2:$A$6191),VLOOKUP(C2995,Hoja1!$B$1:$C$6191,2,0)),"No esta en Infor")</f>
        <v>SH03092</v>
      </c>
      <c r="C2995" s="3" t="s">
        <v>711</v>
      </c>
      <c r="D2995" s="3">
        <v>-58.5</v>
      </c>
      <c r="E2995" s="6"/>
      <c r="F2995" s="3">
        <v>0</v>
      </c>
      <c r="G2995" s="3">
        <v>0</v>
      </c>
      <c r="H2995" s="3">
        <v>0</v>
      </c>
      <c r="I2995" s="3">
        <v>0</v>
      </c>
      <c r="J2995" s="18">
        <f t="shared" si="6"/>
        <v>-58.5</v>
      </c>
    </row>
    <row r="2996" spans="1:10" ht="15.75" x14ac:dyDescent="0.25">
      <c r="A2996" s="21">
        <v>45596</v>
      </c>
      <c r="B2996" t="str">
        <f>IFERROR(IF(VLOOKUP(C2996,Hoja1!$B$1:$C$6191,2,0)="",_xlfn.XLOOKUP(C2996,Hoja1!$B$2:$B$6191,Hoja1!$A$2:$A$6191),VLOOKUP(C2996,Hoja1!$B$1:$C$6191,2,0)),"No esta en Infor")</f>
        <v>SH00288</v>
      </c>
      <c r="C2996" s="3" t="s">
        <v>712</v>
      </c>
      <c r="D2996" s="3">
        <v>-241.42</v>
      </c>
      <c r="E2996" s="6"/>
      <c r="F2996" s="3">
        <v>0</v>
      </c>
      <c r="G2996" s="3">
        <v>0</v>
      </c>
      <c r="H2996" s="3">
        <v>0</v>
      </c>
      <c r="I2996" s="3">
        <v>0</v>
      </c>
      <c r="J2996" s="18">
        <f t="shared" si="6"/>
        <v>-241.42</v>
      </c>
    </row>
    <row r="2997" spans="1:10" ht="15.75" x14ac:dyDescent="0.25">
      <c r="A2997" s="21">
        <v>45596</v>
      </c>
      <c r="B2997" t="str">
        <f>IFERROR(IF(VLOOKUP(C2997,Hoja1!$B$1:$C$6191,2,0)="",_xlfn.XLOOKUP(C2997,Hoja1!$B$2:$B$6191,Hoja1!$A$2:$A$6191),VLOOKUP(C2997,Hoja1!$B$1:$C$6191,2,0)),"No esta en Infor")</f>
        <v>NAC0600</v>
      </c>
      <c r="C2997" s="3" t="s">
        <v>96</v>
      </c>
      <c r="D2997" s="4">
        <v>3034</v>
      </c>
      <c r="E2997" s="6"/>
      <c r="F2997" s="3">
        <v>0</v>
      </c>
      <c r="G2997" s="3">
        <v>0</v>
      </c>
      <c r="H2997" s="3">
        <v>0</v>
      </c>
      <c r="I2997" s="3">
        <v>0</v>
      </c>
      <c r="J2997" s="18">
        <f t="shared" si="6"/>
        <v>3034</v>
      </c>
    </row>
    <row r="2998" spans="1:10" ht="15.75" x14ac:dyDescent="0.25">
      <c r="A2998" s="21">
        <v>45596</v>
      </c>
      <c r="B2998" t="str">
        <f>IFERROR(IF(VLOOKUP(C2998,Hoja1!$B$1:$C$6191,2,0)="",_xlfn.XLOOKUP(C2998,Hoja1!$B$2:$B$6191,Hoja1!$A$2:$A$6191),VLOOKUP(C2998,Hoja1!$B$1:$C$6191,2,0)),"No esta en Infor")</f>
        <v>NAC0604</v>
      </c>
      <c r="C2998" s="3" t="s">
        <v>97</v>
      </c>
      <c r="D2998" s="4">
        <v>12630.44</v>
      </c>
      <c r="E2998" s="6"/>
      <c r="F2998" s="3">
        <v>0</v>
      </c>
      <c r="G2998" s="3">
        <v>0</v>
      </c>
      <c r="H2998" s="3">
        <v>0</v>
      </c>
      <c r="I2998" s="3">
        <v>0</v>
      </c>
      <c r="J2998" s="18">
        <f t="shared" si="6"/>
        <v>12630.44</v>
      </c>
    </row>
    <row r="2999" spans="1:10" ht="15.75" x14ac:dyDescent="0.25">
      <c r="A2999" s="21">
        <v>45596</v>
      </c>
      <c r="B2999" t="str">
        <f>IFERROR(IF(VLOOKUP(C2999,Hoja1!$B$1:$C$6191,2,0)="",_xlfn.XLOOKUP(C2999,Hoja1!$B$2:$B$6191,Hoja1!$A$2:$A$6191),VLOOKUP(C2999,Hoja1!$B$1:$C$6191,2,0)),"No esta en Infor")</f>
        <v>NAC0606</v>
      </c>
      <c r="C2999" s="3" t="s">
        <v>713</v>
      </c>
      <c r="D2999" s="4">
        <v>1071</v>
      </c>
      <c r="E2999" s="6"/>
      <c r="F2999" s="3">
        <v>0</v>
      </c>
      <c r="G2999" s="3">
        <v>0</v>
      </c>
      <c r="H2999" s="3">
        <v>0</v>
      </c>
      <c r="I2999" s="3">
        <v>0</v>
      </c>
      <c r="J2999" s="18">
        <f t="shared" si="6"/>
        <v>1071</v>
      </c>
    </row>
    <row r="3000" spans="1:10" ht="15.75" x14ac:dyDescent="0.25">
      <c r="A3000" s="21">
        <v>45596</v>
      </c>
      <c r="B3000" t="str">
        <f>IFERROR(IF(VLOOKUP(C3000,Hoja1!$B$1:$C$6191,2,0)="",_xlfn.XLOOKUP(C3000,Hoja1!$B$2:$B$6191,Hoja1!$A$2:$A$6191),VLOOKUP(C3000,Hoja1!$B$1:$C$6191,2,0)),"No esta en Infor")</f>
        <v>CAN0006</v>
      </c>
      <c r="C3000" s="3" t="s">
        <v>17</v>
      </c>
      <c r="D3000" s="4">
        <v>59959.72</v>
      </c>
      <c r="E3000" s="6"/>
      <c r="F3000" s="3">
        <v>-14.7</v>
      </c>
      <c r="G3000" s="4">
        <v>-1036.68</v>
      </c>
      <c r="H3000" s="3">
        <v>0</v>
      </c>
      <c r="I3000" s="3">
        <v>0</v>
      </c>
      <c r="J3000" s="18">
        <f t="shared" si="6"/>
        <v>58908.340000000004</v>
      </c>
    </row>
    <row r="3001" spans="1:10" ht="15.75" x14ac:dyDescent="0.25">
      <c r="A3001" s="21">
        <v>45596</v>
      </c>
      <c r="B3001" t="str">
        <f>IFERROR(IF(VLOOKUP(C3001,Hoja1!$B$1:$C$6191,2,0)="",_xlfn.XLOOKUP(C3001,Hoja1!$B$2:$B$6191,Hoja1!$A$2:$A$6191),VLOOKUP(C3001,Hoja1!$B$1:$C$6191,2,0)),"No esta en Infor")</f>
        <v>NAC0612</v>
      </c>
      <c r="C3001" s="3" t="s">
        <v>100</v>
      </c>
      <c r="D3001" s="4">
        <v>29715.15</v>
      </c>
      <c r="E3001" s="6"/>
      <c r="F3001" s="3">
        <v>0</v>
      </c>
      <c r="G3001" s="3">
        <v>0</v>
      </c>
      <c r="H3001" s="3">
        <v>0</v>
      </c>
      <c r="I3001" s="3">
        <v>0</v>
      </c>
      <c r="J3001" s="18">
        <f t="shared" si="6"/>
        <v>29715.15</v>
      </c>
    </row>
    <row r="3002" spans="1:10" ht="15.75" x14ac:dyDescent="0.25">
      <c r="A3002" s="21">
        <v>45596</v>
      </c>
      <c r="B3002" t="str">
        <f>IFERROR(IF(VLOOKUP(C3002,Hoja1!$B$1:$C$6191,2,0)="",_xlfn.XLOOKUP(C3002,Hoja1!$B$2:$B$6191,Hoja1!$A$2:$A$6191),VLOOKUP(C3002,Hoja1!$B$1:$C$6191,2,0)),"No esta en Infor")</f>
        <v>NAC0613</v>
      </c>
      <c r="C3002" s="3" t="s">
        <v>101</v>
      </c>
      <c r="D3002" s="4">
        <v>18514.36</v>
      </c>
      <c r="E3002" s="6"/>
      <c r="F3002" s="3">
        <v>0</v>
      </c>
      <c r="G3002" s="3">
        <v>0</v>
      </c>
      <c r="H3002" s="3">
        <v>-81.599999999999994</v>
      </c>
      <c r="I3002" s="3">
        <v>0</v>
      </c>
      <c r="J3002" s="18">
        <f t="shared" si="6"/>
        <v>18432.760000000002</v>
      </c>
    </row>
    <row r="3003" spans="1:10" ht="15.75" x14ac:dyDescent="0.25">
      <c r="A3003" s="21">
        <v>45596</v>
      </c>
      <c r="B3003" t="str">
        <f>IFERROR(IF(VLOOKUP(C3003,Hoja1!$B$1:$C$6191,2,0)="",_xlfn.XLOOKUP(C3003,Hoja1!$B$2:$B$6191,Hoja1!$A$2:$A$6191),VLOOKUP(C3003,Hoja1!$B$1:$C$6191,2,0)),"No esta en Infor")</f>
        <v>NAC0614</v>
      </c>
      <c r="C3003" s="3" t="s">
        <v>102</v>
      </c>
      <c r="D3003" s="3">
        <v>29.44</v>
      </c>
      <c r="E3003" s="6"/>
      <c r="F3003" s="3">
        <v>0</v>
      </c>
      <c r="G3003" s="3">
        <v>0</v>
      </c>
      <c r="H3003" s="3">
        <v>0</v>
      </c>
      <c r="I3003" s="3">
        <v>0</v>
      </c>
      <c r="J3003" s="18">
        <f t="shared" si="6"/>
        <v>29.44</v>
      </c>
    </row>
    <row r="3004" spans="1:10" ht="15.75" x14ac:dyDescent="0.25">
      <c r="A3004" s="21">
        <v>45596</v>
      </c>
      <c r="B3004" t="str">
        <f>IFERROR(IF(VLOOKUP(C3004,Hoja1!$B$1:$C$6191,2,0)="",_xlfn.XLOOKUP(C3004,Hoja1!$B$2:$B$6191,Hoja1!$A$2:$A$6191),VLOOKUP(C3004,Hoja1!$B$1:$C$6191,2,0)),"No esta en Infor")</f>
        <v>SH00319</v>
      </c>
      <c r="C3004" s="3" t="s">
        <v>580</v>
      </c>
      <c r="D3004" s="3">
        <v>-247.63</v>
      </c>
      <c r="E3004" s="6"/>
      <c r="F3004" s="3">
        <v>0</v>
      </c>
      <c r="G3004" s="3">
        <v>0</v>
      </c>
      <c r="H3004" s="3">
        <v>0</v>
      </c>
      <c r="I3004" s="3">
        <v>0</v>
      </c>
      <c r="J3004" s="18">
        <f t="shared" si="6"/>
        <v>-247.63</v>
      </c>
    </row>
    <row r="3005" spans="1:10" ht="15.75" x14ac:dyDescent="0.25">
      <c r="A3005" s="21">
        <v>45596</v>
      </c>
      <c r="B3005" t="str">
        <f>IFERROR(IF(VLOOKUP(C3005,Hoja1!$B$1:$C$6191,2,0)="",_xlfn.XLOOKUP(C3005,Hoja1!$B$2:$B$6191,Hoja1!$A$2:$A$6191),VLOOKUP(C3005,Hoja1!$B$1:$C$6191,2,0)),"No esta en Infor")</f>
        <v>SH03085</v>
      </c>
      <c r="C3005" s="3" t="s">
        <v>714</v>
      </c>
      <c r="D3005" s="3">
        <v>-83.71</v>
      </c>
      <c r="E3005" s="6"/>
      <c r="F3005" s="3">
        <v>0</v>
      </c>
      <c r="G3005" s="3">
        <v>0</v>
      </c>
      <c r="H3005" s="3">
        <v>0</v>
      </c>
      <c r="I3005" s="3">
        <v>0</v>
      </c>
      <c r="J3005" s="18">
        <f t="shared" si="6"/>
        <v>-83.71</v>
      </c>
    </row>
    <row r="3006" spans="1:10" ht="15.75" x14ac:dyDescent="0.25">
      <c r="A3006" s="21">
        <v>45596</v>
      </c>
      <c r="B3006" t="str">
        <f>IFERROR(IF(VLOOKUP(C3006,Hoja1!$B$1:$C$6191,2,0)="",_xlfn.XLOOKUP(C3006,Hoja1!$B$2:$B$6191,Hoja1!$A$2:$A$6191),VLOOKUP(C3006,Hoja1!$B$1:$C$6191,2,0)),"No esta en Infor")</f>
        <v>NAC0624</v>
      </c>
      <c r="C3006" s="3" t="s">
        <v>105</v>
      </c>
      <c r="D3006" s="3">
        <v>261.51</v>
      </c>
      <c r="E3006" s="6"/>
      <c r="F3006" s="3">
        <v>0</v>
      </c>
      <c r="G3006" s="3">
        <v>0</v>
      </c>
      <c r="H3006" s="3">
        <v>-231</v>
      </c>
      <c r="I3006" s="3">
        <v>0</v>
      </c>
      <c r="J3006" s="18">
        <f t="shared" si="6"/>
        <v>30.509999999999991</v>
      </c>
    </row>
    <row r="3007" spans="1:10" ht="15.75" x14ac:dyDescent="0.25">
      <c r="A3007" s="21">
        <v>45596</v>
      </c>
      <c r="B3007" t="str">
        <f>IFERROR(IF(VLOOKUP(C3007,Hoja1!$B$1:$C$6191,2,0)="",_xlfn.XLOOKUP(C3007,Hoja1!$B$2:$B$6191,Hoja1!$A$2:$A$6191),VLOOKUP(C3007,Hoja1!$B$1:$C$6191,2,0)),"No esta en Infor")</f>
        <v>NAC0630</v>
      </c>
      <c r="C3007" s="3" t="s">
        <v>653</v>
      </c>
      <c r="D3007" s="4">
        <v>46163</v>
      </c>
      <c r="E3007" s="6"/>
      <c r="F3007" s="3">
        <v>0</v>
      </c>
      <c r="G3007" s="3">
        <v>0</v>
      </c>
      <c r="H3007" s="3">
        <v>0</v>
      </c>
      <c r="I3007" s="3">
        <v>0</v>
      </c>
      <c r="J3007" s="18">
        <f t="shared" si="6"/>
        <v>46163</v>
      </c>
    </row>
    <row r="3008" spans="1:10" ht="15.75" x14ac:dyDescent="0.25">
      <c r="A3008" s="21">
        <v>45596</v>
      </c>
      <c r="B3008" t="str">
        <f>IFERROR(IF(VLOOKUP(C3008,Hoja1!$B$1:$C$6191,2,0)="",_xlfn.XLOOKUP(C3008,Hoja1!$B$2:$B$6191,Hoja1!$A$2:$A$6191),VLOOKUP(C3008,Hoja1!$B$1:$C$6191,2,0)),"No esta en Infor")</f>
        <v>NAC0633</v>
      </c>
      <c r="C3008" s="3" t="s">
        <v>595</v>
      </c>
      <c r="D3008" s="3">
        <v>448</v>
      </c>
      <c r="E3008" s="6"/>
      <c r="F3008" s="3">
        <v>0</v>
      </c>
      <c r="G3008" s="3">
        <v>0</v>
      </c>
      <c r="H3008" s="3">
        <v>0</v>
      </c>
      <c r="I3008" s="3">
        <v>0</v>
      </c>
      <c r="J3008" s="18">
        <f t="shared" si="6"/>
        <v>448</v>
      </c>
    </row>
    <row r="3009" spans="1:10" ht="15.75" x14ac:dyDescent="0.25">
      <c r="A3009" s="21">
        <v>45596</v>
      </c>
      <c r="B3009" t="str">
        <f>IFERROR(IF(VLOOKUP(C3009,Hoja1!$B$1:$C$6191,2,0)="",_xlfn.XLOOKUP(C3009,Hoja1!$B$2:$B$6191,Hoja1!$A$2:$A$6191),VLOOKUP(C3009,Hoja1!$B$1:$C$6191,2,0)),"No esta en Infor")</f>
        <v>SH03067</v>
      </c>
      <c r="C3009" s="3" t="s">
        <v>715</v>
      </c>
      <c r="D3009" s="3">
        <v>-88.26</v>
      </c>
      <c r="E3009" s="6"/>
      <c r="F3009" s="3">
        <v>0</v>
      </c>
      <c r="G3009" s="3">
        <v>0</v>
      </c>
      <c r="H3009" s="3">
        <v>0</v>
      </c>
      <c r="I3009" s="3">
        <v>0</v>
      </c>
      <c r="J3009" s="18">
        <f t="shared" si="6"/>
        <v>-88.26</v>
      </c>
    </row>
    <row r="3010" spans="1:10" ht="15.75" x14ac:dyDescent="0.25">
      <c r="A3010" s="21">
        <v>45596</v>
      </c>
      <c r="B3010" t="str">
        <f>IFERROR(IF(VLOOKUP(C3010,Hoja1!$B$1:$C$6191,2,0)="",_xlfn.XLOOKUP(C3010,Hoja1!$B$2:$B$6191,Hoja1!$A$2:$A$6191),VLOOKUP(C3010,Hoja1!$B$1:$C$6191,2,0)),"No esta en Infor")</f>
        <v>NAC0641</v>
      </c>
      <c r="C3010" s="3" t="s">
        <v>18</v>
      </c>
      <c r="D3010" s="4">
        <v>2082.4</v>
      </c>
      <c r="E3010" s="6"/>
      <c r="F3010" s="3">
        <v>0</v>
      </c>
      <c r="G3010" s="3">
        <v>0</v>
      </c>
      <c r="H3010" s="3">
        <v>0</v>
      </c>
      <c r="I3010" s="3">
        <v>0</v>
      </c>
      <c r="J3010" s="18">
        <f t="shared" si="6"/>
        <v>2082.4</v>
      </c>
    </row>
    <row r="3011" spans="1:10" ht="15.75" x14ac:dyDescent="0.25">
      <c r="A3011" s="21">
        <v>45596</v>
      </c>
      <c r="B3011" t="str">
        <f>IFERROR(IF(VLOOKUP(C3011,Hoja1!$B$1:$C$6191,2,0)="",_xlfn.XLOOKUP(C3011,Hoja1!$B$2:$B$6191,Hoja1!$A$2:$A$6191),VLOOKUP(C3011,Hoja1!$B$1:$C$6191,2,0)),"No esta en Infor")</f>
        <v>NAC0649</v>
      </c>
      <c r="C3011" s="3" t="s">
        <v>614</v>
      </c>
      <c r="D3011" s="4">
        <v>1463</v>
      </c>
      <c r="E3011" s="6"/>
      <c r="F3011" s="3">
        <v>0</v>
      </c>
      <c r="G3011" s="3">
        <v>0</v>
      </c>
      <c r="H3011" s="3">
        <v>0</v>
      </c>
      <c r="I3011" s="3">
        <v>0</v>
      </c>
      <c r="J3011" s="18">
        <f t="shared" si="6"/>
        <v>1463</v>
      </c>
    </row>
    <row r="3012" spans="1:10" ht="15.75" x14ac:dyDescent="0.25">
      <c r="A3012" s="21">
        <v>45596</v>
      </c>
      <c r="B3012" t="str">
        <f>IFERROR(IF(VLOOKUP(C3012,Hoja1!$B$1:$C$6191,2,0)="",_xlfn.XLOOKUP(C3012,Hoja1!$B$2:$B$6191,Hoja1!$A$2:$A$6191),VLOOKUP(C3012,Hoja1!$B$1:$C$6191,2,0)),"No esta en Infor")</f>
        <v>NAC0652</v>
      </c>
      <c r="C3012" s="3" t="s">
        <v>113</v>
      </c>
      <c r="D3012" s="3">
        <v>133</v>
      </c>
      <c r="E3012" s="6"/>
      <c r="F3012" s="3">
        <v>0</v>
      </c>
      <c r="G3012" s="3">
        <v>0</v>
      </c>
      <c r="H3012" s="3">
        <v>0</v>
      </c>
      <c r="I3012" s="3">
        <v>0</v>
      </c>
      <c r="J3012" s="18">
        <f t="shared" si="6"/>
        <v>133</v>
      </c>
    </row>
    <row r="3013" spans="1:10" ht="15.75" x14ac:dyDescent="0.25">
      <c r="A3013" s="21">
        <v>45596</v>
      </c>
      <c r="B3013" t="str">
        <f>IFERROR(IF(VLOOKUP(C3013,Hoja1!$B$1:$C$6191,2,0)="",_xlfn.XLOOKUP(C3013,Hoja1!$B$2:$B$6191,Hoja1!$A$2:$A$6191),VLOOKUP(C3013,Hoja1!$B$1:$C$6191,2,0)),"No esta en Infor")</f>
        <v>NAC0654</v>
      </c>
      <c r="C3013" s="3" t="s">
        <v>716</v>
      </c>
      <c r="D3013" s="4">
        <v>1848</v>
      </c>
      <c r="E3013" s="6"/>
      <c r="F3013" s="3">
        <v>0</v>
      </c>
      <c r="G3013" s="3">
        <v>0</v>
      </c>
      <c r="H3013" s="3">
        <v>0</v>
      </c>
      <c r="I3013" s="3">
        <v>0</v>
      </c>
      <c r="J3013" s="18">
        <f t="shared" si="6"/>
        <v>1848</v>
      </c>
    </row>
    <row r="3014" spans="1:10" ht="15.75" x14ac:dyDescent="0.25">
      <c r="A3014" s="21">
        <v>45596</v>
      </c>
      <c r="B3014" t="str">
        <f>IFERROR(IF(VLOOKUP(C3014,Hoja1!$B$1:$C$6191,2,0)="",_xlfn.XLOOKUP(C3014,Hoja1!$B$2:$B$6191,Hoja1!$A$2:$A$6191),VLOOKUP(C3014,Hoja1!$B$1:$C$6191,2,0)),"No esta en Infor")</f>
        <v>NAC0657</v>
      </c>
      <c r="C3014" s="3" t="s">
        <v>114</v>
      </c>
      <c r="D3014" s="4">
        <v>5864.5</v>
      </c>
      <c r="E3014" s="6"/>
      <c r="F3014" s="3">
        <v>0</v>
      </c>
      <c r="G3014" s="3">
        <v>0</v>
      </c>
      <c r="H3014" s="3">
        <v>0</v>
      </c>
      <c r="I3014" s="3">
        <v>0</v>
      </c>
      <c r="J3014" s="18">
        <f t="shared" si="6"/>
        <v>5864.5</v>
      </c>
    </row>
    <row r="3015" spans="1:10" ht="15.75" x14ac:dyDescent="0.25">
      <c r="A3015" s="21">
        <v>45596</v>
      </c>
      <c r="B3015" t="str">
        <f>IFERROR(IF(VLOOKUP(C3015,Hoja1!$B$1:$C$6191,2,0)="",_xlfn.XLOOKUP(C3015,Hoja1!$B$2:$B$6191,Hoja1!$A$2:$A$6191),VLOOKUP(C3015,Hoja1!$B$1:$C$6191,2,0)),"No esta en Infor")</f>
        <v>CAN0008</v>
      </c>
      <c r="C3015" s="3" t="s">
        <v>115</v>
      </c>
      <c r="D3015" s="3">
        <v>776.25</v>
      </c>
      <c r="E3015" s="6"/>
      <c r="F3015" s="3">
        <v>0</v>
      </c>
      <c r="G3015" s="3">
        <v>0</v>
      </c>
      <c r="H3015" s="3">
        <v>0</v>
      </c>
      <c r="I3015" s="3">
        <v>0</v>
      </c>
      <c r="J3015" s="18">
        <f t="shared" si="6"/>
        <v>776.25</v>
      </c>
    </row>
    <row r="3016" spans="1:10" ht="15.75" x14ac:dyDescent="0.25">
      <c r="A3016" s="21">
        <v>45596</v>
      </c>
      <c r="B3016" t="str">
        <f>IFERROR(IF(VLOOKUP(C3016,Hoja1!$B$1:$C$6191,2,0)="",_xlfn.XLOOKUP(C3016,Hoja1!$B$2:$B$6191,Hoja1!$A$2:$A$6191),VLOOKUP(C3016,Hoja1!$B$1:$C$6191,2,0)),"No esta en Infor")</f>
        <v>NAC0666</v>
      </c>
      <c r="C3016" s="3" t="s">
        <v>118</v>
      </c>
      <c r="D3016" s="4">
        <v>17182.16</v>
      </c>
      <c r="E3016" s="6"/>
      <c r="F3016" s="3">
        <v>0</v>
      </c>
      <c r="G3016" s="3">
        <v>0</v>
      </c>
      <c r="H3016" s="3">
        <v>0</v>
      </c>
      <c r="I3016" s="3">
        <v>0</v>
      </c>
      <c r="J3016" s="18">
        <f t="shared" si="6"/>
        <v>17182.16</v>
      </c>
    </row>
    <row r="3017" spans="1:10" ht="15.75" x14ac:dyDescent="0.25">
      <c r="A3017" s="21">
        <v>45596</v>
      </c>
      <c r="B3017" t="str">
        <f>IFERROR(IF(VLOOKUP(C3017,Hoja1!$B$1:$C$6191,2,0)="",_xlfn.XLOOKUP(C3017,Hoja1!$B$2:$B$6191,Hoja1!$A$2:$A$6191),VLOOKUP(C3017,Hoja1!$B$1:$C$6191,2,0)),"No esta en Infor")</f>
        <v>NAC0669</v>
      </c>
      <c r="C3017" s="3" t="s">
        <v>119</v>
      </c>
      <c r="D3017" s="4">
        <v>1686.66</v>
      </c>
      <c r="E3017" s="6"/>
      <c r="F3017" s="3">
        <v>0</v>
      </c>
      <c r="G3017" s="3">
        <v>0</v>
      </c>
      <c r="H3017" s="3">
        <v>0</v>
      </c>
      <c r="I3017" s="3">
        <v>0</v>
      </c>
      <c r="J3017" s="18">
        <f t="shared" si="6"/>
        <v>1686.66</v>
      </c>
    </row>
    <row r="3018" spans="1:10" ht="15.75" x14ac:dyDescent="0.25">
      <c r="A3018" s="21">
        <v>45596</v>
      </c>
      <c r="B3018" t="str">
        <f>IFERROR(IF(VLOOKUP(C3018,Hoja1!$B$1:$C$6191,2,0)="",_xlfn.XLOOKUP(C3018,Hoja1!$B$2:$B$6191,Hoja1!$A$2:$A$6191),VLOOKUP(C3018,Hoja1!$B$1:$C$6191,2,0)),"No esta en Infor")</f>
        <v>SH03064</v>
      </c>
      <c r="C3018" s="3" t="s">
        <v>717</v>
      </c>
      <c r="D3018" s="3">
        <v>-294.88</v>
      </c>
      <c r="E3018" s="6"/>
      <c r="F3018" s="3">
        <v>0</v>
      </c>
      <c r="G3018" s="3">
        <v>0</v>
      </c>
      <c r="H3018" s="3">
        <v>0</v>
      </c>
      <c r="I3018" s="3">
        <v>0</v>
      </c>
      <c r="J3018" s="18">
        <f t="shared" si="6"/>
        <v>-294.88</v>
      </c>
    </row>
    <row r="3019" spans="1:10" ht="15.75" x14ac:dyDescent="0.25">
      <c r="A3019" s="21">
        <v>45596</v>
      </c>
      <c r="B3019" t="str">
        <f>IFERROR(IF(VLOOKUP(C3019,Hoja1!$B$1:$C$6191,2,0)="",_xlfn.XLOOKUP(C3019,Hoja1!$B$2:$B$6191,Hoja1!$A$2:$A$6191),VLOOKUP(C3019,Hoja1!$B$1:$C$6191,2,0)),"No esta en Infor")</f>
        <v>NAC0672</v>
      </c>
      <c r="C3019" s="3" t="s">
        <v>122</v>
      </c>
      <c r="D3019" s="4">
        <v>12968.64</v>
      </c>
      <c r="E3019" s="6"/>
      <c r="F3019" s="3">
        <v>0</v>
      </c>
      <c r="G3019" s="3">
        <v>0</v>
      </c>
      <c r="H3019" s="3">
        <v>0</v>
      </c>
      <c r="I3019" s="3">
        <v>0</v>
      </c>
      <c r="J3019" s="18">
        <f t="shared" si="6"/>
        <v>12968.64</v>
      </c>
    </row>
    <row r="3020" spans="1:10" ht="15.75" x14ac:dyDescent="0.25">
      <c r="A3020" s="21">
        <v>45596</v>
      </c>
      <c r="B3020" t="str">
        <f>IFERROR(IF(VLOOKUP(C3020,Hoja1!$B$1:$C$6191,2,0)="",_xlfn.XLOOKUP(C3020,Hoja1!$B$2:$B$6191,Hoja1!$A$2:$A$6191),VLOOKUP(C3020,Hoja1!$B$1:$C$6191,2,0)),"No esta en Infor")</f>
        <v>NAC0675</v>
      </c>
      <c r="C3020" s="3" t="s">
        <v>124</v>
      </c>
      <c r="D3020" s="4">
        <v>17523.150000000001</v>
      </c>
      <c r="E3020" s="6"/>
      <c r="F3020" s="3">
        <v>0</v>
      </c>
      <c r="G3020" s="3">
        <v>0</v>
      </c>
      <c r="H3020" s="3">
        <v>-787.89</v>
      </c>
      <c r="I3020" s="3">
        <v>0</v>
      </c>
      <c r="J3020" s="18">
        <f t="shared" si="6"/>
        <v>16735.260000000002</v>
      </c>
    </row>
    <row r="3021" spans="1:10" ht="15.75" x14ac:dyDescent="0.25">
      <c r="A3021" s="21">
        <v>45596</v>
      </c>
      <c r="B3021" t="str">
        <f>IFERROR(IF(VLOOKUP(C3021,Hoja1!$B$1:$C$6191,2,0)="",_xlfn.XLOOKUP(C3021,Hoja1!$B$2:$B$6191,Hoja1!$A$2:$A$6191),VLOOKUP(C3021,Hoja1!$B$1:$C$6191,2,0)),"No esta en Infor")</f>
        <v>NAC0680</v>
      </c>
      <c r="C3021" s="3" t="s">
        <v>125</v>
      </c>
      <c r="D3021" s="4">
        <v>7120</v>
      </c>
      <c r="E3021" s="6"/>
      <c r="F3021" s="3">
        <v>0</v>
      </c>
      <c r="G3021" s="3">
        <v>0</v>
      </c>
      <c r="H3021" s="3">
        <v>0</v>
      </c>
      <c r="I3021" s="3">
        <v>0</v>
      </c>
      <c r="J3021" s="18">
        <f t="shared" si="6"/>
        <v>7120</v>
      </c>
    </row>
    <row r="3022" spans="1:10" ht="15.75" x14ac:dyDescent="0.25">
      <c r="A3022" s="21">
        <v>45596</v>
      </c>
      <c r="B3022" t="str">
        <f>IFERROR(IF(VLOOKUP(C3022,Hoja1!$B$1:$C$6191,2,0)="",_xlfn.XLOOKUP(C3022,Hoja1!$B$2:$B$6191,Hoja1!$A$2:$A$6191),VLOOKUP(C3022,Hoja1!$B$1:$C$6191,2,0)),"No esta en Infor")</f>
        <v>SH00596</v>
      </c>
      <c r="C3022" s="3" t="s">
        <v>547</v>
      </c>
      <c r="D3022" s="3">
        <v>-242.53</v>
      </c>
      <c r="E3022" s="6"/>
      <c r="F3022" s="3">
        <v>0</v>
      </c>
      <c r="G3022" s="3">
        <v>0</v>
      </c>
      <c r="H3022" s="3">
        <v>0</v>
      </c>
      <c r="I3022" s="3">
        <v>0</v>
      </c>
      <c r="J3022" s="18">
        <f t="shared" si="6"/>
        <v>-242.53</v>
      </c>
    </row>
    <row r="3023" spans="1:10" ht="15.75" x14ac:dyDescent="0.25">
      <c r="A3023" s="21">
        <v>45596</v>
      </c>
      <c r="B3023" t="str">
        <f>IFERROR(IF(VLOOKUP(C3023,Hoja1!$B$1:$C$6191,2,0)="",_xlfn.XLOOKUP(C3023,Hoja1!$B$2:$B$6191,Hoja1!$A$2:$A$6191),VLOOKUP(C3023,Hoja1!$B$1:$C$6191,2,0)),"No esta en Infor")</f>
        <v>SH00610</v>
      </c>
      <c r="C3023" s="3" t="s">
        <v>129</v>
      </c>
      <c r="D3023" s="3">
        <v>-15</v>
      </c>
      <c r="E3023" s="6"/>
      <c r="F3023" s="3">
        <v>0</v>
      </c>
      <c r="G3023" s="3">
        <v>0</v>
      </c>
      <c r="H3023" s="3">
        <v>0</v>
      </c>
      <c r="I3023" s="3">
        <v>0</v>
      </c>
      <c r="J3023" s="18">
        <f t="shared" si="6"/>
        <v>-15</v>
      </c>
    </row>
    <row r="3024" spans="1:10" ht="15.75" x14ac:dyDescent="0.25">
      <c r="A3024" s="21">
        <v>45596</v>
      </c>
      <c r="B3024" t="str">
        <f>IFERROR(IF(VLOOKUP(C3024,Hoja1!$B$1:$C$6191,2,0)="",_xlfn.XLOOKUP(C3024,Hoja1!$B$2:$B$6191,Hoja1!$A$2:$A$6191),VLOOKUP(C3024,Hoja1!$B$1:$C$6191,2,0)),"No esta en Infor")</f>
        <v>INT0052</v>
      </c>
      <c r="C3024" s="3" t="s">
        <v>130</v>
      </c>
      <c r="D3024" s="4">
        <v>12895.34</v>
      </c>
      <c r="E3024" s="6"/>
      <c r="F3024" s="3">
        <v>241.53</v>
      </c>
      <c r="G3024" s="4">
        <v>10556.6</v>
      </c>
      <c r="H3024" s="4">
        <v>3586.95</v>
      </c>
      <c r="I3024" s="4">
        <v>11450.04</v>
      </c>
      <c r="J3024" s="18">
        <f t="shared" si="6"/>
        <v>38730.460000000006</v>
      </c>
    </row>
    <row r="3025" spans="1:10" ht="15.75" x14ac:dyDescent="0.25">
      <c r="A3025" s="21">
        <v>45596</v>
      </c>
      <c r="B3025" t="str">
        <f>IFERROR(IF(VLOOKUP(C3025,Hoja1!$B$1:$C$6191,2,0)="",_xlfn.XLOOKUP(C3025,Hoja1!$B$2:$B$6191,Hoja1!$A$2:$A$6191),VLOOKUP(C3025,Hoja1!$B$1:$C$6191,2,0)),"No esta en Infor")</f>
        <v>INT0007</v>
      </c>
      <c r="C3025" s="3" t="s">
        <v>131</v>
      </c>
      <c r="D3025" s="4">
        <v>1252771.05</v>
      </c>
      <c r="E3025" s="6"/>
      <c r="F3025" s="4">
        <v>625258.84</v>
      </c>
      <c r="G3025" s="4">
        <v>-2940.58</v>
      </c>
      <c r="H3025" s="4">
        <v>9690.33</v>
      </c>
      <c r="I3025" s="4">
        <v>-15219.32</v>
      </c>
      <c r="J3025" s="18">
        <f t="shared" si="6"/>
        <v>1869560.32</v>
      </c>
    </row>
    <row r="3026" spans="1:10" ht="15.75" x14ac:dyDescent="0.25">
      <c r="A3026" s="21">
        <v>45596</v>
      </c>
      <c r="B3026" t="str">
        <f>IFERROR(IF(VLOOKUP(C3026,Hoja1!$B$1:$C$6191,2,0)="",_xlfn.XLOOKUP(C3026,Hoja1!$B$2:$B$6191,Hoja1!$A$2:$A$6191),VLOOKUP(C3026,Hoja1!$B$1:$C$6191,2,0)),"No esta en Infor")</f>
        <v>INT0006</v>
      </c>
      <c r="C3026" s="3" t="s">
        <v>132</v>
      </c>
      <c r="D3026" s="4">
        <v>186507.45</v>
      </c>
      <c r="E3026" s="6"/>
      <c r="F3026" s="4">
        <v>9314.34</v>
      </c>
      <c r="G3026" s="4">
        <v>156835.89000000001</v>
      </c>
      <c r="H3026" s="4">
        <v>21328.16</v>
      </c>
      <c r="I3026" s="3">
        <v>-564.29999999999995</v>
      </c>
      <c r="J3026" s="18">
        <f t="shared" si="6"/>
        <v>373421.54000000004</v>
      </c>
    </row>
    <row r="3027" spans="1:10" ht="15.75" x14ac:dyDescent="0.25">
      <c r="A3027" s="21">
        <v>45596</v>
      </c>
      <c r="B3027" t="str">
        <f>IFERROR(IF(VLOOKUP(C3027,Hoja1!$B$1:$C$6191,2,0)="",_xlfn.XLOOKUP(C3027,Hoja1!$B$2:$B$6191,Hoja1!$A$2:$A$6191),VLOOKUP(C3027,Hoja1!$B$1:$C$6191,2,0)),"No esta en Infor")</f>
        <v>INT0002</v>
      </c>
      <c r="C3027" s="3" t="s">
        <v>133</v>
      </c>
      <c r="D3027" s="4">
        <v>88777.77</v>
      </c>
      <c r="E3027" s="6"/>
      <c r="F3027" s="4">
        <v>-3500</v>
      </c>
      <c r="G3027" s="3">
        <v>0</v>
      </c>
      <c r="H3027" s="3">
        <v>0</v>
      </c>
      <c r="I3027" s="3">
        <v>0</v>
      </c>
      <c r="J3027" s="18">
        <f t="shared" si="6"/>
        <v>85277.77</v>
      </c>
    </row>
    <row r="3028" spans="1:10" ht="15.75" x14ac:dyDescent="0.25">
      <c r="A3028" s="21">
        <v>45596</v>
      </c>
      <c r="B3028" t="str">
        <f>IFERROR(IF(VLOOKUP(C3028,Hoja1!$B$1:$C$6191,2,0)="",_xlfn.XLOOKUP(C3028,Hoja1!$B$2:$B$6191,Hoja1!$A$2:$A$6191),VLOOKUP(C3028,Hoja1!$B$1:$C$6191,2,0)),"No esta en Infor")</f>
        <v>INT0001</v>
      </c>
      <c r="C3028" s="3" t="s">
        <v>134</v>
      </c>
      <c r="D3028" s="4">
        <v>219836.33</v>
      </c>
      <c r="E3028" s="6"/>
      <c r="F3028" s="3">
        <v>0</v>
      </c>
      <c r="G3028" s="3">
        <v>0</v>
      </c>
      <c r="H3028" s="3">
        <v>0</v>
      </c>
      <c r="I3028" s="3">
        <v>-531.94000000000005</v>
      </c>
      <c r="J3028" s="18">
        <f t="shared" si="6"/>
        <v>219304.38999999998</v>
      </c>
    </row>
    <row r="3029" spans="1:10" ht="15.75" x14ac:dyDescent="0.25">
      <c r="A3029" s="21">
        <v>45596</v>
      </c>
      <c r="B3029" t="str">
        <f>IFERROR(IF(VLOOKUP(C3029,Hoja1!$B$1:$C$6191,2,0)="",_xlfn.XLOOKUP(C3029,Hoja1!$B$2:$B$6191,Hoja1!$A$2:$A$6191),VLOOKUP(C3029,Hoja1!$B$1:$C$6191,2,0)),"No esta en Infor")</f>
        <v>INT0065</v>
      </c>
      <c r="C3029" s="3" t="s">
        <v>135</v>
      </c>
      <c r="D3029" s="4">
        <v>39531.589999999997</v>
      </c>
      <c r="E3029" s="6"/>
      <c r="F3029" s="4">
        <v>14374.78</v>
      </c>
      <c r="G3029" s="3">
        <v>0</v>
      </c>
      <c r="H3029" s="4">
        <v>-17969.419999999998</v>
      </c>
      <c r="I3029" s="3">
        <v>0</v>
      </c>
      <c r="J3029" s="18">
        <f t="shared" si="6"/>
        <v>35936.949999999997</v>
      </c>
    </row>
    <row r="3030" spans="1:10" ht="15.75" x14ac:dyDescent="0.25">
      <c r="A3030" s="21">
        <v>45596</v>
      </c>
      <c r="B3030" t="str">
        <f>IFERROR(IF(VLOOKUP(C3030,Hoja1!$B$1:$C$6191,2,0)="",_xlfn.XLOOKUP(C3030,Hoja1!$B$2:$B$6191,Hoja1!$A$2:$A$6191),VLOOKUP(C3030,Hoja1!$B$1:$C$6191,2,0)),"No esta en Infor")</f>
        <v>INT0009</v>
      </c>
      <c r="C3030" s="3" t="s">
        <v>658</v>
      </c>
      <c r="D3030" s="4">
        <v>23822.21</v>
      </c>
      <c r="E3030" s="6"/>
      <c r="F3030" s="3">
        <v>0</v>
      </c>
      <c r="G3030" s="3">
        <v>0</v>
      </c>
      <c r="H3030" s="4">
        <v>-14950</v>
      </c>
      <c r="I3030" s="3">
        <v>0</v>
      </c>
      <c r="J3030" s="18">
        <f t="shared" si="6"/>
        <v>8872.2099999999991</v>
      </c>
    </row>
    <row r="3031" spans="1:10" ht="15.75" x14ac:dyDescent="0.25">
      <c r="A3031" s="21">
        <v>45596</v>
      </c>
      <c r="B3031" t="str">
        <f>IFERROR(IF(VLOOKUP(C3031,Hoja1!$B$1:$C$6191,2,0)="",_xlfn.XLOOKUP(C3031,Hoja1!$B$2:$B$6191,Hoja1!$A$2:$A$6191),VLOOKUP(C3031,Hoja1!$B$1:$C$6191,2,0)),"No esta en Infor")</f>
        <v>INT0060</v>
      </c>
      <c r="C3031" s="3" t="s">
        <v>136</v>
      </c>
      <c r="D3031" s="3">
        <v>49</v>
      </c>
      <c r="E3031" s="6"/>
      <c r="F3031" s="4">
        <v>15333.14</v>
      </c>
      <c r="G3031" s="4">
        <v>1400.6</v>
      </c>
      <c r="H3031" s="4">
        <v>5624.76</v>
      </c>
      <c r="I3031" s="4">
        <v>20451.93</v>
      </c>
      <c r="J3031" s="18">
        <f t="shared" si="6"/>
        <v>42859.43</v>
      </c>
    </row>
    <row r="3032" spans="1:10" ht="15.75" x14ac:dyDescent="0.25">
      <c r="A3032" s="21">
        <v>45596</v>
      </c>
      <c r="B3032" t="str">
        <f>IFERROR(IF(VLOOKUP(C3032,Hoja1!$B$1:$C$6191,2,0)="",_xlfn.XLOOKUP(C3032,Hoja1!$B$2:$B$6191,Hoja1!$A$2:$A$6191),VLOOKUP(C3032,Hoja1!$B$1:$C$6191,2,0)),"No esta en Infor")</f>
        <v>INT0064</v>
      </c>
      <c r="C3032" s="3" t="s">
        <v>659</v>
      </c>
      <c r="D3032" s="3">
        <v>29.54</v>
      </c>
      <c r="E3032" s="6"/>
      <c r="F3032" s="3">
        <v>0</v>
      </c>
      <c r="G3032" s="3">
        <v>0</v>
      </c>
      <c r="H3032" s="3">
        <v>0</v>
      </c>
      <c r="I3032" s="3">
        <v>0</v>
      </c>
      <c r="J3032" s="18">
        <f t="shared" si="6"/>
        <v>29.54</v>
      </c>
    </row>
    <row r="3033" spans="1:10" ht="15.75" x14ac:dyDescent="0.25">
      <c r="A3033" s="21">
        <v>45596</v>
      </c>
      <c r="B3033" t="str">
        <f>IFERROR(IF(VLOOKUP(C3033,Hoja1!$B$1:$C$6191,2,0)="",_xlfn.XLOOKUP(C3033,Hoja1!$B$2:$B$6191,Hoja1!$A$2:$A$6191),VLOOKUP(C3033,Hoja1!$B$1:$C$6191,2,0)),"No esta en Infor")</f>
        <v>NAC0706</v>
      </c>
      <c r="C3033" s="3" t="s">
        <v>139</v>
      </c>
      <c r="D3033" s="4">
        <v>19331.2</v>
      </c>
      <c r="E3033" s="6"/>
      <c r="F3033" s="3">
        <v>0</v>
      </c>
      <c r="G3033" s="3">
        <v>0</v>
      </c>
      <c r="H3033" s="3">
        <v>0</v>
      </c>
      <c r="I3033" s="3">
        <v>0</v>
      </c>
      <c r="J3033" s="18">
        <f t="shared" si="6"/>
        <v>19331.2</v>
      </c>
    </row>
    <row r="3034" spans="1:10" ht="15.75" x14ac:dyDescent="0.25">
      <c r="A3034" s="21">
        <v>45596</v>
      </c>
      <c r="B3034" t="str">
        <f>IFERROR(IF(VLOOKUP(C3034,Hoja1!$B$1:$C$6191,2,0)="",_xlfn.XLOOKUP(C3034,Hoja1!$B$2:$B$6191,Hoja1!$A$2:$A$6191),VLOOKUP(C3034,Hoja1!$B$1:$C$6191,2,0)),"No esta en Infor")</f>
        <v>SH03062</v>
      </c>
      <c r="C3034" s="3" t="s">
        <v>718</v>
      </c>
      <c r="D3034" s="3">
        <v>-176.95</v>
      </c>
      <c r="E3034" s="6"/>
      <c r="F3034" s="3">
        <v>0</v>
      </c>
      <c r="G3034" s="3">
        <v>0</v>
      </c>
      <c r="H3034" s="3">
        <v>0</v>
      </c>
      <c r="I3034" s="3">
        <v>0</v>
      </c>
      <c r="J3034" s="18">
        <f t="shared" si="6"/>
        <v>-176.95</v>
      </c>
    </row>
    <row r="3035" spans="1:10" ht="15.75" x14ac:dyDescent="0.25">
      <c r="A3035" s="21">
        <v>45596</v>
      </c>
      <c r="B3035" t="str">
        <f>IFERROR(IF(VLOOKUP(C3035,Hoja1!$B$1:$C$6191,2,0)="",_xlfn.XLOOKUP(C3035,Hoja1!$B$2:$B$6191,Hoja1!$A$2:$A$6191),VLOOKUP(C3035,Hoja1!$B$1:$C$6191,2,0)),"No esta en Infor")</f>
        <v>NAC0710</v>
      </c>
      <c r="C3035" s="3" t="s">
        <v>140</v>
      </c>
      <c r="D3035" s="4">
        <v>1398</v>
      </c>
      <c r="E3035" s="6"/>
      <c r="F3035" s="3">
        <v>0</v>
      </c>
      <c r="G3035" s="3">
        <v>0</v>
      </c>
      <c r="H3035" s="3">
        <v>0</v>
      </c>
      <c r="I3035" s="3">
        <v>0</v>
      </c>
      <c r="J3035" s="18">
        <f t="shared" si="6"/>
        <v>1398</v>
      </c>
    </row>
    <row r="3036" spans="1:10" ht="15.75" x14ac:dyDescent="0.25">
      <c r="A3036" s="21">
        <v>45596</v>
      </c>
      <c r="B3036" t="str">
        <f>IFERROR(IF(VLOOKUP(C3036,Hoja1!$B$1:$C$6191,2,0)="",_xlfn.XLOOKUP(C3036,Hoja1!$B$2:$B$6191,Hoja1!$A$2:$A$6191),VLOOKUP(C3036,Hoja1!$B$1:$C$6191,2,0)),"No esta en Infor")</f>
        <v>NAC0712</v>
      </c>
      <c r="C3036" s="3" t="s">
        <v>142</v>
      </c>
      <c r="D3036" s="4">
        <v>50052</v>
      </c>
      <c r="E3036" s="6"/>
      <c r="F3036" s="3">
        <v>0</v>
      </c>
      <c r="G3036" s="3">
        <v>0</v>
      </c>
      <c r="H3036" s="3">
        <v>0</v>
      </c>
      <c r="I3036" s="3">
        <v>0</v>
      </c>
      <c r="J3036" s="18">
        <f t="shared" si="6"/>
        <v>50052</v>
      </c>
    </row>
    <row r="3037" spans="1:10" ht="15.75" x14ac:dyDescent="0.25">
      <c r="A3037" s="21">
        <v>45596</v>
      </c>
      <c r="B3037" t="str">
        <f>IFERROR(IF(VLOOKUP(C3037,Hoja1!$B$1:$C$6191,2,0)="",_xlfn.XLOOKUP(C3037,Hoja1!$B$2:$B$6191,Hoja1!$A$2:$A$6191),VLOOKUP(C3037,Hoja1!$B$1:$C$6191,2,0)),"No esta en Infor")</f>
        <v>FOC0023</v>
      </c>
      <c r="C3037" s="3" t="s">
        <v>143</v>
      </c>
      <c r="D3037" s="3">
        <v>0</v>
      </c>
      <c r="E3037" s="6"/>
      <c r="F3037" s="4">
        <v>-7008.75</v>
      </c>
      <c r="G3037" s="3">
        <v>0</v>
      </c>
      <c r="H3037" s="4">
        <v>19997.16</v>
      </c>
      <c r="I3037" s="4">
        <v>2188.25</v>
      </c>
      <c r="J3037" s="18">
        <f t="shared" si="6"/>
        <v>15176.66</v>
      </c>
    </row>
    <row r="3038" spans="1:10" ht="15.75" x14ac:dyDescent="0.25">
      <c r="A3038" s="21">
        <v>45596</v>
      </c>
      <c r="B3038" t="str">
        <f>IFERROR(IF(VLOOKUP(C3038,Hoja1!$B$1:$C$6191,2,0)="",_xlfn.XLOOKUP(C3038,Hoja1!$B$2:$B$6191,Hoja1!$A$2:$A$6191),VLOOKUP(C3038,Hoja1!$B$1:$C$6191,2,0)),"No esta en Infor")</f>
        <v>SH00642</v>
      </c>
      <c r="C3038" s="3" t="s">
        <v>144</v>
      </c>
      <c r="D3038" s="3">
        <v>0</v>
      </c>
      <c r="E3038" s="6"/>
      <c r="F3038" s="3">
        <v>0</v>
      </c>
      <c r="G3038" s="3">
        <v>0</v>
      </c>
      <c r="H3038" s="3">
        <v>-290.49</v>
      </c>
      <c r="I3038" s="3">
        <v>0</v>
      </c>
      <c r="J3038" s="18">
        <f t="shared" si="6"/>
        <v>-290.49</v>
      </c>
    </row>
    <row r="3039" spans="1:10" ht="15.75" x14ac:dyDescent="0.25">
      <c r="A3039" s="21">
        <v>45596</v>
      </c>
      <c r="B3039" t="str">
        <f>IFERROR(IF(VLOOKUP(C3039,Hoja1!$B$1:$C$6191,2,0)="",_xlfn.XLOOKUP(C3039,Hoja1!$B$2:$B$6191,Hoja1!$A$2:$A$6191),VLOOKUP(C3039,Hoja1!$B$1:$C$6191,2,0)),"No esta en Infor")</f>
        <v>NAC0726</v>
      </c>
      <c r="C3039" s="3" t="s">
        <v>147</v>
      </c>
      <c r="D3039" s="4">
        <v>39157.599999999999</v>
      </c>
      <c r="E3039" s="6"/>
      <c r="F3039" s="3">
        <v>0</v>
      </c>
      <c r="G3039" s="3">
        <v>0</v>
      </c>
      <c r="H3039" s="3">
        <v>0</v>
      </c>
      <c r="I3039" s="3">
        <v>0</v>
      </c>
      <c r="J3039" s="18">
        <f t="shared" si="6"/>
        <v>39157.599999999999</v>
      </c>
    </row>
    <row r="3040" spans="1:10" ht="15.75" x14ac:dyDescent="0.25">
      <c r="A3040" s="21">
        <v>45596</v>
      </c>
      <c r="B3040" t="str">
        <f>IFERROR(IF(VLOOKUP(C3040,Hoja1!$B$1:$C$6191,2,0)="",_xlfn.XLOOKUP(C3040,Hoja1!$B$2:$B$6191,Hoja1!$A$2:$A$6191),VLOOKUP(C3040,Hoja1!$B$1:$C$6191,2,0)),"No esta en Infor")</f>
        <v>NAC0733</v>
      </c>
      <c r="C3040" s="3" t="s">
        <v>660</v>
      </c>
      <c r="D3040" s="4">
        <v>6357</v>
      </c>
      <c r="E3040" s="6"/>
      <c r="F3040" s="3">
        <v>0</v>
      </c>
      <c r="G3040" s="3">
        <v>0</v>
      </c>
      <c r="H3040" s="3">
        <v>0</v>
      </c>
      <c r="I3040" s="3">
        <v>0</v>
      </c>
      <c r="J3040" s="18">
        <f t="shared" si="6"/>
        <v>6357</v>
      </c>
    </row>
    <row r="3041" spans="1:10" ht="15.75" x14ac:dyDescent="0.25">
      <c r="A3041" s="21">
        <v>45596</v>
      </c>
      <c r="B3041" t="str">
        <f>IFERROR(IF(VLOOKUP(C3041,Hoja1!$B$1:$C$6191,2,0)="",_xlfn.XLOOKUP(C3041,Hoja1!$B$2:$B$6191,Hoja1!$A$2:$A$6191),VLOOKUP(C3041,Hoja1!$B$1:$C$6191,2,0)),"No esta en Infor")</f>
        <v>NAC0740</v>
      </c>
      <c r="C3041" s="3" t="s">
        <v>151</v>
      </c>
      <c r="D3041" s="3">
        <v>0</v>
      </c>
      <c r="E3041" s="6"/>
      <c r="F3041" s="3">
        <v>0</v>
      </c>
      <c r="G3041" s="3">
        <v>60</v>
      </c>
      <c r="H3041" s="3">
        <v>0</v>
      </c>
      <c r="I3041" s="3">
        <v>96.38</v>
      </c>
      <c r="J3041" s="18">
        <f t="shared" si="6"/>
        <v>156.38</v>
      </c>
    </row>
    <row r="3042" spans="1:10" ht="15.75" x14ac:dyDescent="0.25">
      <c r="A3042" s="21">
        <v>45596</v>
      </c>
      <c r="B3042" t="str">
        <f>IFERROR(IF(VLOOKUP(C3042,Hoja1!$B$1:$C$6191,2,0)="",_xlfn.XLOOKUP(C3042,Hoja1!$B$2:$B$6191,Hoja1!$A$2:$A$6191),VLOOKUP(C3042,Hoja1!$B$1:$C$6191,2,0)),"No esta en Infor")</f>
        <v>NAC1608</v>
      </c>
      <c r="C3042" s="3" t="s">
        <v>538</v>
      </c>
      <c r="D3042" s="4">
        <v>8260</v>
      </c>
      <c r="E3042" s="6"/>
      <c r="F3042" s="3">
        <v>0</v>
      </c>
      <c r="G3042" s="3">
        <v>-62.57</v>
      </c>
      <c r="H3042" s="3">
        <v>-308</v>
      </c>
      <c r="I3042" s="3">
        <v>0</v>
      </c>
      <c r="J3042" s="18">
        <f t="shared" si="6"/>
        <v>7889.43</v>
      </c>
    </row>
    <row r="3043" spans="1:10" ht="15.75" x14ac:dyDescent="0.25">
      <c r="A3043" s="21">
        <v>45596</v>
      </c>
      <c r="B3043" t="str">
        <f>IFERROR(IF(VLOOKUP(C3043,Hoja1!$B$1:$C$6191,2,0)="",_xlfn.XLOOKUP(C3043,Hoja1!$B$2:$B$6191,Hoja1!$A$2:$A$6191),VLOOKUP(C3043,Hoja1!$B$1:$C$6191,2,0)),"No esta en Infor")</f>
        <v>NAC0759</v>
      </c>
      <c r="C3043" s="3" t="s">
        <v>581</v>
      </c>
      <c r="D3043" s="3">
        <v>-16.100000000000001</v>
      </c>
      <c r="E3043" s="6"/>
      <c r="F3043" s="3">
        <v>0</v>
      </c>
      <c r="G3043" s="3">
        <v>0</v>
      </c>
      <c r="H3043" s="3">
        <v>0</v>
      </c>
      <c r="I3043" s="3">
        <v>0</v>
      </c>
      <c r="J3043" s="18">
        <f t="shared" si="6"/>
        <v>-16.100000000000001</v>
      </c>
    </row>
    <row r="3044" spans="1:10" ht="15.75" x14ac:dyDescent="0.25">
      <c r="A3044" s="21">
        <v>45596</v>
      </c>
      <c r="B3044" t="str">
        <f>IFERROR(IF(VLOOKUP(C3044,Hoja1!$B$1:$C$6191,2,0)="",_xlfn.XLOOKUP(C3044,Hoja1!$B$2:$B$6191,Hoja1!$A$2:$A$6191),VLOOKUP(C3044,Hoja1!$B$1:$C$6191,2,0)),"No esta en Infor")</f>
        <v>NAC0756</v>
      </c>
      <c r="C3044" s="3" t="s">
        <v>154</v>
      </c>
      <c r="D3044" s="3">
        <v>0</v>
      </c>
      <c r="E3044" s="6"/>
      <c r="F3044" s="3">
        <v>0</v>
      </c>
      <c r="G3044" s="3">
        <v>0</v>
      </c>
      <c r="H3044" s="3">
        <v>0</v>
      </c>
      <c r="I3044" s="3">
        <v>-3.79</v>
      </c>
      <c r="J3044" s="18">
        <f t="shared" ref="J3044:J3107" si="7">SUM(D3044:I3044)</f>
        <v>-3.79</v>
      </c>
    </row>
    <row r="3045" spans="1:10" ht="15.75" x14ac:dyDescent="0.25">
      <c r="A3045" s="21">
        <v>45596</v>
      </c>
      <c r="B3045" t="str">
        <f>IFERROR(IF(VLOOKUP(C3045,Hoja1!$B$1:$C$6191,2,0)="",_xlfn.XLOOKUP(C3045,Hoja1!$B$2:$B$6191,Hoja1!$A$2:$A$6191),VLOOKUP(C3045,Hoja1!$B$1:$C$6191,2,0)),"No esta en Infor")</f>
        <v>NAC0767</v>
      </c>
      <c r="C3045" s="3" t="s">
        <v>155</v>
      </c>
      <c r="D3045" s="3">
        <v>0</v>
      </c>
      <c r="E3045" s="6"/>
      <c r="F3045" s="4">
        <v>-10757</v>
      </c>
      <c r="G3045" s="3">
        <v>0</v>
      </c>
      <c r="H3045" s="3">
        <v>0</v>
      </c>
      <c r="I3045" s="4">
        <v>-20987.9</v>
      </c>
      <c r="J3045" s="18">
        <f t="shared" si="7"/>
        <v>-31744.9</v>
      </c>
    </row>
    <row r="3046" spans="1:10" ht="15.75" x14ac:dyDescent="0.25">
      <c r="A3046" s="21">
        <v>45596</v>
      </c>
      <c r="B3046" t="str">
        <f>IFERROR(IF(VLOOKUP(C3046,Hoja1!$B$1:$C$6191,2,0)="",_xlfn.XLOOKUP(C3046,Hoja1!$B$2:$B$6191,Hoja1!$A$2:$A$6191),VLOOKUP(C3046,Hoja1!$B$1:$C$6191,2,0)),"No esta en Infor")</f>
        <v>NAC0769</v>
      </c>
      <c r="C3046" s="3" t="s">
        <v>156</v>
      </c>
      <c r="D3046" s="4">
        <v>52633</v>
      </c>
      <c r="E3046" s="6"/>
      <c r="F3046" s="3">
        <v>0</v>
      </c>
      <c r="G3046" s="3">
        <v>-297.89</v>
      </c>
      <c r="H3046" s="3">
        <v>0</v>
      </c>
      <c r="I3046" s="3">
        <v>0</v>
      </c>
      <c r="J3046" s="18">
        <f t="shared" si="7"/>
        <v>52335.11</v>
      </c>
    </row>
    <row r="3047" spans="1:10" ht="15.75" x14ac:dyDescent="0.25">
      <c r="A3047" s="21">
        <v>45596</v>
      </c>
      <c r="B3047" t="str">
        <f>IFERROR(IF(VLOOKUP(C3047,Hoja1!$B$1:$C$6191,2,0)="",_xlfn.XLOOKUP(C3047,Hoja1!$B$2:$B$6191,Hoja1!$A$2:$A$6191),VLOOKUP(C3047,Hoja1!$B$1:$C$6191,2,0)),"No esta en Infor")</f>
        <v>SH03089</v>
      </c>
      <c r="C3047" s="3" t="s">
        <v>719</v>
      </c>
      <c r="D3047" s="3">
        <v>-92.53</v>
      </c>
      <c r="E3047" s="6"/>
      <c r="F3047" s="3">
        <v>0</v>
      </c>
      <c r="G3047" s="3">
        <v>0</v>
      </c>
      <c r="H3047" s="3">
        <v>0</v>
      </c>
      <c r="I3047" s="3">
        <v>0</v>
      </c>
      <c r="J3047" s="18">
        <f t="shared" si="7"/>
        <v>-92.53</v>
      </c>
    </row>
    <row r="3048" spans="1:10" ht="15.75" x14ac:dyDescent="0.25">
      <c r="A3048" s="21">
        <v>45596</v>
      </c>
      <c r="B3048" t="str">
        <f>IFERROR(IF(VLOOKUP(C3048,Hoja1!$B$1:$C$6191,2,0)="",_xlfn.XLOOKUP(C3048,Hoja1!$B$2:$B$6191,Hoja1!$A$2:$A$6191),VLOOKUP(C3048,Hoja1!$B$1:$C$6191,2,0)),"No esta en Infor")</f>
        <v>SH00749</v>
      </c>
      <c r="C3048" s="3" t="s">
        <v>662</v>
      </c>
      <c r="D3048" s="3">
        <v>-124.52</v>
      </c>
      <c r="E3048" s="6"/>
      <c r="F3048" s="3">
        <v>0</v>
      </c>
      <c r="G3048" s="3">
        <v>0</v>
      </c>
      <c r="H3048" s="3">
        <v>0</v>
      </c>
      <c r="I3048" s="3">
        <v>0</v>
      </c>
      <c r="J3048" s="18">
        <f t="shared" si="7"/>
        <v>-124.52</v>
      </c>
    </row>
    <row r="3049" spans="1:10" ht="15.75" x14ac:dyDescent="0.25">
      <c r="A3049" s="21">
        <v>45596</v>
      </c>
      <c r="B3049" t="str">
        <f>IFERROR(IF(VLOOKUP(C3049,Hoja1!$B$1:$C$6191,2,0)="",_xlfn.XLOOKUP(C3049,Hoja1!$B$2:$B$6191,Hoja1!$A$2:$A$6191),VLOOKUP(C3049,Hoja1!$B$1:$C$6191,2,0)),"No esta en Infor")</f>
        <v>NAC0778</v>
      </c>
      <c r="C3049" s="3" t="s">
        <v>159</v>
      </c>
      <c r="D3049" s="3">
        <v>0</v>
      </c>
      <c r="E3049" s="6"/>
      <c r="F3049" s="3">
        <v>0</v>
      </c>
      <c r="G3049" s="3">
        <v>0</v>
      </c>
      <c r="H3049" s="3">
        <v>-781.38</v>
      </c>
      <c r="I3049" s="3">
        <v>0</v>
      </c>
      <c r="J3049" s="18">
        <f t="shared" si="7"/>
        <v>-781.38</v>
      </c>
    </row>
    <row r="3050" spans="1:10" ht="15.75" x14ac:dyDescent="0.25">
      <c r="A3050" s="21">
        <v>45596</v>
      </c>
      <c r="B3050" t="str">
        <f>IFERROR(IF(VLOOKUP(C3050,Hoja1!$B$1:$C$6191,2,0)="",_xlfn.XLOOKUP(C3050,Hoja1!$B$2:$B$6191,Hoja1!$A$2:$A$6191),VLOOKUP(C3050,Hoja1!$B$1:$C$6191,2,0)),"No esta en Infor")</f>
        <v>SH03095</v>
      </c>
      <c r="C3050" s="3" t="s">
        <v>720</v>
      </c>
      <c r="D3050" s="3">
        <v>-187.58</v>
      </c>
      <c r="E3050" s="6"/>
      <c r="F3050" s="3">
        <v>0</v>
      </c>
      <c r="G3050" s="3">
        <v>0</v>
      </c>
      <c r="H3050" s="3">
        <v>0</v>
      </c>
      <c r="I3050" s="3">
        <v>0</v>
      </c>
      <c r="J3050" s="18">
        <f t="shared" si="7"/>
        <v>-187.58</v>
      </c>
    </row>
    <row r="3051" spans="1:10" ht="15.75" x14ac:dyDescent="0.25">
      <c r="A3051" s="21">
        <v>45596</v>
      </c>
      <c r="B3051" t="str">
        <f>IFERROR(IF(VLOOKUP(C3051,Hoja1!$B$1:$C$6191,2,0)="",_xlfn.XLOOKUP(C3051,Hoja1!$B$2:$B$6191,Hoja1!$A$2:$A$6191),VLOOKUP(C3051,Hoja1!$B$1:$C$6191,2,0)),"No esta en Infor")</f>
        <v>NAC0780</v>
      </c>
      <c r="C3051" s="3" t="s">
        <v>161</v>
      </c>
      <c r="D3051" s="4">
        <v>2330</v>
      </c>
      <c r="E3051" s="6"/>
      <c r="F3051" s="3">
        <v>0</v>
      </c>
      <c r="G3051" s="3">
        <v>0</v>
      </c>
      <c r="H3051" s="3">
        <v>0</v>
      </c>
      <c r="I3051" s="3">
        <v>0</v>
      </c>
      <c r="J3051" s="18">
        <f t="shared" si="7"/>
        <v>2330</v>
      </c>
    </row>
    <row r="3052" spans="1:10" ht="15.75" x14ac:dyDescent="0.25">
      <c r="A3052" s="21">
        <v>45596</v>
      </c>
      <c r="B3052" t="str">
        <f>IFERROR(IF(VLOOKUP(C3052,Hoja1!$B$1:$C$6191,2,0)="",_xlfn.XLOOKUP(C3052,Hoja1!$B$2:$B$6191,Hoja1!$A$2:$A$6191),VLOOKUP(C3052,Hoja1!$B$1:$C$6191,2,0)),"No esta en Infor")</f>
        <v>NAC0781</v>
      </c>
      <c r="C3052" s="3" t="s">
        <v>162</v>
      </c>
      <c r="D3052" s="3">
        <v>0</v>
      </c>
      <c r="E3052" s="6"/>
      <c r="F3052" s="3">
        <v>0</v>
      </c>
      <c r="G3052" s="3">
        <v>0</v>
      </c>
      <c r="H3052" s="3">
        <v>-340</v>
      </c>
      <c r="I3052" s="3">
        <v>-390</v>
      </c>
      <c r="J3052" s="18">
        <f t="shared" si="7"/>
        <v>-730</v>
      </c>
    </row>
    <row r="3053" spans="1:10" ht="15.75" x14ac:dyDescent="0.25">
      <c r="A3053" s="21">
        <v>45596</v>
      </c>
      <c r="B3053" t="str">
        <f>IFERROR(IF(VLOOKUP(C3053,Hoja1!$B$1:$C$6191,2,0)="",_xlfn.XLOOKUP(C3053,Hoja1!$B$2:$B$6191,Hoja1!$A$2:$A$6191),VLOOKUP(C3053,Hoja1!$B$1:$C$6191,2,0)),"No esta en Infor")</f>
        <v>NAC0782</v>
      </c>
      <c r="C3053" s="3" t="s">
        <v>496</v>
      </c>
      <c r="D3053" s="3">
        <v>84</v>
      </c>
      <c r="E3053" s="6"/>
      <c r="F3053" s="3">
        <v>0</v>
      </c>
      <c r="G3053" s="3">
        <v>0</v>
      </c>
      <c r="H3053" s="3">
        <v>0</v>
      </c>
      <c r="I3053" s="3">
        <v>0</v>
      </c>
      <c r="J3053" s="18">
        <f t="shared" si="7"/>
        <v>84</v>
      </c>
    </row>
    <row r="3054" spans="1:10" ht="15.75" x14ac:dyDescent="0.25">
      <c r="A3054" s="21">
        <v>45596</v>
      </c>
      <c r="B3054" t="str">
        <f>IFERROR(IF(VLOOKUP(C3054,Hoja1!$B$1:$C$6191,2,0)="",_xlfn.XLOOKUP(C3054,Hoja1!$B$2:$B$6191,Hoja1!$A$2:$A$6191),VLOOKUP(C3054,Hoja1!$B$1:$C$6191,2,0)),"No esta en Infor")</f>
        <v>NAC0792</v>
      </c>
      <c r="C3054" s="3" t="s">
        <v>164</v>
      </c>
      <c r="D3054" s="4">
        <v>24121.95</v>
      </c>
      <c r="E3054" s="6"/>
      <c r="F3054" s="3">
        <v>0</v>
      </c>
      <c r="G3054" s="3">
        <v>0</v>
      </c>
      <c r="H3054" s="3">
        <v>0</v>
      </c>
      <c r="I3054" s="3">
        <v>0</v>
      </c>
      <c r="J3054" s="18">
        <f t="shared" si="7"/>
        <v>24121.95</v>
      </c>
    </row>
    <row r="3055" spans="1:10" ht="15.75" x14ac:dyDescent="0.25">
      <c r="A3055" s="21">
        <v>45596</v>
      </c>
      <c r="B3055" t="str">
        <f>IFERROR(IF(VLOOKUP(C3055,Hoja1!$B$1:$C$6191,2,0)="",_xlfn.XLOOKUP(C3055,Hoja1!$B$2:$B$6191,Hoja1!$A$2:$A$6191),VLOOKUP(C3055,Hoja1!$B$1:$C$6191,2,0)),"No esta en Infor")</f>
        <v>NAC1612</v>
      </c>
      <c r="C3055" s="3" t="s">
        <v>663</v>
      </c>
      <c r="D3055" s="3">
        <v>0</v>
      </c>
      <c r="E3055" s="6"/>
      <c r="F3055" s="3">
        <v>0</v>
      </c>
      <c r="G3055" s="3">
        <v>0</v>
      </c>
      <c r="H3055" s="3">
        <v>-0.02</v>
      </c>
      <c r="I3055" s="3">
        <v>0</v>
      </c>
      <c r="J3055" s="18">
        <f t="shared" si="7"/>
        <v>-0.02</v>
      </c>
    </row>
    <row r="3056" spans="1:10" ht="15.75" x14ac:dyDescent="0.25">
      <c r="A3056" s="21">
        <v>45596</v>
      </c>
      <c r="B3056" t="str">
        <f>IFERROR(IF(VLOOKUP(C3056,Hoja1!$B$1:$C$6191,2,0)="",_xlfn.XLOOKUP(C3056,Hoja1!$B$2:$B$6191,Hoja1!$A$2:$A$6191),VLOOKUP(C3056,Hoja1!$B$1:$C$6191,2,0)),"No esta en Infor")</f>
        <v>NAC0796</v>
      </c>
      <c r="C3056" s="3" t="s">
        <v>395</v>
      </c>
      <c r="D3056" s="4">
        <v>1680.99</v>
      </c>
      <c r="E3056" s="6"/>
      <c r="F3056" s="3">
        <v>0</v>
      </c>
      <c r="G3056" s="3">
        <v>0</v>
      </c>
      <c r="H3056" s="3">
        <v>0</v>
      </c>
      <c r="I3056" s="3">
        <v>0</v>
      </c>
      <c r="J3056" s="18">
        <f t="shared" si="7"/>
        <v>1680.99</v>
      </c>
    </row>
    <row r="3057" spans="1:10" ht="15.75" x14ac:dyDescent="0.25">
      <c r="A3057" s="21">
        <v>45596</v>
      </c>
      <c r="B3057" t="str">
        <f>IFERROR(IF(VLOOKUP(C3057,Hoja1!$B$1:$C$6191,2,0)="",_xlfn.XLOOKUP(C3057,Hoja1!$B$2:$B$6191,Hoja1!$A$2:$A$6191),VLOOKUP(C3057,Hoja1!$B$1:$C$6191,2,0)),"No esta en Infor")</f>
        <v>NAC0800</v>
      </c>
      <c r="C3057" s="3" t="s">
        <v>617</v>
      </c>
      <c r="D3057" s="4">
        <v>-1500</v>
      </c>
      <c r="E3057" s="6"/>
      <c r="F3057" s="3">
        <v>0</v>
      </c>
      <c r="G3057" s="3">
        <v>0</v>
      </c>
      <c r="H3057" s="3">
        <v>0</v>
      </c>
      <c r="I3057" s="3">
        <v>0</v>
      </c>
      <c r="J3057" s="18">
        <f t="shared" si="7"/>
        <v>-1500</v>
      </c>
    </row>
    <row r="3058" spans="1:10" ht="15.75" x14ac:dyDescent="0.25">
      <c r="A3058" s="21">
        <v>45596</v>
      </c>
      <c r="B3058" t="str">
        <f>IFERROR(IF(VLOOKUP(C3058,Hoja1!$B$1:$C$6191,2,0)="",_xlfn.XLOOKUP(C3058,Hoja1!$B$2:$B$6191,Hoja1!$A$2:$A$6191),VLOOKUP(C3058,Hoja1!$B$1:$C$6191,2,0)),"No esta en Infor")</f>
        <v>NAC0801</v>
      </c>
      <c r="C3058" s="3" t="s">
        <v>168</v>
      </c>
      <c r="D3058" s="4">
        <v>1019.44</v>
      </c>
      <c r="E3058" s="6"/>
      <c r="F3058" s="3">
        <v>0</v>
      </c>
      <c r="G3058" s="3">
        <v>0</v>
      </c>
      <c r="H3058" s="3">
        <v>0</v>
      </c>
      <c r="I3058" s="3">
        <v>0</v>
      </c>
      <c r="J3058" s="18">
        <f t="shared" si="7"/>
        <v>1019.44</v>
      </c>
    </row>
    <row r="3059" spans="1:10" ht="15.75" x14ac:dyDescent="0.25">
      <c r="A3059" s="21">
        <v>45596</v>
      </c>
      <c r="B3059" t="str">
        <f>IFERROR(IF(VLOOKUP(C3059,Hoja1!$B$1:$C$6191,2,0)="",_xlfn.XLOOKUP(C3059,Hoja1!$B$2:$B$6191,Hoja1!$A$2:$A$6191),VLOOKUP(C3059,Hoja1!$B$1:$C$6191,2,0)),"No esta en Infor")</f>
        <v>NAC0804</v>
      </c>
      <c r="C3059" s="3" t="s">
        <v>169</v>
      </c>
      <c r="D3059" s="4">
        <v>5274.03</v>
      </c>
      <c r="E3059" s="6"/>
      <c r="F3059" s="3">
        <v>0</v>
      </c>
      <c r="G3059" s="3">
        <v>0</v>
      </c>
      <c r="H3059" s="3">
        <v>0</v>
      </c>
      <c r="I3059" s="3">
        <v>0</v>
      </c>
      <c r="J3059" s="18">
        <f t="shared" si="7"/>
        <v>5274.03</v>
      </c>
    </row>
    <row r="3060" spans="1:10" ht="15.75" x14ac:dyDescent="0.25">
      <c r="A3060" s="21">
        <v>45596</v>
      </c>
      <c r="B3060" t="str">
        <f>IFERROR(IF(VLOOKUP(C3060,Hoja1!$B$1:$C$6191,2,0)="",_xlfn.XLOOKUP(C3060,Hoja1!$B$2:$B$6191,Hoja1!$A$2:$A$6191),VLOOKUP(C3060,Hoja1!$B$1:$C$6191,2,0)),"No esta en Infor")</f>
        <v>CAN0019</v>
      </c>
      <c r="C3060" s="3" t="s">
        <v>172</v>
      </c>
      <c r="D3060" s="4">
        <v>16683.32</v>
      </c>
      <c r="E3060" s="6"/>
      <c r="F3060" s="3">
        <v>0</v>
      </c>
      <c r="G3060" s="3">
        <v>0</v>
      </c>
      <c r="H3060" s="3">
        <v>0</v>
      </c>
      <c r="I3060" s="3">
        <v>0</v>
      </c>
      <c r="J3060" s="18">
        <f t="shared" si="7"/>
        <v>16683.32</v>
      </c>
    </row>
    <row r="3061" spans="1:10" ht="15.75" x14ac:dyDescent="0.25">
      <c r="A3061" s="21">
        <v>45596</v>
      </c>
      <c r="B3061" t="str">
        <f>IFERROR(IF(VLOOKUP(C3061,Hoja1!$B$1:$C$6191,2,0)="",_xlfn.XLOOKUP(C3061,Hoja1!$B$2:$B$6191,Hoja1!$A$2:$A$6191),VLOOKUP(C3061,Hoja1!$B$1:$C$6191,2,0)),"No esta en Infor")</f>
        <v>No esta en Infor</v>
      </c>
      <c r="C3061" s="3" t="s">
        <v>552</v>
      </c>
      <c r="D3061" s="3">
        <v>0</v>
      </c>
      <c r="E3061" s="6"/>
      <c r="F3061" s="3">
        <v>-6.34</v>
      </c>
      <c r="G3061" s="3">
        <v>0</v>
      </c>
      <c r="H3061" s="3">
        <v>0</v>
      </c>
      <c r="I3061" s="3">
        <v>0</v>
      </c>
      <c r="J3061" s="18">
        <f t="shared" si="7"/>
        <v>-6.34</v>
      </c>
    </row>
    <row r="3062" spans="1:10" ht="15.75" x14ac:dyDescent="0.25">
      <c r="A3062" s="21">
        <v>45596</v>
      </c>
      <c r="B3062" t="str">
        <f>IFERROR(IF(VLOOKUP(C3062,Hoja1!$B$1:$C$6191,2,0)="",_xlfn.XLOOKUP(C3062,Hoja1!$B$2:$B$6191,Hoja1!$A$2:$A$6191),VLOOKUP(C3062,Hoja1!$B$1:$C$6191,2,0)),"No esta en Infor")</f>
        <v>CAN0020</v>
      </c>
      <c r="C3062" s="3" t="s">
        <v>174</v>
      </c>
      <c r="D3062" s="4">
        <v>1500.65</v>
      </c>
      <c r="E3062" s="6"/>
      <c r="F3062" s="3">
        <v>0</v>
      </c>
      <c r="G3062" s="3">
        <v>0</v>
      </c>
      <c r="H3062" s="3">
        <v>0</v>
      </c>
      <c r="I3062" s="3">
        <v>0</v>
      </c>
      <c r="J3062" s="18">
        <f t="shared" si="7"/>
        <v>1500.65</v>
      </c>
    </row>
    <row r="3063" spans="1:10" ht="15.75" x14ac:dyDescent="0.25">
      <c r="A3063" s="21">
        <v>45596</v>
      </c>
      <c r="B3063" t="str">
        <f>IFERROR(IF(VLOOKUP(C3063,Hoja1!$B$1:$C$6191,2,0)="",_xlfn.XLOOKUP(C3063,Hoja1!$B$2:$B$6191,Hoja1!$A$2:$A$6191),VLOOKUP(C3063,Hoja1!$B$1:$C$6191,2,0)),"No esta en Infor")</f>
        <v>NAC0814</v>
      </c>
      <c r="C3063" s="3" t="s">
        <v>175</v>
      </c>
      <c r="D3063" s="4">
        <v>15800</v>
      </c>
      <c r="E3063" s="6"/>
      <c r="F3063" s="3">
        <v>0</v>
      </c>
      <c r="G3063" s="3">
        <v>0</v>
      </c>
      <c r="H3063" s="3">
        <v>0</v>
      </c>
      <c r="I3063" s="3">
        <v>0</v>
      </c>
      <c r="J3063" s="18">
        <f t="shared" si="7"/>
        <v>15800</v>
      </c>
    </row>
    <row r="3064" spans="1:10" ht="15.75" x14ac:dyDescent="0.25">
      <c r="A3064" s="21">
        <v>45596</v>
      </c>
      <c r="B3064" t="str">
        <f>IFERROR(IF(VLOOKUP(C3064,Hoja1!$B$1:$C$6191,2,0)="",_xlfn.XLOOKUP(C3064,Hoja1!$B$2:$B$6191,Hoja1!$A$2:$A$6191),VLOOKUP(C3064,Hoja1!$B$1:$C$6191,2,0)),"No esta en Infor")</f>
        <v>NAC0816</v>
      </c>
      <c r="C3064" s="3" t="s">
        <v>176</v>
      </c>
      <c r="D3064" s="3">
        <v>-31.9</v>
      </c>
      <c r="E3064" s="6"/>
      <c r="F3064" s="3">
        <v>0</v>
      </c>
      <c r="G3064" s="3">
        <v>0</v>
      </c>
      <c r="H3064" s="3">
        <v>0</v>
      </c>
      <c r="I3064" s="3">
        <v>0</v>
      </c>
      <c r="J3064" s="18">
        <f t="shared" si="7"/>
        <v>-31.9</v>
      </c>
    </row>
    <row r="3065" spans="1:10" ht="15.75" x14ac:dyDescent="0.25">
      <c r="A3065" s="21">
        <v>45596</v>
      </c>
      <c r="B3065" t="str">
        <f>IFERROR(IF(VLOOKUP(C3065,Hoja1!$B$1:$C$6191,2,0)="",_xlfn.XLOOKUP(C3065,Hoja1!$B$2:$B$6191,Hoja1!$A$2:$A$6191),VLOOKUP(C3065,Hoja1!$B$1:$C$6191,2,0)),"No esta en Infor")</f>
        <v>NAC0824</v>
      </c>
      <c r="C3065" s="3" t="s">
        <v>178</v>
      </c>
      <c r="D3065" s="3">
        <v>735</v>
      </c>
      <c r="E3065" s="6"/>
      <c r="F3065" s="3">
        <v>0</v>
      </c>
      <c r="G3065" s="3">
        <v>0</v>
      </c>
      <c r="H3065" s="3">
        <v>0</v>
      </c>
      <c r="I3065" s="3">
        <v>0</v>
      </c>
      <c r="J3065" s="18">
        <f t="shared" si="7"/>
        <v>735</v>
      </c>
    </row>
    <row r="3066" spans="1:10" ht="15.75" x14ac:dyDescent="0.25">
      <c r="A3066" s="21">
        <v>45596</v>
      </c>
      <c r="B3066" t="str">
        <f>IFERROR(IF(VLOOKUP(C3066,Hoja1!$B$1:$C$6191,2,0)="",_xlfn.XLOOKUP(C3066,Hoja1!$B$2:$B$6191,Hoja1!$A$2:$A$6191),VLOOKUP(C3066,Hoja1!$B$1:$C$6191,2,0)),"No esta en Infor")</f>
        <v>NAC0825</v>
      </c>
      <c r="C3066" s="3" t="s">
        <v>179</v>
      </c>
      <c r="D3066" s="3">
        <v>143.1</v>
      </c>
      <c r="E3066" s="6"/>
      <c r="F3066" s="3">
        <v>0</v>
      </c>
      <c r="G3066" s="3">
        <v>0</v>
      </c>
      <c r="H3066" s="3">
        <v>0</v>
      </c>
      <c r="I3066" s="3">
        <v>0</v>
      </c>
      <c r="J3066" s="18">
        <f t="shared" si="7"/>
        <v>143.1</v>
      </c>
    </row>
    <row r="3067" spans="1:10" ht="15.75" x14ac:dyDescent="0.25">
      <c r="A3067" s="21">
        <v>45596</v>
      </c>
      <c r="B3067" t="str">
        <f>IFERROR(IF(VLOOKUP(C3067,Hoja1!$B$1:$C$6191,2,0)="",_xlfn.XLOOKUP(C3067,Hoja1!$B$2:$B$6191,Hoja1!$A$2:$A$6191),VLOOKUP(C3067,Hoja1!$B$1:$C$6191,2,0)),"No esta en Infor")</f>
        <v>NAC0847</v>
      </c>
      <c r="C3067" s="3" t="s">
        <v>184</v>
      </c>
      <c r="D3067" s="3">
        <v>0</v>
      </c>
      <c r="E3067" s="6"/>
      <c r="F3067" s="3">
        <v>0</v>
      </c>
      <c r="G3067" s="3">
        <v>0</v>
      </c>
      <c r="H3067" s="3">
        <v>0</v>
      </c>
      <c r="I3067" s="3">
        <v>-1</v>
      </c>
      <c r="J3067" s="18">
        <f t="shared" si="7"/>
        <v>-1</v>
      </c>
    </row>
    <row r="3068" spans="1:10" ht="15.75" x14ac:dyDescent="0.25">
      <c r="A3068" s="21">
        <v>45596</v>
      </c>
      <c r="B3068" t="str">
        <f>IFERROR(IF(VLOOKUP(C3068,Hoja1!$B$1:$C$6191,2,0)="",_xlfn.XLOOKUP(C3068,Hoja1!$B$2:$B$6191,Hoja1!$A$2:$A$6191),VLOOKUP(C3068,Hoja1!$B$1:$C$6191,2,0)),"No esta en Infor")</f>
        <v>NAC0848</v>
      </c>
      <c r="C3068" s="3" t="s">
        <v>498</v>
      </c>
      <c r="D3068" s="3">
        <v>842.34</v>
      </c>
      <c r="E3068" s="6"/>
      <c r="F3068" s="3">
        <v>0</v>
      </c>
      <c r="G3068" s="3">
        <v>0</v>
      </c>
      <c r="H3068" s="3">
        <v>0</v>
      </c>
      <c r="I3068" s="3">
        <v>0</v>
      </c>
      <c r="J3068" s="18">
        <f t="shared" si="7"/>
        <v>842.34</v>
      </c>
    </row>
    <row r="3069" spans="1:10" ht="15.75" x14ac:dyDescent="0.25">
      <c r="A3069" s="21">
        <v>45596</v>
      </c>
      <c r="B3069" t="str">
        <f>IFERROR(IF(VLOOKUP(C3069,Hoja1!$B$1:$C$6191,2,0)="",_xlfn.XLOOKUP(C3069,Hoja1!$B$2:$B$6191,Hoja1!$A$2:$A$6191),VLOOKUP(C3069,Hoja1!$B$1:$C$6191,2,0)),"No esta en Infor")</f>
        <v>SH03084</v>
      </c>
      <c r="C3069" s="3" t="s">
        <v>721</v>
      </c>
      <c r="D3069" s="3">
        <v>-94.74</v>
      </c>
      <c r="E3069" s="6"/>
      <c r="F3069" s="3">
        <v>0</v>
      </c>
      <c r="G3069" s="3">
        <v>0</v>
      </c>
      <c r="H3069" s="3">
        <v>0</v>
      </c>
      <c r="I3069" s="3">
        <v>0</v>
      </c>
      <c r="J3069" s="18">
        <f t="shared" si="7"/>
        <v>-94.74</v>
      </c>
    </row>
    <row r="3070" spans="1:10" ht="15.75" x14ac:dyDescent="0.25">
      <c r="A3070" s="21">
        <v>45596</v>
      </c>
      <c r="B3070" t="str">
        <f>IFERROR(IF(VLOOKUP(C3070,Hoja1!$B$1:$C$6191,2,0)="",_xlfn.XLOOKUP(C3070,Hoja1!$B$2:$B$6191,Hoja1!$A$2:$A$6191),VLOOKUP(C3070,Hoja1!$B$1:$C$6191,2,0)),"No esta en Infor")</f>
        <v>NAC0851</v>
      </c>
      <c r="C3070" s="3" t="s">
        <v>185</v>
      </c>
      <c r="D3070" s="3">
        <v>0</v>
      </c>
      <c r="E3070" s="6"/>
      <c r="F3070" s="3">
        <v>0</v>
      </c>
      <c r="G3070" s="3">
        <v>-75.599999999999994</v>
      </c>
      <c r="H3070" s="3">
        <v>-756</v>
      </c>
      <c r="I3070" s="3">
        <v>0</v>
      </c>
      <c r="J3070" s="18">
        <f t="shared" si="7"/>
        <v>-831.6</v>
      </c>
    </row>
    <row r="3071" spans="1:10" ht="15.75" x14ac:dyDescent="0.25">
      <c r="A3071" s="21">
        <v>45596</v>
      </c>
      <c r="B3071" t="str">
        <f>IFERROR(IF(VLOOKUP(C3071,Hoja1!$B$1:$C$6191,2,0)="",_xlfn.XLOOKUP(C3071,Hoja1!$B$2:$B$6191,Hoja1!$A$2:$A$6191),VLOOKUP(C3071,Hoja1!$B$1:$C$6191,2,0)),"No esta en Infor")</f>
        <v>NAC0856</v>
      </c>
      <c r="C3071" s="3" t="s">
        <v>722</v>
      </c>
      <c r="D3071" s="4">
        <v>10462.5</v>
      </c>
      <c r="E3071" s="6"/>
      <c r="F3071" s="3">
        <v>0</v>
      </c>
      <c r="G3071" s="3">
        <v>0</v>
      </c>
      <c r="H3071" s="3">
        <v>0</v>
      </c>
      <c r="I3071" s="3">
        <v>0</v>
      </c>
      <c r="J3071" s="18">
        <f t="shared" si="7"/>
        <v>10462.5</v>
      </c>
    </row>
    <row r="3072" spans="1:10" ht="15.75" x14ac:dyDescent="0.25">
      <c r="A3072" s="21">
        <v>45596</v>
      </c>
      <c r="B3072" t="str">
        <f>IFERROR(IF(VLOOKUP(C3072,Hoja1!$B$1:$C$6191,2,0)="",_xlfn.XLOOKUP(C3072,Hoja1!$B$2:$B$6191,Hoja1!$A$2:$A$6191),VLOOKUP(C3072,Hoja1!$B$1:$C$6191,2,0)),"No esta en Infor")</f>
        <v>NAC0858</v>
      </c>
      <c r="C3072" s="3" t="s">
        <v>188</v>
      </c>
      <c r="D3072" s="3">
        <v>470</v>
      </c>
      <c r="E3072" s="6"/>
      <c r="F3072" s="3">
        <v>0</v>
      </c>
      <c r="G3072" s="3">
        <v>0</v>
      </c>
      <c r="H3072" s="3">
        <v>0</v>
      </c>
      <c r="I3072" s="3">
        <v>0</v>
      </c>
      <c r="J3072" s="18">
        <f t="shared" si="7"/>
        <v>470</v>
      </c>
    </row>
    <row r="3073" spans="1:10" ht="15.75" x14ac:dyDescent="0.25">
      <c r="A3073" s="21">
        <v>45596</v>
      </c>
      <c r="B3073" t="str">
        <f>IFERROR(IF(VLOOKUP(C3073,Hoja1!$B$1:$C$6191,2,0)="",_xlfn.XLOOKUP(C3073,Hoja1!$B$2:$B$6191,Hoja1!$A$2:$A$6191),VLOOKUP(C3073,Hoja1!$B$1:$C$6191,2,0)),"No esta en Infor")</f>
        <v>NAC0863</v>
      </c>
      <c r="C3073" s="3" t="s">
        <v>398</v>
      </c>
      <c r="D3073" s="3">
        <v>0</v>
      </c>
      <c r="E3073" s="6"/>
      <c r="F3073" s="3">
        <v>0</v>
      </c>
      <c r="G3073" s="3">
        <v>-49.92</v>
      </c>
      <c r="H3073" s="3">
        <v>0</v>
      </c>
      <c r="I3073" s="3">
        <v>0</v>
      </c>
      <c r="J3073" s="18">
        <f t="shared" si="7"/>
        <v>-49.92</v>
      </c>
    </row>
    <row r="3074" spans="1:10" ht="15.75" x14ac:dyDescent="0.25">
      <c r="A3074" s="21">
        <v>45596</v>
      </c>
      <c r="B3074" t="str">
        <f>IFERROR(IF(VLOOKUP(C3074,Hoja1!$B$1:$C$6191,2,0)="",_xlfn.XLOOKUP(C3074,Hoja1!$B$2:$B$6191,Hoja1!$A$2:$A$6191),VLOOKUP(C3074,Hoja1!$B$1:$C$6191,2,0)),"No esta en Infor")</f>
        <v>NAC0865</v>
      </c>
      <c r="C3074" s="3" t="s">
        <v>23</v>
      </c>
      <c r="D3074" s="4">
        <v>6726.8</v>
      </c>
      <c r="E3074" s="6"/>
      <c r="F3074" s="3">
        <v>0</v>
      </c>
      <c r="G3074" s="3">
        <v>0</v>
      </c>
      <c r="H3074" s="3">
        <v>0</v>
      </c>
      <c r="I3074" s="3">
        <v>0</v>
      </c>
      <c r="J3074" s="18">
        <f t="shared" si="7"/>
        <v>6726.8</v>
      </c>
    </row>
    <row r="3075" spans="1:10" ht="15.75" x14ac:dyDescent="0.25">
      <c r="A3075" s="21">
        <v>45596</v>
      </c>
      <c r="B3075" t="str">
        <f>IFERROR(IF(VLOOKUP(C3075,Hoja1!$B$1:$C$6191,2,0)="",_xlfn.XLOOKUP(C3075,Hoja1!$B$2:$B$6191,Hoja1!$A$2:$A$6191),VLOOKUP(C3075,Hoja1!$B$1:$C$6191,2,0)),"No esta en Infor")</f>
        <v>NAC0867</v>
      </c>
      <c r="C3075" s="3" t="s">
        <v>723</v>
      </c>
      <c r="D3075" s="4">
        <v>-1845</v>
      </c>
      <c r="E3075" s="6"/>
      <c r="F3075" s="3">
        <v>0</v>
      </c>
      <c r="G3075" s="3">
        <v>0</v>
      </c>
      <c r="H3075" s="3">
        <v>0</v>
      </c>
      <c r="I3075" s="3">
        <v>0</v>
      </c>
      <c r="J3075" s="18">
        <f t="shared" si="7"/>
        <v>-1845</v>
      </c>
    </row>
    <row r="3076" spans="1:10" ht="15.75" x14ac:dyDescent="0.25">
      <c r="A3076" s="21">
        <v>45596</v>
      </c>
      <c r="B3076" t="str">
        <f>IFERROR(IF(VLOOKUP(C3076,Hoja1!$B$1:$C$6191,2,0)="",_xlfn.XLOOKUP(C3076,Hoja1!$B$2:$B$6191,Hoja1!$A$2:$A$6191),VLOOKUP(C3076,Hoja1!$B$1:$C$6191,2,0)),"No esta en Infor")</f>
        <v>SH03091</v>
      </c>
      <c r="C3076" s="3" t="s">
        <v>724</v>
      </c>
      <c r="D3076" s="3">
        <v>-57.08</v>
      </c>
      <c r="E3076" s="6"/>
      <c r="F3076" s="3">
        <v>0</v>
      </c>
      <c r="G3076" s="3">
        <v>0</v>
      </c>
      <c r="H3076" s="3">
        <v>0</v>
      </c>
      <c r="I3076" s="3">
        <v>0</v>
      </c>
      <c r="J3076" s="18">
        <f t="shared" si="7"/>
        <v>-57.08</v>
      </c>
    </row>
    <row r="3077" spans="1:10" ht="15.75" x14ac:dyDescent="0.25">
      <c r="A3077" s="21">
        <v>45596</v>
      </c>
      <c r="B3077" t="str">
        <f>IFERROR(IF(VLOOKUP(C3077,Hoja1!$B$1:$C$6191,2,0)="",_xlfn.XLOOKUP(C3077,Hoja1!$B$2:$B$6191,Hoja1!$A$2:$A$6191),VLOOKUP(C3077,Hoja1!$B$1:$C$6191,2,0)),"No esta en Infor")</f>
        <v>NAC0871</v>
      </c>
      <c r="C3077" s="3" t="s">
        <v>193</v>
      </c>
      <c r="D3077" s="4">
        <v>3359.86</v>
      </c>
      <c r="E3077" s="6"/>
      <c r="F3077" s="3">
        <v>0</v>
      </c>
      <c r="G3077" s="3">
        <v>0</v>
      </c>
      <c r="H3077" s="3">
        <v>0</v>
      </c>
      <c r="I3077" s="3">
        <v>0</v>
      </c>
      <c r="J3077" s="18">
        <f t="shared" si="7"/>
        <v>3359.86</v>
      </c>
    </row>
    <row r="3078" spans="1:10" ht="15.75" x14ac:dyDescent="0.25">
      <c r="A3078" s="21">
        <v>45596</v>
      </c>
      <c r="B3078" t="str">
        <f>IFERROR(IF(VLOOKUP(C3078,Hoja1!$B$1:$C$6191,2,0)="",_xlfn.XLOOKUP(C3078,Hoja1!$B$2:$B$6191,Hoja1!$A$2:$A$6191),VLOOKUP(C3078,Hoja1!$B$1:$C$6191,2,0)),"No esta en Infor")</f>
        <v>NAC0879</v>
      </c>
      <c r="C3078" s="3" t="s">
        <v>194</v>
      </c>
      <c r="D3078" s="3">
        <v>0</v>
      </c>
      <c r="E3078" s="6"/>
      <c r="F3078" s="3">
        <v>0</v>
      </c>
      <c r="G3078" s="3">
        <v>-117.9</v>
      </c>
      <c r="H3078" s="3">
        <v>0</v>
      </c>
      <c r="I3078" s="3">
        <v>0</v>
      </c>
      <c r="J3078" s="18">
        <f t="shared" si="7"/>
        <v>-117.9</v>
      </c>
    </row>
    <row r="3079" spans="1:10" ht="15.75" x14ac:dyDescent="0.25">
      <c r="A3079" s="21">
        <v>45596</v>
      </c>
      <c r="B3079" t="str">
        <f>IFERROR(IF(VLOOKUP(C3079,Hoja1!$B$1:$C$6191,2,0)="",_xlfn.XLOOKUP(C3079,Hoja1!$B$2:$B$6191,Hoja1!$A$2:$A$6191),VLOOKUP(C3079,Hoja1!$B$1:$C$6191,2,0)),"No esta en Infor")</f>
        <v>NAC0880</v>
      </c>
      <c r="C3079" s="3" t="s">
        <v>24</v>
      </c>
      <c r="D3079" s="4">
        <v>7884.85</v>
      </c>
      <c r="E3079" s="6"/>
      <c r="F3079" s="3">
        <v>0</v>
      </c>
      <c r="G3079" s="3">
        <v>0</v>
      </c>
      <c r="H3079" s="3">
        <v>0</v>
      </c>
      <c r="I3079" s="3">
        <v>-0.3</v>
      </c>
      <c r="J3079" s="18">
        <f t="shared" si="7"/>
        <v>7884.55</v>
      </c>
    </row>
    <row r="3080" spans="1:10" ht="15.75" x14ac:dyDescent="0.25">
      <c r="A3080" s="21">
        <v>45596</v>
      </c>
      <c r="B3080" t="str">
        <f>IFERROR(IF(VLOOKUP(C3080,Hoja1!$B$1:$C$6191,2,0)="",_xlfn.XLOOKUP(C3080,Hoja1!$B$2:$B$6191,Hoja1!$A$2:$A$6191),VLOOKUP(C3080,Hoja1!$B$1:$C$6191,2,0)),"No esta en Infor")</f>
        <v>NAC0881</v>
      </c>
      <c r="C3080" s="3" t="s">
        <v>195</v>
      </c>
      <c r="D3080" s="4">
        <v>14452.78</v>
      </c>
      <c r="E3080" s="6"/>
      <c r="F3080" s="3">
        <v>0</v>
      </c>
      <c r="G3080" s="3">
        <v>0</v>
      </c>
      <c r="H3080" s="3">
        <v>0</v>
      </c>
      <c r="I3080" s="3">
        <v>0</v>
      </c>
      <c r="J3080" s="18">
        <f t="shared" si="7"/>
        <v>14452.78</v>
      </c>
    </row>
    <row r="3081" spans="1:10" ht="15.75" x14ac:dyDescent="0.25">
      <c r="A3081" s="21">
        <v>45596</v>
      </c>
      <c r="B3081" t="str">
        <f>IFERROR(IF(VLOOKUP(C3081,Hoja1!$B$1:$C$6191,2,0)="",_xlfn.XLOOKUP(C3081,Hoja1!$B$2:$B$6191,Hoja1!$A$2:$A$6191),VLOOKUP(C3081,Hoja1!$B$1:$C$6191,2,0)),"No esta en Infor")</f>
        <v>NAC0886</v>
      </c>
      <c r="C3081" s="3" t="s">
        <v>196</v>
      </c>
      <c r="D3081" s="3">
        <v>0</v>
      </c>
      <c r="E3081" s="6"/>
      <c r="F3081" s="3">
        <v>-0.1</v>
      </c>
      <c r="G3081" s="3">
        <v>0</v>
      </c>
      <c r="H3081" s="3">
        <v>0</v>
      </c>
      <c r="I3081" s="3">
        <v>0</v>
      </c>
      <c r="J3081" s="18">
        <f t="shared" si="7"/>
        <v>-0.1</v>
      </c>
    </row>
    <row r="3082" spans="1:10" ht="15.75" x14ac:dyDescent="0.25">
      <c r="A3082" s="21">
        <v>45596</v>
      </c>
      <c r="B3082" t="str">
        <f>IFERROR(IF(VLOOKUP(C3082,Hoja1!$B$1:$C$6191,2,0)="",_xlfn.XLOOKUP(C3082,Hoja1!$B$2:$B$6191,Hoja1!$A$2:$A$6191),VLOOKUP(C3082,Hoja1!$B$1:$C$6191,2,0)),"No esta en Infor")</f>
        <v>NAC0888</v>
      </c>
      <c r="C3082" s="3" t="s">
        <v>198</v>
      </c>
      <c r="D3082" s="4">
        <v>21900</v>
      </c>
      <c r="E3082" s="6"/>
      <c r="F3082" s="3">
        <v>0</v>
      </c>
      <c r="G3082" s="3">
        <v>0</v>
      </c>
      <c r="H3082" s="3">
        <v>0</v>
      </c>
      <c r="I3082" s="3">
        <v>0</v>
      </c>
      <c r="J3082" s="18">
        <f t="shared" si="7"/>
        <v>21900</v>
      </c>
    </row>
    <row r="3083" spans="1:10" ht="15.75" x14ac:dyDescent="0.25">
      <c r="A3083" s="21">
        <v>45596</v>
      </c>
      <c r="B3083" t="str">
        <f>IFERROR(IF(VLOOKUP(C3083,Hoja1!$B$1:$C$6191,2,0)="",_xlfn.XLOOKUP(C3083,Hoja1!$B$2:$B$6191,Hoja1!$A$2:$A$6191),VLOOKUP(C3083,Hoja1!$B$1:$C$6191,2,0)),"No esta en Infor")</f>
        <v>NAC0897</v>
      </c>
      <c r="C3083" s="3" t="s">
        <v>25</v>
      </c>
      <c r="D3083" s="4">
        <v>29729</v>
      </c>
      <c r="E3083" s="6"/>
      <c r="F3083" s="3">
        <v>0</v>
      </c>
      <c r="G3083" s="3">
        <v>-247.5</v>
      </c>
      <c r="H3083" s="3">
        <v>-56</v>
      </c>
      <c r="I3083" s="3">
        <v>0</v>
      </c>
      <c r="J3083" s="18">
        <f t="shared" si="7"/>
        <v>29425.5</v>
      </c>
    </row>
    <row r="3084" spans="1:10" ht="15.75" x14ac:dyDescent="0.25">
      <c r="A3084" s="21">
        <v>45596</v>
      </c>
      <c r="B3084" t="str">
        <f>IFERROR(IF(VLOOKUP(C3084,Hoja1!$B$1:$C$6191,2,0)="",_xlfn.XLOOKUP(C3084,Hoja1!$B$2:$B$6191,Hoja1!$A$2:$A$6191),VLOOKUP(C3084,Hoja1!$B$1:$C$6191,2,0)),"No esta en Infor")</f>
        <v>NAC0904</v>
      </c>
      <c r="C3084" s="3" t="s">
        <v>400</v>
      </c>
      <c r="D3084" s="4">
        <v>5697</v>
      </c>
      <c r="E3084" s="6"/>
      <c r="F3084" s="3">
        <v>0</v>
      </c>
      <c r="G3084" s="3">
        <v>0</v>
      </c>
      <c r="H3084" s="3">
        <v>0</v>
      </c>
      <c r="I3084" s="3">
        <v>0</v>
      </c>
      <c r="J3084" s="18">
        <f t="shared" si="7"/>
        <v>5697</v>
      </c>
    </row>
    <row r="3085" spans="1:10" ht="15.75" x14ac:dyDescent="0.25">
      <c r="A3085" s="21">
        <v>45596</v>
      </c>
      <c r="B3085" t="str">
        <f>IFERROR(IF(VLOOKUP(C3085,Hoja1!$B$1:$C$6191,2,0)="",_xlfn.XLOOKUP(C3085,Hoja1!$B$2:$B$6191,Hoja1!$A$2:$A$6191),VLOOKUP(C3085,Hoja1!$B$1:$C$6191,2,0)),"No esta en Infor")</f>
        <v>NAC0906</v>
      </c>
      <c r="C3085" s="3" t="s">
        <v>456</v>
      </c>
      <c r="D3085" s="3">
        <v>0</v>
      </c>
      <c r="E3085" s="6"/>
      <c r="F3085" s="3">
        <v>0</v>
      </c>
      <c r="G3085" s="3">
        <v>-8.93</v>
      </c>
      <c r="H3085" s="3">
        <v>0</v>
      </c>
      <c r="I3085" s="3">
        <v>0</v>
      </c>
      <c r="J3085" s="18">
        <f t="shared" si="7"/>
        <v>-8.93</v>
      </c>
    </row>
    <row r="3086" spans="1:10" ht="15.75" x14ac:dyDescent="0.25">
      <c r="A3086" s="21">
        <v>45596</v>
      </c>
      <c r="B3086" t="str">
        <f>IFERROR(IF(VLOOKUP(C3086,Hoja1!$B$1:$C$6191,2,0)="",_xlfn.XLOOKUP(C3086,Hoja1!$B$2:$B$6191,Hoja1!$A$2:$A$6191),VLOOKUP(C3086,Hoja1!$B$1:$C$6191,2,0)),"No esta en Infor")</f>
        <v>CAN0092</v>
      </c>
      <c r="C3086" s="3" t="s">
        <v>555</v>
      </c>
      <c r="D3086" s="3">
        <v>0</v>
      </c>
      <c r="E3086" s="6"/>
      <c r="F3086" s="3">
        <v>-508.5</v>
      </c>
      <c r="G3086" s="3">
        <v>0</v>
      </c>
      <c r="H3086" s="3">
        <v>0</v>
      </c>
      <c r="I3086" s="3">
        <v>0</v>
      </c>
      <c r="J3086" s="18">
        <f t="shared" si="7"/>
        <v>-508.5</v>
      </c>
    </row>
    <row r="3087" spans="1:10" ht="15.75" x14ac:dyDescent="0.25">
      <c r="A3087" s="21">
        <v>45596</v>
      </c>
      <c r="B3087" t="str">
        <f>IFERROR(IF(VLOOKUP(C3087,Hoja1!$B$1:$C$6191,2,0)="",_xlfn.XLOOKUP(C3087,Hoja1!$B$2:$B$6191,Hoja1!$A$2:$A$6191),VLOOKUP(C3087,Hoja1!$B$1:$C$6191,2,0)),"No esta en Infor")</f>
        <v>NAC0908</v>
      </c>
      <c r="C3087" s="3" t="s">
        <v>725</v>
      </c>
      <c r="D3087" s="4">
        <v>23499.63</v>
      </c>
      <c r="E3087" s="6"/>
      <c r="F3087" s="3">
        <v>0</v>
      </c>
      <c r="G3087" s="3">
        <v>0</v>
      </c>
      <c r="H3087" s="3">
        <v>0</v>
      </c>
      <c r="I3087" s="3">
        <v>0</v>
      </c>
      <c r="J3087" s="18">
        <f t="shared" si="7"/>
        <v>23499.63</v>
      </c>
    </row>
    <row r="3088" spans="1:10" ht="15.75" x14ac:dyDescent="0.25">
      <c r="A3088" s="21">
        <v>45596</v>
      </c>
      <c r="B3088" t="str">
        <f>IFERROR(IF(VLOOKUP(C3088,Hoja1!$B$1:$C$6191,2,0)="",_xlfn.XLOOKUP(C3088,Hoja1!$B$2:$B$6191,Hoja1!$A$2:$A$6191),VLOOKUP(C3088,Hoja1!$B$1:$C$6191,2,0)),"No esta en Infor")</f>
        <v>SH03071</v>
      </c>
      <c r="C3088" s="3" t="s">
        <v>726</v>
      </c>
      <c r="D3088" s="3">
        <v>-53.18</v>
      </c>
      <c r="E3088" s="6"/>
      <c r="F3088" s="3">
        <v>0</v>
      </c>
      <c r="G3088" s="3">
        <v>0</v>
      </c>
      <c r="H3088" s="3">
        <v>0</v>
      </c>
      <c r="I3088" s="3">
        <v>0</v>
      </c>
      <c r="J3088" s="18">
        <f t="shared" si="7"/>
        <v>-53.18</v>
      </c>
    </row>
    <row r="3089" spans="1:10" ht="15.75" x14ac:dyDescent="0.25">
      <c r="A3089" s="21">
        <v>45596</v>
      </c>
      <c r="B3089" t="str">
        <f>IFERROR(IF(VLOOKUP(C3089,Hoja1!$B$1:$C$6191,2,0)="",_xlfn.XLOOKUP(C3089,Hoja1!$B$2:$B$6191,Hoja1!$A$2:$A$6191),VLOOKUP(C3089,Hoja1!$B$1:$C$6191,2,0)),"No esta en Infor")</f>
        <v>NAC0919</v>
      </c>
      <c r="C3089" s="3" t="s">
        <v>727</v>
      </c>
      <c r="D3089" s="4">
        <v>3622.78</v>
      </c>
      <c r="E3089" s="6"/>
      <c r="F3089" s="3">
        <v>0</v>
      </c>
      <c r="G3089" s="3">
        <v>0</v>
      </c>
      <c r="H3089" s="3">
        <v>0</v>
      </c>
      <c r="I3089" s="3">
        <v>0</v>
      </c>
      <c r="J3089" s="18">
        <f t="shared" si="7"/>
        <v>3622.78</v>
      </c>
    </row>
    <row r="3090" spans="1:10" ht="15.75" x14ac:dyDescent="0.25">
      <c r="A3090" s="21">
        <v>45596</v>
      </c>
      <c r="B3090" t="str">
        <f>IFERROR(IF(VLOOKUP(C3090,Hoja1!$B$1:$C$6191,2,0)="",_xlfn.XLOOKUP(C3090,Hoja1!$B$2:$B$6191,Hoja1!$A$2:$A$6191),VLOOKUP(C3090,Hoja1!$B$1:$C$6191,2,0)),"No esta en Infor")</f>
        <v>NAC0920</v>
      </c>
      <c r="C3090" s="3" t="s">
        <v>204</v>
      </c>
      <c r="D3090" s="3">
        <v>770.93</v>
      </c>
      <c r="E3090" s="6"/>
      <c r="F3090" s="3">
        <v>0</v>
      </c>
      <c r="G3090" s="3">
        <v>0</v>
      </c>
      <c r="H3090" s="3">
        <v>0</v>
      </c>
      <c r="I3090" s="3">
        <v>0</v>
      </c>
      <c r="J3090" s="18">
        <f t="shared" si="7"/>
        <v>770.93</v>
      </c>
    </row>
    <row r="3091" spans="1:10" ht="15.75" x14ac:dyDescent="0.25">
      <c r="A3091" s="21">
        <v>45596</v>
      </c>
      <c r="B3091" t="str">
        <f>IFERROR(IF(VLOOKUP(C3091,Hoja1!$B$1:$C$6191,2,0)="",_xlfn.XLOOKUP(C3091,Hoja1!$B$2:$B$6191,Hoja1!$A$2:$A$6191),VLOOKUP(C3091,Hoja1!$B$1:$C$6191,2,0)),"No esta en Infor")</f>
        <v>CAN0027</v>
      </c>
      <c r="C3091" s="3" t="s">
        <v>667</v>
      </c>
      <c r="D3091" s="4">
        <v>8183.91</v>
      </c>
      <c r="E3091" s="6"/>
      <c r="F3091" s="3">
        <v>0</v>
      </c>
      <c r="G3091" s="3">
        <v>0</v>
      </c>
      <c r="H3091" s="3">
        <v>0</v>
      </c>
      <c r="I3091" s="3">
        <v>0</v>
      </c>
      <c r="J3091" s="18">
        <f t="shared" si="7"/>
        <v>8183.91</v>
      </c>
    </row>
    <row r="3092" spans="1:10" ht="15.75" x14ac:dyDescent="0.25">
      <c r="A3092" s="21">
        <v>45596</v>
      </c>
      <c r="B3092" t="str">
        <f>IFERROR(IF(VLOOKUP(C3092,Hoja1!$B$1:$C$6191,2,0)="",_xlfn.XLOOKUP(C3092,Hoja1!$B$2:$B$6191,Hoja1!$A$2:$A$6191),VLOOKUP(C3092,Hoja1!$B$1:$C$6191,2,0)),"No esta en Infor")</f>
        <v>NAC0933</v>
      </c>
      <c r="C3092" s="3" t="s">
        <v>728</v>
      </c>
      <c r="D3092" s="4">
        <v>6475.5</v>
      </c>
      <c r="E3092" s="6"/>
      <c r="F3092" s="3">
        <v>0</v>
      </c>
      <c r="G3092" s="3">
        <v>0</v>
      </c>
      <c r="H3092" s="3">
        <v>0</v>
      </c>
      <c r="I3092" s="3">
        <v>0</v>
      </c>
      <c r="J3092" s="18">
        <f t="shared" si="7"/>
        <v>6475.5</v>
      </c>
    </row>
    <row r="3093" spans="1:10" ht="15.75" x14ac:dyDescent="0.25">
      <c r="A3093" s="21">
        <v>45596</v>
      </c>
      <c r="B3093" t="str">
        <f>IFERROR(IF(VLOOKUP(C3093,Hoja1!$B$1:$C$6191,2,0)="",_xlfn.XLOOKUP(C3093,Hoja1!$B$2:$B$6191,Hoja1!$A$2:$A$6191),VLOOKUP(C3093,Hoja1!$B$1:$C$6191,2,0)),"No esta en Infor")</f>
        <v>NAC1607</v>
      </c>
      <c r="C3093" s="3" t="s">
        <v>668</v>
      </c>
      <c r="D3093" s="3">
        <v>112.9</v>
      </c>
      <c r="E3093" s="6"/>
      <c r="F3093" s="3">
        <v>0</v>
      </c>
      <c r="G3093" s="3">
        <v>0</v>
      </c>
      <c r="H3093" s="3">
        <v>0</v>
      </c>
      <c r="I3093" s="3">
        <v>0</v>
      </c>
      <c r="J3093" s="18">
        <f t="shared" si="7"/>
        <v>112.9</v>
      </c>
    </row>
    <row r="3094" spans="1:10" ht="15.75" x14ac:dyDescent="0.25">
      <c r="A3094" s="21">
        <v>45596</v>
      </c>
      <c r="B3094" t="str">
        <f>IFERROR(IF(VLOOKUP(C3094,Hoja1!$B$1:$C$6191,2,0)="",_xlfn.XLOOKUP(C3094,Hoja1!$B$2:$B$6191,Hoja1!$A$2:$A$6191),VLOOKUP(C3094,Hoja1!$B$1:$C$6191,2,0)),"No esta en Infor")</f>
        <v>NAC0953</v>
      </c>
      <c r="C3094" s="3" t="s">
        <v>28</v>
      </c>
      <c r="D3094" s="3">
        <v>0</v>
      </c>
      <c r="E3094" s="6"/>
      <c r="F3094" s="3">
        <v>-144</v>
      </c>
      <c r="G3094" s="3">
        <v>-308.14999999999998</v>
      </c>
      <c r="H3094" s="3">
        <v>-284.44</v>
      </c>
      <c r="I3094" s="3">
        <v>0</v>
      </c>
      <c r="J3094" s="18">
        <f t="shared" si="7"/>
        <v>-736.58999999999992</v>
      </c>
    </row>
    <row r="3095" spans="1:10" ht="15.75" x14ac:dyDescent="0.25">
      <c r="A3095" s="21">
        <v>45596</v>
      </c>
      <c r="B3095" t="str">
        <f>IFERROR(IF(VLOOKUP(C3095,Hoja1!$B$1:$C$6191,2,0)="",_xlfn.XLOOKUP(C3095,Hoja1!$B$2:$B$6191,Hoja1!$A$2:$A$6191),VLOOKUP(C3095,Hoja1!$B$1:$C$6191,2,0)),"No esta en Infor")</f>
        <v>NAC0959</v>
      </c>
      <c r="C3095" s="3" t="s">
        <v>669</v>
      </c>
      <c r="D3095" s="4">
        <v>46230.65</v>
      </c>
      <c r="E3095" s="6"/>
      <c r="F3095" s="3">
        <v>0</v>
      </c>
      <c r="G3095" s="3">
        <v>0</v>
      </c>
      <c r="H3095" s="3">
        <v>0</v>
      </c>
      <c r="I3095" s="3">
        <v>0</v>
      </c>
      <c r="J3095" s="18">
        <f t="shared" si="7"/>
        <v>46230.65</v>
      </c>
    </row>
    <row r="3096" spans="1:10" ht="15.75" x14ac:dyDescent="0.25">
      <c r="A3096" s="21">
        <v>45596</v>
      </c>
      <c r="B3096" t="str">
        <f>IFERROR(IF(VLOOKUP(C3096,Hoja1!$B$1:$C$6191,2,0)="",_xlfn.XLOOKUP(C3096,Hoja1!$B$2:$B$6191,Hoja1!$A$2:$A$6191),VLOOKUP(C3096,Hoja1!$B$1:$C$6191,2,0)),"No esta en Infor")</f>
        <v>NAC0963</v>
      </c>
      <c r="C3096" s="3" t="s">
        <v>217</v>
      </c>
      <c r="D3096" s="4">
        <v>1566.46</v>
      </c>
      <c r="E3096" s="6"/>
      <c r="F3096" s="3">
        <v>0</v>
      </c>
      <c r="G3096" s="3">
        <v>0</v>
      </c>
      <c r="H3096" s="3">
        <v>0</v>
      </c>
      <c r="I3096" s="3">
        <v>0</v>
      </c>
      <c r="J3096" s="18">
        <f t="shared" si="7"/>
        <v>1566.46</v>
      </c>
    </row>
    <row r="3097" spans="1:10" ht="15.75" x14ac:dyDescent="0.25">
      <c r="A3097" s="21">
        <v>45596</v>
      </c>
      <c r="B3097" t="str">
        <f>IFERROR(IF(VLOOKUP(C3097,Hoja1!$B$1:$C$6191,2,0)="",_xlfn.XLOOKUP(C3097,Hoja1!$B$2:$B$6191,Hoja1!$A$2:$A$6191),VLOOKUP(C3097,Hoja1!$B$1:$C$6191,2,0)),"No esta en Infor")</f>
        <v>SH00932</v>
      </c>
      <c r="C3097" s="3" t="s">
        <v>729</v>
      </c>
      <c r="D3097" s="3">
        <v>-97.66</v>
      </c>
      <c r="E3097" s="6"/>
      <c r="F3097" s="3">
        <v>0</v>
      </c>
      <c r="G3097" s="3">
        <v>0</v>
      </c>
      <c r="H3097" s="3">
        <v>0</v>
      </c>
      <c r="I3097" s="3">
        <v>0</v>
      </c>
      <c r="J3097" s="18">
        <f t="shared" si="7"/>
        <v>-97.66</v>
      </c>
    </row>
    <row r="3098" spans="1:10" ht="15.75" x14ac:dyDescent="0.25">
      <c r="A3098" s="21">
        <v>45596</v>
      </c>
      <c r="B3098" t="str">
        <f>IFERROR(IF(VLOOKUP(C3098,Hoja1!$B$1:$C$6191,2,0)="",_xlfn.XLOOKUP(C3098,Hoja1!$B$2:$B$6191,Hoja1!$A$2:$A$6191),VLOOKUP(C3098,Hoja1!$B$1:$C$6191,2,0)),"No esta en Infor")</f>
        <v>NAC0971</v>
      </c>
      <c r="C3098" s="3" t="s">
        <v>219</v>
      </c>
      <c r="D3098" s="4">
        <v>1511.99</v>
      </c>
      <c r="E3098" s="6"/>
      <c r="F3098" s="3">
        <v>0</v>
      </c>
      <c r="G3098" s="3">
        <v>0</v>
      </c>
      <c r="H3098" s="3">
        <v>0</v>
      </c>
      <c r="I3098" s="3">
        <v>0</v>
      </c>
      <c r="J3098" s="18">
        <f t="shared" si="7"/>
        <v>1511.99</v>
      </c>
    </row>
    <row r="3099" spans="1:10" ht="15.75" x14ac:dyDescent="0.25">
      <c r="A3099" s="21">
        <v>45596</v>
      </c>
      <c r="B3099" t="str">
        <f>IFERROR(IF(VLOOKUP(C3099,Hoja1!$B$1:$C$6191,2,0)="",_xlfn.XLOOKUP(C3099,Hoja1!$B$2:$B$6191,Hoja1!$A$2:$A$6191),VLOOKUP(C3099,Hoja1!$B$1:$C$6191,2,0)),"No esta en Infor")</f>
        <v>NAC0978</v>
      </c>
      <c r="C3099" s="3" t="s">
        <v>502</v>
      </c>
      <c r="D3099" s="3">
        <v>972.52</v>
      </c>
      <c r="E3099" s="6"/>
      <c r="F3099" s="3">
        <v>0</v>
      </c>
      <c r="G3099" s="3">
        <v>0</v>
      </c>
      <c r="H3099" s="3">
        <v>0</v>
      </c>
      <c r="I3099" s="3">
        <v>0</v>
      </c>
      <c r="J3099" s="18">
        <f t="shared" si="7"/>
        <v>972.52</v>
      </c>
    </row>
    <row r="3100" spans="1:10" ht="15.75" x14ac:dyDescent="0.25">
      <c r="A3100" s="21">
        <v>45596</v>
      </c>
      <c r="B3100" t="str">
        <f>IFERROR(IF(VLOOKUP(C3100,Hoja1!$B$1:$C$6191,2,0)="",_xlfn.XLOOKUP(C3100,Hoja1!$B$2:$B$6191,Hoja1!$A$2:$A$6191),VLOOKUP(C3100,Hoja1!$B$1:$C$6191,2,0)),"No esta en Infor")</f>
        <v>SH02931</v>
      </c>
      <c r="C3100" s="3" t="s">
        <v>671</v>
      </c>
      <c r="D3100" s="3">
        <v>-11.13</v>
      </c>
      <c r="E3100" s="6"/>
      <c r="F3100" s="3">
        <v>0</v>
      </c>
      <c r="G3100" s="3">
        <v>0</v>
      </c>
      <c r="H3100" s="3">
        <v>0</v>
      </c>
      <c r="I3100" s="3">
        <v>0</v>
      </c>
      <c r="J3100" s="18">
        <f t="shared" si="7"/>
        <v>-11.13</v>
      </c>
    </row>
    <row r="3101" spans="1:10" ht="15.75" x14ac:dyDescent="0.25">
      <c r="A3101" s="21">
        <v>45596</v>
      </c>
      <c r="B3101" t="str">
        <f>IFERROR(IF(VLOOKUP(C3101,Hoja1!$B$1:$C$6191,2,0)="",_xlfn.XLOOKUP(C3101,Hoja1!$B$2:$B$6191,Hoja1!$A$2:$A$6191),VLOOKUP(C3101,Hoja1!$B$1:$C$6191,2,0)),"No esta en Infor")</f>
        <v>NAC0979</v>
      </c>
      <c r="C3101" s="3" t="s">
        <v>222</v>
      </c>
      <c r="D3101" s="4">
        <v>1320</v>
      </c>
      <c r="E3101" s="6"/>
      <c r="F3101" s="3">
        <v>0</v>
      </c>
      <c r="G3101" s="3">
        <v>0</v>
      </c>
      <c r="H3101" s="3">
        <v>0</v>
      </c>
      <c r="I3101" s="3">
        <v>0</v>
      </c>
      <c r="J3101" s="18">
        <f t="shared" si="7"/>
        <v>1320</v>
      </c>
    </row>
    <row r="3102" spans="1:10" ht="15.75" x14ac:dyDescent="0.25">
      <c r="A3102" s="21">
        <v>45596</v>
      </c>
      <c r="B3102" t="str">
        <f>IFERROR(IF(VLOOKUP(C3102,Hoja1!$B$1:$C$6191,2,0)="",_xlfn.XLOOKUP(C3102,Hoja1!$B$2:$B$6191,Hoja1!$A$2:$A$6191),VLOOKUP(C3102,Hoja1!$B$1:$C$6191,2,0)),"No esta en Infor")</f>
        <v>SH00978</v>
      </c>
      <c r="C3102" s="3" t="s">
        <v>730</v>
      </c>
      <c r="D3102" s="3">
        <v>-46.66</v>
      </c>
      <c r="E3102" s="6"/>
      <c r="F3102" s="3">
        <v>0</v>
      </c>
      <c r="G3102" s="3">
        <v>0</v>
      </c>
      <c r="H3102" s="3">
        <v>0</v>
      </c>
      <c r="I3102" s="3">
        <v>0</v>
      </c>
      <c r="J3102" s="18">
        <f t="shared" si="7"/>
        <v>-46.66</v>
      </c>
    </row>
    <row r="3103" spans="1:10" ht="15.75" x14ac:dyDescent="0.25">
      <c r="A3103" s="21">
        <v>45596</v>
      </c>
      <c r="B3103" t="str">
        <f>IFERROR(IF(VLOOKUP(C3103,Hoja1!$B$1:$C$6191,2,0)="",_xlfn.XLOOKUP(C3103,Hoja1!$B$2:$B$6191,Hoja1!$A$2:$A$6191),VLOOKUP(C3103,Hoja1!$B$1:$C$6191,2,0)),"No esta en Infor")</f>
        <v>SH00999</v>
      </c>
      <c r="C3103" s="3" t="s">
        <v>731</v>
      </c>
      <c r="D3103" s="3">
        <v>-123.28</v>
      </c>
      <c r="E3103" s="6"/>
      <c r="F3103" s="3">
        <v>0</v>
      </c>
      <c r="G3103" s="3">
        <v>0</v>
      </c>
      <c r="H3103" s="3">
        <v>0</v>
      </c>
      <c r="I3103" s="3">
        <v>0</v>
      </c>
      <c r="J3103" s="18">
        <f t="shared" si="7"/>
        <v>-123.28</v>
      </c>
    </row>
    <row r="3104" spans="1:10" ht="15.75" x14ac:dyDescent="0.25">
      <c r="A3104" s="21">
        <v>45596</v>
      </c>
      <c r="B3104" t="str">
        <f>IFERROR(IF(VLOOKUP(C3104,Hoja1!$B$1:$C$6191,2,0)="",_xlfn.XLOOKUP(C3104,Hoja1!$B$2:$B$6191,Hoja1!$A$2:$A$6191),VLOOKUP(C3104,Hoja1!$B$1:$C$6191,2,0)),"No esta en Infor")</f>
        <v>SH03078</v>
      </c>
      <c r="C3104" s="3" t="s">
        <v>732</v>
      </c>
      <c r="D3104" s="3">
        <v>-61.31</v>
      </c>
      <c r="E3104" s="6"/>
      <c r="F3104" s="3">
        <v>0</v>
      </c>
      <c r="G3104" s="3">
        <v>0</v>
      </c>
      <c r="H3104" s="3">
        <v>0</v>
      </c>
      <c r="I3104" s="3">
        <v>0</v>
      </c>
      <c r="J3104" s="18">
        <f t="shared" si="7"/>
        <v>-61.31</v>
      </c>
    </row>
    <row r="3105" spans="1:10" ht="15.75" x14ac:dyDescent="0.25">
      <c r="A3105" s="21">
        <v>45596</v>
      </c>
      <c r="B3105" t="str">
        <f>IFERROR(IF(VLOOKUP(C3105,Hoja1!$B$1:$C$6191,2,0)="",_xlfn.XLOOKUP(C3105,Hoja1!$B$2:$B$6191,Hoja1!$A$2:$A$6191),VLOOKUP(C3105,Hoja1!$B$1:$C$6191,2,0)),"No esta en Infor")</f>
        <v>SH01010</v>
      </c>
      <c r="C3105" s="3" t="s">
        <v>733</v>
      </c>
      <c r="D3105" s="3">
        <v>-182</v>
      </c>
      <c r="E3105" s="6"/>
      <c r="F3105" s="3">
        <v>0</v>
      </c>
      <c r="G3105" s="3">
        <v>0</v>
      </c>
      <c r="H3105" s="3">
        <v>0</v>
      </c>
      <c r="I3105" s="3">
        <v>0</v>
      </c>
      <c r="J3105" s="18">
        <f t="shared" si="7"/>
        <v>-182</v>
      </c>
    </row>
    <row r="3106" spans="1:10" ht="15.75" x14ac:dyDescent="0.25">
      <c r="A3106" s="21">
        <v>45596</v>
      </c>
      <c r="B3106" t="str">
        <f>IFERROR(IF(VLOOKUP(C3106,Hoja1!$B$1:$C$6191,2,0)="",_xlfn.XLOOKUP(C3106,Hoja1!$B$2:$B$6191,Hoja1!$A$2:$A$6191),VLOOKUP(C3106,Hoja1!$B$1:$C$6191,2,0)),"No esta en Infor")</f>
        <v>NAC0986</v>
      </c>
      <c r="C3106" s="3" t="s">
        <v>224</v>
      </c>
      <c r="D3106" s="3">
        <v>82.42</v>
      </c>
      <c r="E3106" s="6"/>
      <c r="F3106" s="4">
        <v>-5078.6000000000004</v>
      </c>
      <c r="G3106" s="4">
        <v>2136.14</v>
      </c>
      <c r="H3106" s="3">
        <v>296.81</v>
      </c>
      <c r="I3106" s="3">
        <v>16.079999999999998</v>
      </c>
      <c r="J3106" s="18">
        <f t="shared" si="7"/>
        <v>-2547.1500000000005</v>
      </c>
    </row>
    <row r="3107" spans="1:10" ht="15.75" x14ac:dyDescent="0.25">
      <c r="A3107" s="21">
        <v>45596</v>
      </c>
      <c r="B3107" t="str">
        <f>IFERROR(IF(VLOOKUP(C3107,Hoja1!$B$1:$C$6191,2,0)="",_xlfn.XLOOKUP(C3107,Hoja1!$B$2:$B$6191,Hoja1!$A$2:$A$6191),VLOOKUP(C3107,Hoja1!$B$1:$C$6191,2,0)),"No esta en Infor")</f>
        <v>NAC0987</v>
      </c>
      <c r="C3107" s="3" t="s">
        <v>225</v>
      </c>
      <c r="D3107" s="3">
        <v>0</v>
      </c>
      <c r="E3107" s="6"/>
      <c r="F3107" s="3">
        <v>0</v>
      </c>
      <c r="G3107" s="3">
        <v>0</v>
      </c>
      <c r="H3107" s="3">
        <v>0</v>
      </c>
      <c r="I3107" s="4">
        <v>2040.5</v>
      </c>
      <c r="J3107" s="18">
        <f t="shared" si="7"/>
        <v>2040.5</v>
      </c>
    </row>
    <row r="3108" spans="1:10" ht="15.75" x14ac:dyDescent="0.25">
      <c r="A3108" s="21">
        <v>45596</v>
      </c>
      <c r="B3108" t="str">
        <f>IFERROR(IF(VLOOKUP(C3108,Hoja1!$B$1:$C$6191,2,0)="",_xlfn.XLOOKUP(C3108,Hoja1!$B$2:$B$6191,Hoja1!$A$2:$A$6191),VLOOKUP(C3108,Hoja1!$B$1:$C$6191,2,0)),"No esta en Infor")</f>
        <v>SH03083</v>
      </c>
      <c r="C3108" s="3" t="s">
        <v>734</v>
      </c>
      <c r="D3108" s="3">
        <v>-180.89</v>
      </c>
      <c r="E3108" s="6"/>
      <c r="F3108" s="3">
        <v>0</v>
      </c>
      <c r="G3108" s="3">
        <v>0</v>
      </c>
      <c r="H3108" s="3">
        <v>0</v>
      </c>
      <c r="I3108" s="3">
        <v>0</v>
      </c>
      <c r="J3108" s="18">
        <f t="shared" ref="J3108:J3171" si="8">SUM(D3108:I3108)</f>
        <v>-180.89</v>
      </c>
    </row>
    <row r="3109" spans="1:10" ht="15.75" x14ac:dyDescent="0.25">
      <c r="A3109" s="21">
        <v>45596</v>
      </c>
      <c r="B3109" t="str">
        <f>IFERROR(IF(VLOOKUP(C3109,Hoja1!$B$1:$C$6191,2,0)="",_xlfn.XLOOKUP(C3109,Hoja1!$B$2:$B$6191,Hoja1!$A$2:$A$6191),VLOOKUP(C3109,Hoja1!$B$1:$C$6191,2,0)),"No esta en Infor")</f>
        <v>NAC0994</v>
      </c>
      <c r="C3109" s="3" t="s">
        <v>226</v>
      </c>
      <c r="D3109" s="3">
        <v>232</v>
      </c>
      <c r="E3109" s="6"/>
      <c r="F3109" s="3">
        <v>0</v>
      </c>
      <c r="G3109" s="3">
        <v>0</v>
      </c>
      <c r="H3109" s="3">
        <v>0</v>
      </c>
      <c r="I3109" s="3">
        <v>0</v>
      </c>
      <c r="J3109" s="18">
        <f t="shared" si="8"/>
        <v>232</v>
      </c>
    </row>
    <row r="3110" spans="1:10" ht="15.75" x14ac:dyDescent="0.25">
      <c r="A3110" s="21">
        <v>45596</v>
      </c>
      <c r="B3110" t="str">
        <f>IFERROR(IF(VLOOKUP(C3110,Hoja1!$B$1:$C$6191,2,0)="",_xlfn.XLOOKUP(C3110,Hoja1!$B$2:$B$6191,Hoja1!$A$2:$A$6191),VLOOKUP(C3110,Hoja1!$B$1:$C$6191,2,0)),"No esta en Infor")</f>
        <v>NAC0995</v>
      </c>
      <c r="C3110" s="3" t="s">
        <v>227</v>
      </c>
      <c r="D3110" s="3">
        <v>120</v>
      </c>
      <c r="E3110" s="6"/>
      <c r="F3110" s="3">
        <v>0</v>
      </c>
      <c r="G3110" s="3">
        <v>0</v>
      </c>
      <c r="H3110" s="3">
        <v>0</v>
      </c>
      <c r="I3110" s="3">
        <v>0</v>
      </c>
      <c r="J3110" s="18">
        <f t="shared" si="8"/>
        <v>120</v>
      </c>
    </row>
    <row r="3111" spans="1:10" ht="15.75" x14ac:dyDescent="0.25">
      <c r="A3111" s="21">
        <v>45596</v>
      </c>
      <c r="B3111" t="str">
        <f>IFERROR(IF(VLOOKUP(C3111,Hoja1!$B$1:$C$6191,2,0)="",_xlfn.XLOOKUP(C3111,Hoja1!$B$2:$B$6191,Hoja1!$A$2:$A$6191),VLOOKUP(C3111,Hoja1!$B$1:$C$6191,2,0)),"No esta en Infor")</f>
        <v>SH01170</v>
      </c>
      <c r="C3111" s="3" t="s">
        <v>735</v>
      </c>
      <c r="D3111" s="3">
        <v>-61.55</v>
      </c>
      <c r="E3111" s="6"/>
      <c r="F3111" s="3">
        <v>0</v>
      </c>
      <c r="G3111" s="3">
        <v>0</v>
      </c>
      <c r="H3111" s="3">
        <v>0</v>
      </c>
      <c r="I3111" s="3">
        <v>0</v>
      </c>
      <c r="J3111" s="18">
        <f t="shared" si="8"/>
        <v>-61.55</v>
      </c>
    </row>
    <row r="3112" spans="1:10" ht="15.75" x14ac:dyDescent="0.25">
      <c r="A3112" s="21">
        <v>45596</v>
      </c>
      <c r="B3112" t="str">
        <f>IFERROR(IF(VLOOKUP(C3112,Hoja1!$B$1:$C$6191,2,0)="",_xlfn.XLOOKUP(C3112,Hoja1!$B$2:$B$6191,Hoja1!$A$2:$A$6191),VLOOKUP(C3112,Hoja1!$B$1:$C$6191,2,0)),"No esta en Infor")</f>
        <v>NAC1000</v>
      </c>
      <c r="C3112" s="3" t="s">
        <v>405</v>
      </c>
      <c r="D3112" s="3">
        <v>170.05</v>
      </c>
      <c r="E3112" s="6"/>
      <c r="F3112" s="3">
        <v>0</v>
      </c>
      <c r="G3112" s="3">
        <v>0</v>
      </c>
      <c r="H3112" s="3">
        <v>0</v>
      </c>
      <c r="I3112" s="3">
        <v>0</v>
      </c>
      <c r="J3112" s="18">
        <f t="shared" si="8"/>
        <v>170.05</v>
      </c>
    </row>
    <row r="3113" spans="1:10" ht="15.75" x14ac:dyDescent="0.25">
      <c r="A3113" s="21">
        <v>45596</v>
      </c>
      <c r="B3113" t="str">
        <f>IFERROR(IF(VLOOKUP(C3113,Hoja1!$B$1:$C$6191,2,0)="",_xlfn.XLOOKUP(C3113,Hoja1!$B$2:$B$6191,Hoja1!$A$2:$A$6191),VLOOKUP(C3113,Hoja1!$B$1:$C$6191,2,0)),"No esta en Infor")</f>
        <v>NAC1007</v>
      </c>
      <c r="C3113" s="3" t="s">
        <v>233</v>
      </c>
      <c r="D3113" s="4">
        <v>7819</v>
      </c>
      <c r="E3113" s="6"/>
      <c r="F3113" s="3">
        <v>0</v>
      </c>
      <c r="G3113" s="3">
        <v>0</v>
      </c>
      <c r="H3113" s="4">
        <v>-1440</v>
      </c>
      <c r="I3113" s="3">
        <v>0</v>
      </c>
      <c r="J3113" s="18">
        <f t="shared" si="8"/>
        <v>6379</v>
      </c>
    </row>
    <row r="3114" spans="1:10" ht="15.75" x14ac:dyDescent="0.25">
      <c r="A3114" s="21">
        <v>45596</v>
      </c>
      <c r="B3114" t="str">
        <f>IFERROR(IF(VLOOKUP(C3114,Hoja1!$B$1:$C$6191,2,0)="",_xlfn.XLOOKUP(C3114,Hoja1!$B$2:$B$6191,Hoja1!$A$2:$A$6191),VLOOKUP(C3114,Hoja1!$B$1:$C$6191,2,0)),"No esta en Infor")</f>
        <v>SH03088</v>
      </c>
      <c r="C3114" s="3" t="s">
        <v>736</v>
      </c>
      <c r="D3114" s="3">
        <v>-85.11</v>
      </c>
      <c r="E3114" s="6"/>
      <c r="F3114" s="3">
        <v>0</v>
      </c>
      <c r="G3114" s="3">
        <v>0</v>
      </c>
      <c r="H3114" s="3">
        <v>0</v>
      </c>
      <c r="I3114" s="3">
        <v>0</v>
      </c>
      <c r="J3114" s="18">
        <f t="shared" si="8"/>
        <v>-85.11</v>
      </c>
    </row>
    <row r="3115" spans="1:10" ht="15.75" x14ac:dyDescent="0.25">
      <c r="A3115" s="21">
        <v>45596</v>
      </c>
      <c r="B3115" t="str">
        <f>IFERROR(IF(VLOOKUP(C3115,Hoja1!$B$1:$C$6191,2,0)="",_xlfn.XLOOKUP(C3115,Hoja1!$B$2:$B$6191,Hoja1!$A$2:$A$6191),VLOOKUP(C3115,Hoja1!$B$1:$C$6191,2,0)),"No esta en Infor")</f>
        <v>SH01298</v>
      </c>
      <c r="C3115" s="3" t="s">
        <v>737</v>
      </c>
      <c r="D3115" s="3">
        <v>-273.17</v>
      </c>
      <c r="E3115" s="6"/>
      <c r="F3115" s="3">
        <v>0</v>
      </c>
      <c r="G3115" s="3">
        <v>0</v>
      </c>
      <c r="H3115" s="3">
        <v>0</v>
      </c>
      <c r="I3115" s="3">
        <v>0</v>
      </c>
      <c r="J3115" s="18">
        <f t="shared" si="8"/>
        <v>-273.17</v>
      </c>
    </row>
    <row r="3116" spans="1:10" ht="15.75" x14ac:dyDescent="0.25">
      <c r="A3116" s="21">
        <v>45596</v>
      </c>
      <c r="B3116" t="str">
        <f>IFERROR(IF(VLOOKUP(C3116,Hoja1!$B$1:$C$6191,2,0)="",_xlfn.XLOOKUP(C3116,Hoja1!$B$2:$B$6191,Hoja1!$A$2:$A$6191),VLOOKUP(C3116,Hoja1!$B$1:$C$6191,2,0)),"No esta en Infor")</f>
        <v>NAC1013</v>
      </c>
      <c r="C3116" s="3" t="s">
        <v>235</v>
      </c>
      <c r="D3116" s="3">
        <v>391.55</v>
      </c>
      <c r="E3116" s="6"/>
      <c r="F3116" s="3">
        <v>0</v>
      </c>
      <c r="G3116" s="3">
        <v>0</v>
      </c>
      <c r="H3116" s="3">
        <v>0</v>
      </c>
      <c r="I3116" s="3">
        <v>0</v>
      </c>
      <c r="J3116" s="18">
        <f t="shared" si="8"/>
        <v>391.55</v>
      </c>
    </row>
    <row r="3117" spans="1:10" ht="15.75" x14ac:dyDescent="0.25">
      <c r="A3117" s="21">
        <v>45596</v>
      </c>
      <c r="B3117" t="str">
        <f>IFERROR(IF(VLOOKUP(C3117,Hoja1!$B$1:$C$6191,2,0)="",_xlfn.XLOOKUP(C3117,Hoja1!$B$2:$B$6191,Hoja1!$A$2:$A$6191),VLOOKUP(C3117,Hoja1!$B$1:$C$6191,2,0)),"No esta en Infor")</f>
        <v>SH03073</v>
      </c>
      <c r="C3117" s="3" t="s">
        <v>738</v>
      </c>
      <c r="D3117" s="3">
        <v>-152.01</v>
      </c>
      <c r="E3117" s="6"/>
      <c r="F3117" s="3">
        <v>0</v>
      </c>
      <c r="G3117" s="3">
        <v>0</v>
      </c>
      <c r="H3117" s="3">
        <v>0</v>
      </c>
      <c r="I3117" s="3">
        <v>0</v>
      </c>
      <c r="J3117" s="18">
        <f t="shared" si="8"/>
        <v>-152.01</v>
      </c>
    </row>
    <row r="3118" spans="1:10" ht="15.75" x14ac:dyDescent="0.25">
      <c r="A3118" s="21">
        <v>45596</v>
      </c>
      <c r="B3118" t="str">
        <f>IFERROR(IF(VLOOKUP(C3118,Hoja1!$B$1:$C$6191,2,0)="",_xlfn.XLOOKUP(C3118,Hoja1!$B$2:$B$6191,Hoja1!$A$2:$A$6191),VLOOKUP(C3118,Hoja1!$B$1:$C$6191,2,0)),"No esta en Infor")</f>
        <v>NAC1606</v>
      </c>
      <c r="C3118" s="3" t="s">
        <v>561</v>
      </c>
      <c r="D3118" s="3">
        <v>770</v>
      </c>
      <c r="E3118" s="6"/>
      <c r="F3118" s="3">
        <v>0</v>
      </c>
      <c r="G3118" s="3">
        <v>0</v>
      </c>
      <c r="H3118" s="3">
        <v>0</v>
      </c>
      <c r="I3118" s="3">
        <v>0</v>
      </c>
      <c r="J3118" s="18">
        <f t="shared" si="8"/>
        <v>770</v>
      </c>
    </row>
    <row r="3119" spans="1:10" ht="15.75" x14ac:dyDescent="0.25">
      <c r="A3119" s="21">
        <v>45596</v>
      </c>
      <c r="B3119" t="str">
        <f>IFERROR(IF(VLOOKUP(C3119,Hoja1!$B$1:$C$6191,2,0)="",_xlfn.XLOOKUP(C3119,Hoja1!$B$2:$B$6191,Hoja1!$A$2:$A$6191),VLOOKUP(C3119,Hoja1!$B$1:$C$6191,2,0)),"No esta en Infor")</f>
        <v>NAC1018</v>
      </c>
      <c r="C3119" s="3" t="s">
        <v>463</v>
      </c>
      <c r="D3119" s="4">
        <v>1077.58</v>
      </c>
      <c r="E3119" s="6"/>
      <c r="F3119" s="3">
        <v>0</v>
      </c>
      <c r="G3119" s="3">
        <v>0</v>
      </c>
      <c r="H3119" s="3">
        <v>0</v>
      </c>
      <c r="I3119" s="3">
        <v>0</v>
      </c>
      <c r="J3119" s="18">
        <f t="shared" si="8"/>
        <v>1077.58</v>
      </c>
    </row>
    <row r="3120" spans="1:10" ht="15.75" x14ac:dyDescent="0.25">
      <c r="A3120" s="21">
        <v>45596</v>
      </c>
      <c r="B3120" t="str">
        <f>IFERROR(IF(VLOOKUP(C3120,Hoja1!$B$1:$C$6191,2,0)="",_xlfn.XLOOKUP(C3120,Hoja1!$B$2:$B$6191,Hoja1!$A$2:$A$6191),VLOOKUP(C3120,Hoja1!$B$1:$C$6191,2,0)),"No esta en Infor")</f>
        <v>NAC1021</v>
      </c>
      <c r="C3120" s="3" t="s">
        <v>239</v>
      </c>
      <c r="D3120" s="3">
        <v>-5</v>
      </c>
      <c r="E3120" s="6"/>
      <c r="F3120" s="3">
        <v>0</v>
      </c>
      <c r="G3120" s="3">
        <v>0</v>
      </c>
      <c r="H3120" s="3">
        <v>0</v>
      </c>
      <c r="I3120" s="3">
        <v>0</v>
      </c>
      <c r="J3120" s="18">
        <f t="shared" si="8"/>
        <v>-5</v>
      </c>
    </row>
    <row r="3121" spans="1:10" ht="15.75" x14ac:dyDescent="0.25">
      <c r="A3121" s="21">
        <v>45596</v>
      </c>
      <c r="B3121" t="str">
        <f>IFERROR(IF(VLOOKUP(C3121,Hoja1!$B$1:$C$6191,2,0)="",_xlfn.XLOOKUP(C3121,Hoja1!$B$2:$B$6191,Hoja1!$A$2:$A$6191),VLOOKUP(C3121,Hoja1!$B$1:$C$6191,2,0)),"No esta en Infor")</f>
        <v>SH03081</v>
      </c>
      <c r="C3121" s="3" t="s">
        <v>739</v>
      </c>
      <c r="D3121" s="3">
        <v>-56.04</v>
      </c>
      <c r="E3121" s="6"/>
      <c r="F3121" s="3">
        <v>0</v>
      </c>
      <c r="G3121" s="3">
        <v>0</v>
      </c>
      <c r="H3121" s="3">
        <v>0</v>
      </c>
      <c r="I3121" s="3">
        <v>0</v>
      </c>
      <c r="J3121" s="18">
        <f t="shared" si="8"/>
        <v>-56.04</v>
      </c>
    </row>
    <row r="3122" spans="1:10" ht="15.75" x14ac:dyDescent="0.25">
      <c r="A3122" s="21">
        <v>45596</v>
      </c>
      <c r="B3122" t="str">
        <f>IFERROR(IF(VLOOKUP(C3122,Hoja1!$B$1:$C$6191,2,0)="",_xlfn.XLOOKUP(C3122,Hoja1!$B$2:$B$6191,Hoja1!$A$2:$A$6191),VLOOKUP(C3122,Hoja1!$B$1:$C$6191,2,0)),"No esta en Infor")</f>
        <v>SH03075</v>
      </c>
      <c r="C3122" s="3" t="s">
        <v>740</v>
      </c>
      <c r="D3122" s="3">
        <v>-105.02</v>
      </c>
      <c r="E3122" s="6"/>
      <c r="F3122" s="3">
        <v>0</v>
      </c>
      <c r="G3122" s="3">
        <v>0</v>
      </c>
      <c r="H3122" s="3">
        <v>0</v>
      </c>
      <c r="I3122" s="3">
        <v>0</v>
      </c>
      <c r="J3122" s="18">
        <f t="shared" si="8"/>
        <v>-105.02</v>
      </c>
    </row>
    <row r="3123" spans="1:10" ht="15.75" x14ac:dyDescent="0.25">
      <c r="A3123" s="21">
        <v>45596</v>
      </c>
      <c r="B3123" t="str">
        <f>IFERROR(IF(VLOOKUP(C3123,Hoja1!$B$1:$C$6191,2,0)="",_xlfn.XLOOKUP(C3123,Hoja1!$B$2:$B$6191,Hoja1!$A$2:$A$6191),VLOOKUP(C3123,Hoja1!$B$1:$C$6191,2,0)),"No esta en Infor")</f>
        <v>NAC1027</v>
      </c>
      <c r="C3123" s="3" t="s">
        <v>243</v>
      </c>
      <c r="D3123" s="4">
        <v>6700.7</v>
      </c>
      <c r="E3123" s="6"/>
      <c r="F3123" s="3">
        <v>0</v>
      </c>
      <c r="G3123" s="3">
        <v>0</v>
      </c>
      <c r="H3123" s="3">
        <v>0</v>
      </c>
      <c r="I3123" s="4">
        <v>-2408</v>
      </c>
      <c r="J3123" s="18">
        <f t="shared" si="8"/>
        <v>4292.7</v>
      </c>
    </row>
    <row r="3124" spans="1:10" ht="15.75" x14ac:dyDescent="0.25">
      <c r="A3124" s="21">
        <v>45596</v>
      </c>
      <c r="B3124" t="str">
        <f>IFERROR(IF(VLOOKUP(C3124,Hoja1!$B$1:$C$6191,2,0)="",_xlfn.XLOOKUP(C3124,Hoja1!$B$2:$B$6191,Hoja1!$A$2:$A$6191),VLOOKUP(C3124,Hoja1!$B$1:$C$6191,2,0)),"No esta en Infor")</f>
        <v>NAC1042</v>
      </c>
      <c r="C3124" s="3" t="s">
        <v>244</v>
      </c>
      <c r="D3124" s="4">
        <v>87528</v>
      </c>
      <c r="E3124" s="6"/>
      <c r="F3124" s="3">
        <v>0</v>
      </c>
      <c r="G3124" s="3">
        <v>0</v>
      </c>
      <c r="H3124" s="3">
        <v>0</v>
      </c>
      <c r="I3124" s="3">
        <v>0</v>
      </c>
      <c r="J3124" s="18">
        <f t="shared" si="8"/>
        <v>87528</v>
      </c>
    </row>
    <row r="3125" spans="1:10" ht="15.75" x14ac:dyDescent="0.25">
      <c r="A3125" s="21">
        <v>45596</v>
      </c>
      <c r="B3125" t="str">
        <f>IFERROR(IF(VLOOKUP(C3125,Hoja1!$B$1:$C$6191,2,0)="",_xlfn.XLOOKUP(C3125,Hoja1!$B$2:$B$6191,Hoja1!$A$2:$A$6191),VLOOKUP(C3125,Hoja1!$B$1:$C$6191,2,0)),"No esta en Infor")</f>
        <v>NAC1051</v>
      </c>
      <c r="C3125" s="3" t="s">
        <v>246</v>
      </c>
      <c r="D3125" s="3">
        <v>679.1</v>
      </c>
      <c r="E3125" s="6"/>
      <c r="F3125" s="3">
        <v>0</v>
      </c>
      <c r="G3125" s="3">
        <v>0</v>
      </c>
      <c r="H3125" s="3">
        <v>0</v>
      </c>
      <c r="I3125" s="3">
        <v>0</v>
      </c>
      <c r="J3125" s="18">
        <f t="shared" si="8"/>
        <v>679.1</v>
      </c>
    </row>
    <row r="3126" spans="1:10" ht="15.75" x14ac:dyDescent="0.25">
      <c r="A3126" s="21">
        <v>45596</v>
      </c>
      <c r="B3126" t="str">
        <f>IFERROR(IF(VLOOKUP(C3126,Hoja1!$B$1:$C$6191,2,0)="",_xlfn.XLOOKUP(C3126,Hoja1!$B$2:$B$6191,Hoja1!$A$2:$A$6191),VLOOKUP(C3126,Hoja1!$B$1:$C$6191,2,0)),"No esta en Infor")</f>
        <v>NAC1053</v>
      </c>
      <c r="C3126" s="3" t="s">
        <v>679</v>
      </c>
      <c r="D3126" s="4">
        <v>24002.42</v>
      </c>
      <c r="E3126" s="6"/>
      <c r="F3126" s="3">
        <v>0</v>
      </c>
      <c r="G3126" s="3">
        <v>0</v>
      </c>
      <c r="H3126" s="3">
        <v>0</v>
      </c>
      <c r="I3126" s="3">
        <v>0</v>
      </c>
      <c r="J3126" s="18">
        <f t="shared" si="8"/>
        <v>24002.42</v>
      </c>
    </row>
    <row r="3127" spans="1:10" ht="15.75" x14ac:dyDescent="0.25">
      <c r="A3127" s="21">
        <v>45596</v>
      </c>
      <c r="B3127" t="str">
        <f>IFERROR(IF(VLOOKUP(C3127,Hoja1!$B$1:$C$6191,2,0)="",_xlfn.XLOOKUP(C3127,Hoja1!$B$2:$B$6191,Hoja1!$A$2:$A$6191),VLOOKUP(C3127,Hoja1!$B$1:$C$6191,2,0)),"No esta en Infor")</f>
        <v>NAC1054</v>
      </c>
      <c r="C3127" s="3" t="s">
        <v>248</v>
      </c>
      <c r="D3127" s="4">
        <v>1205.8</v>
      </c>
      <c r="E3127" s="6"/>
      <c r="F3127" s="3">
        <v>0</v>
      </c>
      <c r="G3127" s="3">
        <v>0</v>
      </c>
      <c r="H3127" s="3">
        <v>0</v>
      </c>
      <c r="I3127" s="3">
        <v>0</v>
      </c>
      <c r="J3127" s="18">
        <f t="shared" si="8"/>
        <v>1205.8</v>
      </c>
    </row>
    <row r="3128" spans="1:10" ht="15.75" x14ac:dyDescent="0.25">
      <c r="A3128" s="21">
        <v>45596</v>
      </c>
      <c r="B3128" t="str">
        <f>IFERROR(IF(VLOOKUP(C3128,Hoja1!$B$1:$C$6191,2,0)="",_xlfn.XLOOKUP(C3128,Hoja1!$B$2:$B$6191,Hoja1!$A$2:$A$6191),VLOOKUP(C3128,Hoja1!$B$1:$C$6191,2,0)),"No esta en Infor")</f>
        <v>NAC1056</v>
      </c>
      <c r="C3128" s="3" t="s">
        <v>465</v>
      </c>
      <c r="D3128" s="3">
        <v>585</v>
      </c>
      <c r="E3128" s="6"/>
      <c r="F3128" s="3">
        <v>0</v>
      </c>
      <c r="G3128" s="3">
        <v>0</v>
      </c>
      <c r="H3128" s="3">
        <v>0</v>
      </c>
      <c r="I3128" s="3">
        <v>0</v>
      </c>
      <c r="J3128" s="18">
        <f t="shared" si="8"/>
        <v>585</v>
      </c>
    </row>
    <row r="3129" spans="1:10" ht="15.75" x14ac:dyDescent="0.25">
      <c r="A3129" s="21">
        <v>45596</v>
      </c>
      <c r="B3129" t="str">
        <f>IFERROR(IF(VLOOKUP(C3129,Hoja1!$B$1:$C$6191,2,0)="",_xlfn.XLOOKUP(C3129,Hoja1!$B$2:$B$6191,Hoja1!$A$2:$A$6191),VLOOKUP(C3129,Hoja1!$B$1:$C$6191,2,0)),"No esta en Infor")</f>
        <v>NAC1058</v>
      </c>
      <c r="C3129" s="3" t="s">
        <v>741</v>
      </c>
      <c r="D3129" s="3">
        <v>521</v>
      </c>
      <c r="E3129" s="6"/>
      <c r="F3129" s="3">
        <v>0</v>
      </c>
      <c r="G3129" s="3">
        <v>0</v>
      </c>
      <c r="H3129" s="3">
        <v>0</v>
      </c>
      <c r="I3129" s="3">
        <v>0</v>
      </c>
      <c r="J3129" s="18">
        <f t="shared" si="8"/>
        <v>521</v>
      </c>
    </row>
    <row r="3130" spans="1:10" ht="15.75" x14ac:dyDescent="0.25">
      <c r="A3130" s="21">
        <v>45596</v>
      </c>
      <c r="B3130" t="str">
        <f>IFERROR(IF(VLOOKUP(C3130,Hoja1!$B$1:$C$6191,2,0)="",_xlfn.XLOOKUP(C3130,Hoja1!$B$2:$B$6191,Hoja1!$A$2:$A$6191),VLOOKUP(C3130,Hoja1!$B$1:$C$6191,2,0)),"No esta en Infor")</f>
        <v>SH03094</v>
      </c>
      <c r="C3130" s="3" t="s">
        <v>742</v>
      </c>
      <c r="D3130" s="3">
        <v>-148.87</v>
      </c>
      <c r="E3130" s="6"/>
      <c r="F3130" s="3">
        <v>0</v>
      </c>
      <c r="G3130" s="3">
        <v>0</v>
      </c>
      <c r="H3130" s="3">
        <v>0</v>
      </c>
      <c r="I3130" s="3">
        <v>0</v>
      </c>
      <c r="J3130" s="18">
        <f t="shared" si="8"/>
        <v>-148.87</v>
      </c>
    </row>
    <row r="3131" spans="1:10" ht="15.75" x14ac:dyDescent="0.25">
      <c r="A3131" s="21">
        <v>45596</v>
      </c>
      <c r="B3131" t="str">
        <f>IFERROR(IF(VLOOKUP(C3131,Hoja1!$B$1:$C$6191,2,0)="",_xlfn.XLOOKUP(C3131,Hoja1!$B$2:$B$6191,Hoja1!$A$2:$A$6191),VLOOKUP(C3131,Hoja1!$B$1:$C$6191,2,0)),"No esta en Infor")</f>
        <v>SH03063</v>
      </c>
      <c r="C3131" s="3" t="s">
        <v>743</v>
      </c>
      <c r="D3131" s="3">
        <v>-96.9</v>
      </c>
      <c r="E3131" s="6"/>
      <c r="F3131" s="3">
        <v>0</v>
      </c>
      <c r="G3131" s="3">
        <v>0</v>
      </c>
      <c r="H3131" s="3">
        <v>0</v>
      </c>
      <c r="I3131" s="3">
        <v>0</v>
      </c>
      <c r="J3131" s="18">
        <f t="shared" si="8"/>
        <v>-96.9</v>
      </c>
    </row>
    <row r="3132" spans="1:10" ht="15.75" x14ac:dyDescent="0.25">
      <c r="A3132" s="21">
        <v>45596</v>
      </c>
      <c r="B3132" t="str">
        <f>IFERROR(IF(VLOOKUP(C3132,Hoja1!$B$1:$C$6191,2,0)="",_xlfn.XLOOKUP(C3132,Hoja1!$B$2:$B$6191,Hoja1!$A$2:$A$6191),VLOOKUP(C3132,Hoja1!$B$1:$C$6191,2,0)),"No esta en Infor")</f>
        <v>NAC1073</v>
      </c>
      <c r="C3132" s="3" t="s">
        <v>683</v>
      </c>
      <c r="D3132" s="4">
        <v>21984.15</v>
      </c>
      <c r="E3132" s="6"/>
      <c r="F3132" s="3">
        <v>0</v>
      </c>
      <c r="G3132" s="3">
        <v>0</v>
      </c>
      <c r="H3132" s="3">
        <v>0</v>
      </c>
      <c r="I3132" s="3">
        <v>0</v>
      </c>
      <c r="J3132" s="18">
        <f t="shared" si="8"/>
        <v>21984.15</v>
      </c>
    </row>
    <row r="3133" spans="1:10" ht="15.75" x14ac:dyDescent="0.25">
      <c r="A3133" s="21">
        <v>45596</v>
      </c>
      <c r="B3133" t="str">
        <f>IFERROR(IF(VLOOKUP(C3133,Hoja1!$B$1:$C$6191,2,0)="",_xlfn.XLOOKUP(C3133,Hoja1!$B$2:$B$6191,Hoja1!$A$2:$A$6191),VLOOKUP(C3133,Hoja1!$B$1:$C$6191,2,0)),"No esta en Infor")</f>
        <v>NAC1074</v>
      </c>
      <c r="C3133" s="3" t="s">
        <v>252</v>
      </c>
      <c r="D3133" s="3">
        <v>753.44</v>
      </c>
      <c r="E3133" s="6"/>
      <c r="F3133" s="3">
        <v>0</v>
      </c>
      <c r="G3133" s="3">
        <v>0</v>
      </c>
      <c r="H3133" s="3">
        <v>0</v>
      </c>
      <c r="I3133" s="3">
        <v>0</v>
      </c>
      <c r="J3133" s="18">
        <f t="shared" si="8"/>
        <v>753.44</v>
      </c>
    </row>
    <row r="3134" spans="1:10" ht="15.75" x14ac:dyDescent="0.25">
      <c r="A3134" s="21">
        <v>45596</v>
      </c>
      <c r="B3134" t="str">
        <f>IFERROR(IF(VLOOKUP(C3134,Hoja1!$B$1:$C$6191,2,0)="",_xlfn.XLOOKUP(C3134,Hoja1!$B$2:$B$6191,Hoja1!$A$2:$A$6191),VLOOKUP(C3134,Hoja1!$B$1:$C$6191,2,0)),"No esta en Infor")</f>
        <v>NAC1076</v>
      </c>
      <c r="C3134" s="3" t="s">
        <v>253</v>
      </c>
      <c r="D3134" s="3">
        <v>386.26</v>
      </c>
      <c r="E3134" s="6"/>
      <c r="F3134" s="3">
        <v>0</v>
      </c>
      <c r="G3134" s="3">
        <v>0</v>
      </c>
      <c r="H3134" s="3">
        <v>0</v>
      </c>
      <c r="I3134" s="3">
        <v>0</v>
      </c>
      <c r="J3134" s="18">
        <f t="shared" si="8"/>
        <v>386.26</v>
      </c>
    </row>
    <row r="3135" spans="1:10" ht="15.75" x14ac:dyDescent="0.25">
      <c r="A3135" s="21">
        <v>45596</v>
      </c>
      <c r="B3135" t="str">
        <f>IFERROR(IF(VLOOKUP(C3135,Hoja1!$B$1:$C$6191,2,0)="",_xlfn.XLOOKUP(C3135,Hoja1!$B$2:$B$6191,Hoja1!$A$2:$A$6191),VLOOKUP(C3135,Hoja1!$B$1:$C$6191,2,0)),"No esta en Infor")</f>
        <v>NAC1077</v>
      </c>
      <c r="C3135" s="3" t="s">
        <v>254</v>
      </c>
      <c r="D3135" s="4">
        <v>1742.03</v>
      </c>
      <c r="E3135" s="6"/>
      <c r="F3135" s="3">
        <v>0</v>
      </c>
      <c r="G3135" s="3">
        <v>0</v>
      </c>
      <c r="H3135" s="3">
        <v>0</v>
      </c>
      <c r="I3135" s="3">
        <v>0</v>
      </c>
      <c r="J3135" s="18">
        <f t="shared" si="8"/>
        <v>1742.03</v>
      </c>
    </row>
    <row r="3136" spans="1:10" ht="15.75" x14ac:dyDescent="0.25">
      <c r="A3136" s="21">
        <v>45596</v>
      </c>
      <c r="B3136" t="str">
        <f>IFERROR(IF(VLOOKUP(C3136,Hoja1!$B$1:$C$6191,2,0)="",_xlfn.XLOOKUP(C3136,Hoja1!$B$2:$B$6191,Hoja1!$A$2:$A$6191),VLOOKUP(C3136,Hoja1!$B$1:$C$6191,2,0)),"No esta en Infor")</f>
        <v>NAC1080</v>
      </c>
      <c r="C3136" s="3" t="s">
        <v>684</v>
      </c>
      <c r="D3136" s="3">
        <v>-18.45</v>
      </c>
      <c r="E3136" s="6"/>
      <c r="F3136" s="3">
        <v>0</v>
      </c>
      <c r="G3136" s="3">
        <v>0</v>
      </c>
      <c r="H3136" s="3">
        <v>0</v>
      </c>
      <c r="I3136" s="3">
        <v>0</v>
      </c>
      <c r="J3136" s="18">
        <f t="shared" si="8"/>
        <v>-18.45</v>
      </c>
    </row>
    <row r="3137" spans="1:10" ht="15.75" x14ac:dyDescent="0.25">
      <c r="A3137" s="21">
        <v>45596</v>
      </c>
      <c r="B3137" t="str">
        <f>IFERROR(IF(VLOOKUP(C3137,Hoja1!$B$1:$C$6191,2,0)="",_xlfn.XLOOKUP(C3137,Hoja1!$B$2:$B$6191,Hoja1!$A$2:$A$6191),VLOOKUP(C3137,Hoja1!$B$1:$C$6191,2,0)),"No esta en Infor")</f>
        <v>CAN0091</v>
      </c>
      <c r="C3137" s="3" t="s">
        <v>586</v>
      </c>
      <c r="D3137" s="3">
        <v>0</v>
      </c>
      <c r="E3137" s="6"/>
      <c r="F3137" s="3">
        <v>-646.09</v>
      </c>
      <c r="G3137" s="3">
        <v>0</v>
      </c>
      <c r="H3137" s="3">
        <v>0</v>
      </c>
      <c r="I3137" s="3">
        <v>0</v>
      </c>
      <c r="J3137" s="18">
        <f t="shared" si="8"/>
        <v>-646.09</v>
      </c>
    </row>
    <row r="3138" spans="1:10" ht="15.75" x14ac:dyDescent="0.25">
      <c r="A3138" s="21">
        <v>45596</v>
      </c>
      <c r="B3138" t="str">
        <f>IFERROR(IF(VLOOKUP(C3138,Hoja1!$B$1:$C$6191,2,0)="",_xlfn.XLOOKUP(C3138,Hoja1!$B$2:$B$6191,Hoja1!$A$2:$A$6191),VLOOKUP(C3138,Hoja1!$B$1:$C$6191,2,0)),"No esta en Infor")</f>
        <v>CAN0036</v>
      </c>
      <c r="C3138" s="3" t="s">
        <v>256</v>
      </c>
      <c r="D3138" s="3">
        <v>448.64</v>
      </c>
      <c r="E3138" s="6"/>
      <c r="F3138" s="3">
        <v>0</v>
      </c>
      <c r="G3138" s="3">
        <v>0</v>
      </c>
      <c r="H3138" s="3">
        <v>0</v>
      </c>
      <c r="I3138" s="3">
        <v>0</v>
      </c>
      <c r="J3138" s="18">
        <f t="shared" si="8"/>
        <v>448.64</v>
      </c>
    </row>
    <row r="3139" spans="1:10" ht="15.75" x14ac:dyDescent="0.25">
      <c r="A3139" s="21">
        <v>45596</v>
      </c>
      <c r="B3139" t="str">
        <f>IFERROR(IF(VLOOKUP(C3139,Hoja1!$B$1:$C$6191,2,0)="",_xlfn.XLOOKUP(C3139,Hoja1!$B$2:$B$6191,Hoja1!$A$2:$A$6191),VLOOKUP(C3139,Hoja1!$B$1:$C$6191,2,0)),"No esta en Infor")</f>
        <v>NAC1083</v>
      </c>
      <c r="C3139" s="3" t="s">
        <v>685</v>
      </c>
      <c r="D3139" s="4">
        <v>-1035</v>
      </c>
      <c r="E3139" s="6"/>
      <c r="F3139" s="3">
        <v>0</v>
      </c>
      <c r="G3139" s="3">
        <v>0</v>
      </c>
      <c r="H3139" s="3">
        <v>0</v>
      </c>
      <c r="I3139" s="3">
        <v>0</v>
      </c>
      <c r="J3139" s="18">
        <f t="shared" si="8"/>
        <v>-1035</v>
      </c>
    </row>
    <row r="3140" spans="1:10" ht="15.75" x14ac:dyDescent="0.25">
      <c r="A3140" s="21">
        <v>45596</v>
      </c>
      <c r="B3140" t="str">
        <f>IFERROR(IF(VLOOKUP(C3140,Hoja1!$B$1:$C$6191,2,0)="",_xlfn.XLOOKUP(C3140,Hoja1!$B$2:$B$6191,Hoja1!$A$2:$A$6191),VLOOKUP(C3140,Hoja1!$B$1:$C$6191,2,0)),"No esta en Infor")</f>
        <v>NAC1087</v>
      </c>
      <c r="C3140" s="3" t="s">
        <v>631</v>
      </c>
      <c r="D3140" s="3">
        <v>908</v>
      </c>
      <c r="E3140" s="6"/>
      <c r="F3140" s="3">
        <v>0</v>
      </c>
      <c r="G3140" s="3">
        <v>0</v>
      </c>
      <c r="H3140" s="3">
        <v>0</v>
      </c>
      <c r="I3140" s="3">
        <v>0</v>
      </c>
      <c r="J3140" s="18">
        <f t="shared" si="8"/>
        <v>908</v>
      </c>
    </row>
    <row r="3141" spans="1:10" ht="15.75" x14ac:dyDescent="0.25">
      <c r="A3141" s="21">
        <v>45596</v>
      </c>
      <c r="B3141" t="str">
        <f>IFERROR(IF(VLOOKUP(C3141,Hoja1!$B$1:$C$6191,2,0)="",_xlfn.XLOOKUP(C3141,Hoja1!$B$2:$B$6191,Hoja1!$A$2:$A$6191),VLOOKUP(C3141,Hoja1!$B$1:$C$6191,2,0)),"No esta en Infor")</f>
        <v>SH03074</v>
      </c>
      <c r="C3141" s="3" t="s">
        <v>744</v>
      </c>
      <c r="D3141" s="3">
        <v>-53.92</v>
      </c>
      <c r="E3141" s="6"/>
      <c r="F3141" s="3">
        <v>0</v>
      </c>
      <c r="G3141" s="3">
        <v>0</v>
      </c>
      <c r="H3141" s="3">
        <v>0</v>
      </c>
      <c r="I3141" s="3">
        <v>0</v>
      </c>
      <c r="J3141" s="18">
        <f t="shared" si="8"/>
        <v>-53.92</v>
      </c>
    </row>
    <row r="3142" spans="1:10" ht="15.75" x14ac:dyDescent="0.25">
      <c r="A3142" s="21">
        <v>45596</v>
      </c>
      <c r="B3142" t="str">
        <f>IFERROR(IF(VLOOKUP(C3142,Hoja1!$B$1:$C$6191,2,0)="",_xlfn.XLOOKUP(C3142,Hoja1!$B$2:$B$6191,Hoja1!$A$2:$A$6191),VLOOKUP(C3142,Hoja1!$B$1:$C$6191,2,0)),"No esta en Infor")</f>
        <v>NAC1106</v>
      </c>
      <c r="C3142" s="3" t="s">
        <v>259</v>
      </c>
      <c r="D3142" s="3">
        <v>592.20000000000005</v>
      </c>
      <c r="E3142" s="6"/>
      <c r="F3142" s="3">
        <v>0</v>
      </c>
      <c r="G3142" s="3">
        <v>0</v>
      </c>
      <c r="H3142" s="3">
        <v>0</v>
      </c>
      <c r="I3142" s="3">
        <v>0</v>
      </c>
      <c r="J3142" s="18">
        <f t="shared" si="8"/>
        <v>592.20000000000005</v>
      </c>
    </row>
    <row r="3143" spans="1:10" ht="15.75" x14ac:dyDescent="0.25">
      <c r="A3143" s="21">
        <v>45596</v>
      </c>
      <c r="B3143" t="str">
        <f>IFERROR(IF(VLOOKUP(C3143,Hoja1!$B$1:$C$6191,2,0)="",_xlfn.XLOOKUP(C3143,Hoja1!$B$2:$B$6191,Hoja1!$A$2:$A$6191),VLOOKUP(C3143,Hoja1!$B$1:$C$6191,2,0)),"No esta en Infor")</f>
        <v>NAC1113</v>
      </c>
      <c r="C3143" s="3" t="s">
        <v>599</v>
      </c>
      <c r="D3143" s="3">
        <v>559.44000000000005</v>
      </c>
      <c r="E3143" s="6"/>
      <c r="F3143" s="3">
        <v>0</v>
      </c>
      <c r="G3143" s="3">
        <v>0</v>
      </c>
      <c r="H3143" s="3">
        <v>0</v>
      </c>
      <c r="I3143" s="3">
        <v>0</v>
      </c>
      <c r="J3143" s="18">
        <f t="shared" si="8"/>
        <v>559.44000000000005</v>
      </c>
    </row>
    <row r="3144" spans="1:10" ht="15.75" x14ac:dyDescent="0.25">
      <c r="A3144" s="21">
        <v>45596</v>
      </c>
      <c r="B3144" t="str">
        <f>IFERROR(IF(VLOOKUP(C3144,Hoja1!$B$1:$C$6191,2,0)="",_xlfn.XLOOKUP(C3144,Hoja1!$B$2:$B$6191,Hoja1!$A$2:$A$6191),VLOOKUP(C3144,Hoja1!$B$1:$C$6191,2,0)),"No esta en Infor")</f>
        <v>NAC1114</v>
      </c>
      <c r="C3144" s="3" t="s">
        <v>408</v>
      </c>
      <c r="D3144" s="3">
        <v>0</v>
      </c>
      <c r="E3144" s="6"/>
      <c r="F3144" s="3">
        <v>0</v>
      </c>
      <c r="G3144" s="3">
        <v>-196.34</v>
      </c>
      <c r="H3144" s="3">
        <v>0</v>
      </c>
      <c r="I3144" s="3">
        <v>0</v>
      </c>
      <c r="J3144" s="18">
        <f t="shared" si="8"/>
        <v>-196.34</v>
      </c>
    </row>
    <row r="3145" spans="1:10" ht="15.75" x14ac:dyDescent="0.25">
      <c r="A3145" s="21">
        <v>45596</v>
      </c>
      <c r="B3145" t="str">
        <f>IFERROR(IF(VLOOKUP(C3145,Hoja1!$B$1:$C$6191,2,0)="",_xlfn.XLOOKUP(C3145,Hoja1!$B$2:$B$6191,Hoja1!$A$2:$A$6191),VLOOKUP(C3145,Hoja1!$B$1:$C$6191,2,0)),"No esta en Infor")</f>
        <v>NAC1122</v>
      </c>
      <c r="C3145" s="3" t="s">
        <v>515</v>
      </c>
      <c r="D3145" s="4">
        <v>12651</v>
      </c>
      <c r="E3145" s="6"/>
      <c r="F3145" s="3">
        <v>0</v>
      </c>
      <c r="G3145" s="3">
        <v>0</v>
      </c>
      <c r="H3145" s="3">
        <v>0</v>
      </c>
      <c r="I3145" s="3">
        <v>0</v>
      </c>
      <c r="J3145" s="18">
        <f t="shared" si="8"/>
        <v>12651</v>
      </c>
    </row>
    <row r="3146" spans="1:10" ht="15.75" x14ac:dyDescent="0.25">
      <c r="A3146" s="21">
        <v>45596</v>
      </c>
      <c r="B3146" t="str">
        <f>IFERROR(IF(VLOOKUP(C3146,Hoja1!$B$1:$C$6191,2,0)="",_xlfn.XLOOKUP(C3146,Hoja1!$B$2:$B$6191,Hoja1!$A$2:$A$6191),VLOOKUP(C3146,Hoja1!$B$1:$C$6191,2,0)),"No esta en Infor")</f>
        <v>SH03072</v>
      </c>
      <c r="C3146" s="3" t="s">
        <v>745</v>
      </c>
      <c r="D3146" s="3">
        <v>-62.63</v>
      </c>
      <c r="E3146" s="6"/>
      <c r="F3146" s="3">
        <v>0</v>
      </c>
      <c r="G3146" s="3">
        <v>0</v>
      </c>
      <c r="H3146" s="3">
        <v>0</v>
      </c>
      <c r="I3146" s="3">
        <v>0</v>
      </c>
      <c r="J3146" s="18">
        <f t="shared" si="8"/>
        <v>-62.63</v>
      </c>
    </row>
    <row r="3147" spans="1:10" ht="15.75" x14ac:dyDescent="0.25">
      <c r="A3147" s="21">
        <v>45596</v>
      </c>
      <c r="B3147" t="str">
        <f>IFERROR(IF(VLOOKUP(C3147,Hoja1!$B$1:$C$6191,2,0)="",_xlfn.XLOOKUP(C3147,Hoja1!$B$2:$B$6191,Hoja1!$A$2:$A$6191),VLOOKUP(C3147,Hoja1!$B$1:$C$6191,2,0)),"No esta en Infor")</f>
        <v>CAN0037</v>
      </c>
      <c r="C3147" s="3" t="s">
        <v>687</v>
      </c>
      <c r="D3147" s="3">
        <v>84.28</v>
      </c>
      <c r="E3147" s="6"/>
      <c r="F3147" s="3">
        <v>-240.46</v>
      </c>
      <c r="G3147" s="3">
        <v>0</v>
      </c>
      <c r="H3147" s="4">
        <v>-4056.13</v>
      </c>
      <c r="I3147" s="3">
        <v>0</v>
      </c>
      <c r="J3147" s="18">
        <f t="shared" si="8"/>
        <v>-4212.3100000000004</v>
      </c>
    </row>
    <row r="3148" spans="1:10" ht="15.75" x14ac:dyDescent="0.25">
      <c r="A3148" s="21">
        <v>45596</v>
      </c>
      <c r="B3148" t="str">
        <f>IFERROR(IF(VLOOKUP(C3148,Hoja1!$B$1:$C$6191,2,0)="",_xlfn.XLOOKUP(C3148,Hoja1!$B$2:$B$6191,Hoja1!$A$2:$A$6191),VLOOKUP(C3148,Hoja1!$B$1:$C$6191,2,0)),"No esta en Infor")</f>
        <v>NAC1128</v>
      </c>
      <c r="C3148" s="3" t="s">
        <v>263</v>
      </c>
      <c r="D3148" s="4">
        <v>11726.36</v>
      </c>
      <c r="E3148" s="6"/>
      <c r="F3148" s="3">
        <v>0</v>
      </c>
      <c r="G3148" s="3">
        <v>0</v>
      </c>
      <c r="H3148" s="3">
        <v>0</v>
      </c>
      <c r="I3148" s="3">
        <v>0</v>
      </c>
      <c r="J3148" s="18">
        <f t="shared" si="8"/>
        <v>11726.36</v>
      </c>
    </row>
    <row r="3149" spans="1:10" ht="15.75" x14ac:dyDescent="0.25">
      <c r="A3149" s="21">
        <v>45596</v>
      </c>
      <c r="B3149" t="str">
        <f>IFERROR(IF(VLOOKUP(C3149,Hoja1!$B$1:$C$6191,2,0)="",_xlfn.XLOOKUP(C3149,Hoja1!$B$2:$B$6191,Hoja1!$A$2:$A$6191),VLOOKUP(C3149,Hoja1!$B$1:$C$6191,2,0)),"No esta en Infor")</f>
        <v>CAN0038</v>
      </c>
      <c r="C3149" s="3" t="s">
        <v>264</v>
      </c>
      <c r="D3149" s="4">
        <v>-3834.29</v>
      </c>
      <c r="E3149" s="6"/>
      <c r="F3149" s="3">
        <v>0</v>
      </c>
      <c r="G3149" s="3">
        <v>0</v>
      </c>
      <c r="H3149" s="3">
        <v>0</v>
      </c>
      <c r="I3149" s="3">
        <v>0</v>
      </c>
      <c r="J3149" s="18">
        <f t="shared" si="8"/>
        <v>-3834.29</v>
      </c>
    </row>
    <row r="3150" spans="1:10" ht="15.75" x14ac:dyDescent="0.25">
      <c r="A3150" s="21">
        <v>45596</v>
      </c>
      <c r="B3150" t="str">
        <f>IFERROR(IF(VLOOKUP(C3150,Hoja1!$B$1:$C$6191,2,0)="",_xlfn.XLOOKUP(C3150,Hoja1!$B$2:$B$6191,Hoja1!$A$2:$A$6191),VLOOKUP(C3150,Hoja1!$B$1:$C$6191,2,0)),"No esta en Infor")</f>
        <v>NAC1131</v>
      </c>
      <c r="C3150" s="3" t="s">
        <v>409</v>
      </c>
      <c r="D3150" s="4">
        <v>2149</v>
      </c>
      <c r="E3150" s="6"/>
      <c r="F3150" s="3">
        <v>0</v>
      </c>
      <c r="G3150" s="3">
        <v>0</v>
      </c>
      <c r="H3150" s="3">
        <v>0</v>
      </c>
      <c r="I3150" s="3">
        <v>0</v>
      </c>
      <c r="J3150" s="18">
        <f t="shared" si="8"/>
        <v>2149</v>
      </c>
    </row>
    <row r="3151" spans="1:10" ht="15.75" x14ac:dyDescent="0.25">
      <c r="A3151" s="21">
        <v>45596</v>
      </c>
      <c r="B3151" t="str">
        <f>IFERROR(IF(VLOOKUP(C3151,Hoja1!$B$1:$C$6191,2,0)="",_xlfn.XLOOKUP(C3151,Hoja1!$B$2:$B$6191,Hoja1!$A$2:$A$6191),VLOOKUP(C3151,Hoja1!$B$1:$C$6191,2,0)),"No esta en Infor")</f>
        <v>CAN0039</v>
      </c>
      <c r="C3151" s="3" t="s">
        <v>265</v>
      </c>
      <c r="D3151" s="4">
        <v>10950.38</v>
      </c>
      <c r="E3151" s="6"/>
      <c r="F3151" s="3">
        <v>0</v>
      </c>
      <c r="G3151" s="3">
        <v>0</v>
      </c>
      <c r="H3151" s="3">
        <v>0</v>
      </c>
      <c r="I3151" s="3">
        <v>0</v>
      </c>
      <c r="J3151" s="18">
        <f t="shared" si="8"/>
        <v>10950.38</v>
      </c>
    </row>
    <row r="3152" spans="1:10" ht="15.75" x14ac:dyDescent="0.25">
      <c r="A3152" s="21">
        <v>45596</v>
      </c>
      <c r="B3152" t="str">
        <f>IFERROR(IF(VLOOKUP(C3152,Hoja1!$B$1:$C$6191,2,0)="",_xlfn.XLOOKUP(C3152,Hoja1!$B$2:$B$6191,Hoja1!$A$2:$A$6191),VLOOKUP(C3152,Hoja1!$B$1:$C$6191,2,0)),"No esta en Infor")</f>
        <v>NAC1133</v>
      </c>
      <c r="C3152" s="3" t="s">
        <v>633</v>
      </c>
      <c r="D3152" s="4">
        <v>5063.8599999999997</v>
      </c>
      <c r="E3152" s="6"/>
      <c r="F3152" s="3">
        <v>0</v>
      </c>
      <c r="G3152" s="3">
        <v>0</v>
      </c>
      <c r="H3152" s="3">
        <v>0</v>
      </c>
      <c r="I3152" s="3">
        <v>0</v>
      </c>
      <c r="J3152" s="18">
        <f t="shared" si="8"/>
        <v>5063.8599999999997</v>
      </c>
    </row>
    <row r="3153" spans="1:10" ht="15.75" x14ac:dyDescent="0.25">
      <c r="A3153" s="21">
        <v>45596</v>
      </c>
      <c r="B3153" t="str">
        <f>IFERROR(IF(VLOOKUP(C3153,Hoja1!$B$1:$C$6191,2,0)="",_xlfn.XLOOKUP(C3153,Hoja1!$B$2:$B$6191,Hoja1!$A$2:$A$6191),VLOOKUP(C3153,Hoja1!$B$1:$C$6191,2,0)),"No esta en Infor")</f>
        <v>SH03090</v>
      </c>
      <c r="C3153" s="3" t="s">
        <v>746</v>
      </c>
      <c r="D3153" s="3">
        <v>-99.51</v>
      </c>
      <c r="E3153" s="6"/>
      <c r="F3153" s="3">
        <v>0</v>
      </c>
      <c r="G3153" s="3">
        <v>0</v>
      </c>
      <c r="H3153" s="3">
        <v>0</v>
      </c>
      <c r="I3153" s="3">
        <v>0</v>
      </c>
      <c r="J3153" s="18">
        <f t="shared" si="8"/>
        <v>-99.51</v>
      </c>
    </row>
    <row r="3154" spans="1:10" ht="15.75" x14ac:dyDescent="0.25">
      <c r="A3154" s="21">
        <v>45596</v>
      </c>
      <c r="B3154" t="str">
        <f>IFERROR(IF(VLOOKUP(C3154,Hoja1!$B$1:$C$6191,2,0)="",_xlfn.XLOOKUP(C3154,Hoja1!$B$2:$B$6191,Hoja1!$A$2:$A$6191),VLOOKUP(C3154,Hoja1!$B$1:$C$6191,2,0)),"No esta en Infor")</f>
        <v>SH03069</v>
      </c>
      <c r="C3154" s="3" t="s">
        <v>747</v>
      </c>
      <c r="D3154" s="3">
        <v>-558.65</v>
      </c>
      <c r="E3154" s="6"/>
      <c r="F3154" s="3">
        <v>0</v>
      </c>
      <c r="G3154" s="3">
        <v>0</v>
      </c>
      <c r="H3154" s="3">
        <v>0</v>
      </c>
      <c r="I3154" s="3">
        <v>0</v>
      </c>
      <c r="J3154" s="18">
        <f t="shared" si="8"/>
        <v>-558.65</v>
      </c>
    </row>
    <row r="3155" spans="1:10" ht="15.75" x14ac:dyDescent="0.25">
      <c r="A3155" s="21">
        <v>45596</v>
      </c>
      <c r="B3155" t="str">
        <f>IFERROR(IF(VLOOKUP(C3155,Hoja1!$B$1:$C$6191,2,0)="",_xlfn.XLOOKUP(C3155,Hoja1!$B$2:$B$6191,Hoja1!$A$2:$A$6191),VLOOKUP(C3155,Hoja1!$B$1:$C$6191,2,0)),"No esta en Infor")</f>
        <v>SH02869</v>
      </c>
      <c r="C3155" s="3" t="s">
        <v>691</v>
      </c>
      <c r="D3155" s="3">
        <v>6.66</v>
      </c>
      <c r="E3155" s="6"/>
      <c r="F3155" s="3">
        <v>0</v>
      </c>
      <c r="G3155" s="3">
        <v>0</v>
      </c>
      <c r="H3155" s="3">
        <v>0</v>
      </c>
      <c r="I3155" s="3">
        <v>0</v>
      </c>
      <c r="J3155" s="18">
        <f t="shared" si="8"/>
        <v>6.66</v>
      </c>
    </row>
    <row r="3156" spans="1:10" ht="15.75" x14ac:dyDescent="0.25">
      <c r="A3156" s="21">
        <v>45596</v>
      </c>
      <c r="B3156" t="str">
        <f>IFERROR(IF(VLOOKUP(C3156,Hoja1!$B$1:$C$6191,2,0)="",_xlfn.XLOOKUP(C3156,Hoja1!$B$2:$B$6191,Hoja1!$A$2:$A$6191),VLOOKUP(C3156,Hoja1!$B$1:$C$6191,2,0)),"No esta en Infor")</f>
        <v>NAC1148</v>
      </c>
      <c r="C3156" s="3" t="s">
        <v>270</v>
      </c>
      <c r="D3156" s="4">
        <v>8285.27</v>
      </c>
      <c r="E3156" s="6"/>
      <c r="F3156" s="3">
        <v>0</v>
      </c>
      <c r="G3156" s="3">
        <v>0</v>
      </c>
      <c r="H3156" s="3">
        <v>0</v>
      </c>
      <c r="I3156" s="3">
        <v>0</v>
      </c>
      <c r="J3156" s="18">
        <f t="shared" si="8"/>
        <v>8285.27</v>
      </c>
    </row>
    <row r="3157" spans="1:10" ht="15.75" x14ac:dyDescent="0.25">
      <c r="A3157" s="21">
        <v>45596</v>
      </c>
      <c r="B3157" t="str">
        <f>IFERROR(IF(VLOOKUP(C3157,Hoja1!$B$1:$C$6191,2,0)="",_xlfn.XLOOKUP(C3157,Hoja1!$B$2:$B$6191,Hoja1!$A$2:$A$6191),VLOOKUP(C3157,Hoja1!$B$1:$C$6191,2,0)),"No esta en Infor")</f>
        <v>NAC1150</v>
      </c>
      <c r="C3157" s="3" t="s">
        <v>692</v>
      </c>
      <c r="D3157" s="3">
        <v>-168</v>
      </c>
      <c r="E3157" s="6"/>
      <c r="F3157" s="3">
        <v>0</v>
      </c>
      <c r="G3157" s="3">
        <v>0</v>
      </c>
      <c r="H3157" s="3">
        <v>0</v>
      </c>
      <c r="I3157" s="3">
        <v>0</v>
      </c>
      <c r="J3157" s="18">
        <f t="shared" si="8"/>
        <v>-168</v>
      </c>
    </row>
    <row r="3158" spans="1:10" ht="15.75" x14ac:dyDescent="0.25">
      <c r="A3158" s="21">
        <v>45596</v>
      </c>
      <c r="B3158" t="str">
        <f>IFERROR(IF(VLOOKUP(C3158,Hoja1!$B$1:$C$6191,2,0)="",_xlfn.XLOOKUP(C3158,Hoja1!$B$2:$B$6191,Hoja1!$A$2:$A$6191),VLOOKUP(C3158,Hoja1!$B$1:$C$6191,2,0)),"No esta en Infor")</f>
        <v>NAC1151</v>
      </c>
      <c r="C3158" s="3" t="s">
        <v>271</v>
      </c>
      <c r="D3158" s="4">
        <v>16145.75</v>
      </c>
      <c r="E3158" s="6"/>
      <c r="F3158" s="3">
        <v>0</v>
      </c>
      <c r="G3158" s="4">
        <v>-1172</v>
      </c>
      <c r="H3158" s="3">
        <v>0</v>
      </c>
      <c r="I3158" s="3">
        <v>0</v>
      </c>
      <c r="J3158" s="18">
        <f t="shared" si="8"/>
        <v>14973.75</v>
      </c>
    </row>
    <row r="3159" spans="1:10" ht="15.75" x14ac:dyDescent="0.25">
      <c r="A3159" s="21">
        <v>45596</v>
      </c>
      <c r="B3159" t="str">
        <f>IFERROR(IF(VLOOKUP(C3159,Hoja1!$B$1:$C$6191,2,0)="",_xlfn.XLOOKUP(C3159,Hoja1!$B$2:$B$6191,Hoja1!$A$2:$A$6191),VLOOKUP(C3159,Hoja1!$B$1:$C$6191,2,0)),"No esta en Infor")</f>
        <v>NAC1152</v>
      </c>
      <c r="C3159" s="3" t="s">
        <v>470</v>
      </c>
      <c r="D3159" s="3">
        <v>0</v>
      </c>
      <c r="E3159" s="6"/>
      <c r="F3159" s="3">
        <v>-0.13</v>
      </c>
      <c r="G3159" s="3">
        <v>0</v>
      </c>
      <c r="H3159" s="3">
        <v>0</v>
      </c>
      <c r="I3159" s="3">
        <v>0</v>
      </c>
      <c r="J3159" s="18">
        <f t="shared" si="8"/>
        <v>-0.13</v>
      </c>
    </row>
    <row r="3160" spans="1:10" ht="15.75" x14ac:dyDescent="0.25">
      <c r="A3160" s="21">
        <v>45596</v>
      </c>
      <c r="B3160" t="str">
        <f>IFERROR(IF(VLOOKUP(C3160,Hoja1!$B$1:$C$6191,2,0)="",_xlfn.XLOOKUP(C3160,Hoja1!$B$2:$B$6191,Hoja1!$A$2:$A$6191),VLOOKUP(C3160,Hoja1!$B$1:$C$6191,2,0)),"No esta en Infor")</f>
        <v>NAC1158</v>
      </c>
      <c r="C3160" s="3" t="s">
        <v>272</v>
      </c>
      <c r="D3160" s="4">
        <v>57651.6</v>
      </c>
      <c r="E3160" s="6"/>
      <c r="F3160" s="3">
        <v>0</v>
      </c>
      <c r="G3160" s="3">
        <v>0</v>
      </c>
      <c r="H3160" s="3">
        <v>0</v>
      </c>
      <c r="I3160" s="3">
        <v>0</v>
      </c>
      <c r="J3160" s="18">
        <f t="shared" si="8"/>
        <v>57651.6</v>
      </c>
    </row>
    <row r="3161" spans="1:10" ht="15.75" x14ac:dyDescent="0.25">
      <c r="A3161" s="21">
        <v>45596</v>
      </c>
      <c r="B3161" t="str">
        <f>IFERROR(IF(VLOOKUP(C3161,Hoja1!$B$1:$C$6191,2,0)="",_xlfn.XLOOKUP(C3161,Hoja1!$B$2:$B$6191,Hoja1!$A$2:$A$6191),VLOOKUP(C3161,Hoja1!$B$1:$C$6191,2,0)),"No esta en Infor")</f>
        <v>NAC1604</v>
      </c>
      <c r="C3161" s="3" t="s">
        <v>693</v>
      </c>
      <c r="D3161" s="4">
        <v>9241.5400000000009</v>
      </c>
      <c r="E3161" s="6"/>
      <c r="F3161" s="3">
        <v>0</v>
      </c>
      <c r="G3161" s="3">
        <v>0</v>
      </c>
      <c r="H3161" s="3">
        <v>0</v>
      </c>
      <c r="I3161" s="3">
        <v>0</v>
      </c>
      <c r="J3161" s="18">
        <f t="shared" si="8"/>
        <v>9241.5400000000009</v>
      </c>
    </row>
    <row r="3162" spans="1:10" ht="15.75" x14ac:dyDescent="0.25">
      <c r="A3162" s="21">
        <v>45596</v>
      </c>
      <c r="B3162" t="str">
        <f>IFERROR(IF(VLOOKUP(C3162,Hoja1!$B$1:$C$6191,2,0)="",_xlfn.XLOOKUP(C3162,Hoja1!$B$2:$B$6191,Hoja1!$A$2:$A$6191),VLOOKUP(C3162,Hoja1!$B$1:$C$6191,2,0)),"No esta en Infor")</f>
        <v>NAC1167</v>
      </c>
      <c r="C3162" s="3" t="s">
        <v>34</v>
      </c>
      <c r="D3162" s="4">
        <v>2723</v>
      </c>
      <c r="E3162" s="6"/>
      <c r="F3162" s="3">
        <v>0</v>
      </c>
      <c r="G3162" s="3">
        <v>0</v>
      </c>
      <c r="H3162" s="3">
        <v>0</v>
      </c>
      <c r="I3162" s="3">
        <v>0</v>
      </c>
      <c r="J3162" s="18">
        <f t="shared" si="8"/>
        <v>2723</v>
      </c>
    </row>
    <row r="3163" spans="1:10" ht="15.75" x14ac:dyDescent="0.25">
      <c r="A3163" s="21">
        <v>45596</v>
      </c>
      <c r="B3163" t="str">
        <f>IFERROR(IF(VLOOKUP(C3163,Hoja1!$B$1:$C$6191,2,0)="",_xlfn.XLOOKUP(C3163,Hoja1!$B$2:$B$6191,Hoja1!$A$2:$A$6191),VLOOKUP(C3163,Hoja1!$B$1:$C$6191,2,0)),"No esta en Infor")</f>
        <v>NAC1168</v>
      </c>
      <c r="C3163" s="3" t="s">
        <v>277</v>
      </c>
      <c r="D3163" s="3">
        <v>240</v>
      </c>
      <c r="E3163" s="6"/>
      <c r="F3163" s="3">
        <v>0</v>
      </c>
      <c r="G3163" s="3">
        <v>0</v>
      </c>
      <c r="H3163" s="3">
        <v>0</v>
      </c>
      <c r="I3163" s="3">
        <v>0</v>
      </c>
      <c r="J3163" s="18">
        <f t="shared" si="8"/>
        <v>240</v>
      </c>
    </row>
    <row r="3164" spans="1:10" ht="15.75" x14ac:dyDescent="0.25">
      <c r="A3164" s="21">
        <v>45596</v>
      </c>
      <c r="B3164" t="str">
        <f>IFERROR(IF(VLOOKUP(C3164,Hoja1!$B$1:$C$6191,2,0)="",_xlfn.XLOOKUP(C3164,Hoja1!$B$2:$B$6191,Hoja1!$A$2:$A$6191),VLOOKUP(C3164,Hoja1!$B$1:$C$6191,2,0)),"No esta en Infor")</f>
        <v>NAC1170</v>
      </c>
      <c r="C3164" s="3" t="s">
        <v>278</v>
      </c>
      <c r="D3164" s="4">
        <v>91322.7</v>
      </c>
      <c r="E3164" s="6"/>
      <c r="F3164" s="3">
        <v>0</v>
      </c>
      <c r="G3164" s="3">
        <v>0</v>
      </c>
      <c r="H3164" s="3">
        <v>0</v>
      </c>
      <c r="I3164" s="3">
        <v>0</v>
      </c>
      <c r="J3164" s="18">
        <f t="shared" si="8"/>
        <v>91322.7</v>
      </c>
    </row>
    <row r="3165" spans="1:10" ht="15.75" x14ac:dyDescent="0.25">
      <c r="A3165" s="21">
        <v>45596</v>
      </c>
      <c r="B3165" t="str">
        <f>IFERROR(IF(VLOOKUP(C3165,Hoja1!$B$1:$C$6191,2,0)="",_xlfn.XLOOKUP(C3165,Hoja1!$B$2:$B$6191,Hoja1!$A$2:$A$6191),VLOOKUP(C3165,Hoja1!$B$1:$C$6191,2,0)),"No esta en Infor")</f>
        <v>NAC1174</v>
      </c>
      <c r="C3165" s="3" t="s">
        <v>279</v>
      </c>
      <c r="D3165" s="4">
        <v>1206.72</v>
      </c>
      <c r="E3165" s="6"/>
      <c r="F3165" s="3">
        <v>0</v>
      </c>
      <c r="G3165" s="3">
        <v>0</v>
      </c>
      <c r="H3165" s="3">
        <v>0</v>
      </c>
      <c r="I3165" s="3">
        <v>0</v>
      </c>
      <c r="J3165" s="18">
        <f t="shared" si="8"/>
        <v>1206.72</v>
      </c>
    </row>
    <row r="3166" spans="1:10" ht="15.75" x14ac:dyDescent="0.25">
      <c r="A3166" s="21">
        <v>45596</v>
      </c>
      <c r="B3166" t="str">
        <f>IFERROR(IF(VLOOKUP(C3166,Hoja1!$B$1:$C$6191,2,0)="",_xlfn.XLOOKUP(C3166,Hoja1!$B$2:$B$6191,Hoja1!$A$2:$A$6191),VLOOKUP(C3166,Hoja1!$B$1:$C$6191,2,0)),"No esta en Infor")</f>
        <v>SH03044</v>
      </c>
      <c r="C3166" s="3" t="s">
        <v>748</v>
      </c>
      <c r="D3166" s="3">
        <v>-69.680000000000007</v>
      </c>
      <c r="E3166" s="6"/>
      <c r="F3166" s="3">
        <v>0</v>
      </c>
      <c r="G3166" s="3">
        <v>0</v>
      </c>
      <c r="H3166" s="3">
        <v>0</v>
      </c>
      <c r="I3166" s="3">
        <v>0</v>
      </c>
      <c r="J3166" s="18">
        <f t="shared" si="8"/>
        <v>-69.680000000000007</v>
      </c>
    </row>
    <row r="3167" spans="1:10" ht="15.75" x14ac:dyDescent="0.25">
      <c r="A3167" s="21">
        <v>45596</v>
      </c>
      <c r="B3167" t="str">
        <f>IFERROR(IF(VLOOKUP(C3167,Hoja1!$B$1:$C$6191,2,0)="",_xlfn.XLOOKUP(C3167,Hoja1!$B$2:$B$6191,Hoja1!$A$2:$A$6191),VLOOKUP(C3167,Hoja1!$B$1:$C$6191,2,0)),"No esta en Infor")</f>
        <v>NAC1176</v>
      </c>
      <c r="C3167" s="3" t="s">
        <v>749</v>
      </c>
      <c r="D3167" s="4">
        <v>2163.8000000000002</v>
      </c>
      <c r="E3167" s="6"/>
      <c r="F3167" s="3">
        <v>0</v>
      </c>
      <c r="G3167" s="3">
        <v>0</v>
      </c>
      <c r="H3167" s="3">
        <v>0</v>
      </c>
      <c r="I3167" s="3">
        <v>0</v>
      </c>
      <c r="J3167" s="18">
        <f t="shared" si="8"/>
        <v>2163.8000000000002</v>
      </c>
    </row>
    <row r="3168" spans="1:10" ht="15.75" x14ac:dyDescent="0.25">
      <c r="A3168" s="21">
        <v>45596</v>
      </c>
      <c r="B3168" t="str">
        <f>IFERROR(IF(VLOOKUP(C3168,Hoja1!$B$1:$C$6191,2,0)="",_xlfn.XLOOKUP(C3168,Hoja1!$B$2:$B$6191,Hoja1!$A$2:$A$6191),VLOOKUP(C3168,Hoja1!$B$1:$C$6191,2,0)),"No esta en Infor")</f>
        <v>NAC1177</v>
      </c>
      <c r="C3168" s="3" t="s">
        <v>566</v>
      </c>
      <c r="D3168" s="3">
        <v>0</v>
      </c>
      <c r="E3168" s="6"/>
      <c r="F3168" s="3">
        <v>-14.41</v>
      </c>
      <c r="G3168" s="3">
        <v>0</v>
      </c>
      <c r="H3168" s="3">
        <v>0</v>
      </c>
      <c r="I3168" s="3">
        <v>0</v>
      </c>
      <c r="J3168" s="18">
        <f t="shared" si="8"/>
        <v>-14.41</v>
      </c>
    </row>
    <row r="3169" spans="1:10" ht="15.75" x14ac:dyDescent="0.25">
      <c r="A3169" s="21">
        <v>45596</v>
      </c>
      <c r="B3169" t="str">
        <f>IFERROR(IF(VLOOKUP(C3169,Hoja1!$B$1:$C$6191,2,0)="",_xlfn.XLOOKUP(C3169,Hoja1!$B$2:$B$6191,Hoja1!$A$2:$A$6191),VLOOKUP(C3169,Hoja1!$B$1:$C$6191,2,0)),"No esta en Infor")</f>
        <v>NAC1178</v>
      </c>
      <c r="C3169" s="3" t="s">
        <v>694</v>
      </c>
      <c r="D3169" s="4">
        <v>16322</v>
      </c>
      <c r="E3169" s="6"/>
      <c r="F3169" s="3">
        <v>0</v>
      </c>
      <c r="G3169" s="3">
        <v>0</v>
      </c>
      <c r="H3169" s="3">
        <v>0</v>
      </c>
      <c r="I3169" s="3">
        <v>0</v>
      </c>
      <c r="J3169" s="18">
        <f t="shared" si="8"/>
        <v>16322</v>
      </c>
    </row>
    <row r="3170" spans="1:10" ht="15.75" x14ac:dyDescent="0.25">
      <c r="A3170" s="21">
        <v>45596</v>
      </c>
      <c r="B3170" t="str">
        <f>IFERROR(IF(VLOOKUP(C3170,Hoja1!$B$1:$C$6191,2,0)="",_xlfn.XLOOKUP(C3170,Hoja1!$B$2:$B$6191,Hoja1!$A$2:$A$6191),VLOOKUP(C3170,Hoja1!$B$1:$C$6191,2,0)),"No esta en Infor")</f>
        <v>CAN0043</v>
      </c>
      <c r="C3170" s="3" t="s">
        <v>280</v>
      </c>
      <c r="D3170" s="3">
        <v>336.74</v>
      </c>
      <c r="E3170" s="6"/>
      <c r="F3170" s="3">
        <v>0</v>
      </c>
      <c r="G3170" s="3">
        <v>0</v>
      </c>
      <c r="H3170" s="3">
        <v>0</v>
      </c>
      <c r="I3170" s="3">
        <v>0</v>
      </c>
      <c r="J3170" s="18">
        <f t="shared" si="8"/>
        <v>336.74</v>
      </c>
    </row>
    <row r="3171" spans="1:10" ht="15.75" x14ac:dyDescent="0.25">
      <c r="A3171" s="21">
        <v>45596</v>
      </c>
      <c r="B3171" t="str">
        <f>IFERROR(IF(VLOOKUP(C3171,Hoja1!$B$1:$C$6191,2,0)="",_xlfn.XLOOKUP(C3171,Hoja1!$B$2:$B$6191,Hoja1!$A$2:$A$6191),VLOOKUP(C3171,Hoja1!$B$1:$C$6191,2,0)),"No esta en Infor")</f>
        <v>NAC1183</v>
      </c>
      <c r="C3171" s="3" t="s">
        <v>281</v>
      </c>
      <c r="D3171" s="4">
        <v>2052.1</v>
      </c>
      <c r="E3171" s="6"/>
      <c r="F3171" s="3">
        <v>0</v>
      </c>
      <c r="G3171" s="3">
        <v>0</v>
      </c>
      <c r="H3171" s="3">
        <v>0</v>
      </c>
      <c r="I3171" s="3">
        <v>0</v>
      </c>
      <c r="J3171" s="18">
        <f t="shared" si="8"/>
        <v>2052.1</v>
      </c>
    </row>
    <row r="3172" spans="1:10" ht="15.75" x14ac:dyDescent="0.25">
      <c r="A3172" s="21">
        <v>45596</v>
      </c>
      <c r="B3172" t="str">
        <f>IFERROR(IF(VLOOKUP(C3172,Hoja1!$B$1:$C$6191,2,0)="",_xlfn.XLOOKUP(C3172,Hoja1!$B$2:$B$6191,Hoja1!$A$2:$A$6191),VLOOKUP(C3172,Hoja1!$B$1:$C$6191,2,0)),"No esta en Infor")</f>
        <v>SH03082</v>
      </c>
      <c r="C3172" s="3" t="s">
        <v>750</v>
      </c>
      <c r="D3172" s="3">
        <v>-277.07</v>
      </c>
      <c r="E3172" s="6"/>
      <c r="F3172" s="3">
        <v>0</v>
      </c>
      <c r="G3172" s="3">
        <v>0</v>
      </c>
      <c r="H3172" s="3">
        <v>0</v>
      </c>
      <c r="I3172" s="3">
        <v>0</v>
      </c>
      <c r="J3172" s="18">
        <f t="shared" ref="J3172:J3235" si="9">SUM(D3172:I3172)</f>
        <v>-277.07</v>
      </c>
    </row>
    <row r="3173" spans="1:10" ht="15.75" x14ac:dyDescent="0.25">
      <c r="A3173" s="21">
        <v>45596</v>
      </c>
      <c r="B3173" t="str">
        <f>IFERROR(IF(VLOOKUP(C3173,Hoja1!$B$1:$C$6191,2,0)="",_xlfn.XLOOKUP(C3173,Hoja1!$B$2:$B$6191,Hoja1!$A$2:$A$6191),VLOOKUP(C3173,Hoja1!$B$1:$C$6191,2,0)),"No esta en Infor")</f>
        <v>NAC1190</v>
      </c>
      <c r="C3173" s="3" t="s">
        <v>636</v>
      </c>
      <c r="D3173" s="3">
        <v>985</v>
      </c>
      <c r="E3173" s="6"/>
      <c r="F3173" s="3">
        <v>0</v>
      </c>
      <c r="G3173" s="3">
        <v>0</v>
      </c>
      <c r="H3173" s="3">
        <v>0</v>
      </c>
      <c r="I3173" s="3">
        <v>0</v>
      </c>
      <c r="J3173" s="18">
        <f t="shared" si="9"/>
        <v>985</v>
      </c>
    </row>
    <row r="3174" spans="1:10" ht="15.75" x14ac:dyDescent="0.25">
      <c r="A3174" s="21">
        <v>45596</v>
      </c>
      <c r="B3174" t="str">
        <f>IFERROR(IF(VLOOKUP(C3174,Hoja1!$B$1:$C$6191,2,0)="",_xlfn.XLOOKUP(C3174,Hoja1!$B$2:$B$6191,Hoja1!$A$2:$A$6191),VLOOKUP(C3174,Hoja1!$B$1:$C$6191,2,0)),"No esta en Infor")</f>
        <v>NAC1191</v>
      </c>
      <c r="C3174" s="3" t="s">
        <v>751</v>
      </c>
      <c r="D3174" s="4">
        <v>30947.72</v>
      </c>
      <c r="E3174" s="6"/>
      <c r="F3174" s="3">
        <v>0</v>
      </c>
      <c r="G3174" s="3">
        <v>0</v>
      </c>
      <c r="H3174" s="3">
        <v>0</v>
      </c>
      <c r="I3174" s="3">
        <v>0</v>
      </c>
      <c r="J3174" s="18">
        <f t="shared" si="9"/>
        <v>30947.72</v>
      </c>
    </row>
    <row r="3175" spans="1:10" ht="15.75" x14ac:dyDescent="0.25">
      <c r="A3175" s="21">
        <v>45596</v>
      </c>
      <c r="B3175" t="str">
        <f>IFERROR(IF(VLOOKUP(C3175,Hoja1!$B$1:$C$6191,2,0)="",_xlfn.XLOOKUP(C3175,Hoja1!$B$2:$B$6191,Hoja1!$A$2:$A$6191),VLOOKUP(C3175,Hoja1!$B$1:$C$6191,2,0)),"No esta en Infor")</f>
        <v>CAN0046</v>
      </c>
      <c r="C3175" s="3" t="s">
        <v>283</v>
      </c>
      <c r="D3175" s="3">
        <v>337.87</v>
      </c>
      <c r="E3175" s="6"/>
      <c r="F3175" s="3">
        <v>0</v>
      </c>
      <c r="G3175" s="3">
        <v>0</v>
      </c>
      <c r="H3175" s="3">
        <v>0</v>
      </c>
      <c r="I3175" s="3">
        <v>0</v>
      </c>
      <c r="J3175" s="18">
        <f t="shared" si="9"/>
        <v>337.87</v>
      </c>
    </row>
    <row r="3176" spans="1:10" ht="15.75" x14ac:dyDescent="0.25">
      <c r="A3176" s="21">
        <v>45596</v>
      </c>
      <c r="B3176" t="str">
        <f>IFERROR(IF(VLOOKUP(C3176,Hoja1!$B$1:$C$6191,2,0)="",_xlfn.XLOOKUP(C3176,Hoja1!$B$2:$B$6191,Hoja1!$A$2:$A$6191),VLOOKUP(C3176,Hoja1!$B$1:$C$6191,2,0)),"No esta en Infor")</f>
        <v>CAN0048</v>
      </c>
      <c r="C3176" s="3" t="s">
        <v>567</v>
      </c>
      <c r="D3176" s="3">
        <v>0</v>
      </c>
      <c r="E3176" s="6"/>
      <c r="F3176" s="4">
        <v>-12463.9</v>
      </c>
      <c r="G3176" s="3">
        <v>0</v>
      </c>
      <c r="H3176" s="3">
        <v>0</v>
      </c>
      <c r="I3176" s="3">
        <v>0</v>
      </c>
      <c r="J3176" s="18">
        <f t="shared" si="9"/>
        <v>-12463.9</v>
      </c>
    </row>
    <row r="3177" spans="1:10" ht="15.75" x14ac:dyDescent="0.25">
      <c r="A3177" s="21">
        <v>45596</v>
      </c>
      <c r="B3177" t="str">
        <f>IFERROR(IF(VLOOKUP(C3177,Hoja1!$B$1:$C$6191,2,0)="",_xlfn.XLOOKUP(C3177,Hoja1!$B$2:$B$6191,Hoja1!$A$2:$A$6191),VLOOKUP(C3177,Hoja1!$B$1:$C$6191,2,0)),"No esta en Infor")</f>
        <v>NAC1202</v>
      </c>
      <c r="C3177" s="3" t="s">
        <v>416</v>
      </c>
      <c r="D3177" s="4">
        <v>3834.01</v>
      </c>
      <c r="E3177" s="6"/>
      <c r="F3177" s="3">
        <v>0</v>
      </c>
      <c r="G3177" s="3">
        <v>0</v>
      </c>
      <c r="H3177" s="3">
        <v>0</v>
      </c>
      <c r="I3177" s="3">
        <v>0</v>
      </c>
      <c r="J3177" s="18">
        <f t="shared" si="9"/>
        <v>3834.01</v>
      </c>
    </row>
    <row r="3178" spans="1:10" ht="15.75" x14ac:dyDescent="0.25">
      <c r="A3178" s="21">
        <v>45596</v>
      </c>
      <c r="B3178" t="str">
        <f>IFERROR(IF(VLOOKUP(C3178,Hoja1!$B$1:$C$6191,2,0)="",_xlfn.XLOOKUP(C3178,Hoja1!$B$2:$B$6191,Hoja1!$A$2:$A$6191),VLOOKUP(C3178,Hoja1!$B$1:$C$6191,2,0)),"No esta en Infor")</f>
        <v>SH03076</v>
      </c>
      <c r="C3178" s="3" t="s">
        <v>752</v>
      </c>
      <c r="D3178" s="3">
        <v>-90.68</v>
      </c>
      <c r="E3178" s="6"/>
      <c r="F3178" s="3">
        <v>0</v>
      </c>
      <c r="G3178" s="3">
        <v>0</v>
      </c>
      <c r="H3178" s="3">
        <v>0</v>
      </c>
      <c r="I3178" s="3">
        <v>0</v>
      </c>
      <c r="J3178" s="18">
        <f t="shared" si="9"/>
        <v>-90.68</v>
      </c>
    </row>
    <row r="3179" spans="1:10" ht="15.75" x14ac:dyDescent="0.25">
      <c r="A3179" s="21">
        <v>45596</v>
      </c>
      <c r="B3179" t="str">
        <f>IFERROR(IF(VLOOKUP(C3179,Hoja1!$B$1:$C$6191,2,0)="",_xlfn.XLOOKUP(C3179,Hoja1!$B$2:$B$6191,Hoja1!$A$2:$A$6191),VLOOKUP(C3179,Hoja1!$B$1:$C$6191,2,0)),"No esta en Infor")</f>
        <v>NAC1205</v>
      </c>
      <c r="C3179" s="3" t="s">
        <v>568</v>
      </c>
      <c r="D3179" s="3">
        <v>0</v>
      </c>
      <c r="E3179" s="6"/>
      <c r="F3179" s="3">
        <v>-316.68</v>
      </c>
      <c r="G3179" s="3">
        <v>0</v>
      </c>
      <c r="H3179" s="3">
        <v>0</v>
      </c>
      <c r="I3179" s="3">
        <v>0</v>
      </c>
      <c r="J3179" s="18">
        <f t="shared" si="9"/>
        <v>-316.68</v>
      </c>
    </row>
    <row r="3180" spans="1:10" ht="15.75" x14ac:dyDescent="0.25">
      <c r="A3180" s="21">
        <v>45596</v>
      </c>
      <c r="B3180" t="str">
        <f>IFERROR(IF(VLOOKUP(C3180,Hoja1!$B$1:$C$6191,2,0)="",_xlfn.XLOOKUP(C3180,Hoja1!$B$2:$B$6191,Hoja1!$A$2:$A$6191),VLOOKUP(C3180,Hoja1!$B$1:$C$6191,2,0)),"No esta en Infor")</f>
        <v>NAC1207</v>
      </c>
      <c r="C3180" s="3" t="s">
        <v>417</v>
      </c>
      <c r="D3180" s="4">
        <v>1505.05</v>
      </c>
      <c r="E3180" s="6"/>
      <c r="F3180" s="3">
        <v>0</v>
      </c>
      <c r="G3180" s="3">
        <v>0</v>
      </c>
      <c r="H3180" s="3">
        <v>0</v>
      </c>
      <c r="I3180" s="3">
        <v>0</v>
      </c>
      <c r="J3180" s="18">
        <f t="shared" si="9"/>
        <v>1505.05</v>
      </c>
    </row>
    <row r="3181" spans="1:10" ht="15.75" x14ac:dyDescent="0.25">
      <c r="A3181" s="21">
        <v>45596</v>
      </c>
      <c r="B3181" t="str">
        <f>IFERROR(IF(VLOOKUP(C3181,Hoja1!$B$1:$C$6191,2,0)="",_xlfn.XLOOKUP(C3181,Hoja1!$B$2:$B$6191,Hoja1!$A$2:$A$6191),VLOOKUP(C3181,Hoja1!$B$1:$C$6191,2,0)),"No esta en Infor")</f>
        <v>NAC1208</v>
      </c>
      <c r="C3181" s="3" t="s">
        <v>695</v>
      </c>
      <c r="D3181" s="4">
        <v>13295.5</v>
      </c>
      <c r="E3181" s="6"/>
      <c r="F3181" s="3">
        <v>0</v>
      </c>
      <c r="G3181" s="3">
        <v>0</v>
      </c>
      <c r="H3181" s="3">
        <v>0</v>
      </c>
      <c r="I3181" s="3">
        <v>0</v>
      </c>
      <c r="J3181" s="18">
        <f t="shared" si="9"/>
        <v>13295.5</v>
      </c>
    </row>
    <row r="3182" spans="1:10" ht="15.75" x14ac:dyDescent="0.25">
      <c r="A3182" s="21">
        <v>45596</v>
      </c>
      <c r="B3182" t="str">
        <f>IFERROR(IF(VLOOKUP(C3182,Hoja1!$B$1:$C$6191,2,0)="",_xlfn.XLOOKUP(C3182,Hoja1!$B$2:$B$6191,Hoja1!$A$2:$A$6191),VLOOKUP(C3182,Hoja1!$B$1:$C$6191,2,0)),"No esta en Infor")</f>
        <v>NAC1209</v>
      </c>
      <c r="C3182" s="3" t="s">
        <v>753</v>
      </c>
      <c r="D3182" s="3">
        <v>-637</v>
      </c>
      <c r="E3182" s="6"/>
      <c r="F3182" s="3">
        <v>0</v>
      </c>
      <c r="G3182" s="3">
        <v>0</v>
      </c>
      <c r="H3182" s="3">
        <v>0</v>
      </c>
      <c r="I3182" s="3">
        <v>0</v>
      </c>
      <c r="J3182" s="18">
        <f t="shared" si="9"/>
        <v>-637</v>
      </c>
    </row>
    <row r="3183" spans="1:10" ht="15.75" x14ac:dyDescent="0.25">
      <c r="A3183" s="21">
        <v>45596</v>
      </c>
      <c r="B3183" t="str">
        <f>IFERROR(IF(VLOOKUP(C3183,Hoja1!$B$1:$C$6191,2,0)="",_xlfn.XLOOKUP(C3183,Hoja1!$B$2:$B$6191,Hoja1!$A$2:$A$6191),VLOOKUP(C3183,Hoja1!$B$1:$C$6191,2,0)),"No esta en Infor")</f>
        <v>NAC1211</v>
      </c>
      <c r="C3183" s="3" t="s">
        <v>284</v>
      </c>
      <c r="D3183" s="4">
        <v>70720.740000000005</v>
      </c>
      <c r="E3183" s="6"/>
      <c r="F3183" s="3">
        <v>0</v>
      </c>
      <c r="G3183" s="3">
        <v>0</v>
      </c>
      <c r="H3183" s="3">
        <v>0</v>
      </c>
      <c r="I3183" s="3">
        <v>0</v>
      </c>
      <c r="J3183" s="18">
        <f t="shared" si="9"/>
        <v>70720.740000000005</v>
      </c>
    </row>
    <row r="3184" spans="1:10" ht="15.75" x14ac:dyDescent="0.25">
      <c r="A3184" s="21">
        <v>45596</v>
      </c>
      <c r="B3184" t="str">
        <f>IFERROR(IF(VLOOKUP(C3184,Hoja1!$B$1:$C$6191,2,0)="",_xlfn.XLOOKUP(C3184,Hoja1!$B$2:$B$6191,Hoja1!$A$2:$A$6191),VLOOKUP(C3184,Hoja1!$B$1:$C$6191,2,0)),"No esta en Infor")</f>
        <v>NAC1212</v>
      </c>
      <c r="C3184" s="3" t="s">
        <v>285</v>
      </c>
      <c r="D3184" s="4">
        <v>13793.6</v>
      </c>
      <c r="E3184" s="6"/>
      <c r="F3184" s="3">
        <v>-0.1</v>
      </c>
      <c r="G3184" s="3">
        <v>0</v>
      </c>
      <c r="H3184" s="3">
        <v>0</v>
      </c>
      <c r="I3184" s="3">
        <v>0</v>
      </c>
      <c r="J3184" s="18">
        <f t="shared" si="9"/>
        <v>13793.5</v>
      </c>
    </row>
    <row r="3185" spans="1:10" ht="15.75" x14ac:dyDescent="0.25">
      <c r="A3185" s="21">
        <v>45596</v>
      </c>
      <c r="B3185" t="str">
        <f>IFERROR(IF(VLOOKUP(C3185,Hoja1!$B$1:$C$6191,2,0)="",_xlfn.XLOOKUP(C3185,Hoja1!$B$2:$B$6191,Hoja1!$A$2:$A$6191),VLOOKUP(C3185,Hoja1!$B$1:$C$6191,2,0)),"No esta en Infor")</f>
        <v>SH02013</v>
      </c>
      <c r="C3185" s="3" t="s">
        <v>754</v>
      </c>
      <c r="D3185" s="3">
        <v>-366.73</v>
      </c>
      <c r="E3185" s="6"/>
      <c r="F3185" s="3">
        <v>0</v>
      </c>
      <c r="G3185" s="3">
        <v>0</v>
      </c>
      <c r="H3185" s="3">
        <v>0</v>
      </c>
      <c r="I3185" s="3">
        <v>0</v>
      </c>
      <c r="J3185" s="18">
        <f t="shared" si="9"/>
        <v>-366.73</v>
      </c>
    </row>
    <row r="3186" spans="1:10" ht="15.75" x14ac:dyDescent="0.25">
      <c r="A3186" s="21">
        <v>45596</v>
      </c>
      <c r="B3186" t="str">
        <f>IFERROR(IF(VLOOKUP(C3186,Hoja1!$B$1:$C$6191,2,0)="",_xlfn.XLOOKUP(C3186,Hoja1!$B$2:$B$6191,Hoja1!$A$2:$A$6191),VLOOKUP(C3186,Hoja1!$B$1:$C$6191,2,0)),"No esta en Infor")</f>
        <v>SH03077</v>
      </c>
      <c r="C3186" s="3" t="s">
        <v>755</v>
      </c>
      <c r="D3186" s="3">
        <v>-145.16</v>
      </c>
      <c r="E3186" s="6"/>
      <c r="F3186" s="3">
        <v>0</v>
      </c>
      <c r="G3186" s="3">
        <v>0</v>
      </c>
      <c r="H3186" s="3">
        <v>0</v>
      </c>
      <c r="I3186" s="3">
        <v>0</v>
      </c>
      <c r="J3186" s="18">
        <f t="shared" si="9"/>
        <v>-145.16</v>
      </c>
    </row>
    <row r="3187" spans="1:10" ht="15.75" x14ac:dyDescent="0.25">
      <c r="A3187" s="21">
        <v>45596</v>
      </c>
      <c r="B3187" t="str">
        <f>IFERROR(IF(VLOOKUP(C3187,Hoja1!$B$1:$C$6191,2,0)="",_xlfn.XLOOKUP(C3187,Hoja1!$B$2:$B$6191,Hoja1!$A$2:$A$6191),VLOOKUP(C3187,Hoja1!$B$1:$C$6191,2,0)),"No esta en Infor")</f>
        <v>NAC1219</v>
      </c>
      <c r="C3187" s="3" t="s">
        <v>475</v>
      </c>
      <c r="D3187" s="3">
        <v>0</v>
      </c>
      <c r="E3187" s="6"/>
      <c r="F3187" s="3">
        <v>0</v>
      </c>
      <c r="G3187" s="3">
        <v>-299.55</v>
      </c>
      <c r="H3187" s="3">
        <v>0</v>
      </c>
      <c r="I3187" s="3">
        <v>0</v>
      </c>
      <c r="J3187" s="18">
        <f t="shared" si="9"/>
        <v>-299.55</v>
      </c>
    </row>
    <row r="3188" spans="1:10" ht="15.75" x14ac:dyDescent="0.25">
      <c r="A3188" s="21">
        <v>45596</v>
      </c>
      <c r="B3188" t="str">
        <f>IFERROR(IF(VLOOKUP(C3188,Hoja1!$B$1:$C$6191,2,0)="",_xlfn.XLOOKUP(C3188,Hoja1!$B$2:$B$6191,Hoja1!$A$2:$A$6191),VLOOKUP(C3188,Hoja1!$B$1:$C$6191,2,0)),"No esta en Infor")</f>
        <v>CAN0049</v>
      </c>
      <c r="C3188" s="3" t="s">
        <v>289</v>
      </c>
      <c r="D3188" s="3">
        <v>-660.04</v>
      </c>
      <c r="E3188" s="6"/>
      <c r="F3188" s="3">
        <v>0</v>
      </c>
      <c r="G3188" s="3">
        <v>0</v>
      </c>
      <c r="H3188" s="3">
        <v>0</v>
      </c>
      <c r="I3188" s="3">
        <v>0</v>
      </c>
      <c r="J3188" s="18">
        <f t="shared" si="9"/>
        <v>-660.04</v>
      </c>
    </row>
    <row r="3189" spans="1:10" ht="15.75" x14ac:dyDescent="0.25">
      <c r="A3189" s="21">
        <v>45596</v>
      </c>
      <c r="B3189" t="str">
        <f>IFERROR(IF(VLOOKUP(C3189,Hoja1!$B$1:$C$6191,2,0)="",_xlfn.XLOOKUP(C3189,Hoja1!$B$2:$B$6191,Hoja1!$A$2:$A$6191),VLOOKUP(C3189,Hoja1!$B$1:$C$6191,2,0)),"No esta en Infor")</f>
        <v>SH02044</v>
      </c>
      <c r="C3189" s="3" t="s">
        <v>756</v>
      </c>
      <c r="D3189" s="3">
        <v>-53.99</v>
      </c>
      <c r="E3189" s="6"/>
      <c r="F3189" s="3">
        <v>0</v>
      </c>
      <c r="G3189" s="3">
        <v>0</v>
      </c>
      <c r="H3189" s="3">
        <v>0</v>
      </c>
      <c r="I3189" s="3">
        <v>0</v>
      </c>
      <c r="J3189" s="18">
        <f t="shared" si="9"/>
        <v>-53.99</v>
      </c>
    </row>
    <row r="3190" spans="1:10" ht="15.75" x14ac:dyDescent="0.25">
      <c r="A3190" s="21">
        <v>45596</v>
      </c>
      <c r="B3190" t="str">
        <f>IFERROR(IF(VLOOKUP(C3190,Hoja1!$B$1:$C$6191,2,0)="",_xlfn.XLOOKUP(C3190,Hoja1!$B$2:$B$6191,Hoja1!$A$2:$A$6191),VLOOKUP(C3190,Hoja1!$B$1:$C$6191,2,0)),"No esta en Infor")</f>
        <v>NAC1228</v>
      </c>
      <c r="C3190" s="3" t="s">
        <v>569</v>
      </c>
      <c r="D3190" s="4">
        <v>11690.33</v>
      </c>
      <c r="E3190" s="6"/>
      <c r="F3190" s="3">
        <v>0</v>
      </c>
      <c r="G3190" s="3">
        <v>0</v>
      </c>
      <c r="H3190" s="3">
        <v>0</v>
      </c>
      <c r="I3190" s="3">
        <v>0</v>
      </c>
      <c r="J3190" s="18">
        <f t="shared" si="9"/>
        <v>11690.33</v>
      </c>
    </row>
    <row r="3191" spans="1:10" ht="15.75" x14ac:dyDescent="0.25">
      <c r="A3191" s="21">
        <v>45596</v>
      </c>
      <c r="B3191" t="str">
        <f>IFERROR(IF(VLOOKUP(C3191,Hoja1!$B$1:$C$6191,2,0)="",_xlfn.XLOOKUP(C3191,Hoja1!$B$2:$B$6191,Hoja1!$A$2:$A$6191),VLOOKUP(C3191,Hoja1!$B$1:$C$6191,2,0)),"No esta en Infor")</f>
        <v>NAC1231</v>
      </c>
      <c r="C3191" s="3" t="s">
        <v>290</v>
      </c>
      <c r="D3191" s="4">
        <v>32055.1</v>
      </c>
      <c r="E3191" s="6"/>
      <c r="F3191" s="3">
        <v>0</v>
      </c>
      <c r="G3191" s="3">
        <v>0</v>
      </c>
      <c r="H3191" s="3">
        <v>0</v>
      </c>
      <c r="I3191" s="3">
        <v>0</v>
      </c>
      <c r="J3191" s="18">
        <f t="shared" si="9"/>
        <v>32055.1</v>
      </c>
    </row>
    <row r="3192" spans="1:10" ht="15.75" x14ac:dyDescent="0.25">
      <c r="A3192" s="21">
        <v>45596</v>
      </c>
      <c r="B3192" t="str">
        <f>IFERROR(IF(VLOOKUP(C3192,Hoja1!$B$1:$C$6191,2,0)="",_xlfn.XLOOKUP(C3192,Hoja1!$B$2:$B$6191,Hoja1!$A$2:$A$6191),VLOOKUP(C3192,Hoja1!$B$1:$C$6191,2,0)),"No esta en Infor")</f>
        <v>CAN0050</v>
      </c>
      <c r="C3192" s="3" t="s">
        <v>291</v>
      </c>
      <c r="D3192" s="3">
        <v>-0.1</v>
      </c>
      <c r="E3192" s="6"/>
      <c r="F3192" s="3">
        <v>0</v>
      </c>
      <c r="G3192" s="3">
        <v>0</v>
      </c>
      <c r="H3192" s="3">
        <v>0</v>
      </c>
      <c r="I3192" s="3">
        <v>0</v>
      </c>
      <c r="J3192" s="18">
        <f t="shared" si="9"/>
        <v>-0.1</v>
      </c>
    </row>
    <row r="3193" spans="1:10" ht="15.75" x14ac:dyDescent="0.25">
      <c r="A3193" s="21">
        <v>45596</v>
      </c>
      <c r="B3193" t="str">
        <f>IFERROR(IF(VLOOKUP(C3193,Hoja1!$B$1:$C$6191,2,0)="",_xlfn.XLOOKUP(C3193,Hoja1!$B$2:$B$6191,Hoja1!$A$2:$A$6191),VLOOKUP(C3193,Hoja1!$B$1:$C$6191,2,0)),"No esta en Infor")</f>
        <v>NAC1232</v>
      </c>
      <c r="C3193" s="3" t="s">
        <v>603</v>
      </c>
      <c r="D3193" s="4">
        <v>14413.5</v>
      </c>
      <c r="E3193" s="6"/>
      <c r="F3193" s="3">
        <v>0</v>
      </c>
      <c r="G3193" s="3">
        <v>0</v>
      </c>
      <c r="H3193" s="3">
        <v>0</v>
      </c>
      <c r="I3193" s="3">
        <v>0</v>
      </c>
      <c r="J3193" s="18">
        <f t="shared" si="9"/>
        <v>14413.5</v>
      </c>
    </row>
    <row r="3194" spans="1:10" ht="15.75" x14ac:dyDescent="0.25">
      <c r="A3194" s="21">
        <v>45596</v>
      </c>
      <c r="B3194" t="str">
        <f>IFERROR(IF(VLOOKUP(C3194,Hoja1!$B$1:$C$6191,2,0)="",_xlfn.XLOOKUP(C3194,Hoja1!$B$2:$B$6191,Hoja1!$A$2:$A$6191),VLOOKUP(C3194,Hoja1!$B$1:$C$6191,2,0)),"No esta en Infor")</f>
        <v>NAC1234</v>
      </c>
      <c r="C3194" s="3" t="s">
        <v>293</v>
      </c>
      <c r="D3194" s="4">
        <v>7317.35</v>
      </c>
      <c r="E3194" s="6"/>
      <c r="F3194" s="3">
        <v>0</v>
      </c>
      <c r="G3194" s="3">
        <v>0</v>
      </c>
      <c r="H3194" s="3">
        <v>0</v>
      </c>
      <c r="I3194" s="3">
        <v>0</v>
      </c>
      <c r="J3194" s="18">
        <f t="shared" si="9"/>
        <v>7317.35</v>
      </c>
    </row>
    <row r="3195" spans="1:10" ht="15.75" x14ac:dyDescent="0.25">
      <c r="A3195" s="21">
        <v>45596</v>
      </c>
      <c r="B3195" t="str">
        <f>IFERROR(IF(VLOOKUP(C3195,Hoja1!$B$1:$C$6191,2,0)="",_xlfn.XLOOKUP(C3195,Hoja1!$B$2:$B$6191,Hoja1!$A$2:$A$6191),VLOOKUP(C3195,Hoja1!$B$1:$C$6191,2,0)),"No esta en Infor")</f>
        <v>NAC1237</v>
      </c>
      <c r="C3195" s="3" t="s">
        <v>757</v>
      </c>
      <c r="D3195" s="3">
        <v>455</v>
      </c>
      <c r="E3195" s="6"/>
      <c r="F3195" s="3">
        <v>0</v>
      </c>
      <c r="G3195" s="3">
        <v>0</v>
      </c>
      <c r="H3195" s="3">
        <v>0</v>
      </c>
      <c r="I3195" s="3">
        <v>0</v>
      </c>
      <c r="J3195" s="18">
        <f t="shared" si="9"/>
        <v>455</v>
      </c>
    </row>
    <row r="3196" spans="1:10" ht="15.75" x14ac:dyDescent="0.25">
      <c r="A3196" s="21">
        <v>45596</v>
      </c>
      <c r="B3196" t="str">
        <f>IFERROR(IF(VLOOKUP(C3196,Hoja1!$B$1:$C$6191,2,0)="",_xlfn.XLOOKUP(C3196,Hoja1!$B$2:$B$6191,Hoja1!$A$2:$A$6191),VLOOKUP(C3196,Hoja1!$B$1:$C$6191,2,0)),"No esta en Infor")</f>
        <v>SH02052</v>
      </c>
      <c r="C3196" s="3" t="s">
        <v>758</v>
      </c>
      <c r="D3196" s="3">
        <v>-180.64</v>
      </c>
      <c r="E3196" s="6"/>
      <c r="F3196" s="3">
        <v>0</v>
      </c>
      <c r="G3196" s="3">
        <v>0</v>
      </c>
      <c r="H3196" s="3">
        <v>0</v>
      </c>
      <c r="I3196" s="3">
        <v>0</v>
      </c>
      <c r="J3196" s="18">
        <f t="shared" si="9"/>
        <v>-180.64</v>
      </c>
    </row>
    <row r="3197" spans="1:10" ht="15.75" x14ac:dyDescent="0.25">
      <c r="A3197" s="21">
        <v>45596</v>
      </c>
      <c r="B3197" t="str">
        <f>IFERROR(IF(VLOOKUP(C3197,Hoja1!$B$1:$C$6191,2,0)="",_xlfn.XLOOKUP(C3197,Hoja1!$B$2:$B$6191,Hoja1!$A$2:$A$6191),VLOOKUP(C3197,Hoja1!$B$1:$C$6191,2,0)),"No esta en Infor")</f>
        <v>NAC1240</v>
      </c>
      <c r="C3197" s="3" t="s">
        <v>759</v>
      </c>
      <c r="D3197" s="4">
        <v>4164.49</v>
      </c>
      <c r="E3197" s="6"/>
      <c r="F3197" s="3">
        <v>0</v>
      </c>
      <c r="G3197" s="3">
        <v>0</v>
      </c>
      <c r="H3197" s="3">
        <v>0</v>
      </c>
      <c r="I3197" s="3">
        <v>0</v>
      </c>
      <c r="J3197" s="18">
        <f t="shared" si="9"/>
        <v>4164.49</v>
      </c>
    </row>
    <row r="3198" spans="1:10" ht="15.75" x14ac:dyDescent="0.25">
      <c r="A3198" s="21">
        <v>45596</v>
      </c>
      <c r="B3198" t="str">
        <f>IFERROR(IF(VLOOKUP(C3198,Hoja1!$B$1:$C$6191,2,0)="",_xlfn.XLOOKUP(C3198,Hoja1!$B$2:$B$6191,Hoja1!$A$2:$A$6191),VLOOKUP(C3198,Hoja1!$B$1:$C$6191,2,0)),"No esta en Infor")</f>
        <v>NAC1241</v>
      </c>
      <c r="C3198" s="3" t="s">
        <v>295</v>
      </c>
      <c r="D3198" s="4">
        <v>66706.559999999998</v>
      </c>
      <c r="E3198" s="6"/>
      <c r="F3198" s="3">
        <v>0</v>
      </c>
      <c r="G3198" s="3">
        <v>0</v>
      </c>
      <c r="H3198" s="3">
        <v>0</v>
      </c>
      <c r="I3198" s="3">
        <v>0</v>
      </c>
      <c r="J3198" s="18">
        <f t="shared" si="9"/>
        <v>66706.559999999998</v>
      </c>
    </row>
    <row r="3199" spans="1:10" ht="15.75" x14ac:dyDescent="0.25">
      <c r="A3199" s="21">
        <v>45596</v>
      </c>
      <c r="B3199" t="str">
        <f>IFERROR(IF(VLOOKUP(C3199,Hoja1!$B$1:$C$6191,2,0)="",_xlfn.XLOOKUP(C3199,Hoja1!$B$2:$B$6191,Hoja1!$A$2:$A$6191),VLOOKUP(C3199,Hoja1!$B$1:$C$6191,2,0)),"No esta en Infor")</f>
        <v>NAC1247</v>
      </c>
      <c r="C3199" s="3" t="s">
        <v>298</v>
      </c>
      <c r="D3199" s="4">
        <v>4852</v>
      </c>
      <c r="E3199" s="6"/>
      <c r="F3199" s="3">
        <v>0</v>
      </c>
      <c r="G3199" s="3">
        <v>0</v>
      </c>
      <c r="H3199" s="3">
        <v>0</v>
      </c>
      <c r="I3199" s="3">
        <v>0</v>
      </c>
      <c r="J3199" s="18">
        <f t="shared" si="9"/>
        <v>4852</v>
      </c>
    </row>
    <row r="3200" spans="1:10" ht="15.75" x14ac:dyDescent="0.25">
      <c r="A3200" s="21">
        <v>45596</v>
      </c>
      <c r="B3200" t="str">
        <f>IFERROR(IF(VLOOKUP(C3200,Hoja1!$B$1:$C$6191,2,0)="",_xlfn.XLOOKUP(C3200,Hoja1!$B$2:$B$6191,Hoja1!$A$2:$A$6191),VLOOKUP(C3200,Hoja1!$B$1:$C$6191,2,0)),"No esta en Infor")</f>
        <v>NAC1248</v>
      </c>
      <c r="C3200" s="3" t="s">
        <v>589</v>
      </c>
      <c r="D3200" s="3">
        <v>213.23</v>
      </c>
      <c r="E3200" s="6"/>
      <c r="F3200" s="3">
        <v>0</v>
      </c>
      <c r="G3200" s="3">
        <v>0</v>
      </c>
      <c r="H3200" s="3">
        <v>0</v>
      </c>
      <c r="I3200" s="3">
        <v>0</v>
      </c>
      <c r="J3200" s="18">
        <f t="shared" si="9"/>
        <v>213.23</v>
      </c>
    </row>
    <row r="3201" spans="1:10" ht="15.75" x14ac:dyDescent="0.25">
      <c r="A3201" s="21">
        <v>45596</v>
      </c>
      <c r="B3201" t="str">
        <f>IFERROR(IF(VLOOKUP(C3201,Hoja1!$B$1:$C$6191,2,0)="",_xlfn.XLOOKUP(C3201,Hoja1!$B$2:$B$6191,Hoja1!$A$2:$A$6191),VLOOKUP(C3201,Hoja1!$B$1:$C$6191,2,0)),"No esta en Infor")</f>
        <v>CAN0051</v>
      </c>
      <c r="C3201" s="3" t="s">
        <v>299</v>
      </c>
      <c r="D3201" s="3">
        <v>0</v>
      </c>
      <c r="E3201" s="6"/>
      <c r="F3201" s="3">
        <v>0</v>
      </c>
      <c r="G3201" s="3">
        <v>0</v>
      </c>
      <c r="H3201" s="3">
        <v>-0.34</v>
      </c>
      <c r="I3201" s="3">
        <v>0</v>
      </c>
      <c r="J3201" s="18">
        <f t="shared" si="9"/>
        <v>-0.34</v>
      </c>
    </row>
    <row r="3202" spans="1:10" ht="15.75" x14ac:dyDescent="0.25">
      <c r="A3202" s="21">
        <v>45596</v>
      </c>
      <c r="B3202" t="str">
        <f>IFERROR(IF(VLOOKUP(C3202,Hoja1!$B$1:$C$6191,2,0)="",_xlfn.XLOOKUP(C3202,Hoja1!$B$2:$B$6191,Hoja1!$A$2:$A$6191),VLOOKUP(C3202,Hoja1!$B$1:$C$6191,2,0)),"No esta en Infor")</f>
        <v>NAC1249</v>
      </c>
      <c r="C3202" s="3" t="s">
        <v>300</v>
      </c>
      <c r="D3202" s="4">
        <v>1561.86</v>
      </c>
      <c r="E3202" s="6"/>
      <c r="F3202" s="3">
        <v>0</v>
      </c>
      <c r="G3202" s="3">
        <v>0</v>
      </c>
      <c r="H3202" s="3">
        <v>-17.760000000000002</v>
      </c>
      <c r="I3202" s="3">
        <v>0</v>
      </c>
      <c r="J3202" s="18">
        <f t="shared" si="9"/>
        <v>1544.1</v>
      </c>
    </row>
    <row r="3203" spans="1:10" ht="15.75" x14ac:dyDescent="0.25">
      <c r="A3203" s="21">
        <v>45596</v>
      </c>
      <c r="B3203" t="str">
        <f>IFERROR(IF(VLOOKUP(C3203,Hoja1!$B$1:$C$6191,2,0)="",_xlfn.XLOOKUP(C3203,Hoja1!$B$2:$B$6191,Hoja1!$A$2:$A$6191),VLOOKUP(C3203,Hoja1!$B$1:$C$6191,2,0)),"No esta en Infor")</f>
        <v>NAC1251</v>
      </c>
      <c r="C3203" s="3" t="s">
        <v>519</v>
      </c>
      <c r="D3203" s="4">
        <v>1300.05</v>
      </c>
      <c r="E3203" s="6"/>
      <c r="F3203" s="3">
        <v>0</v>
      </c>
      <c r="G3203" s="3">
        <v>0</v>
      </c>
      <c r="H3203" s="3">
        <v>0</v>
      </c>
      <c r="I3203" s="3">
        <v>0</v>
      </c>
      <c r="J3203" s="18">
        <f t="shared" si="9"/>
        <v>1300.05</v>
      </c>
    </row>
    <row r="3204" spans="1:10" ht="15.75" x14ac:dyDescent="0.25">
      <c r="A3204" s="21">
        <v>45596</v>
      </c>
      <c r="B3204" t="str">
        <f>IFERROR(IF(VLOOKUP(C3204,Hoja1!$B$1:$C$6191,2,0)="",_xlfn.XLOOKUP(C3204,Hoja1!$B$2:$B$6191,Hoja1!$A$2:$A$6191),VLOOKUP(C3204,Hoja1!$B$1:$C$6191,2,0)),"No esta en Infor")</f>
        <v>NAC1252</v>
      </c>
      <c r="C3204" s="3" t="s">
        <v>301</v>
      </c>
      <c r="D3204" s="4">
        <v>45434.95</v>
      </c>
      <c r="E3204" s="6"/>
      <c r="F3204" s="3">
        <v>0</v>
      </c>
      <c r="G3204" s="3">
        <v>0</v>
      </c>
      <c r="H3204" s="3">
        <v>0</v>
      </c>
      <c r="I3204" s="3">
        <v>0</v>
      </c>
      <c r="J3204" s="18">
        <f t="shared" si="9"/>
        <v>45434.95</v>
      </c>
    </row>
    <row r="3205" spans="1:10" ht="15.75" x14ac:dyDescent="0.25">
      <c r="A3205" s="21">
        <v>45596</v>
      </c>
      <c r="B3205" t="str">
        <f>IFERROR(IF(VLOOKUP(C3205,Hoja1!$B$1:$C$6191,2,0)="",_xlfn.XLOOKUP(C3205,Hoja1!$B$2:$B$6191,Hoja1!$A$2:$A$6191),VLOOKUP(C3205,Hoja1!$B$1:$C$6191,2,0)),"No esta en Infor")</f>
        <v>CAN0052</v>
      </c>
      <c r="C3205" s="3" t="s">
        <v>639</v>
      </c>
      <c r="D3205" s="3">
        <v>179.55</v>
      </c>
      <c r="E3205" s="6"/>
      <c r="F3205" s="3">
        <v>0</v>
      </c>
      <c r="G3205" s="3">
        <v>0</v>
      </c>
      <c r="H3205" s="3">
        <v>0</v>
      </c>
      <c r="I3205" s="3">
        <v>0</v>
      </c>
      <c r="J3205" s="18">
        <f t="shared" si="9"/>
        <v>179.55</v>
      </c>
    </row>
    <row r="3206" spans="1:10" ht="15.75" x14ac:dyDescent="0.25">
      <c r="A3206" s="21">
        <v>45596</v>
      </c>
      <c r="B3206" t="str">
        <f>IFERROR(IF(VLOOKUP(C3206,Hoja1!$B$1:$C$6191,2,0)="",_xlfn.XLOOKUP(C3206,Hoja1!$B$2:$B$6191,Hoja1!$A$2:$A$6191),VLOOKUP(C3206,Hoja1!$B$1:$C$6191,2,0)),"No esta en Infor")</f>
        <v>NAC1615</v>
      </c>
      <c r="C3206" s="3" t="s">
        <v>520</v>
      </c>
      <c r="D3206" s="3">
        <v>0</v>
      </c>
      <c r="E3206" s="6"/>
      <c r="F3206" s="3">
        <v>-17.64</v>
      </c>
      <c r="G3206" s="3">
        <v>-234.36</v>
      </c>
      <c r="H3206" s="3">
        <v>0</v>
      </c>
      <c r="I3206" s="3">
        <v>0</v>
      </c>
      <c r="J3206" s="18">
        <f t="shared" si="9"/>
        <v>-252</v>
      </c>
    </row>
    <row r="3207" spans="1:10" ht="15.75" x14ac:dyDescent="0.25">
      <c r="A3207" s="21">
        <v>45596</v>
      </c>
      <c r="B3207" t="str">
        <f>IFERROR(IF(VLOOKUP(C3207,Hoja1!$B$1:$C$6191,2,0)="",_xlfn.XLOOKUP(C3207,Hoja1!$B$2:$B$6191,Hoja1!$A$2:$A$6191),VLOOKUP(C3207,Hoja1!$B$1:$C$6191,2,0)),"No esta en Infor")</f>
        <v>NAC1260</v>
      </c>
      <c r="C3207" s="3" t="s">
        <v>571</v>
      </c>
      <c r="D3207" s="3">
        <v>0</v>
      </c>
      <c r="E3207" s="6"/>
      <c r="F3207" s="4">
        <v>-19694.63</v>
      </c>
      <c r="G3207" s="3">
        <v>0</v>
      </c>
      <c r="H3207" s="3">
        <v>0</v>
      </c>
      <c r="I3207" s="3">
        <v>0</v>
      </c>
      <c r="J3207" s="18">
        <f t="shared" si="9"/>
        <v>-19694.63</v>
      </c>
    </row>
    <row r="3208" spans="1:10" ht="15.75" x14ac:dyDescent="0.25">
      <c r="A3208" s="21">
        <v>45596</v>
      </c>
      <c r="B3208" t="str">
        <f>IFERROR(IF(VLOOKUP(C3208,Hoja1!$B$1:$C$6191,2,0)="",_xlfn.XLOOKUP(C3208,Hoja1!$B$2:$B$6191,Hoja1!$A$2:$A$6191),VLOOKUP(C3208,Hoja1!$B$1:$C$6191,2,0)),"No esta en Infor")</f>
        <v>NAC1261</v>
      </c>
      <c r="C3208" s="3" t="s">
        <v>303</v>
      </c>
      <c r="D3208" s="4">
        <v>1323</v>
      </c>
      <c r="E3208" s="6"/>
      <c r="F3208" s="3">
        <v>0</v>
      </c>
      <c r="G3208" s="3">
        <v>0</v>
      </c>
      <c r="H3208" s="3">
        <v>0</v>
      </c>
      <c r="I3208" s="3">
        <v>0</v>
      </c>
      <c r="J3208" s="18">
        <f t="shared" si="9"/>
        <v>1323</v>
      </c>
    </row>
    <row r="3209" spans="1:10" ht="15.75" x14ac:dyDescent="0.25">
      <c r="A3209" s="21">
        <v>45596</v>
      </c>
      <c r="B3209" t="str">
        <f>IFERROR(IF(VLOOKUP(C3209,Hoja1!$B$1:$C$6191,2,0)="",_xlfn.XLOOKUP(C3209,Hoja1!$B$2:$B$6191,Hoja1!$A$2:$A$6191),VLOOKUP(C3209,Hoja1!$B$1:$C$6191,2,0)),"No esta en Infor")</f>
        <v>NAC1283</v>
      </c>
      <c r="C3209" s="3" t="s">
        <v>308</v>
      </c>
      <c r="D3209" s="4">
        <v>26138.5</v>
      </c>
      <c r="E3209" s="6"/>
      <c r="F3209" s="3">
        <v>0</v>
      </c>
      <c r="G3209" s="3">
        <v>-118</v>
      </c>
      <c r="H3209" s="3">
        <v>0</v>
      </c>
      <c r="I3209" s="3">
        <v>0</v>
      </c>
      <c r="J3209" s="18">
        <f t="shared" si="9"/>
        <v>26020.5</v>
      </c>
    </row>
    <row r="3210" spans="1:10" ht="15.75" x14ac:dyDescent="0.25">
      <c r="A3210" s="21">
        <v>45596</v>
      </c>
      <c r="B3210" t="str">
        <f>IFERROR(IF(VLOOKUP(C3210,Hoja1!$B$1:$C$6191,2,0)="",_xlfn.XLOOKUP(C3210,Hoja1!$B$2:$B$6191,Hoja1!$A$2:$A$6191),VLOOKUP(C3210,Hoja1!$B$1:$C$6191,2,0)),"No esta en Infor")</f>
        <v>SH03079</v>
      </c>
      <c r="C3210" s="3" t="s">
        <v>760</v>
      </c>
      <c r="D3210" s="3">
        <v>-132.71</v>
      </c>
      <c r="E3210" s="6"/>
      <c r="F3210" s="3">
        <v>0</v>
      </c>
      <c r="G3210" s="3">
        <v>0</v>
      </c>
      <c r="H3210" s="3">
        <v>0</v>
      </c>
      <c r="I3210" s="3">
        <v>0</v>
      </c>
      <c r="J3210" s="18">
        <f t="shared" si="9"/>
        <v>-132.71</v>
      </c>
    </row>
    <row r="3211" spans="1:10" ht="15.75" x14ac:dyDescent="0.25">
      <c r="A3211" s="21">
        <v>45596</v>
      </c>
      <c r="B3211" t="str">
        <f>IFERROR(IF(VLOOKUP(C3211,Hoja1!$B$1:$C$6191,2,0)="",_xlfn.XLOOKUP(C3211,Hoja1!$B$2:$B$6191,Hoja1!$A$2:$A$6191),VLOOKUP(C3211,Hoja1!$B$1:$C$6191,2,0)),"No esta en Infor")</f>
        <v>NAC1292</v>
      </c>
      <c r="C3211" s="3" t="s">
        <v>46</v>
      </c>
      <c r="D3211" s="4">
        <v>180640.94</v>
      </c>
      <c r="E3211" s="6"/>
      <c r="F3211" s="3">
        <v>0</v>
      </c>
      <c r="G3211" s="3">
        <v>0</v>
      </c>
      <c r="H3211" s="3">
        <v>0</v>
      </c>
      <c r="I3211" s="3">
        <v>0</v>
      </c>
      <c r="J3211" s="18">
        <f t="shared" si="9"/>
        <v>180640.94</v>
      </c>
    </row>
    <row r="3212" spans="1:10" ht="15.75" x14ac:dyDescent="0.25">
      <c r="A3212" s="21">
        <v>45596</v>
      </c>
      <c r="B3212" t="str">
        <f>IFERROR(IF(VLOOKUP(C3212,Hoja1!$B$1:$C$6191,2,0)="",_xlfn.XLOOKUP(C3212,Hoja1!$B$2:$B$6191,Hoja1!$A$2:$A$6191),VLOOKUP(C3212,Hoja1!$B$1:$C$6191,2,0)),"No esta en Infor")</f>
        <v>SH03086</v>
      </c>
      <c r="C3212" s="3" t="s">
        <v>761</v>
      </c>
      <c r="D3212" s="3">
        <v>-41.38</v>
      </c>
      <c r="E3212" s="6"/>
      <c r="F3212" s="3">
        <v>0</v>
      </c>
      <c r="G3212" s="3">
        <v>0</v>
      </c>
      <c r="H3212" s="3">
        <v>0</v>
      </c>
      <c r="I3212" s="3">
        <v>0</v>
      </c>
      <c r="J3212" s="18">
        <f t="shared" si="9"/>
        <v>-41.38</v>
      </c>
    </row>
    <row r="3213" spans="1:10" ht="15.75" x14ac:dyDescent="0.25">
      <c r="A3213" s="21">
        <v>45596</v>
      </c>
      <c r="B3213" t="str">
        <f>IFERROR(IF(VLOOKUP(C3213,Hoja1!$B$1:$C$6191,2,0)="",_xlfn.XLOOKUP(C3213,Hoja1!$B$2:$B$6191,Hoja1!$A$2:$A$6191),VLOOKUP(C3213,Hoja1!$B$1:$C$6191,2,0)),"No esta en Infor")</f>
        <v>SH03066</v>
      </c>
      <c r="C3213" s="3" t="s">
        <v>762</v>
      </c>
      <c r="D3213" s="3">
        <v>-88.5</v>
      </c>
      <c r="E3213" s="6"/>
      <c r="F3213" s="3">
        <v>0</v>
      </c>
      <c r="G3213" s="3">
        <v>0</v>
      </c>
      <c r="H3213" s="3">
        <v>0</v>
      </c>
      <c r="I3213" s="3">
        <v>0</v>
      </c>
      <c r="J3213" s="18">
        <f t="shared" si="9"/>
        <v>-88.5</v>
      </c>
    </row>
    <row r="3214" spans="1:10" ht="15.75" x14ac:dyDescent="0.25">
      <c r="A3214" s="21">
        <v>45596</v>
      </c>
      <c r="B3214" t="str">
        <f>IFERROR(IF(VLOOKUP(C3214,Hoja1!$B$1:$C$6191,2,0)="",_xlfn.XLOOKUP(C3214,Hoja1!$B$2:$B$6191,Hoja1!$A$2:$A$6191),VLOOKUP(C3214,Hoja1!$B$1:$C$6191,2,0)),"No esta en Infor")</f>
        <v>NAC1303</v>
      </c>
      <c r="C3214" s="3" t="s">
        <v>697</v>
      </c>
      <c r="D3214" s="4">
        <v>3424</v>
      </c>
      <c r="E3214" s="6"/>
      <c r="F3214" s="3">
        <v>0</v>
      </c>
      <c r="G3214" s="3">
        <v>0</v>
      </c>
      <c r="H3214" s="3">
        <v>0</v>
      </c>
      <c r="I3214" s="3">
        <v>0</v>
      </c>
      <c r="J3214" s="18">
        <f t="shared" si="9"/>
        <v>3424</v>
      </c>
    </row>
    <row r="3215" spans="1:10" ht="15.75" x14ac:dyDescent="0.25">
      <c r="A3215" s="21">
        <v>45596</v>
      </c>
      <c r="B3215" t="str">
        <f>IFERROR(IF(VLOOKUP(C3215,Hoja1!$B$1:$C$6191,2,0)="",_xlfn.XLOOKUP(C3215,Hoja1!$B$2:$B$6191,Hoja1!$A$2:$A$6191),VLOOKUP(C3215,Hoja1!$B$1:$C$6191,2,0)),"No esta en Infor")</f>
        <v>NAC1312</v>
      </c>
      <c r="C3215" s="3" t="s">
        <v>314</v>
      </c>
      <c r="D3215" s="4">
        <v>91392.47</v>
      </c>
      <c r="E3215" s="6"/>
      <c r="F3215" s="4">
        <v>157235.17000000001</v>
      </c>
      <c r="G3215" s="4">
        <v>78962.77</v>
      </c>
      <c r="H3215" s="3">
        <v>0</v>
      </c>
      <c r="I3215" s="4">
        <v>6392.93</v>
      </c>
      <c r="J3215" s="18">
        <f t="shared" si="9"/>
        <v>333983.34000000003</v>
      </c>
    </row>
    <row r="3216" spans="1:10" ht="15.75" x14ac:dyDescent="0.25">
      <c r="A3216" s="21">
        <v>45596</v>
      </c>
      <c r="B3216" t="str">
        <f>IFERROR(IF(VLOOKUP(C3216,Hoja1!$B$1:$C$6191,2,0)="",_xlfn.XLOOKUP(C3216,Hoja1!$B$2:$B$6191,Hoja1!$A$2:$A$6191),VLOOKUP(C3216,Hoja1!$B$1:$C$6191,2,0)),"No esta en Infor")</f>
        <v>NAC1313</v>
      </c>
      <c r="C3216" s="3" t="s">
        <v>315</v>
      </c>
      <c r="D3216" s="4">
        <v>4800</v>
      </c>
      <c r="E3216" s="6"/>
      <c r="F3216" s="3">
        <v>0</v>
      </c>
      <c r="G3216" s="3">
        <v>0</v>
      </c>
      <c r="H3216" s="3">
        <v>0</v>
      </c>
      <c r="I3216" s="3">
        <v>0</v>
      </c>
      <c r="J3216" s="18">
        <f t="shared" si="9"/>
        <v>4800</v>
      </c>
    </row>
    <row r="3217" spans="1:10" ht="15.75" x14ac:dyDescent="0.25">
      <c r="A3217" s="21">
        <v>45596</v>
      </c>
      <c r="B3217" t="str">
        <f>IFERROR(IF(VLOOKUP(C3217,Hoja1!$B$1:$C$6191,2,0)="",_xlfn.XLOOKUP(C3217,Hoja1!$B$2:$B$6191,Hoja1!$A$2:$A$6191),VLOOKUP(C3217,Hoja1!$B$1:$C$6191,2,0)),"No esta en Infor")</f>
        <v>NAC1326</v>
      </c>
      <c r="C3217" s="3" t="s">
        <v>763</v>
      </c>
      <c r="D3217" s="3">
        <v>994.63</v>
      </c>
      <c r="E3217" s="6"/>
      <c r="F3217" s="3">
        <v>0</v>
      </c>
      <c r="G3217" s="3">
        <v>0</v>
      </c>
      <c r="H3217" s="3">
        <v>0</v>
      </c>
      <c r="I3217" s="3">
        <v>0</v>
      </c>
      <c r="J3217" s="18">
        <f t="shared" si="9"/>
        <v>994.63</v>
      </c>
    </row>
    <row r="3218" spans="1:10" ht="15.75" x14ac:dyDescent="0.25">
      <c r="A3218" s="21">
        <v>45596</v>
      </c>
      <c r="B3218" t="str">
        <f>IFERROR(IF(VLOOKUP(C3218,Hoja1!$B$1:$C$6191,2,0)="",_xlfn.XLOOKUP(C3218,Hoja1!$B$2:$B$6191,Hoja1!$A$2:$A$6191),VLOOKUP(C3218,Hoja1!$B$1:$C$6191,2,0)),"No esta en Infor")</f>
        <v>SH03070</v>
      </c>
      <c r="C3218" s="3" t="s">
        <v>764</v>
      </c>
      <c r="D3218" s="3">
        <v>-74.14</v>
      </c>
      <c r="E3218" s="6"/>
      <c r="F3218" s="3">
        <v>0</v>
      </c>
      <c r="G3218" s="3">
        <v>0</v>
      </c>
      <c r="H3218" s="3">
        <v>0</v>
      </c>
      <c r="I3218" s="3">
        <v>0</v>
      </c>
      <c r="J3218" s="18">
        <f t="shared" si="9"/>
        <v>-74.14</v>
      </c>
    </row>
    <row r="3219" spans="1:10" ht="15.75" x14ac:dyDescent="0.25">
      <c r="A3219" s="21">
        <v>45596</v>
      </c>
      <c r="B3219" t="str">
        <f>IFERROR(IF(VLOOKUP(C3219,Hoja1!$B$1:$C$6191,2,0)="",_xlfn.XLOOKUP(C3219,Hoja1!$B$2:$B$6191,Hoja1!$A$2:$A$6191),VLOOKUP(C3219,Hoja1!$B$1:$C$6191,2,0)),"No esta en Infor")</f>
        <v>SH02793</v>
      </c>
      <c r="C3219" s="3" t="s">
        <v>765</v>
      </c>
      <c r="D3219" s="3">
        <v>-65.44</v>
      </c>
      <c r="E3219" s="6"/>
      <c r="F3219" s="3">
        <v>0</v>
      </c>
      <c r="G3219" s="3">
        <v>0</v>
      </c>
      <c r="H3219" s="3">
        <v>0</v>
      </c>
      <c r="I3219" s="3">
        <v>0</v>
      </c>
      <c r="J3219" s="18">
        <f t="shared" si="9"/>
        <v>-65.44</v>
      </c>
    </row>
    <row r="3220" spans="1:10" ht="15.75" x14ac:dyDescent="0.25">
      <c r="A3220" s="21">
        <v>45596</v>
      </c>
      <c r="B3220" t="str">
        <f>IFERROR(IF(VLOOKUP(C3220,Hoja1!$B$1:$C$6191,2,0)="",_xlfn.XLOOKUP(C3220,Hoja1!$B$2:$B$6191,Hoja1!$A$2:$A$6191),VLOOKUP(C3220,Hoja1!$B$1:$C$6191,2,0)),"No esta en Infor")</f>
        <v>CAN0060</v>
      </c>
      <c r="C3220" s="3" t="s">
        <v>422</v>
      </c>
      <c r="D3220" s="4">
        <v>1932.3</v>
      </c>
      <c r="E3220" s="6"/>
      <c r="F3220" s="3">
        <v>0</v>
      </c>
      <c r="G3220" s="3">
        <v>-28.5</v>
      </c>
      <c r="H3220" s="3">
        <v>0</v>
      </c>
      <c r="I3220" s="3">
        <v>0</v>
      </c>
      <c r="J3220" s="18">
        <f t="shared" si="9"/>
        <v>1903.8</v>
      </c>
    </row>
    <row r="3221" spans="1:10" ht="15.75" x14ac:dyDescent="0.25">
      <c r="A3221" s="21">
        <v>45596</v>
      </c>
      <c r="B3221" t="str">
        <f>IFERROR(IF(VLOOKUP(C3221,Hoja1!$B$1:$C$6191,2,0)="",_xlfn.XLOOKUP(C3221,Hoja1!$B$2:$B$6191,Hoja1!$A$2:$A$6191),VLOOKUP(C3221,Hoja1!$B$1:$C$6191,2,0)),"No esta en Infor")</f>
        <v>NAC1332</v>
      </c>
      <c r="C3221" s="3" t="s">
        <v>317</v>
      </c>
      <c r="D3221" s="3">
        <v>362</v>
      </c>
      <c r="E3221" s="6"/>
      <c r="F3221" s="3">
        <v>0</v>
      </c>
      <c r="G3221" s="3">
        <v>0</v>
      </c>
      <c r="H3221" s="3">
        <v>0</v>
      </c>
      <c r="I3221" s="3">
        <v>0</v>
      </c>
      <c r="J3221" s="18">
        <f t="shared" si="9"/>
        <v>362</v>
      </c>
    </row>
    <row r="3222" spans="1:10" ht="15.75" x14ac:dyDescent="0.25">
      <c r="A3222" s="21">
        <v>45596</v>
      </c>
      <c r="B3222" t="str">
        <f>IFERROR(IF(VLOOKUP(C3222,Hoja1!$B$1:$C$6191,2,0)="",_xlfn.XLOOKUP(C3222,Hoja1!$B$2:$B$6191,Hoja1!$A$2:$A$6191),VLOOKUP(C3222,Hoja1!$B$1:$C$6191,2,0)),"No esta en Infor")</f>
        <v>SH03087</v>
      </c>
      <c r="C3222" s="3" t="s">
        <v>766</v>
      </c>
      <c r="D3222" s="3">
        <v>-911.61</v>
      </c>
      <c r="E3222" s="6"/>
      <c r="F3222" s="3">
        <v>0</v>
      </c>
      <c r="G3222" s="3">
        <v>0</v>
      </c>
      <c r="H3222" s="3">
        <v>0</v>
      </c>
      <c r="I3222" s="3">
        <v>0</v>
      </c>
      <c r="J3222" s="18">
        <f t="shared" si="9"/>
        <v>-911.61</v>
      </c>
    </row>
    <row r="3223" spans="1:10" ht="15.75" x14ac:dyDescent="0.25">
      <c r="A3223" s="21">
        <v>45596</v>
      </c>
      <c r="B3223" t="str">
        <f>IFERROR(IF(VLOOKUP(C3223,Hoja1!$B$1:$C$6191,2,0)="",_xlfn.XLOOKUP(C3223,Hoja1!$B$2:$B$6191,Hoja1!$A$2:$A$6191),VLOOKUP(C3223,Hoja1!$B$1:$C$6191,2,0)),"No esta en Infor")</f>
        <v>SH02288</v>
      </c>
      <c r="C3223" s="3" t="s">
        <v>698</v>
      </c>
      <c r="D3223" s="3">
        <v>0</v>
      </c>
      <c r="E3223" s="6"/>
      <c r="F3223" s="3">
        <v>0</v>
      </c>
      <c r="G3223" s="3">
        <v>0</v>
      </c>
      <c r="H3223" s="3">
        <v>48.29</v>
      </c>
      <c r="I3223" s="3">
        <v>0</v>
      </c>
      <c r="J3223" s="18">
        <f t="shared" si="9"/>
        <v>48.29</v>
      </c>
    </row>
    <row r="3224" spans="1:10" ht="15.75" x14ac:dyDescent="0.25">
      <c r="A3224" s="21">
        <v>45596</v>
      </c>
      <c r="B3224" t="str">
        <f>IFERROR(IF(VLOOKUP(C3224,Hoja1!$B$1:$C$6191,2,0)="",_xlfn.XLOOKUP(C3224,Hoja1!$B$2:$B$6191,Hoja1!$A$2:$A$6191),VLOOKUP(C3224,Hoja1!$B$1:$C$6191,2,0)),"No esta en Infor")</f>
        <v>SH02293</v>
      </c>
      <c r="C3224" s="3" t="s">
        <v>699</v>
      </c>
      <c r="D3224" s="3">
        <v>7.3</v>
      </c>
      <c r="E3224" s="6"/>
      <c r="F3224" s="3">
        <v>0</v>
      </c>
      <c r="G3224" s="3">
        <v>0</v>
      </c>
      <c r="H3224" s="3">
        <v>0</v>
      </c>
      <c r="I3224" s="3">
        <v>0</v>
      </c>
      <c r="J3224" s="18">
        <f t="shared" si="9"/>
        <v>7.3</v>
      </c>
    </row>
    <row r="3225" spans="1:10" ht="15.75" x14ac:dyDescent="0.25">
      <c r="A3225" s="21">
        <v>45596</v>
      </c>
      <c r="B3225" t="str">
        <f>IFERROR(IF(VLOOKUP(C3225,Hoja1!$B$1:$C$6191,2,0)="",_xlfn.XLOOKUP(C3225,Hoja1!$B$2:$B$6191,Hoja1!$A$2:$A$6191),VLOOKUP(C3225,Hoja1!$B$1:$C$6191,2,0)),"No esta en Infor")</f>
        <v>NAC1346</v>
      </c>
      <c r="C3225" s="3" t="s">
        <v>321</v>
      </c>
      <c r="D3225" s="4">
        <v>1144.75</v>
      </c>
      <c r="E3225" s="6"/>
      <c r="F3225" s="3">
        <v>0</v>
      </c>
      <c r="G3225" s="3">
        <v>0</v>
      </c>
      <c r="H3225" s="3">
        <v>0</v>
      </c>
      <c r="I3225" s="3">
        <v>0</v>
      </c>
      <c r="J3225" s="18">
        <f t="shared" si="9"/>
        <v>1144.75</v>
      </c>
    </row>
    <row r="3226" spans="1:10" ht="15.75" x14ac:dyDescent="0.25">
      <c r="A3226" s="21">
        <v>45596</v>
      </c>
      <c r="B3226" t="str">
        <f>IFERROR(IF(VLOOKUP(C3226,Hoja1!$B$1:$C$6191,2,0)="",_xlfn.XLOOKUP(C3226,Hoja1!$B$2:$B$6191,Hoja1!$A$2:$A$6191),VLOOKUP(C3226,Hoja1!$B$1:$C$6191,2,0)),"No esta en Infor")</f>
        <v>NAC1349</v>
      </c>
      <c r="C3226" s="3" t="s">
        <v>322</v>
      </c>
      <c r="D3226" s="3">
        <v>0</v>
      </c>
      <c r="E3226" s="6"/>
      <c r="F3226" s="3">
        <v>0</v>
      </c>
      <c r="G3226" s="3">
        <v>-178.85</v>
      </c>
      <c r="H3226" s="3">
        <v>-169.96</v>
      </c>
      <c r="I3226" s="3">
        <v>0</v>
      </c>
      <c r="J3226" s="18">
        <f t="shared" si="9"/>
        <v>-348.81</v>
      </c>
    </row>
    <row r="3227" spans="1:10" ht="15.75" x14ac:dyDescent="0.25">
      <c r="A3227" s="21">
        <v>45596</v>
      </c>
      <c r="B3227" t="str">
        <f>IFERROR(IF(VLOOKUP(C3227,Hoja1!$B$1:$C$6191,2,0)="",_xlfn.XLOOKUP(C3227,Hoja1!$B$2:$B$6191,Hoja1!$A$2:$A$6191),VLOOKUP(C3227,Hoja1!$B$1:$C$6191,2,0)),"No esta en Infor")</f>
        <v>NAC1348</v>
      </c>
      <c r="C3227" s="3" t="s">
        <v>323</v>
      </c>
      <c r="D3227" s="3">
        <v>197.25</v>
      </c>
      <c r="E3227" s="6"/>
      <c r="F3227" s="3">
        <v>0</v>
      </c>
      <c r="G3227" s="3">
        <v>0</v>
      </c>
      <c r="H3227" s="3">
        <v>0</v>
      </c>
      <c r="I3227" s="3">
        <v>0</v>
      </c>
      <c r="J3227" s="18">
        <f t="shared" si="9"/>
        <v>197.25</v>
      </c>
    </row>
    <row r="3228" spans="1:10" ht="15.75" x14ac:dyDescent="0.25">
      <c r="A3228" s="21">
        <v>45596</v>
      </c>
      <c r="B3228" t="str">
        <f>IFERROR(IF(VLOOKUP(C3228,Hoja1!$B$1:$C$6191,2,0)="",_xlfn.XLOOKUP(C3228,Hoja1!$B$2:$B$6191,Hoja1!$A$2:$A$6191),VLOOKUP(C3228,Hoja1!$B$1:$C$6191,2,0)),"No esta en Infor")</f>
        <v>NAC1353</v>
      </c>
      <c r="C3228" s="3" t="s">
        <v>700</v>
      </c>
      <c r="D3228" s="4">
        <v>22193.5</v>
      </c>
      <c r="E3228" s="6"/>
      <c r="F3228" s="3">
        <v>0</v>
      </c>
      <c r="G3228" s="3">
        <v>0</v>
      </c>
      <c r="H3228" s="3">
        <v>0</v>
      </c>
      <c r="I3228" s="3">
        <v>0</v>
      </c>
      <c r="J3228" s="18">
        <f t="shared" si="9"/>
        <v>22193.5</v>
      </c>
    </row>
    <row r="3229" spans="1:10" ht="15.75" x14ac:dyDescent="0.25">
      <c r="A3229" s="21">
        <v>45596</v>
      </c>
      <c r="B3229" t="str">
        <f>IFERROR(IF(VLOOKUP(C3229,Hoja1!$B$1:$C$6191,2,0)="",_xlfn.XLOOKUP(C3229,Hoja1!$B$2:$B$6191,Hoja1!$A$2:$A$6191),VLOOKUP(C3229,Hoja1!$B$1:$C$6191,2,0)),"No esta en Infor")</f>
        <v>NAC1356</v>
      </c>
      <c r="C3229" s="3" t="s">
        <v>325</v>
      </c>
      <c r="D3229" s="3">
        <v>0</v>
      </c>
      <c r="E3229" s="6"/>
      <c r="F3229" s="3">
        <v>0</v>
      </c>
      <c r="G3229" s="3">
        <v>0</v>
      </c>
      <c r="H3229" s="3">
        <v>-421.28</v>
      </c>
      <c r="I3229" s="3">
        <v>0</v>
      </c>
      <c r="J3229" s="18">
        <f t="shared" si="9"/>
        <v>-421.28</v>
      </c>
    </row>
    <row r="3230" spans="1:10" ht="15.75" x14ac:dyDescent="0.25">
      <c r="A3230" s="21">
        <v>45596</v>
      </c>
      <c r="B3230" t="str">
        <f>IFERROR(IF(VLOOKUP(C3230,Hoja1!$B$1:$C$6191,2,0)="",_xlfn.XLOOKUP(C3230,Hoja1!$B$2:$B$6191,Hoja1!$A$2:$A$6191),VLOOKUP(C3230,Hoja1!$B$1:$C$6191,2,0)),"No esta en Infor")</f>
        <v>NAC1357</v>
      </c>
      <c r="C3230" s="3" t="s">
        <v>423</v>
      </c>
      <c r="D3230" s="4">
        <v>1232.0999999999999</v>
      </c>
      <c r="E3230" s="6"/>
      <c r="F3230" s="3">
        <v>0</v>
      </c>
      <c r="G3230" s="3">
        <v>0</v>
      </c>
      <c r="H3230" s="3">
        <v>0</v>
      </c>
      <c r="I3230" s="3">
        <v>0</v>
      </c>
      <c r="J3230" s="18">
        <f t="shared" si="9"/>
        <v>1232.0999999999999</v>
      </c>
    </row>
    <row r="3231" spans="1:10" ht="15.75" x14ac:dyDescent="0.25">
      <c r="A3231" s="21">
        <v>45596</v>
      </c>
      <c r="B3231" t="str">
        <f>IFERROR(IF(VLOOKUP(C3231,Hoja1!$B$1:$C$6191,2,0)="",_xlfn.XLOOKUP(C3231,Hoja1!$B$2:$B$6191,Hoja1!$A$2:$A$6191),VLOOKUP(C3231,Hoja1!$B$1:$C$6191,2,0)),"No esta en Infor")</f>
        <v>NAC1359</v>
      </c>
      <c r="C3231" s="3" t="s">
        <v>524</v>
      </c>
      <c r="D3231" s="4">
        <v>18089.099999999999</v>
      </c>
      <c r="E3231" s="6"/>
      <c r="F3231" s="3">
        <v>0</v>
      </c>
      <c r="G3231" s="3">
        <v>0</v>
      </c>
      <c r="H3231" s="3">
        <v>0</v>
      </c>
      <c r="I3231" s="3">
        <v>0</v>
      </c>
      <c r="J3231" s="18">
        <f t="shared" si="9"/>
        <v>18089.099999999999</v>
      </c>
    </row>
    <row r="3232" spans="1:10" ht="15.75" x14ac:dyDescent="0.25">
      <c r="A3232" s="21">
        <v>45596</v>
      </c>
      <c r="B3232" t="str">
        <f>IFERROR(IF(VLOOKUP(C3232,Hoja1!$B$1:$C$6191,2,0)="",_xlfn.XLOOKUP(C3232,Hoja1!$B$2:$B$6191,Hoja1!$A$2:$A$6191),VLOOKUP(C3232,Hoja1!$B$1:$C$6191,2,0)),"No esta en Infor")</f>
        <v>NAC1362</v>
      </c>
      <c r="C3232" s="3" t="s">
        <v>701</v>
      </c>
      <c r="D3232" s="4">
        <v>3780</v>
      </c>
      <c r="E3232" s="6"/>
      <c r="F3232" s="3">
        <v>0</v>
      </c>
      <c r="G3232" s="3">
        <v>0</v>
      </c>
      <c r="H3232" s="3">
        <v>0</v>
      </c>
      <c r="I3232" s="3">
        <v>0</v>
      </c>
      <c r="J3232" s="18">
        <f t="shared" si="9"/>
        <v>3780</v>
      </c>
    </row>
    <row r="3233" spans="1:10" ht="15.75" x14ac:dyDescent="0.25">
      <c r="A3233" s="21">
        <v>45596</v>
      </c>
      <c r="B3233" t="str">
        <f>IFERROR(IF(VLOOKUP(C3233,Hoja1!$B$1:$C$6191,2,0)="",_xlfn.XLOOKUP(C3233,Hoja1!$B$2:$B$6191,Hoja1!$A$2:$A$6191),VLOOKUP(C3233,Hoja1!$B$1:$C$6191,2,0)),"No esta en Infor")</f>
        <v>CAN0065</v>
      </c>
      <c r="C3233" s="3" t="s">
        <v>327</v>
      </c>
      <c r="D3233" s="4">
        <v>39664.71</v>
      </c>
      <c r="E3233" s="6"/>
      <c r="F3233" s="3">
        <v>0</v>
      </c>
      <c r="G3233" s="3">
        <v>0</v>
      </c>
      <c r="H3233" s="3">
        <v>0</v>
      </c>
      <c r="I3233" s="3">
        <v>0</v>
      </c>
      <c r="J3233" s="18">
        <f t="shared" si="9"/>
        <v>39664.71</v>
      </c>
    </row>
    <row r="3234" spans="1:10" ht="15.75" x14ac:dyDescent="0.25">
      <c r="A3234" s="21">
        <v>45596</v>
      </c>
      <c r="B3234" t="str">
        <f>IFERROR(IF(VLOOKUP(C3234,Hoja1!$B$1:$C$6191,2,0)="",_xlfn.XLOOKUP(C3234,Hoja1!$B$2:$B$6191,Hoja1!$A$2:$A$6191),VLOOKUP(C3234,Hoja1!$B$1:$C$6191,2,0)),"No esta en Infor")</f>
        <v>NAC1372</v>
      </c>
      <c r="C3234" s="3" t="s">
        <v>607</v>
      </c>
      <c r="D3234" s="3">
        <v>420.12</v>
      </c>
      <c r="E3234" s="6"/>
      <c r="F3234" s="3">
        <v>0</v>
      </c>
      <c r="G3234" s="3">
        <v>0</v>
      </c>
      <c r="H3234" s="3">
        <v>0</v>
      </c>
      <c r="I3234" s="3">
        <v>0</v>
      </c>
      <c r="J3234" s="18">
        <f t="shared" si="9"/>
        <v>420.12</v>
      </c>
    </row>
    <row r="3235" spans="1:10" ht="15.75" x14ac:dyDescent="0.25">
      <c r="A3235" s="21">
        <v>45596</v>
      </c>
      <c r="B3235" t="str">
        <f>IFERROR(IF(VLOOKUP(C3235,Hoja1!$B$1:$C$6191,2,0)="",_xlfn.XLOOKUP(C3235,Hoja1!$B$2:$B$6191,Hoja1!$A$2:$A$6191),VLOOKUP(C3235,Hoja1!$B$1:$C$6191,2,0)),"No esta en Infor")</f>
        <v>NAC1377</v>
      </c>
      <c r="C3235" s="3" t="s">
        <v>525</v>
      </c>
      <c r="D3235" s="4">
        <v>15618.88</v>
      </c>
      <c r="E3235" s="6"/>
      <c r="F3235" s="3">
        <v>0</v>
      </c>
      <c r="G3235" s="3">
        <v>0</v>
      </c>
      <c r="H3235" s="3">
        <v>0</v>
      </c>
      <c r="I3235" s="3">
        <v>0</v>
      </c>
      <c r="J3235" s="18">
        <f t="shared" si="9"/>
        <v>15618.88</v>
      </c>
    </row>
    <row r="3236" spans="1:10" ht="15.75" x14ac:dyDescent="0.25">
      <c r="A3236" s="21">
        <v>45596</v>
      </c>
      <c r="B3236" t="str">
        <f>IFERROR(IF(VLOOKUP(C3236,Hoja1!$B$1:$C$6191,2,0)="",_xlfn.XLOOKUP(C3236,Hoja1!$B$2:$B$6191,Hoja1!$A$2:$A$6191),VLOOKUP(C3236,Hoja1!$B$1:$C$6191,2,0)),"No esta en Infor")</f>
        <v>NAC1381</v>
      </c>
      <c r="C3236" s="3" t="s">
        <v>478</v>
      </c>
      <c r="D3236" s="3">
        <v>0</v>
      </c>
      <c r="E3236" s="6"/>
      <c r="F3236" s="3">
        <v>0</v>
      </c>
      <c r="G3236" s="3">
        <v>-5.28</v>
      </c>
      <c r="H3236" s="3">
        <v>0</v>
      </c>
      <c r="I3236" s="3">
        <v>0</v>
      </c>
      <c r="J3236" s="18">
        <f t="shared" ref="J3236:J3299" si="10">SUM(D3236:I3236)</f>
        <v>-5.28</v>
      </c>
    </row>
    <row r="3237" spans="1:10" ht="15.75" x14ac:dyDescent="0.25">
      <c r="A3237" s="21">
        <v>45596</v>
      </c>
      <c r="B3237" t="str">
        <f>IFERROR(IF(VLOOKUP(C3237,Hoja1!$B$1:$C$6191,2,0)="",_xlfn.XLOOKUP(C3237,Hoja1!$B$2:$B$6191,Hoja1!$A$2:$A$6191),VLOOKUP(C3237,Hoja1!$B$1:$C$6191,2,0)),"No esta en Infor")</f>
        <v>NAC1382</v>
      </c>
      <c r="C3237" s="3" t="s">
        <v>332</v>
      </c>
      <c r="D3237" s="4">
        <v>154373.35999999999</v>
      </c>
      <c r="E3237" s="6"/>
      <c r="F3237" s="3">
        <v>0</v>
      </c>
      <c r="G3237" s="3">
        <v>0</v>
      </c>
      <c r="H3237" s="3">
        <v>0</v>
      </c>
      <c r="I3237" s="3">
        <v>0</v>
      </c>
      <c r="J3237" s="18">
        <f t="shared" si="10"/>
        <v>154373.35999999999</v>
      </c>
    </row>
    <row r="3238" spans="1:10" ht="15.75" x14ac:dyDescent="0.25">
      <c r="A3238" s="21">
        <v>45596</v>
      </c>
      <c r="B3238" t="str">
        <f>IFERROR(IF(VLOOKUP(C3238,Hoja1!$B$1:$C$6191,2,0)="",_xlfn.XLOOKUP(C3238,Hoja1!$B$2:$B$6191,Hoja1!$A$2:$A$6191),VLOOKUP(C3238,Hoja1!$B$1:$C$6191,2,0)),"No esta en Infor")</f>
        <v>NAC1385</v>
      </c>
      <c r="C3238" s="3" t="s">
        <v>428</v>
      </c>
      <c r="D3238" s="4">
        <v>23811.3</v>
      </c>
      <c r="E3238" s="6"/>
      <c r="F3238" s="3">
        <v>0</v>
      </c>
      <c r="G3238" s="3">
        <v>0</v>
      </c>
      <c r="H3238" s="3">
        <v>0</v>
      </c>
      <c r="I3238" s="3">
        <v>0</v>
      </c>
      <c r="J3238" s="18">
        <f t="shared" si="10"/>
        <v>23811.3</v>
      </c>
    </row>
    <row r="3239" spans="1:10" ht="15.75" x14ac:dyDescent="0.25">
      <c r="A3239" s="21">
        <v>45596</v>
      </c>
      <c r="B3239" t="str">
        <f>IFERROR(IF(VLOOKUP(C3239,Hoja1!$B$1:$C$6191,2,0)="",_xlfn.XLOOKUP(C3239,Hoja1!$B$2:$B$6191,Hoja1!$A$2:$A$6191),VLOOKUP(C3239,Hoja1!$B$1:$C$6191,2,0)),"No esta en Infor")</f>
        <v>NAC1386</v>
      </c>
      <c r="C3239" s="3" t="s">
        <v>703</v>
      </c>
      <c r="D3239" s="4">
        <v>2015.18</v>
      </c>
      <c r="E3239" s="6"/>
      <c r="F3239" s="3">
        <v>0</v>
      </c>
      <c r="G3239" s="3">
        <v>0</v>
      </c>
      <c r="H3239" s="3">
        <v>0</v>
      </c>
      <c r="I3239" s="3">
        <v>0</v>
      </c>
      <c r="J3239" s="18">
        <f t="shared" si="10"/>
        <v>2015.18</v>
      </c>
    </row>
    <row r="3240" spans="1:10" ht="15.75" x14ac:dyDescent="0.25">
      <c r="A3240" s="21">
        <v>45596</v>
      </c>
      <c r="B3240" t="str">
        <f>IFERROR(IF(VLOOKUP(C3240,Hoja1!$B$1:$C$6191,2,0)="",_xlfn.XLOOKUP(C3240,Hoja1!$B$2:$B$6191,Hoja1!$A$2:$A$6191),VLOOKUP(C3240,Hoja1!$B$1:$C$6191,2,0)),"No esta en Infor")</f>
        <v>NAC1394</v>
      </c>
      <c r="C3240" s="3" t="s">
        <v>767</v>
      </c>
      <c r="D3240" s="3">
        <v>-155.76</v>
      </c>
      <c r="E3240" s="6"/>
      <c r="F3240" s="3">
        <v>0</v>
      </c>
      <c r="G3240" s="3">
        <v>0</v>
      </c>
      <c r="H3240" s="3">
        <v>0</v>
      </c>
      <c r="I3240" s="3">
        <v>0</v>
      </c>
      <c r="J3240" s="18">
        <f t="shared" si="10"/>
        <v>-155.76</v>
      </c>
    </row>
    <row r="3241" spans="1:10" ht="15.75" x14ac:dyDescent="0.25">
      <c r="A3241" s="21">
        <v>45596</v>
      </c>
      <c r="B3241" t="str">
        <f>IFERROR(IF(VLOOKUP(C3241,Hoja1!$B$1:$C$6191,2,0)="",_xlfn.XLOOKUP(C3241,Hoja1!$B$2:$B$6191,Hoja1!$A$2:$A$6191),VLOOKUP(C3241,Hoja1!$B$1:$C$6191,2,0)),"No esta en Infor")</f>
        <v>NAC1395</v>
      </c>
      <c r="C3241" s="3" t="s">
        <v>337</v>
      </c>
      <c r="D3241" s="4">
        <v>37891.199999999997</v>
      </c>
      <c r="E3241" s="6"/>
      <c r="F3241" s="3">
        <v>0</v>
      </c>
      <c r="G3241" s="3">
        <v>0</v>
      </c>
      <c r="H3241" s="3">
        <v>0</v>
      </c>
      <c r="I3241" s="3">
        <v>0</v>
      </c>
      <c r="J3241" s="18">
        <f t="shared" si="10"/>
        <v>37891.199999999997</v>
      </c>
    </row>
    <row r="3242" spans="1:10" ht="15.75" x14ac:dyDescent="0.25">
      <c r="A3242" s="21">
        <v>45596</v>
      </c>
      <c r="B3242" t="str">
        <f>IFERROR(IF(VLOOKUP(C3242,Hoja1!$B$1:$C$6191,2,0)="",_xlfn.XLOOKUP(C3242,Hoja1!$B$2:$B$6191,Hoja1!$A$2:$A$6191),VLOOKUP(C3242,Hoja1!$B$1:$C$6191,2,0)),"No esta en Infor")</f>
        <v>NAC1399</v>
      </c>
      <c r="C3242" s="3" t="s">
        <v>704</v>
      </c>
      <c r="D3242" s="4">
        <v>14316.25</v>
      </c>
      <c r="E3242" s="6"/>
      <c r="F3242" s="3">
        <v>0</v>
      </c>
      <c r="G3242" s="3">
        <v>0</v>
      </c>
      <c r="H3242" s="3">
        <v>0</v>
      </c>
      <c r="I3242" s="3">
        <v>0</v>
      </c>
      <c r="J3242" s="18">
        <f t="shared" si="10"/>
        <v>14316.25</v>
      </c>
    </row>
    <row r="3243" spans="1:10" ht="15.75" x14ac:dyDescent="0.25">
      <c r="A3243" s="21">
        <v>45596</v>
      </c>
      <c r="B3243" t="str">
        <f>IFERROR(IF(VLOOKUP(C3243,Hoja1!$B$1:$C$6191,2,0)="",_xlfn.XLOOKUP(C3243,Hoja1!$B$2:$B$6191,Hoja1!$A$2:$A$6191),VLOOKUP(C3243,Hoja1!$B$1:$C$6191,2,0)),"No esta en Infor")</f>
        <v>NAC1404</v>
      </c>
      <c r="C3243" s="3" t="s">
        <v>592</v>
      </c>
      <c r="D3243" s="3">
        <v>337.53</v>
      </c>
      <c r="E3243" s="6"/>
      <c r="F3243" s="3">
        <v>-85.32</v>
      </c>
      <c r="G3243" s="3">
        <v>0</v>
      </c>
      <c r="H3243" s="3">
        <v>0</v>
      </c>
      <c r="I3243" s="3">
        <v>0</v>
      </c>
      <c r="J3243" s="18">
        <f t="shared" si="10"/>
        <v>252.20999999999998</v>
      </c>
    </row>
    <row r="3244" spans="1:10" ht="15.75" x14ac:dyDescent="0.25">
      <c r="A3244" s="21">
        <v>45596</v>
      </c>
      <c r="B3244" t="str">
        <f>IFERROR(IF(VLOOKUP(C3244,Hoja1!$B$1:$C$6191,2,0)="",_xlfn.XLOOKUP(C3244,Hoja1!$B$2:$B$6191,Hoja1!$A$2:$A$6191),VLOOKUP(C3244,Hoja1!$B$1:$C$6191,2,0)),"No esta en Infor")</f>
        <v>NAC1408</v>
      </c>
      <c r="C3244" s="3" t="s">
        <v>530</v>
      </c>
      <c r="D3244" s="3">
        <v>322</v>
      </c>
      <c r="E3244" s="6"/>
      <c r="F3244" s="3">
        <v>0</v>
      </c>
      <c r="G3244" s="3">
        <v>0</v>
      </c>
      <c r="H3244" s="3">
        <v>0</v>
      </c>
      <c r="I3244" s="3">
        <v>0</v>
      </c>
      <c r="J3244" s="18">
        <f t="shared" si="10"/>
        <v>322</v>
      </c>
    </row>
    <row r="3245" spans="1:10" ht="15.75" x14ac:dyDescent="0.25">
      <c r="A3245" s="21">
        <v>45596</v>
      </c>
      <c r="B3245" t="str">
        <f>IFERROR(IF(VLOOKUP(C3245,Hoja1!$B$1:$C$6191,2,0)="",_xlfn.XLOOKUP(C3245,Hoja1!$B$2:$B$6191,Hoja1!$A$2:$A$6191),VLOOKUP(C3245,Hoja1!$B$1:$C$6191,2,0)),"No esta en Infor")</f>
        <v>CAN0071</v>
      </c>
      <c r="C3245" s="3" t="s">
        <v>341</v>
      </c>
      <c r="D3245" s="4">
        <v>6782.15</v>
      </c>
      <c r="E3245" s="6"/>
      <c r="F3245" s="3">
        <v>0</v>
      </c>
      <c r="G3245" s="3">
        <v>0</v>
      </c>
      <c r="H3245" s="3">
        <v>0</v>
      </c>
      <c r="I3245" s="3">
        <v>0</v>
      </c>
      <c r="J3245" s="18">
        <f t="shared" si="10"/>
        <v>6782.15</v>
      </c>
    </row>
    <row r="3246" spans="1:10" ht="15.75" x14ac:dyDescent="0.25">
      <c r="A3246" s="21">
        <v>45596</v>
      </c>
      <c r="B3246" t="str">
        <f>IFERROR(IF(VLOOKUP(C3246,Hoja1!$B$1:$C$6191,2,0)="",_xlfn.XLOOKUP(C3246,Hoja1!$B$2:$B$6191,Hoja1!$A$2:$A$6191),VLOOKUP(C3246,Hoja1!$B$1:$C$6191,2,0)),"No esta en Infor")</f>
        <v>NAC1413</v>
      </c>
      <c r="C3246" s="3" t="s">
        <v>342</v>
      </c>
      <c r="D3246" s="4">
        <v>23566.400000000001</v>
      </c>
      <c r="E3246" s="6"/>
      <c r="F3246" s="3">
        <v>0</v>
      </c>
      <c r="G3246" s="3">
        <v>0</v>
      </c>
      <c r="H3246" s="3">
        <v>0</v>
      </c>
      <c r="I3246" s="3">
        <v>0</v>
      </c>
      <c r="J3246" s="18">
        <f t="shared" si="10"/>
        <v>23566.400000000001</v>
      </c>
    </row>
    <row r="3247" spans="1:10" ht="15.75" x14ac:dyDescent="0.25">
      <c r="A3247" s="21">
        <v>45596</v>
      </c>
      <c r="B3247" t="str">
        <f>IFERROR(IF(VLOOKUP(C3247,Hoja1!$B$1:$C$6191,2,0)="",_xlfn.XLOOKUP(C3247,Hoja1!$B$2:$B$6191,Hoja1!$A$2:$A$6191),VLOOKUP(C3247,Hoja1!$B$1:$C$6191,2,0)),"No esta en Infor")</f>
        <v>NAC1417</v>
      </c>
      <c r="C3247" s="3" t="s">
        <v>645</v>
      </c>
      <c r="D3247" s="4">
        <v>116915</v>
      </c>
      <c r="E3247" s="6"/>
      <c r="F3247" s="3">
        <v>0</v>
      </c>
      <c r="G3247" s="3">
        <v>0</v>
      </c>
      <c r="H3247" s="3">
        <v>0</v>
      </c>
      <c r="I3247" s="3">
        <v>0</v>
      </c>
      <c r="J3247" s="18">
        <f t="shared" si="10"/>
        <v>116915</v>
      </c>
    </row>
    <row r="3248" spans="1:10" ht="15.75" x14ac:dyDescent="0.25">
      <c r="A3248" s="21">
        <v>45596</v>
      </c>
      <c r="B3248" t="str">
        <f>IFERROR(IF(VLOOKUP(C3248,Hoja1!$B$1:$C$6191,2,0)="",_xlfn.XLOOKUP(C3248,Hoja1!$B$2:$B$6191,Hoja1!$A$2:$A$6191),VLOOKUP(C3248,Hoja1!$B$1:$C$6191,2,0)),"No esta en Infor")</f>
        <v>NAC1424</v>
      </c>
      <c r="C3248" s="3" t="s">
        <v>345</v>
      </c>
      <c r="D3248" s="4">
        <v>25097.1</v>
      </c>
      <c r="E3248" s="6"/>
      <c r="F3248" s="3">
        <v>0</v>
      </c>
      <c r="G3248" s="3">
        <v>0</v>
      </c>
      <c r="H3248" s="3">
        <v>0</v>
      </c>
      <c r="I3248" s="3">
        <v>0</v>
      </c>
      <c r="J3248" s="18">
        <f t="shared" si="10"/>
        <v>25097.1</v>
      </c>
    </row>
    <row r="3249" spans="1:10" ht="15.75" x14ac:dyDescent="0.25">
      <c r="A3249" s="21">
        <v>45596</v>
      </c>
      <c r="B3249" t="str">
        <f>IFERROR(IF(VLOOKUP(C3249,Hoja1!$B$1:$C$6191,2,0)="",_xlfn.XLOOKUP(C3249,Hoja1!$B$2:$B$6191,Hoja1!$A$2:$A$6191),VLOOKUP(C3249,Hoja1!$B$1:$C$6191,2,0)),"No esta en Infor")</f>
        <v>SH03093</v>
      </c>
      <c r="C3249" s="3" t="s">
        <v>768</v>
      </c>
      <c r="D3249" s="3">
        <v>-242.33</v>
      </c>
      <c r="E3249" s="6"/>
      <c r="F3249" s="3">
        <v>0</v>
      </c>
      <c r="G3249" s="3">
        <v>0</v>
      </c>
      <c r="H3249" s="3">
        <v>0</v>
      </c>
      <c r="I3249" s="3">
        <v>0</v>
      </c>
      <c r="J3249" s="18">
        <f t="shared" si="10"/>
        <v>-242.33</v>
      </c>
    </row>
    <row r="3250" spans="1:10" ht="15.75" x14ac:dyDescent="0.25">
      <c r="A3250" s="21">
        <v>45596</v>
      </c>
      <c r="B3250" t="str">
        <f>IFERROR(IF(VLOOKUP(C3250,Hoja1!$B$1:$C$6191,2,0)="",_xlfn.XLOOKUP(C3250,Hoja1!$B$2:$B$6191,Hoja1!$A$2:$A$6191),VLOOKUP(C3250,Hoja1!$B$1:$C$6191,2,0)),"No esta en Infor")</f>
        <v>NAC1545</v>
      </c>
      <c r="C3250" s="3" t="s">
        <v>769</v>
      </c>
      <c r="D3250" s="4">
        <v>4230</v>
      </c>
      <c r="E3250" s="6"/>
      <c r="F3250" s="3">
        <v>0</v>
      </c>
      <c r="G3250" s="3">
        <v>0</v>
      </c>
      <c r="H3250" s="3">
        <v>0</v>
      </c>
      <c r="I3250" s="3">
        <v>0</v>
      </c>
      <c r="J3250" s="18">
        <f t="shared" si="10"/>
        <v>4230</v>
      </c>
    </row>
    <row r="3251" spans="1:10" ht="15.75" x14ac:dyDescent="0.25">
      <c r="A3251" s="21">
        <v>45596</v>
      </c>
      <c r="B3251" t="str">
        <f>IFERROR(IF(VLOOKUP(C3251,Hoja1!$B$1:$C$6191,2,0)="",_xlfn.XLOOKUP(C3251,Hoja1!$B$2:$B$6191,Hoja1!$A$2:$A$6191),VLOOKUP(C3251,Hoja1!$B$1:$C$6191,2,0)),"No esta en Infor")</f>
        <v>SH03097</v>
      </c>
      <c r="C3251" s="3" t="s">
        <v>770</v>
      </c>
      <c r="D3251" s="3">
        <v>-107.62</v>
      </c>
      <c r="E3251" s="6"/>
      <c r="F3251" s="3">
        <v>0</v>
      </c>
      <c r="G3251" s="3">
        <v>0</v>
      </c>
      <c r="H3251" s="3">
        <v>0</v>
      </c>
      <c r="I3251" s="3">
        <v>0</v>
      </c>
      <c r="J3251" s="18">
        <f t="shared" si="10"/>
        <v>-107.62</v>
      </c>
    </row>
    <row r="3252" spans="1:10" ht="15.75" x14ac:dyDescent="0.25">
      <c r="A3252" s="21">
        <v>45596</v>
      </c>
      <c r="B3252" t="str">
        <f>IFERROR(IF(VLOOKUP(C3252,Hoja1!$B$1:$C$6191,2,0)="",_xlfn.XLOOKUP(C3252,Hoja1!$B$2:$B$6191,Hoja1!$A$2:$A$6191),VLOOKUP(C3252,Hoja1!$B$1:$C$6191,2,0)),"No esta en Infor")</f>
        <v>NAC1432</v>
      </c>
      <c r="C3252" s="3" t="s">
        <v>575</v>
      </c>
      <c r="D3252" s="3">
        <v>0</v>
      </c>
      <c r="E3252" s="6"/>
      <c r="F3252" s="3">
        <v>-536.64</v>
      </c>
      <c r="G3252" s="3">
        <v>0</v>
      </c>
      <c r="H3252" s="3">
        <v>0</v>
      </c>
      <c r="I3252" s="3">
        <v>0</v>
      </c>
      <c r="J3252" s="18">
        <f t="shared" si="10"/>
        <v>-536.64</v>
      </c>
    </row>
    <row r="3253" spans="1:10" ht="15.75" x14ac:dyDescent="0.25">
      <c r="A3253" s="21">
        <v>45596</v>
      </c>
      <c r="B3253" t="str">
        <f>IFERROR(IF(VLOOKUP(C3253,Hoja1!$B$1:$C$6191,2,0)="",_xlfn.XLOOKUP(C3253,Hoja1!$B$2:$B$6191,Hoja1!$A$2:$A$6191),VLOOKUP(C3253,Hoja1!$B$1:$C$6191,2,0)),"No esta en Infor")</f>
        <v>NAC1434</v>
      </c>
      <c r="C3253" s="3" t="s">
        <v>348</v>
      </c>
      <c r="D3253" s="4">
        <v>6348</v>
      </c>
      <c r="E3253" s="6"/>
      <c r="F3253" s="3">
        <v>0</v>
      </c>
      <c r="G3253" s="3">
        <v>0</v>
      </c>
      <c r="H3253" s="3">
        <v>0</v>
      </c>
      <c r="I3253" s="3">
        <v>0</v>
      </c>
      <c r="J3253" s="18">
        <f t="shared" si="10"/>
        <v>6348</v>
      </c>
    </row>
    <row r="3254" spans="1:10" ht="15.75" x14ac:dyDescent="0.25">
      <c r="A3254" s="21">
        <v>45596</v>
      </c>
      <c r="B3254" t="str">
        <f>IFERROR(IF(VLOOKUP(C3254,Hoja1!$B$1:$C$6191,2,0)="",_xlfn.XLOOKUP(C3254,Hoja1!$B$2:$B$6191,Hoja1!$A$2:$A$6191),VLOOKUP(C3254,Hoja1!$B$1:$C$6191,2,0)),"No esta en Infor")</f>
        <v>CAN0074</v>
      </c>
      <c r="C3254" s="3" t="s">
        <v>350</v>
      </c>
      <c r="D3254" s="4">
        <v>-2282.2600000000002</v>
      </c>
      <c r="E3254" s="6"/>
      <c r="F3254" s="3">
        <v>0</v>
      </c>
      <c r="G3254" s="3">
        <v>0</v>
      </c>
      <c r="H3254" s="3">
        <v>0</v>
      </c>
      <c r="I3254" s="3">
        <v>0</v>
      </c>
      <c r="J3254" s="18">
        <f t="shared" si="10"/>
        <v>-2282.2600000000002</v>
      </c>
    </row>
    <row r="3255" spans="1:10" ht="15.75" x14ac:dyDescent="0.25">
      <c r="A3255" s="21">
        <v>45596</v>
      </c>
      <c r="B3255" t="str">
        <f>IFERROR(IF(VLOOKUP(C3255,Hoja1!$B$1:$C$6191,2,0)="",_xlfn.XLOOKUP(C3255,Hoja1!$B$2:$B$6191,Hoja1!$A$2:$A$6191),VLOOKUP(C3255,Hoja1!$B$1:$C$6191,2,0)),"No esta en Infor")</f>
        <v>NAC1449</v>
      </c>
      <c r="C3255" s="3" t="s">
        <v>706</v>
      </c>
      <c r="D3255" s="4">
        <v>14911.15</v>
      </c>
      <c r="E3255" s="6"/>
      <c r="F3255" s="3">
        <v>0</v>
      </c>
      <c r="G3255" s="3">
        <v>0</v>
      </c>
      <c r="H3255" s="3">
        <v>0</v>
      </c>
      <c r="I3255" s="3">
        <v>0</v>
      </c>
      <c r="J3255" s="18">
        <f t="shared" si="10"/>
        <v>14911.15</v>
      </c>
    </row>
    <row r="3256" spans="1:10" ht="15.75" x14ac:dyDescent="0.25">
      <c r="A3256" s="21">
        <v>45596</v>
      </c>
      <c r="B3256" t="str">
        <f>IFERROR(IF(VLOOKUP(C3256,Hoja1!$B$1:$C$6191,2,0)="",_xlfn.XLOOKUP(C3256,Hoja1!$B$2:$B$6191,Hoja1!$A$2:$A$6191),VLOOKUP(C3256,Hoja1!$B$1:$C$6191,2,0)),"No esta en Infor")</f>
        <v>NAC1472</v>
      </c>
      <c r="C3256" s="3" t="s">
        <v>647</v>
      </c>
      <c r="D3256" s="4">
        <v>12528.5</v>
      </c>
      <c r="E3256" s="6"/>
      <c r="F3256" s="3">
        <v>0</v>
      </c>
      <c r="G3256" s="3">
        <v>0</v>
      </c>
      <c r="H3256" s="3">
        <v>0</v>
      </c>
      <c r="I3256" s="3">
        <v>0</v>
      </c>
      <c r="J3256" s="18">
        <f t="shared" si="10"/>
        <v>12528.5</v>
      </c>
    </row>
    <row r="3257" spans="1:10" ht="15.75" x14ac:dyDescent="0.25">
      <c r="A3257" s="21">
        <v>45596</v>
      </c>
      <c r="B3257" t="str">
        <f>IFERROR(IF(VLOOKUP(C3257,Hoja1!$B$1:$C$6191,2,0)="",_xlfn.XLOOKUP(C3257,Hoja1!$B$2:$B$6191,Hoja1!$A$2:$A$6191),VLOOKUP(C3257,Hoja1!$B$1:$C$6191,2,0)),"No esta en Infor")</f>
        <v>NAC1473</v>
      </c>
      <c r="C3257" s="3" t="s">
        <v>532</v>
      </c>
      <c r="D3257" s="4">
        <v>11000</v>
      </c>
      <c r="E3257" s="6"/>
      <c r="F3257" s="3">
        <v>0</v>
      </c>
      <c r="G3257" s="3">
        <v>0</v>
      </c>
      <c r="H3257" s="3">
        <v>0</v>
      </c>
      <c r="I3257" s="3">
        <v>0</v>
      </c>
      <c r="J3257" s="18">
        <f t="shared" si="10"/>
        <v>11000</v>
      </c>
    </row>
    <row r="3258" spans="1:10" ht="15.75" x14ac:dyDescent="0.25">
      <c r="A3258" s="21">
        <v>45596</v>
      </c>
      <c r="B3258" t="str">
        <f>IFERROR(IF(VLOOKUP(C3258,Hoja1!$B$1:$C$6191,2,0)="",_xlfn.XLOOKUP(C3258,Hoja1!$B$2:$B$6191,Hoja1!$A$2:$A$6191),VLOOKUP(C3258,Hoja1!$B$1:$C$6191,2,0)),"No esta en Infor")</f>
        <v>CAN0080</v>
      </c>
      <c r="C3258" s="3" t="s">
        <v>533</v>
      </c>
      <c r="D3258" s="3">
        <v>0</v>
      </c>
      <c r="E3258" s="6"/>
      <c r="F3258" s="3">
        <v>0</v>
      </c>
      <c r="G3258" s="3">
        <v>-93.6</v>
      </c>
      <c r="H3258" s="3">
        <v>0</v>
      </c>
      <c r="I3258" s="3">
        <v>0</v>
      </c>
      <c r="J3258" s="18">
        <f t="shared" si="10"/>
        <v>-93.6</v>
      </c>
    </row>
    <row r="3259" spans="1:10" ht="15.75" x14ac:dyDescent="0.25">
      <c r="A3259" s="21">
        <v>45596</v>
      </c>
      <c r="B3259" t="str">
        <f>IFERROR(IF(VLOOKUP(C3259,Hoja1!$B$1:$C$6191,2,0)="",_xlfn.XLOOKUP(C3259,Hoja1!$B$2:$B$6191,Hoja1!$A$2:$A$6191),VLOOKUP(C3259,Hoja1!$B$1:$C$6191,2,0)),"No esta en Infor")</f>
        <v>SH03080</v>
      </c>
      <c r="C3259" s="3" t="s">
        <v>771</v>
      </c>
      <c r="D3259" s="3">
        <v>-212.1</v>
      </c>
      <c r="E3259" s="6"/>
      <c r="F3259" s="3">
        <v>0</v>
      </c>
      <c r="G3259" s="3">
        <v>0</v>
      </c>
      <c r="H3259" s="3">
        <v>0</v>
      </c>
      <c r="I3259" s="3">
        <v>0</v>
      </c>
      <c r="J3259" s="18">
        <f t="shared" si="10"/>
        <v>-212.1</v>
      </c>
    </row>
    <row r="3260" spans="1:10" ht="15.75" x14ac:dyDescent="0.25">
      <c r="A3260" s="21">
        <v>45596</v>
      </c>
      <c r="B3260" t="str">
        <f>IFERROR(IF(VLOOKUP(C3260,Hoja1!$B$1:$C$6191,2,0)="",_xlfn.XLOOKUP(C3260,Hoja1!$B$2:$B$6191,Hoja1!$A$2:$A$6191),VLOOKUP(C3260,Hoja1!$B$1:$C$6191,2,0)),"No esta en Infor")</f>
        <v>NAC1483</v>
      </c>
      <c r="C3260" s="3" t="s">
        <v>357</v>
      </c>
      <c r="D3260" s="3">
        <v>990</v>
      </c>
      <c r="E3260" s="6"/>
      <c r="F3260" s="3">
        <v>0</v>
      </c>
      <c r="G3260" s="3">
        <v>0</v>
      </c>
      <c r="H3260" s="3">
        <v>0</v>
      </c>
      <c r="I3260" s="3">
        <v>0</v>
      </c>
      <c r="J3260" s="18">
        <f t="shared" si="10"/>
        <v>990</v>
      </c>
    </row>
    <row r="3261" spans="1:10" ht="15.75" x14ac:dyDescent="0.25">
      <c r="A3261" s="21">
        <v>45596</v>
      </c>
      <c r="B3261" t="str">
        <f>IFERROR(IF(VLOOKUP(C3261,Hoja1!$B$1:$C$6191,2,0)="",_xlfn.XLOOKUP(C3261,Hoja1!$B$2:$B$6191,Hoja1!$A$2:$A$6191),VLOOKUP(C3261,Hoja1!$B$1:$C$6191,2,0)),"No esta en Infor")</f>
        <v>NAC1642</v>
      </c>
      <c r="C3261" s="3" t="s">
        <v>772</v>
      </c>
      <c r="D3261" s="4">
        <v>2310</v>
      </c>
      <c r="E3261" s="6"/>
      <c r="F3261" s="3">
        <v>0</v>
      </c>
      <c r="G3261" s="3">
        <v>0</v>
      </c>
      <c r="H3261" s="3">
        <v>0</v>
      </c>
      <c r="I3261" s="3">
        <v>0</v>
      </c>
      <c r="J3261" s="18">
        <f t="shared" si="10"/>
        <v>2310</v>
      </c>
    </row>
    <row r="3262" spans="1:10" ht="15.75" x14ac:dyDescent="0.25">
      <c r="A3262" s="21">
        <v>45596</v>
      </c>
      <c r="B3262" t="str">
        <f>IFERROR(IF(VLOOKUP(C3262,Hoja1!$B$1:$C$6191,2,0)="",_xlfn.XLOOKUP(C3262,Hoja1!$B$2:$B$6191,Hoja1!$A$2:$A$6191),VLOOKUP(C3262,Hoja1!$B$1:$C$6191,2,0)),"No esta en Infor")</f>
        <v>CAN0081</v>
      </c>
      <c r="C3262" s="3" t="s">
        <v>431</v>
      </c>
      <c r="D3262" s="4">
        <v>5760.87</v>
      </c>
      <c r="E3262" s="6"/>
      <c r="F3262" s="3">
        <v>-585</v>
      </c>
      <c r="G3262" s="3">
        <v>0</v>
      </c>
      <c r="H3262" s="3">
        <v>0</v>
      </c>
      <c r="I3262" s="3">
        <v>0</v>
      </c>
      <c r="J3262" s="18">
        <f t="shared" si="10"/>
        <v>5175.87</v>
      </c>
    </row>
    <row r="3263" spans="1:10" ht="15.75" x14ac:dyDescent="0.25">
      <c r="A3263" s="21">
        <v>45596</v>
      </c>
      <c r="B3263" t="str">
        <f>IFERROR(IF(VLOOKUP(C3263,Hoja1!$B$1:$C$6191,2,0)="",_xlfn.XLOOKUP(C3263,Hoja1!$B$2:$B$6191,Hoja1!$A$2:$A$6191),VLOOKUP(C3263,Hoja1!$B$1:$C$6191,2,0)),"No esta en Infor")</f>
        <v>NAC1504</v>
      </c>
      <c r="C3263" s="3" t="s">
        <v>363</v>
      </c>
      <c r="D3263" s="3">
        <v>-0.1</v>
      </c>
      <c r="E3263" s="6"/>
      <c r="F3263" s="3">
        <v>0</v>
      </c>
      <c r="G3263" s="3">
        <v>0</v>
      </c>
      <c r="H3263" s="3">
        <v>0</v>
      </c>
      <c r="I3263" s="3">
        <v>0</v>
      </c>
      <c r="J3263" s="18">
        <f t="shared" si="10"/>
        <v>-0.1</v>
      </c>
    </row>
    <row r="3264" spans="1:10" ht="15.75" x14ac:dyDescent="0.25">
      <c r="A3264" s="21">
        <v>45596</v>
      </c>
      <c r="B3264" t="str">
        <f>IFERROR(IF(VLOOKUP(C3264,Hoja1!$B$1:$C$6191,2,0)="",_xlfn.XLOOKUP(C3264,Hoja1!$B$2:$B$6191,Hoja1!$A$2:$A$6191),VLOOKUP(C3264,Hoja1!$B$1:$C$6191,2,0)),"No esta en Infor")</f>
        <v>NAC1505</v>
      </c>
      <c r="C3264" s="3" t="s">
        <v>773</v>
      </c>
      <c r="D3264" s="3">
        <v>882.53</v>
      </c>
      <c r="E3264" s="6"/>
      <c r="F3264" s="3">
        <v>0</v>
      </c>
      <c r="G3264" s="3">
        <v>0</v>
      </c>
      <c r="H3264" s="3">
        <v>0</v>
      </c>
      <c r="I3264" s="3">
        <v>0</v>
      </c>
      <c r="J3264" s="18">
        <f t="shared" si="10"/>
        <v>882.53</v>
      </c>
    </row>
    <row r="3265" spans="1:10" ht="15.75" x14ac:dyDescent="0.25">
      <c r="A3265" s="21">
        <v>45596</v>
      </c>
      <c r="B3265" t="str">
        <f>IFERROR(IF(VLOOKUP(C3265,Hoja1!$B$1:$C$6191,2,0)="",_xlfn.XLOOKUP(C3265,Hoja1!$B$2:$B$6191,Hoja1!$A$2:$A$6191),VLOOKUP(C3265,Hoja1!$B$1:$C$6191,2,0)),"No esta en Infor")</f>
        <v>NAC1506</v>
      </c>
      <c r="C3265" s="3" t="s">
        <v>364</v>
      </c>
      <c r="D3265" s="3">
        <v>457</v>
      </c>
      <c r="E3265" s="6"/>
      <c r="F3265" s="3">
        <v>0</v>
      </c>
      <c r="G3265" s="3">
        <v>0</v>
      </c>
      <c r="H3265" s="3">
        <v>0</v>
      </c>
      <c r="I3265" s="3">
        <v>0</v>
      </c>
      <c r="J3265" s="18">
        <f t="shared" si="10"/>
        <v>457</v>
      </c>
    </row>
    <row r="3266" spans="1:10" ht="15.75" x14ac:dyDescent="0.25">
      <c r="A3266" s="21">
        <v>45596</v>
      </c>
      <c r="B3266" t="str">
        <f>IFERROR(IF(VLOOKUP(C3266,Hoja1!$B$1:$C$6191,2,0)="",_xlfn.XLOOKUP(C3266,Hoja1!$B$2:$B$6191,Hoja1!$A$2:$A$6191),VLOOKUP(C3266,Hoja1!$B$1:$C$6191,2,0)),"No esta en Infor")</f>
        <v>NAC1514</v>
      </c>
      <c r="C3266" s="3" t="s">
        <v>774</v>
      </c>
      <c r="D3266" s="4">
        <v>3246.04</v>
      </c>
      <c r="E3266" s="6"/>
      <c r="F3266" s="3">
        <v>0</v>
      </c>
      <c r="G3266" s="3">
        <v>0</v>
      </c>
      <c r="H3266" s="3">
        <v>0</v>
      </c>
      <c r="I3266" s="3">
        <v>0</v>
      </c>
      <c r="J3266" s="18">
        <f t="shared" si="10"/>
        <v>3246.04</v>
      </c>
    </row>
    <row r="3267" spans="1:10" ht="15.75" x14ac:dyDescent="0.25">
      <c r="A3267" s="21">
        <v>45596</v>
      </c>
      <c r="B3267" t="str">
        <f>IFERROR(IF(VLOOKUP(C3267,Hoja1!$B$1:$C$6191,2,0)="",_xlfn.XLOOKUP(C3267,Hoja1!$B$2:$B$6191,Hoja1!$A$2:$A$6191),VLOOKUP(C3267,Hoja1!$B$1:$C$6191,2,0)),"No esta en Infor")</f>
        <v>NAC1517</v>
      </c>
      <c r="C3267" s="3" t="s">
        <v>365</v>
      </c>
      <c r="D3267" s="4">
        <v>40222.379999999997</v>
      </c>
      <c r="E3267" s="6"/>
      <c r="F3267" s="4">
        <v>-1009.37</v>
      </c>
      <c r="G3267" s="3">
        <v>-408.8</v>
      </c>
      <c r="H3267" s="3">
        <v>-194.5</v>
      </c>
      <c r="I3267" s="3">
        <v>-307.39999999999998</v>
      </c>
      <c r="J3267" s="18">
        <f t="shared" si="10"/>
        <v>38302.30999999999</v>
      </c>
    </row>
    <row r="3268" spans="1:10" ht="15.75" x14ac:dyDescent="0.25">
      <c r="A3268" s="21">
        <v>45596</v>
      </c>
      <c r="B3268" t="str">
        <f>IFERROR(IF(VLOOKUP(C3268,Hoja1!$B$1:$C$6191,2,0)="",_xlfn.XLOOKUP(C3268,Hoja1!$B$2:$B$6191,Hoja1!$A$2:$A$6191),VLOOKUP(C3268,Hoja1!$B$1:$C$6191,2,0)),"No esta en Infor")</f>
        <v>NAC1521</v>
      </c>
      <c r="C3268" s="3" t="s">
        <v>593</v>
      </c>
      <c r="D3268" s="3">
        <v>0</v>
      </c>
      <c r="E3268" s="6"/>
      <c r="F3268" s="3">
        <v>-100</v>
      </c>
      <c r="G3268" s="3">
        <v>0</v>
      </c>
      <c r="H3268" s="3">
        <v>0</v>
      </c>
      <c r="I3268" s="3">
        <v>0</v>
      </c>
      <c r="J3268" s="18">
        <f t="shared" si="10"/>
        <v>-100</v>
      </c>
    </row>
    <row r="3269" spans="1:10" ht="15.75" x14ac:dyDescent="0.25">
      <c r="A3269" s="21">
        <v>45596</v>
      </c>
      <c r="B3269" t="str">
        <f>IFERROR(IF(VLOOKUP(C3269,Hoja1!$B$1:$C$6191,2,0)="",_xlfn.XLOOKUP(C3269,Hoja1!$B$2:$B$6191,Hoja1!$A$2:$A$6191),VLOOKUP(C3269,Hoja1!$B$1:$C$6191,2,0)),"No esta en Infor")</f>
        <v>CAN0088</v>
      </c>
      <c r="C3269" s="3" t="s">
        <v>369</v>
      </c>
      <c r="D3269" s="4">
        <v>2377.0500000000002</v>
      </c>
      <c r="E3269" s="6"/>
      <c r="F3269" s="3">
        <v>0</v>
      </c>
      <c r="G3269" s="3">
        <v>0</v>
      </c>
      <c r="H3269" s="3">
        <v>-891</v>
      </c>
      <c r="I3269" s="3">
        <v>0</v>
      </c>
      <c r="J3269" s="18">
        <f t="shared" si="10"/>
        <v>1486.0500000000002</v>
      </c>
    </row>
    <row r="3270" spans="1:10" ht="15.75" x14ac:dyDescent="0.25">
      <c r="A3270" s="21">
        <v>45596</v>
      </c>
      <c r="B3270" t="str">
        <f>IFERROR(IF(VLOOKUP(C3270,Hoja1!$B$1:$C$6191,2,0)="",_xlfn.XLOOKUP(C3270,Hoja1!$B$2:$B$6191,Hoja1!$A$2:$A$6191),VLOOKUP(C3270,Hoja1!$B$1:$C$6191,2,0)),"No esta en Infor")</f>
        <v>NAC1530</v>
      </c>
      <c r="C3270" s="3" t="s">
        <v>611</v>
      </c>
      <c r="D3270" s="3">
        <v>-0.01</v>
      </c>
      <c r="E3270" s="6"/>
      <c r="F3270" s="3">
        <v>0</v>
      </c>
      <c r="G3270" s="3">
        <v>0</v>
      </c>
      <c r="H3270" s="3">
        <v>0</v>
      </c>
      <c r="I3270" s="3">
        <v>0</v>
      </c>
      <c r="J3270" s="18">
        <f t="shared" si="10"/>
        <v>-0.01</v>
      </c>
    </row>
    <row r="3271" spans="1:10" ht="15.75" x14ac:dyDescent="0.25">
      <c r="A3271" s="21">
        <v>45596</v>
      </c>
      <c r="B3271" t="str">
        <f>IFERROR(IF(VLOOKUP(C3271,Hoja1!$B$1:$C$6191,2,0)="",_xlfn.XLOOKUP(C3271,Hoja1!$B$2:$B$6191,Hoja1!$A$2:$A$6191),VLOOKUP(C3271,Hoja1!$B$1:$C$6191,2,0)),"No esta en Infor")</f>
        <v>NAC1533</v>
      </c>
      <c r="C3271" s="3" t="s">
        <v>483</v>
      </c>
      <c r="D3271" s="3">
        <v>177.69</v>
      </c>
      <c r="E3271" s="6"/>
      <c r="F3271" s="3">
        <v>0</v>
      </c>
      <c r="G3271" s="3">
        <v>0</v>
      </c>
      <c r="H3271" s="3">
        <v>0</v>
      </c>
      <c r="I3271" s="3">
        <v>0</v>
      </c>
      <c r="J3271" s="18">
        <f t="shared" si="10"/>
        <v>177.69</v>
      </c>
    </row>
    <row r="3272" spans="1:10" ht="15.75" x14ac:dyDescent="0.25">
      <c r="A3272" s="21">
        <v>45596</v>
      </c>
      <c r="B3272" t="str">
        <f>IFERROR(IF(VLOOKUP(C3272,Hoja1!$B$1:$C$6191,2,0)="",_xlfn.XLOOKUP(C3272,Hoja1!$B$2:$B$6191,Hoja1!$A$2:$A$6191),VLOOKUP(C3272,Hoja1!$B$1:$C$6191,2,0)),"No esta en Infor")</f>
        <v>NAC1539</v>
      </c>
      <c r="C3272" s="3" t="s">
        <v>58</v>
      </c>
      <c r="D3272" s="4">
        <v>76879.88</v>
      </c>
      <c r="E3272" s="6"/>
      <c r="F3272" s="3">
        <v>0</v>
      </c>
      <c r="G3272" s="3">
        <v>0</v>
      </c>
      <c r="H3272" s="3">
        <v>0</v>
      </c>
      <c r="I3272" s="3">
        <v>0</v>
      </c>
      <c r="J3272" s="18">
        <f t="shared" si="10"/>
        <v>76879.88</v>
      </c>
    </row>
    <row r="3273" spans="1:10" ht="15.75" x14ac:dyDescent="0.25">
      <c r="A3273" s="21">
        <v>45626</v>
      </c>
      <c r="B3273" t="str">
        <f>IFERROR(IF(VLOOKUP(C3273,Hoja1!$B$1:$C$6191,2,0)="",_xlfn.XLOOKUP(C3273,Hoja1!$B$2:$B$6191,Hoja1!$A$2:$A$6191),VLOOKUP(C3273,Hoja1!$B$1:$C$6191,2,0)),"No esta en Infor")</f>
        <v>NAC0476</v>
      </c>
      <c r="C3273" s="1" t="s">
        <v>11</v>
      </c>
      <c r="D3273" s="2">
        <v>144947.97</v>
      </c>
      <c r="E3273" s="3"/>
      <c r="F3273" s="1">
        <v>324.08</v>
      </c>
      <c r="G3273" s="2">
        <v>2700</v>
      </c>
      <c r="H3273" s="1">
        <v>0</v>
      </c>
      <c r="I3273" s="1">
        <v>-345.39</v>
      </c>
      <c r="J3273" s="18">
        <f t="shared" si="10"/>
        <v>147626.65999999997</v>
      </c>
    </row>
    <row r="3274" spans="1:10" ht="15.75" x14ac:dyDescent="0.25">
      <c r="A3274" s="21">
        <v>45626</v>
      </c>
      <c r="B3274" t="str">
        <f>IFERROR(IF(VLOOKUP(C3274,Hoja1!$B$1:$C$6191,2,0)="",_xlfn.XLOOKUP(C3274,Hoja1!$B$2:$B$6191,Hoja1!$A$2:$A$6191),VLOOKUP(C3274,Hoja1!$B$1:$C$6191,2,0)),"No esta en Infor")</f>
        <v>NAC0483</v>
      </c>
      <c r="C3274" s="1" t="s">
        <v>12</v>
      </c>
      <c r="D3274" s="1">
        <v>-96.77</v>
      </c>
      <c r="E3274" s="3"/>
      <c r="F3274" s="1">
        <v>-50.06</v>
      </c>
      <c r="G3274" s="1">
        <v>0</v>
      </c>
      <c r="H3274" s="1">
        <v>0</v>
      </c>
      <c r="I3274" s="1">
        <v>474.11</v>
      </c>
      <c r="J3274" s="18">
        <f t="shared" si="10"/>
        <v>327.28000000000003</v>
      </c>
    </row>
    <row r="3275" spans="1:10" ht="15.75" x14ac:dyDescent="0.25">
      <c r="A3275" s="21">
        <v>45626</v>
      </c>
      <c r="B3275" t="str">
        <f>IFERROR(IF(VLOOKUP(C3275,Hoja1!$B$1:$C$6191,2,0)="",_xlfn.XLOOKUP(C3275,Hoja1!$B$2:$B$6191,Hoja1!$A$2:$A$6191),VLOOKUP(C3275,Hoja1!$B$1:$C$6191,2,0)),"No esta en Infor")</f>
        <v>NAC0573</v>
      </c>
      <c r="C3275" s="1" t="s">
        <v>15</v>
      </c>
      <c r="D3275" s="2">
        <v>37481.199999999997</v>
      </c>
      <c r="E3275" s="3"/>
      <c r="F3275" s="1">
        <v>81.5</v>
      </c>
      <c r="G3275" s="1">
        <v>0</v>
      </c>
      <c r="H3275" s="1">
        <v>0</v>
      </c>
      <c r="I3275" s="1">
        <v>283.5</v>
      </c>
      <c r="J3275" s="18">
        <f t="shared" si="10"/>
        <v>37846.199999999997</v>
      </c>
    </row>
    <row r="3276" spans="1:10" ht="15.75" x14ac:dyDescent="0.25">
      <c r="A3276" s="21">
        <v>45626</v>
      </c>
      <c r="B3276" t="str">
        <f>IFERROR(IF(VLOOKUP(C3276,Hoja1!$B$1:$C$6191,2,0)="",_xlfn.XLOOKUP(C3276,Hoja1!$B$2:$B$6191,Hoja1!$A$2:$A$6191),VLOOKUP(C3276,Hoja1!$B$1:$C$6191,2,0)),"No esta en Infor")</f>
        <v>CAN0006</v>
      </c>
      <c r="C3276" s="1" t="s">
        <v>17</v>
      </c>
      <c r="D3276" s="2">
        <v>27730.5</v>
      </c>
      <c r="E3276" s="3"/>
      <c r="F3276" s="1">
        <v>893.02</v>
      </c>
      <c r="G3276" s="1">
        <v>0</v>
      </c>
      <c r="H3276" s="2">
        <v>-1036.68</v>
      </c>
      <c r="I3276" s="1">
        <v>0</v>
      </c>
      <c r="J3276" s="18">
        <f t="shared" si="10"/>
        <v>27586.84</v>
      </c>
    </row>
    <row r="3277" spans="1:10" ht="15.75" x14ac:dyDescent="0.25">
      <c r="A3277" s="21">
        <v>45626</v>
      </c>
      <c r="B3277" t="str">
        <f>IFERROR(IF(VLOOKUP(C3277,Hoja1!$B$1:$C$6191,2,0)="",_xlfn.XLOOKUP(C3277,Hoja1!$B$2:$B$6191,Hoja1!$A$2:$A$6191),VLOOKUP(C3277,Hoja1!$B$1:$C$6191,2,0)),"No esta en Infor")</f>
        <v>NAC0618</v>
      </c>
      <c r="C3277" s="1" t="s">
        <v>488</v>
      </c>
      <c r="D3277" s="1">
        <v>0</v>
      </c>
      <c r="E3277" s="3"/>
      <c r="F3277" s="1">
        <v>0</v>
      </c>
      <c r="G3277" s="1">
        <v>120.02</v>
      </c>
      <c r="H3277" s="1">
        <v>0</v>
      </c>
      <c r="I3277" s="1">
        <v>0</v>
      </c>
      <c r="J3277" s="18">
        <f t="shared" si="10"/>
        <v>120.02</v>
      </c>
    </row>
    <row r="3278" spans="1:10" ht="15.75" x14ac:dyDescent="0.25">
      <c r="A3278" s="21">
        <v>45626</v>
      </c>
      <c r="B3278" t="str">
        <f>IFERROR(IF(VLOOKUP(C3278,Hoja1!$B$1:$C$6191,2,0)="",_xlfn.XLOOKUP(C3278,Hoja1!$B$2:$B$6191,Hoja1!$A$2:$A$6191),VLOOKUP(C3278,Hoja1!$B$1:$C$6191,2,0)),"No esta en Infor")</f>
        <v>CAN0011</v>
      </c>
      <c r="C3278" s="1" t="s">
        <v>121</v>
      </c>
      <c r="D3278" s="2">
        <v>7484.17</v>
      </c>
      <c r="E3278" s="3"/>
      <c r="F3278" s="1">
        <v>0</v>
      </c>
      <c r="G3278" s="2">
        <v>2709.74</v>
      </c>
      <c r="H3278" s="1">
        <v>381.94</v>
      </c>
      <c r="I3278" s="1">
        <v>0</v>
      </c>
      <c r="J3278" s="18">
        <f t="shared" si="10"/>
        <v>10575.85</v>
      </c>
    </row>
    <row r="3279" spans="1:10" ht="15.75" x14ac:dyDescent="0.25">
      <c r="A3279" s="21">
        <v>45626</v>
      </c>
      <c r="B3279" t="str">
        <f>IFERROR(IF(VLOOKUP(C3279,Hoja1!$B$1:$C$6191,2,0)="",_xlfn.XLOOKUP(C3279,Hoja1!$B$2:$B$6191,Hoja1!$A$2:$A$6191),VLOOKUP(C3279,Hoja1!$B$1:$C$6191,2,0)),"No esta en Infor")</f>
        <v>NAC0673</v>
      </c>
      <c r="C3279" s="1" t="s">
        <v>390</v>
      </c>
      <c r="D3279" s="1">
        <v>0</v>
      </c>
      <c r="E3279" s="3"/>
      <c r="F3279" s="1">
        <v>0</v>
      </c>
      <c r="G3279" s="1">
        <v>32.729999999999997</v>
      </c>
      <c r="H3279" s="1">
        <v>0</v>
      </c>
      <c r="I3279" s="1">
        <v>0</v>
      </c>
      <c r="J3279" s="18">
        <f t="shared" si="10"/>
        <v>32.729999999999997</v>
      </c>
    </row>
    <row r="3280" spans="1:10" ht="15.75" x14ac:dyDescent="0.25">
      <c r="A3280" s="21">
        <v>45626</v>
      </c>
      <c r="B3280" t="str">
        <f>IFERROR(IF(VLOOKUP(C3280,Hoja1!$B$1:$C$6191,2,0)="",_xlfn.XLOOKUP(C3280,Hoja1!$B$2:$B$6191,Hoja1!$A$2:$A$6191),VLOOKUP(C3280,Hoja1!$B$1:$C$6191,2,0)),"No esta en Infor")</f>
        <v>NAC0729</v>
      </c>
      <c r="C3280" s="1" t="s">
        <v>148</v>
      </c>
      <c r="D3280" s="1">
        <v>0</v>
      </c>
      <c r="E3280" s="3"/>
      <c r="F3280" s="1">
        <v>0</v>
      </c>
      <c r="G3280" s="1">
        <v>0</v>
      </c>
      <c r="H3280" s="1">
        <v>316</v>
      </c>
      <c r="I3280" s="1">
        <v>0</v>
      </c>
      <c r="J3280" s="18">
        <f t="shared" si="10"/>
        <v>316</v>
      </c>
    </row>
    <row r="3281" spans="1:10" ht="15.75" x14ac:dyDescent="0.25">
      <c r="A3281" s="21">
        <v>45626</v>
      </c>
      <c r="B3281" t="str">
        <f>IFERROR(IF(VLOOKUP(C3281,Hoja1!$B$1:$C$6191,2,0)="",_xlfn.XLOOKUP(C3281,Hoja1!$B$2:$B$6191,Hoja1!$A$2:$A$6191),VLOOKUP(C3281,Hoja1!$B$1:$C$6191,2,0)),"No esta en Infor")</f>
        <v>NAC0782</v>
      </c>
      <c r="C3281" s="1" t="s">
        <v>496</v>
      </c>
      <c r="D3281" s="1">
        <v>0</v>
      </c>
      <c r="E3281" s="3"/>
      <c r="F3281" s="1">
        <v>84</v>
      </c>
      <c r="G3281" s="1">
        <v>0</v>
      </c>
      <c r="H3281" s="1">
        <v>0</v>
      </c>
      <c r="I3281" s="1">
        <v>0</v>
      </c>
      <c r="J3281" s="18">
        <f t="shared" si="10"/>
        <v>84</v>
      </c>
    </row>
    <row r="3282" spans="1:10" ht="15.75" x14ac:dyDescent="0.25">
      <c r="A3282" s="21">
        <v>45626</v>
      </c>
      <c r="B3282" t="str">
        <f>IFERROR(IF(VLOOKUP(C3282,Hoja1!$B$1:$C$6191,2,0)="",_xlfn.XLOOKUP(C3282,Hoja1!$B$2:$B$6191,Hoja1!$A$2:$A$6191),VLOOKUP(C3282,Hoja1!$B$1:$C$6191,2,0)),"No esta en Infor")</f>
        <v>CAN0018</v>
      </c>
      <c r="C3282" s="1" t="s">
        <v>21</v>
      </c>
      <c r="D3282" s="2">
        <v>2065.31</v>
      </c>
      <c r="E3282" s="3"/>
      <c r="F3282" s="2">
        <v>21936.91</v>
      </c>
      <c r="G3282" s="2">
        <v>17809.47</v>
      </c>
      <c r="H3282" s="1">
        <v>0</v>
      </c>
      <c r="I3282" s="2">
        <v>3809.19</v>
      </c>
      <c r="J3282" s="18">
        <f t="shared" si="10"/>
        <v>45620.880000000005</v>
      </c>
    </row>
    <row r="3283" spans="1:10" ht="15.75" x14ac:dyDescent="0.25">
      <c r="A3283" s="21">
        <v>45626</v>
      </c>
      <c r="B3283" t="str">
        <f>IFERROR(IF(VLOOKUP(C3283,Hoja1!$B$1:$C$6191,2,0)="",_xlfn.XLOOKUP(C3283,Hoja1!$B$2:$B$6191,Hoja1!$A$2:$A$6191),VLOOKUP(C3283,Hoja1!$B$1:$C$6191,2,0)),"No esta en Infor")</f>
        <v>NAC0823</v>
      </c>
      <c r="C3283" s="1" t="s">
        <v>497</v>
      </c>
      <c r="D3283" s="1">
        <v>0</v>
      </c>
      <c r="E3283" s="3"/>
      <c r="F3283" s="1">
        <v>0</v>
      </c>
      <c r="G3283" s="1">
        <v>64.489999999999995</v>
      </c>
      <c r="H3283" s="1">
        <v>0</v>
      </c>
      <c r="I3283" s="1">
        <v>0</v>
      </c>
      <c r="J3283" s="18">
        <f t="shared" si="10"/>
        <v>64.489999999999995</v>
      </c>
    </row>
    <row r="3284" spans="1:10" ht="15.75" x14ac:dyDescent="0.25">
      <c r="A3284" s="21">
        <v>45626</v>
      </c>
      <c r="B3284" t="str">
        <f>IFERROR(IF(VLOOKUP(C3284,Hoja1!$B$1:$C$6191,2,0)="",_xlfn.XLOOKUP(C3284,Hoja1!$B$2:$B$6191,Hoja1!$A$2:$A$6191),VLOOKUP(C3284,Hoja1!$B$1:$C$6191,2,0)),"No esta en Infor")</f>
        <v>NAC0838</v>
      </c>
      <c r="C3284" s="1" t="s">
        <v>396</v>
      </c>
      <c r="D3284" s="1">
        <v>0</v>
      </c>
      <c r="E3284" s="3"/>
      <c r="F3284" s="1">
        <v>0</v>
      </c>
      <c r="G3284" s="1">
        <v>0</v>
      </c>
      <c r="H3284" s="1">
        <v>54</v>
      </c>
      <c r="I3284" s="1">
        <v>0</v>
      </c>
      <c r="J3284" s="18">
        <f t="shared" si="10"/>
        <v>54</v>
      </c>
    </row>
    <row r="3285" spans="1:10" ht="15.75" x14ac:dyDescent="0.25">
      <c r="A3285" s="21">
        <v>45626</v>
      </c>
      <c r="B3285" t="str">
        <f>IFERROR(IF(VLOOKUP(C3285,Hoja1!$B$1:$C$6191,2,0)="",_xlfn.XLOOKUP(C3285,Hoja1!$B$2:$B$6191,Hoja1!$A$2:$A$6191),VLOOKUP(C3285,Hoja1!$B$1:$C$6191,2,0)),"No esta en Infor")</f>
        <v>NAC0862</v>
      </c>
      <c r="C3285" s="1" t="s">
        <v>190</v>
      </c>
      <c r="D3285" s="2">
        <v>2305.9</v>
      </c>
      <c r="E3285" s="3"/>
      <c r="F3285" s="1">
        <v>0</v>
      </c>
      <c r="G3285" s="1">
        <v>96.3</v>
      </c>
      <c r="H3285" s="1">
        <v>0</v>
      </c>
      <c r="I3285" s="1">
        <v>0</v>
      </c>
      <c r="J3285" s="18">
        <f t="shared" si="10"/>
        <v>2402.2000000000003</v>
      </c>
    </row>
    <row r="3286" spans="1:10" ht="15.75" x14ac:dyDescent="0.25">
      <c r="A3286" s="21">
        <v>45626</v>
      </c>
      <c r="B3286" t="str">
        <f>IFERROR(IF(VLOOKUP(C3286,Hoja1!$B$1:$C$6191,2,0)="",_xlfn.XLOOKUP(C3286,Hoja1!$B$2:$B$6191,Hoja1!$A$2:$A$6191),VLOOKUP(C3286,Hoja1!$B$1:$C$6191,2,0)),"No esta en Infor")</f>
        <v>NAC0869</v>
      </c>
      <c r="C3286" s="1" t="s">
        <v>192</v>
      </c>
      <c r="D3286" s="1">
        <v>0</v>
      </c>
      <c r="E3286" s="3"/>
      <c r="F3286" s="1">
        <v>-0.4</v>
      </c>
      <c r="G3286" s="1">
        <v>243.5</v>
      </c>
      <c r="H3286" s="1">
        <v>289.39999999999998</v>
      </c>
      <c r="I3286" s="1">
        <v>0</v>
      </c>
      <c r="J3286" s="18">
        <f t="shared" si="10"/>
        <v>532.5</v>
      </c>
    </row>
    <row r="3287" spans="1:10" ht="15.75" x14ac:dyDescent="0.25">
      <c r="A3287" s="21">
        <v>45626</v>
      </c>
      <c r="B3287" t="str">
        <f>IFERROR(IF(VLOOKUP(C3287,Hoja1!$B$1:$C$6191,2,0)="",_xlfn.XLOOKUP(C3287,Hoja1!$B$2:$B$6191,Hoja1!$A$2:$A$6191),VLOOKUP(C3287,Hoja1!$B$1:$C$6191,2,0)),"No esta en Infor")</f>
        <v>NAC0900</v>
      </c>
      <c r="C3287" s="1" t="s">
        <v>201</v>
      </c>
      <c r="D3287" s="1">
        <v>435</v>
      </c>
      <c r="E3287" s="3"/>
      <c r="F3287" s="1">
        <v>942.53</v>
      </c>
      <c r="G3287" s="1">
        <v>857.75</v>
      </c>
      <c r="H3287" s="1">
        <v>0</v>
      </c>
      <c r="I3287" s="1">
        <v>0</v>
      </c>
      <c r="J3287" s="18">
        <f t="shared" si="10"/>
        <v>2235.2799999999997</v>
      </c>
    </row>
    <row r="3288" spans="1:10" ht="15.75" x14ac:dyDescent="0.25">
      <c r="A3288" s="21">
        <v>45626</v>
      </c>
      <c r="B3288" t="str">
        <f>IFERROR(IF(VLOOKUP(C3288,Hoja1!$B$1:$C$6191,2,0)="",_xlfn.XLOOKUP(C3288,Hoja1!$B$2:$B$6191,Hoja1!$A$2:$A$6191),VLOOKUP(C3288,Hoja1!$B$1:$C$6191,2,0)),"No esta en Infor")</f>
        <v>CAN0023</v>
      </c>
      <c r="C3288" s="1" t="s">
        <v>554</v>
      </c>
      <c r="D3288" s="1">
        <v>0</v>
      </c>
      <c r="E3288" s="3"/>
      <c r="F3288" s="1">
        <v>0</v>
      </c>
      <c r="G3288" s="1">
        <v>508.5</v>
      </c>
      <c r="H3288" s="1">
        <v>0</v>
      </c>
      <c r="I3288" s="1">
        <v>0</v>
      </c>
      <c r="J3288" s="18">
        <f t="shared" si="10"/>
        <v>508.5</v>
      </c>
    </row>
    <row r="3289" spans="1:10" ht="15.75" x14ac:dyDescent="0.25">
      <c r="A3289" s="21">
        <v>45626</v>
      </c>
      <c r="B3289" t="str">
        <f>IFERROR(IF(VLOOKUP(C3289,Hoja1!$B$1:$C$6191,2,0)="",_xlfn.XLOOKUP(C3289,Hoja1!$B$2:$B$6191,Hoja1!$A$2:$A$6191),VLOOKUP(C3289,Hoja1!$B$1:$C$6191,2,0)),"No esta en Infor")</f>
        <v>NAC0914</v>
      </c>
      <c r="C3289" s="1" t="s">
        <v>202</v>
      </c>
      <c r="D3289" s="2">
        <v>2896.3</v>
      </c>
      <c r="E3289" s="3"/>
      <c r="F3289" s="1">
        <v>0</v>
      </c>
      <c r="G3289" s="1">
        <v>354.79</v>
      </c>
      <c r="H3289" s="1">
        <v>0</v>
      </c>
      <c r="I3289" s="1">
        <v>0</v>
      </c>
      <c r="J3289" s="18">
        <f t="shared" si="10"/>
        <v>3251.09</v>
      </c>
    </row>
    <row r="3290" spans="1:10" ht="15.75" x14ac:dyDescent="0.25">
      <c r="A3290" s="21">
        <v>45626</v>
      </c>
      <c r="B3290" t="str">
        <f>IFERROR(IF(VLOOKUP(C3290,Hoja1!$B$1:$C$6191,2,0)="",_xlfn.XLOOKUP(C3290,Hoja1!$B$2:$B$6191,Hoja1!$A$2:$A$6191),VLOOKUP(C3290,Hoja1!$B$1:$C$6191,2,0)),"No esta en Infor")</f>
        <v>CAN0025</v>
      </c>
      <c r="C3290" s="1" t="s">
        <v>26</v>
      </c>
      <c r="D3290" s="2">
        <v>35040.17</v>
      </c>
      <c r="E3290" s="3"/>
      <c r="F3290" s="1">
        <v>0</v>
      </c>
      <c r="G3290" s="2">
        <v>3757.41</v>
      </c>
      <c r="H3290" s="1">
        <v>0</v>
      </c>
      <c r="I3290" s="1">
        <v>161.44999999999999</v>
      </c>
      <c r="J3290" s="18">
        <f t="shared" si="10"/>
        <v>38959.03</v>
      </c>
    </row>
    <row r="3291" spans="1:10" ht="15.75" x14ac:dyDescent="0.25">
      <c r="A3291" s="21">
        <v>45626</v>
      </c>
      <c r="B3291" t="str">
        <f>IFERROR(IF(VLOOKUP(C3291,Hoja1!$B$1:$C$6191,2,0)="",_xlfn.XLOOKUP(C3291,Hoja1!$B$2:$B$6191,Hoja1!$A$2:$A$6191),VLOOKUP(C3291,Hoja1!$B$1:$C$6191,2,0)),"No esta en Infor")</f>
        <v>NAC0924</v>
      </c>
      <c r="C3291" s="1" t="s">
        <v>205</v>
      </c>
      <c r="D3291" s="2">
        <v>34110</v>
      </c>
      <c r="E3291" s="3"/>
      <c r="F3291" s="1">
        <v>0</v>
      </c>
      <c r="G3291" s="1">
        <v>336.28</v>
      </c>
      <c r="H3291" s="1">
        <v>0</v>
      </c>
      <c r="I3291" s="1">
        <v>0</v>
      </c>
      <c r="J3291" s="18">
        <f t="shared" si="10"/>
        <v>34446.28</v>
      </c>
    </row>
    <row r="3292" spans="1:10" ht="15.75" x14ac:dyDescent="0.25">
      <c r="A3292" s="21">
        <v>45626</v>
      </c>
      <c r="B3292" t="str">
        <f>IFERROR(IF(VLOOKUP(C3292,Hoja1!$B$1:$C$6191,2,0)="",_xlfn.XLOOKUP(C3292,Hoja1!$B$2:$B$6191,Hoja1!$A$2:$A$6191),VLOOKUP(C3292,Hoja1!$B$1:$C$6191,2,0)),"No esta en Infor")</f>
        <v>CAN0030</v>
      </c>
      <c r="C3292" s="1" t="s">
        <v>210</v>
      </c>
      <c r="D3292" s="2">
        <v>10144.24</v>
      </c>
      <c r="E3292" s="3"/>
      <c r="F3292" s="1">
        <v>0</v>
      </c>
      <c r="G3292" s="2">
        <v>8855.2800000000007</v>
      </c>
      <c r="H3292" s="1">
        <v>0</v>
      </c>
      <c r="I3292" s="1">
        <v>0</v>
      </c>
      <c r="J3292" s="18">
        <f t="shared" si="10"/>
        <v>18999.52</v>
      </c>
    </row>
    <row r="3293" spans="1:10" ht="15.75" x14ac:dyDescent="0.25">
      <c r="A3293" s="21">
        <v>45626</v>
      </c>
      <c r="B3293" t="str">
        <f>IFERROR(IF(VLOOKUP(C3293,Hoja1!$B$1:$C$6191,2,0)="",_xlfn.XLOOKUP(C3293,Hoja1!$B$2:$B$6191,Hoja1!$A$2:$A$6191),VLOOKUP(C3293,Hoja1!$B$1:$C$6191,2,0)),"No esta en Infor")</f>
        <v>NAC0972</v>
      </c>
      <c r="C3293" s="1" t="s">
        <v>221</v>
      </c>
      <c r="D3293" s="2">
        <v>2277.15</v>
      </c>
      <c r="E3293" s="3"/>
      <c r="F3293" s="1">
        <v>0</v>
      </c>
      <c r="G3293" s="1">
        <v>0</v>
      </c>
      <c r="H3293" s="1">
        <v>217.86</v>
      </c>
      <c r="I3293" s="1">
        <v>0</v>
      </c>
      <c r="J3293" s="18">
        <f t="shared" si="10"/>
        <v>2495.0100000000002</v>
      </c>
    </row>
    <row r="3294" spans="1:10" ht="15.75" x14ac:dyDescent="0.25">
      <c r="A3294" s="21">
        <v>45626</v>
      </c>
      <c r="B3294" t="str">
        <f>IFERROR(IF(VLOOKUP(C3294,Hoja1!$B$1:$C$6191,2,0)="",_xlfn.XLOOKUP(C3294,Hoja1!$B$2:$B$6191,Hoja1!$A$2:$A$6191),VLOOKUP(C3294,Hoja1!$B$1:$C$6191,2,0)),"No esta en Infor")</f>
        <v>NAC0988</v>
      </c>
      <c r="C3294" s="1" t="s">
        <v>29</v>
      </c>
      <c r="D3294" s="2">
        <v>272124.75</v>
      </c>
      <c r="E3294" s="3"/>
      <c r="F3294" s="1">
        <v>106</v>
      </c>
      <c r="G3294" s="1">
        <v>0</v>
      </c>
      <c r="H3294" s="1">
        <v>0</v>
      </c>
      <c r="I3294" s="2">
        <v>8840</v>
      </c>
      <c r="J3294" s="18">
        <f t="shared" si="10"/>
        <v>281070.75</v>
      </c>
    </row>
    <row r="3295" spans="1:10" ht="15.75" x14ac:dyDescent="0.25">
      <c r="A3295" s="21">
        <v>45626</v>
      </c>
      <c r="B3295" t="str">
        <f>IFERROR(IF(VLOOKUP(C3295,Hoja1!$B$1:$C$6191,2,0)="",_xlfn.XLOOKUP(C3295,Hoja1!$B$2:$B$6191,Hoja1!$A$2:$A$6191),VLOOKUP(C3295,Hoja1!$B$1:$C$6191,2,0)),"No esta en Infor")</f>
        <v>NAC1040</v>
      </c>
      <c r="C3295" s="1" t="s">
        <v>30</v>
      </c>
      <c r="D3295" s="2">
        <v>378876.15</v>
      </c>
      <c r="E3295" s="3"/>
      <c r="F3295" s="1">
        <v>370.66</v>
      </c>
      <c r="G3295" s="2">
        <v>25803.17</v>
      </c>
      <c r="H3295" s="2">
        <v>-18891.47</v>
      </c>
      <c r="I3295" s="1">
        <v>-646.72</v>
      </c>
      <c r="J3295" s="18">
        <f t="shared" si="10"/>
        <v>385511.79000000004</v>
      </c>
    </row>
    <row r="3296" spans="1:10" ht="15.75" x14ac:dyDescent="0.25">
      <c r="A3296" s="21">
        <v>45626</v>
      </c>
      <c r="B3296" t="str">
        <f>IFERROR(IF(VLOOKUP(C3296,Hoja1!$B$1:$C$6191,2,0)="",_xlfn.XLOOKUP(C3296,Hoja1!$B$2:$B$6191,Hoja1!$A$2:$A$6191),VLOOKUP(C3296,Hoja1!$B$1:$C$6191,2,0)),"No esta en Infor")</f>
        <v>CAN0035</v>
      </c>
      <c r="C3296" s="1" t="s">
        <v>31</v>
      </c>
      <c r="D3296" s="2">
        <v>5684.46</v>
      </c>
      <c r="E3296" s="3"/>
      <c r="F3296" s="1">
        <v>0</v>
      </c>
      <c r="G3296" s="1">
        <v>0</v>
      </c>
      <c r="H3296" s="1">
        <v>0</v>
      </c>
      <c r="I3296" s="1">
        <v>374.36</v>
      </c>
      <c r="J3296" s="18">
        <f t="shared" si="10"/>
        <v>6058.82</v>
      </c>
    </row>
    <row r="3297" spans="1:10" ht="15.75" x14ac:dyDescent="0.25">
      <c r="A3297" s="21">
        <v>45626</v>
      </c>
      <c r="B3297" t="str">
        <f>IFERROR(IF(VLOOKUP(C3297,Hoja1!$B$1:$C$6191,2,0)="",_xlfn.XLOOKUP(C3297,Hoja1!$B$2:$B$6191,Hoja1!$A$2:$A$6191),VLOOKUP(C3297,Hoja1!$B$1:$C$6191,2,0)),"No esta en Infor")</f>
        <v>NAC1105</v>
      </c>
      <c r="C3297" s="1" t="s">
        <v>32</v>
      </c>
      <c r="D3297" s="2">
        <v>1820.87</v>
      </c>
      <c r="E3297" s="3"/>
      <c r="F3297" s="1">
        <v>-155.25</v>
      </c>
      <c r="G3297" s="1">
        <v>0</v>
      </c>
      <c r="H3297" s="1">
        <v>874.48</v>
      </c>
      <c r="I3297" s="2">
        <v>2016.02</v>
      </c>
      <c r="J3297" s="18">
        <f t="shared" si="10"/>
        <v>4556.12</v>
      </c>
    </row>
    <row r="3298" spans="1:10" ht="15.75" x14ac:dyDescent="0.25">
      <c r="A3298" s="21">
        <v>45626</v>
      </c>
      <c r="B3298" t="str">
        <f>IFERROR(IF(VLOOKUP(C3298,Hoja1!$B$1:$C$6191,2,0)="",_xlfn.XLOOKUP(C3298,Hoja1!$B$2:$B$6191,Hoja1!$A$2:$A$6191),VLOOKUP(C3298,Hoja1!$B$1:$C$6191,2,0)),"No esta en Infor")</f>
        <v>NAC1108</v>
      </c>
      <c r="C3298" s="1" t="s">
        <v>468</v>
      </c>
      <c r="D3298" s="2">
        <v>1848.43</v>
      </c>
      <c r="E3298" s="3"/>
      <c r="F3298" s="1">
        <v>0</v>
      </c>
      <c r="G3298" s="1">
        <v>194.84</v>
      </c>
      <c r="H3298" s="1">
        <v>0</v>
      </c>
      <c r="I3298" s="1">
        <v>0</v>
      </c>
      <c r="J3298" s="18">
        <f t="shared" si="10"/>
        <v>2043.27</v>
      </c>
    </row>
    <row r="3299" spans="1:10" ht="15.75" x14ac:dyDescent="0.25">
      <c r="A3299" s="21">
        <v>45626</v>
      </c>
      <c r="B3299" t="str">
        <f>IFERROR(IF(VLOOKUP(C3299,Hoja1!$B$1:$C$6191,2,0)="",_xlfn.XLOOKUP(C3299,Hoja1!$B$2:$B$6191,Hoja1!$A$2:$A$6191),VLOOKUP(C3299,Hoja1!$B$1:$C$6191,2,0)),"No esta en Infor")</f>
        <v>NAC1611</v>
      </c>
      <c r="C3299" s="1" t="s">
        <v>565</v>
      </c>
      <c r="D3299" s="2">
        <v>8478.2000000000007</v>
      </c>
      <c r="E3299" s="3"/>
      <c r="F3299" s="2">
        <v>22927.040000000001</v>
      </c>
      <c r="G3299" s="2">
        <v>15056.7</v>
      </c>
      <c r="H3299" s="1">
        <v>0</v>
      </c>
      <c r="I3299" s="1">
        <v>-184</v>
      </c>
      <c r="J3299" s="18">
        <f t="shared" si="10"/>
        <v>46277.94</v>
      </c>
    </row>
    <row r="3300" spans="1:10" ht="15.75" x14ac:dyDescent="0.25">
      <c r="A3300" s="21">
        <v>45626</v>
      </c>
      <c r="B3300" t="str">
        <f>IFERROR(IF(VLOOKUP(C3300,Hoja1!$B$1:$C$6191,2,0)="",_xlfn.XLOOKUP(C3300,Hoja1!$B$2:$B$6191,Hoja1!$A$2:$A$6191),VLOOKUP(C3300,Hoja1!$B$1:$C$6191,2,0)),"No esta en Infor")</f>
        <v>NAC1144</v>
      </c>
      <c r="C3300" s="1" t="s">
        <v>411</v>
      </c>
      <c r="D3300" s="1">
        <v>0</v>
      </c>
      <c r="E3300" s="3"/>
      <c r="F3300" s="1">
        <v>0</v>
      </c>
      <c r="G3300" s="1">
        <v>29.71</v>
      </c>
      <c r="H3300" s="1">
        <v>0</v>
      </c>
      <c r="I3300" s="1">
        <v>0</v>
      </c>
      <c r="J3300" s="18">
        <f t="shared" ref="J3300:J3363" si="11">SUM(D3300:I3300)</f>
        <v>29.71</v>
      </c>
    </row>
    <row r="3301" spans="1:10" ht="15.75" x14ac:dyDescent="0.25">
      <c r="A3301" s="21">
        <v>45626</v>
      </c>
      <c r="B3301" t="str">
        <f>IFERROR(IF(VLOOKUP(C3301,Hoja1!$B$1:$C$6191,2,0)="",_xlfn.XLOOKUP(C3301,Hoja1!$B$2:$B$6191,Hoja1!$A$2:$A$6191),VLOOKUP(C3301,Hoja1!$B$1:$C$6191,2,0)),"No esta en Infor")</f>
        <v>NAC1146</v>
      </c>
      <c r="C3301" s="1" t="s">
        <v>33</v>
      </c>
      <c r="D3301" s="2">
        <v>28281.84</v>
      </c>
      <c r="E3301" s="3"/>
      <c r="F3301" s="1">
        <v>0</v>
      </c>
      <c r="G3301" s="1">
        <v>0</v>
      </c>
      <c r="H3301" s="1">
        <v>0</v>
      </c>
      <c r="I3301" s="2">
        <v>1638.58</v>
      </c>
      <c r="J3301" s="18">
        <f t="shared" si="11"/>
        <v>29920.42</v>
      </c>
    </row>
    <row r="3302" spans="1:10" ht="15.75" x14ac:dyDescent="0.25">
      <c r="A3302" s="21">
        <v>45626</v>
      </c>
      <c r="B3302" t="str">
        <f>IFERROR(IF(VLOOKUP(C3302,Hoja1!$B$1:$C$6191,2,0)="",_xlfn.XLOOKUP(C3302,Hoja1!$B$2:$B$6191,Hoja1!$A$2:$A$6191),VLOOKUP(C3302,Hoja1!$B$1:$C$6191,2,0)),"No esta en Infor")</f>
        <v>NAC1187</v>
      </c>
      <c r="C3302" s="1" t="s">
        <v>471</v>
      </c>
      <c r="D3302" s="1">
        <v>731.5</v>
      </c>
      <c r="E3302" s="3"/>
      <c r="F3302" s="1">
        <v>0</v>
      </c>
      <c r="G3302" s="1">
        <v>882</v>
      </c>
      <c r="H3302" s="1">
        <v>0</v>
      </c>
      <c r="I3302" s="1">
        <v>0</v>
      </c>
      <c r="J3302" s="18">
        <f t="shared" si="11"/>
        <v>1613.5</v>
      </c>
    </row>
    <row r="3303" spans="1:10" ht="15.75" x14ac:dyDescent="0.25">
      <c r="A3303" s="21">
        <v>45626</v>
      </c>
      <c r="B3303" t="str">
        <f>IFERROR(IF(VLOOKUP(C3303,Hoja1!$B$1:$C$6191,2,0)="",_xlfn.XLOOKUP(C3303,Hoja1!$B$2:$B$6191,Hoja1!$A$2:$A$6191),VLOOKUP(C3303,Hoja1!$B$1:$C$6191,2,0)),"No esta en Infor")</f>
        <v>CAN0044</v>
      </c>
      <c r="C3303" s="1" t="s">
        <v>35</v>
      </c>
      <c r="D3303" s="1">
        <v>0</v>
      </c>
      <c r="E3303" s="3"/>
      <c r="F3303" s="1">
        <v>0</v>
      </c>
      <c r="G3303" s="1">
        <v>0</v>
      </c>
      <c r="H3303" s="1">
        <v>81.36</v>
      </c>
      <c r="I3303" s="1">
        <v>755.04</v>
      </c>
      <c r="J3303" s="18">
        <f t="shared" si="11"/>
        <v>836.4</v>
      </c>
    </row>
    <row r="3304" spans="1:10" ht="15.75" x14ac:dyDescent="0.25">
      <c r="A3304" s="21">
        <v>45626</v>
      </c>
      <c r="B3304" t="str">
        <f>IFERROR(IF(VLOOKUP(C3304,Hoja1!$B$1:$C$6191,2,0)="",_xlfn.XLOOKUP(C3304,Hoja1!$B$2:$B$6191,Hoja1!$A$2:$A$6191),VLOOKUP(C3304,Hoja1!$B$1:$C$6191,2,0)),"No esta en Infor")</f>
        <v>NAC1200</v>
      </c>
      <c r="C3304" s="1" t="s">
        <v>473</v>
      </c>
      <c r="D3304" s="1">
        <v>397.36</v>
      </c>
      <c r="E3304" s="3"/>
      <c r="F3304" s="1">
        <v>0</v>
      </c>
      <c r="G3304" s="1">
        <v>24.37</v>
      </c>
      <c r="H3304" s="1">
        <v>0</v>
      </c>
      <c r="I3304" s="1">
        <v>0</v>
      </c>
      <c r="J3304" s="18">
        <f t="shared" si="11"/>
        <v>421.73</v>
      </c>
    </row>
    <row r="3305" spans="1:10" ht="15.75" x14ac:dyDescent="0.25">
      <c r="A3305" s="21">
        <v>45626</v>
      </c>
      <c r="B3305" t="str">
        <f>IFERROR(IF(VLOOKUP(C3305,Hoja1!$B$1:$C$6191,2,0)="",_xlfn.XLOOKUP(C3305,Hoja1!$B$2:$B$6191,Hoja1!$A$2:$A$6191),VLOOKUP(C3305,Hoja1!$B$1:$C$6191,2,0)),"No esta en Infor")</f>
        <v>NAC1207</v>
      </c>
      <c r="C3305" s="1" t="s">
        <v>417</v>
      </c>
      <c r="D3305" s="1">
        <v>0</v>
      </c>
      <c r="E3305" s="3"/>
      <c r="F3305" s="2">
        <v>1505.05</v>
      </c>
      <c r="G3305" s="1">
        <v>0</v>
      </c>
      <c r="H3305" s="1">
        <v>0</v>
      </c>
      <c r="I3305" s="1">
        <v>0</v>
      </c>
      <c r="J3305" s="18">
        <f t="shared" si="11"/>
        <v>1505.05</v>
      </c>
    </row>
    <row r="3306" spans="1:10" ht="15.75" x14ac:dyDescent="0.25">
      <c r="A3306" s="21">
        <v>45626</v>
      </c>
      <c r="B3306" t="str">
        <f>IFERROR(IF(VLOOKUP(C3306,Hoja1!$B$1:$C$6191,2,0)="",_xlfn.XLOOKUP(C3306,Hoja1!$B$2:$B$6191,Hoja1!$A$2:$A$6191),VLOOKUP(C3306,Hoja1!$B$1:$C$6191,2,0)),"No esta en Infor")</f>
        <v>NAC1216</v>
      </c>
      <c r="C3306" s="1" t="s">
        <v>287</v>
      </c>
      <c r="D3306" s="1">
        <v>0</v>
      </c>
      <c r="E3306" s="3"/>
      <c r="F3306" s="1">
        <v>32.979999999999997</v>
      </c>
      <c r="G3306" s="1">
        <v>0</v>
      </c>
      <c r="H3306" s="1">
        <v>0</v>
      </c>
      <c r="I3306" s="1">
        <v>0</v>
      </c>
      <c r="J3306" s="18">
        <f t="shared" si="11"/>
        <v>32.979999999999997</v>
      </c>
    </row>
    <row r="3307" spans="1:10" ht="15.75" x14ac:dyDescent="0.25">
      <c r="A3307" s="21">
        <v>45626</v>
      </c>
      <c r="B3307" t="str">
        <f>IFERROR(IF(VLOOKUP(C3307,Hoja1!$B$1:$C$6191,2,0)="",_xlfn.XLOOKUP(C3307,Hoja1!$B$2:$B$6191,Hoja1!$A$2:$A$6191),VLOOKUP(C3307,Hoja1!$B$1:$C$6191,2,0)),"No esta en Infor")</f>
        <v>NAC1228</v>
      </c>
      <c r="C3307" s="1" t="s">
        <v>569</v>
      </c>
      <c r="D3307" s="1">
        <v>435.74</v>
      </c>
      <c r="E3307" s="3"/>
      <c r="F3307" s="2">
        <v>11254.59</v>
      </c>
      <c r="G3307" s="1">
        <v>0</v>
      </c>
      <c r="H3307" s="1">
        <v>0</v>
      </c>
      <c r="I3307" s="1">
        <v>0</v>
      </c>
      <c r="J3307" s="18">
        <f t="shared" si="11"/>
        <v>11690.33</v>
      </c>
    </row>
    <row r="3308" spans="1:10" ht="15.75" x14ac:dyDescent="0.25">
      <c r="A3308" s="21">
        <v>45626</v>
      </c>
      <c r="B3308" t="str">
        <f>IFERROR(IF(VLOOKUP(C3308,Hoja1!$B$1:$C$6191,2,0)="",_xlfn.XLOOKUP(C3308,Hoja1!$B$2:$B$6191,Hoja1!$A$2:$A$6191),VLOOKUP(C3308,Hoja1!$B$1:$C$6191,2,0)),"No esta en Infor")</f>
        <v>CAN0054</v>
      </c>
      <c r="C3308" s="1" t="s">
        <v>36</v>
      </c>
      <c r="D3308" s="2">
        <v>15529.08</v>
      </c>
      <c r="E3308" s="3"/>
      <c r="F3308" s="1">
        <v>0</v>
      </c>
      <c r="G3308" s="1">
        <v>0</v>
      </c>
      <c r="H3308" s="1">
        <v>448.61</v>
      </c>
      <c r="I3308" s="1">
        <v>620.91999999999996</v>
      </c>
      <c r="J3308" s="18">
        <f t="shared" si="11"/>
        <v>16598.61</v>
      </c>
    </row>
    <row r="3309" spans="1:10" ht="15.75" x14ac:dyDescent="0.25">
      <c r="A3309" s="21">
        <v>45626</v>
      </c>
      <c r="B3309" t="str">
        <f>IFERROR(IF(VLOOKUP(C3309,Hoja1!$B$1:$C$6191,2,0)="",_xlfn.XLOOKUP(C3309,Hoja1!$B$2:$B$6191,Hoja1!$A$2:$A$6191),VLOOKUP(C3309,Hoja1!$B$1:$C$6191,2,0)),"No esta en Infor")</f>
        <v>NAC1281</v>
      </c>
      <c r="C3309" s="1" t="s">
        <v>37</v>
      </c>
      <c r="D3309" s="2">
        <v>8030.13</v>
      </c>
      <c r="E3309" s="3"/>
      <c r="F3309" s="1">
        <v>761.26</v>
      </c>
      <c r="G3309" s="2">
        <v>1184.42</v>
      </c>
      <c r="H3309" s="2">
        <v>2441.2800000000002</v>
      </c>
      <c r="I3309" s="2">
        <v>7097.61</v>
      </c>
      <c r="J3309" s="18">
        <f t="shared" si="11"/>
        <v>19514.7</v>
      </c>
    </row>
    <row r="3310" spans="1:10" ht="15.75" x14ac:dyDescent="0.25">
      <c r="A3310" s="21">
        <v>45626</v>
      </c>
      <c r="B3310" t="str">
        <f>IFERROR(IF(VLOOKUP(C3310,Hoja1!$B$1:$C$6191,2,0)="",_xlfn.XLOOKUP(C3310,Hoja1!$B$2:$B$6191,Hoja1!$A$2:$A$6191),VLOOKUP(C3310,Hoja1!$B$1:$C$6191,2,0)),"No esta en Infor")</f>
        <v>NAC1323</v>
      </c>
      <c r="C3310" s="1" t="s">
        <v>49</v>
      </c>
      <c r="D3310" s="2">
        <v>643683.30000000005</v>
      </c>
      <c r="E3310" s="3"/>
      <c r="F3310" s="2">
        <v>2870.1</v>
      </c>
      <c r="G3310" s="2">
        <v>23788.28</v>
      </c>
      <c r="H3310" s="2">
        <v>22151.85</v>
      </c>
      <c r="I3310" s="1">
        <v>0</v>
      </c>
      <c r="J3310" s="18">
        <f t="shared" si="11"/>
        <v>692493.53</v>
      </c>
    </row>
    <row r="3311" spans="1:10" ht="15.75" x14ac:dyDescent="0.25">
      <c r="A3311" s="21">
        <v>45626</v>
      </c>
      <c r="B3311" t="str">
        <f>IFERROR(IF(VLOOKUP(C3311,Hoja1!$B$1:$C$6191,2,0)="",_xlfn.XLOOKUP(C3311,Hoja1!$B$2:$B$6191,Hoja1!$A$2:$A$6191),VLOOKUP(C3311,Hoja1!$B$1:$C$6191,2,0)),"No esta en Infor")</f>
        <v>NAC1327</v>
      </c>
      <c r="C3311" s="1" t="s">
        <v>50</v>
      </c>
      <c r="D3311" s="2">
        <v>95505.68</v>
      </c>
      <c r="E3311" s="3"/>
      <c r="F3311" s="2">
        <v>3655.85</v>
      </c>
      <c r="G3311" s="1">
        <v>155.4</v>
      </c>
      <c r="H3311" s="1">
        <v>-77.7</v>
      </c>
      <c r="I3311" s="1">
        <v>0</v>
      </c>
      <c r="J3311" s="18">
        <f t="shared" si="11"/>
        <v>99239.23</v>
      </c>
    </row>
    <row r="3312" spans="1:10" ht="15.75" x14ac:dyDescent="0.25">
      <c r="A3312" s="21">
        <v>45626</v>
      </c>
      <c r="B3312" t="str">
        <f>IFERROR(IF(VLOOKUP(C3312,Hoja1!$B$1:$C$6191,2,0)="",_xlfn.XLOOKUP(C3312,Hoja1!$B$2:$B$6191,Hoja1!$A$2:$A$6191),VLOOKUP(C3312,Hoja1!$B$1:$C$6191,2,0)),"No esta en Infor")</f>
        <v>CAN0059</v>
      </c>
      <c r="C3312" s="1" t="s">
        <v>51</v>
      </c>
      <c r="D3312" s="1">
        <v>0</v>
      </c>
      <c r="E3312" s="3"/>
      <c r="F3312" s="1">
        <v>0</v>
      </c>
      <c r="G3312" s="1">
        <v>49.14</v>
      </c>
      <c r="H3312" s="1">
        <v>0</v>
      </c>
      <c r="I3312" s="1">
        <v>0</v>
      </c>
      <c r="J3312" s="18">
        <f t="shared" si="11"/>
        <v>49.14</v>
      </c>
    </row>
    <row r="3313" spans="1:10" ht="15.75" x14ac:dyDescent="0.25">
      <c r="A3313" s="21">
        <v>45626</v>
      </c>
      <c r="B3313" t="str">
        <f>IFERROR(IF(VLOOKUP(C3313,Hoja1!$B$1:$C$6191,2,0)="",_xlfn.XLOOKUP(C3313,Hoja1!$B$2:$B$6191,Hoja1!$A$2:$A$6191),VLOOKUP(C3313,Hoja1!$B$1:$C$6191,2,0)),"No esta en Infor")</f>
        <v>NAC1333</v>
      </c>
      <c r="C3313" s="1" t="s">
        <v>318</v>
      </c>
      <c r="D3313" s="2">
        <v>11519.9</v>
      </c>
      <c r="E3313" s="3"/>
      <c r="F3313" s="2">
        <v>3284</v>
      </c>
      <c r="G3313" s="1">
        <v>0</v>
      </c>
      <c r="H3313" s="1">
        <v>0</v>
      </c>
      <c r="I3313" s="1">
        <v>0</v>
      </c>
      <c r="J3313" s="18">
        <f t="shared" si="11"/>
        <v>14803.9</v>
      </c>
    </row>
    <row r="3314" spans="1:10" ht="15.75" x14ac:dyDescent="0.25">
      <c r="A3314" s="21">
        <v>45626</v>
      </c>
      <c r="B3314" t="str">
        <f>IFERROR(IF(VLOOKUP(C3314,Hoja1!$B$1:$C$6191,2,0)="",_xlfn.XLOOKUP(C3314,Hoja1!$B$2:$B$6191,Hoja1!$A$2:$A$6191),VLOOKUP(C3314,Hoja1!$B$1:$C$6191,2,0)),"No esta en Infor")</f>
        <v>CAN0069</v>
      </c>
      <c r="C3314" s="1" t="s">
        <v>340</v>
      </c>
      <c r="D3314" s="1">
        <v>264.31</v>
      </c>
      <c r="E3314" s="3"/>
      <c r="F3314" s="1">
        <v>0</v>
      </c>
      <c r="G3314" s="1">
        <v>0</v>
      </c>
      <c r="H3314" s="1">
        <v>0</v>
      </c>
      <c r="I3314" s="1">
        <v>540.15</v>
      </c>
      <c r="J3314" s="18">
        <f t="shared" si="11"/>
        <v>804.46</v>
      </c>
    </row>
    <row r="3315" spans="1:10" ht="15.75" x14ac:dyDescent="0.25">
      <c r="A3315" s="21">
        <v>45626</v>
      </c>
      <c r="B3315" t="str">
        <f>IFERROR(IF(VLOOKUP(C3315,Hoja1!$B$1:$C$6191,2,0)="",_xlfn.XLOOKUP(C3315,Hoja1!$B$2:$B$6191,Hoja1!$A$2:$A$6191),VLOOKUP(C3315,Hoja1!$B$1:$C$6191,2,0)),"No esta en Infor")</f>
        <v>NAC1448</v>
      </c>
      <c r="C3315" s="1" t="s">
        <v>9</v>
      </c>
      <c r="D3315" s="2">
        <v>8431.41</v>
      </c>
      <c r="E3315" s="3"/>
      <c r="F3315" s="2">
        <v>8890</v>
      </c>
      <c r="G3315" s="1">
        <v>0</v>
      </c>
      <c r="H3315" s="1">
        <v>300</v>
      </c>
      <c r="I3315" s="1">
        <v>0</v>
      </c>
      <c r="J3315" s="18">
        <f t="shared" si="11"/>
        <v>17621.41</v>
      </c>
    </row>
    <row r="3316" spans="1:10" ht="15.75" x14ac:dyDescent="0.25">
      <c r="A3316" s="21">
        <v>45626</v>
      </c>
      <c r="B3316" t="str">
        <f>IFERROR(IF(VLOOKUP(C3316,Hoja1!$B$1:$C$6191,2,0)="",_xlfn.XLOOKUP(C3316,Hoja1!$B$2:$B$6191,Hoja1!$A$2:$A$6191),VLOOKUP(C3316,Hoja1!$B$1:$C$6191,2,0)),"No esta en Infor")</f>
        <v>CAN0073</v>
      </c>
      <c r="C3316" s="1" t="s">
        <v>349</v>
      </c>
      <c r="D3316" s="2">
        <v>6392.64</v>
      </c>
      <c r="E3316" s="3"/>
      <c r="F3316" s="1">
        <v>82.11</v>
      </c>
      <c r="G3316" s="2">
        <v>1032.0899999999999</v>
      </c>
      <c r="H3316" s="1">
        <v>240.07</v>
      </c>
      <c r="I3316" s="1">
        <v>0</v>
      </c>
      <c r="J3316" s="18">
        <f t="shared" si="11"/>
        <v>7746.91</v>
      </c>
    </row>
    <row r="3317" spans="1:10" ht="15.75" x14ac:dyDescent="0.25">
      <c r="A3317" s="21">
        <v>45626</v>
      </c>
      <c r="B3317" t="str">
        <f>IFERROR(IF(VLOOKUP(C3317,Hoja1!$B$1:$C$6191,2,0)="",_xlfn.XLOOKUP(C3317,Hoja1!$B$2:$B$6191,Hoja1!$A$2:$A$6191),VLOOKUP(C3317,Hoja1!$B$1:$C$6191,2,0)),"No esta en Infor")</f>
        <v>CAN0074</v>
      </c>
      <c r="C3317" s="1" t="s">
        <v>350</v>
      </c>
      <c r="D3317" s="2">
        <v>-2515.36</v>
      </c>
      <c r="E3317" s="3"/>
      <c r="F3317" s="1">
        <v>233.1</v>
      </c>
      <c r="G3317" s="1">
        <v>0</v>
      </c>
      <c r="H3317" s="1">
        <v>0</v>
      </c>
      <c r="I3317" s="1">
        <v>0</v>
      </c>
      <c r="J3317" s="18">
        <f t="shared" si="11"/>
        <v>-2282.2600000000002</v>
      </c>
    </row>
    <row r="3318" spans="1:10" ht="15.75" x14ac:dyDescent="0.25">
      <c r="A3318" s="21">
        <v>45626</v>
      </c>
      <c r="B3318" t="str">
        <f>IFERROR(IF(VLOOKUP(C3318,Hoja1!$B$1:$C$6191,2,0)="",_xlfn.XLOOKUP(C3318,Hoja1!$B$2:$B$6191,Hoja1!$A$2:$A$6191),VLOOKUP(C3318,Hoja1!$B$1:$C$6191,2,0)),"No esta en Infor")</f>
        <v>NAC1449</v>
      </c>
      <c r="C3318" s="1" t="s">
        <v>706</v>
      </c>
      <c r="D3318" s="2">
        <v>14489.94</v>
      </c>
      <c r="E3318" s="3"/>
      <c r="F3318" s="1">
        <v>421.21</v>
      </c>
      <c r="G3318" s="1">
        <v>0</v>
      </c>
      <c r="H3318" s="1">
        <v>0</v>
      </c>
      <c r="I3318" s="1">
        <v>0</v>
      </c>
      <c r="J3318" s="18">
        <f t="shared" si="11"/>
        <v>14911.15</v>
      </c>
    </row>
    <row r="3319" spans="1:10" ht="15.75" x14ac:dyDescent="0.25">
      <c r="A3319" s="21">
        <v>45626</v>
      </c>
      <c r="B3319" t="str">
        <f>IFERROR(IF(VLOOKUP(C3319,Hoja1!$B$1:$C$6191,2,0)="",_xlfn.XLOOKUP(C3319,Hoja1!$B$2:$B$6191,Hoja1!$A$2:$A$6191),VLOOKUP(C3319,Hoja1!$B$1:$C$6191,2,0)),"No esta en Infor")</f>
        <v>NAC1450</v>
      </c>
      <c r="C3319" s="1" t="s">
        <v>54</v>
      </c>
      <c r="D3319" s="2">
        <v>9807.5</v>
      </c>
      <c r="E3319" s="3"/>
      <c r="F3319" s="1">
        <v>-19.47</v>
      </c>
      <c r="G3319" s="1">
        <v>0</v>
      </c>
      <c r="H3319" s="1">
        <v>12</v>
      </c>
      <c r="I3319" s="1">
        <v>108.75</v>
      </c>
      <c r="J3319" s="18">
        <f t="shared" si="11"/>
        <v>9908.7800000000007</v>
      </c>
    </row>
    <row r="3320" spans="1:10" ht="15.75" x14ac:dyDescent="0.25">
      <c r="A3320" s="21">
        <v>45626</v>
      </c>
      <c r="B3320" t="str">
        <f>IFERROR(IF(VLOOKUP(C3320,Hoja1!$B$1:$C$6191,2,0)="",_xlfn.XLOOKUP(C3320,Hoja1!$B$2:$B$6191,Hoja1!$A$2:$A$6191),VLOOKUP(C3320,Hoja1!$B$1:$C$6191,2,0)),"No esta en Infor")</f>
        <v>NAC1500</v>
      </c>
      <c r="C3320" s="1" t="s">
        <v>432</v>
      </c>
      <c r="D3320" s="1">
        <v>-0.06</v>
      </c>
      <c r="E3320" s="3"/>
      <c r="F3320" s="1">
        <v>0</v>
      </c>
      <c r="G3320" s="1">
        <v>51.8</v>
      </c>
      <c r="H3320" s="1">
        <v>0</v>
      </c>
      <c r="I3320" s="1">
        <v>0</v>
      </c>
      <c r="J3320" s="18">
        <f t="shared" si="11"/>
        <v>51.739999999999995</v>
      </c>
    </row>
    <row r="3321" spans="1:10" ht="15.75" x14ac:dyDescent="0.25">
      <c r="A3321" s="21">
        <v>45626</v>
      </c>
      <c r="B3321" t="str">
        <f>IFERROR(IF(VLOOKUP(C3321,Hoja1!$B$1:$C$6191,2,0)="",_xlfn.XLOOKUP(C3321,Hoja1!$B$2:$B$6191,Hoja1!$A$2:$A$6191),VLOOKUP(C3321,Hoja1!$B$1:$C$6191,2,0)),"No esta en Infor")</f>
        <v>NAC1512</v>
      </c>
      <c r="C3321" s="1" t="s">
        <v>56</v>
      </c>
      <c r="D3321" s="1">
        <v>0</v>
      </c>
      <c r="E3321" s="3"/>
      <c r="F3321" s="1">
        <v>0</v>
      </c>
      <c r="G3321" s="1">
        <v>0</v>
      </c>
      <c r="H3321" s="1">
        <v>0</v>
      </c>
      <c r="I3321" s="2">
        <v>12490</v>
      </c>
      <c r="J3321" s="18">
        <f t="shared" si="11"/>
        <v>12490</v>
      </c>
    </row>
    <row r="3322" spans="1:10" ht="15.75" x14ac:dyDescent="0.25">
      <c r="A3322" s="21">
        <v>45626</v>
      </c>
      <c r="B3322" t="str">
        <f>IFERROR(IF(VLOOKUP(C3322,Hoja1!$B$1:$C$6191,2,0)="",_xlfn.XLOOKUP(C3322,Hoja1!$B$2:$B$6191,Hoja1!$A$2:$A$6191),VLOOKUP(C3322,Hoja1!$B$1:$C$6191,2,0)),"No esta en Infor")</f>
        <v>CAN0087</v>
      </c>
      <c r="C3322" s="19" t="s">
        <v>1091</v>
      </c>
      <c r="D3322" s="1">
        <v>0</v>
      </c>
      <c r="E3322" s="3"/>
      <c r="F3322" s="2">
        <v>3483.79</v>
      </c>
      <c r="G3322" s="2">
        <v>-1160.8900000000001</v>
      </c>
      <c r="H3322" s="1">
        <v>0</v>
      </c>
      <c r="I3322" s="1">
        <v>0</v>
      </c>
      <c r="J3322" s="18">
        <f t="shared" si="11"/>
        <v>2322.8999999999996</v>
      </c>
    </row>
    <row r="3323" spans="1:10" ht="15.75" x14ac:dyDescent="0.25">
      <c r="A3323" s="21">
        <v>45626</v>
      </c>
      <c r="B3323" t="str">
        <f>IFERROR(IF(VLOOKUP(C3323,Hoja1!$B$1:$C$6191,2,0)="",_xlfn.XLOOKUP(C3323,Hoja1!$B$2:$B$6191,Hoja1!$A$2:$A$6191),VLOOKUP(C3323,Hoja1!$B$1:$C$6191,2,0)),"No esta en Infor")</f>
        <v>SH03278</v>
      </c>
      <c r="C3323" s="3" t="s">
        <v>857</v>
      </c>
      <c r="D3323" s="3">
        <v>11.3</v>
      </c>
      <c r="E3323" s="3"/>
      <c r="F3323" s="3">
        <v>0</v>
      </c>
      <c r="G3323" s="3">
        <v>0</v>
      </c>
      <c r="H3323" s="3">
        <v>0</v>
      </c>
      <c r="I3323" s="3">
        <v>0</v>
      </c>
      <c r="J3323" s="18">
        <f t="shared" si="11"/>
        <v>11.3</v>
      </c>
    </row>
    <row r="3324" spans="1:10" ht="15.75" x14ac:dyDescent="0.25">
      <c r="A3324" s="21">
        <v>45626</v>
      </c>
      <c r="B3324" t="str">
        <f>IFERROR(IF(VLOOKUP(C3324,Hoja1!$B$1:$C$6191,2,0)="",_xlfn.XLOOKUP(C3324,Hoja1!$B$2:$B$6191,Hoja1!$A$2:$A$6191),VLOOKUP(C3324,Hoja1!$B$1:$C$6191,2,0)),"No esta en Infor")</f>
        <v>NAC0456</v>
      </c>
      <c r="C3324" s="3" t="s">
        <v>10</v>
      </c>
      <c r="D3324" s="3">
        <v>108.38</v>
      </c>
      <c r="E3324" s="3"/>
      <c r="F3324" s="3">
        <v>-39.770000000000003</v>
      </c>
      <c r="G3324" s="3">
        <v>-42.12</v>
      </c>
      <c r="H3324" s="3">
        <v>0</v>
      </c>
      <c r="I3324" s="3">
        <v>0</v>
      </c>
      <c r="J3324" s="18">
        <f t="shared" si="11"/>
        <v>26.489999999999988</v>
      </c>
    </row>
    <row r="3325" spans="1:10" ht="15.75" x14ac:dyDescent="0.25">
      <c r="A3325" s="21">
        <v>45626</v>
      </c>
      <c r="B3325" t="str">
        <f>IFERROR(IF(VLOOKUP(C3325,Hoja1!$B$1:$C$6191,2,0)="",_xlfn.XLOOKUP(C3325,Hoja1!$B$2:$B$6191,Hoja1!$A$2:$A$6191),VLOOKUP(C3325,Hoja1!$B$1:$C$6191,2,0)),"No esta en Infor")</f>
        <v>NAC0459</v>
      </c>
      <c r="C3325" s="3" t="s">
        <v>435</v>
      </c>
      <c r="D3325" s="3">
        <v>285.58</v>
      </c>
      <c r="E3325" s="3"/>
      <c r="F3325" s="3">
        <v>0</v>
      </c>
      <c r="G3325" s="3">
        <v>0</v>
      </c>
      <c r="H3325" s="3">
        <v>0</v>
      </c>
      <c r="I3325" s="3">
        <v>0</v>
      </c>
      <c r="J3325" s="18">
        <f t="shared" si="11"/>
        <v>285.58</v>
      </c>
    </row>
    <row r="3326" spans="1:10" ht="15.75" x14ac:dyDescent="0.25">
      <c r="A3326" s="21">
        <v>45626</v>
      </c>
      <c r="B3326" t="str">
        <f>IFERROR(IF(VLOOKUP(C3326,Hoja1!$B$1:$C$6191,2,0)="",_xlfn.XLOOKUP(C3326,Hoja1!$B$2:$B$6191,Hoja1!$A$2:$A$6191),VLOOKUP(C3326,Hoja1!$B$1:$C$6191,2,0)),"No esta en Infor")</f>
        <v>NAC0461</v>
      </c>
      <c r="C3326" s="3" t="s">
        <v>59</v>
      </c>
      <c r="D3326" s="3">
        <v>203.66</v>
      </c>
      <c r="E3326" s="3"/>
      <c r="F3326" s="3">
        <v>0</v>
      </c>
      <c r="G3326" s="3">
        <v>0</v>
      </c>
      <c r="H3326" s="3">
        <v>0</v>
      </c>
      <c r="I3326" s="3">
        <v>0</v>
      </c>
      <c r="J3326" s="18">
        <f t="shared" si="11"/>
        <v>203.66</v>
      </c>
    </row>
    <row r="3327" spans="1:10" ht="15.75" x14ac:dyDescent="0.25">
      <c r="A3327" s="21">
        <v>45626</v>
      </c>
      <c r="B3327" t="str">
        <f>IFERROR(IF(VLOOKUP(C3327,Hoja1!$B$1:$C$6191,2,0)="",_xlfn.XLOOKUP(C3327,Hoja1!$B$2:$B$6191,Hoja1!$A$2:$A$6191),VLOOKUP(C3327,Hoja1!$B$1:$C$6191,2,0)),"No esta en Infor")</f>
        <v>NAC0470</v>
      </c>
      <c r="C3327" s="3" t="s">
        <v>62</v>
      </c>
      <c r="D3327" s="4">
        <v>2772.67</v>
      </c>
      <c r="E3327" s="3"/>
      <c r="F3327" s="3">
        <v>0</v>
      </c>
      <c r="G3327" s="3">
        <v>0</v>
      </c>
      <c r="H3327" s="3">
        <v>0</v>
      </c>
      <c r="I3327" s="3">
        <v>0</v>
      </c>
      <c r="J3327" s="18">
        <f t="shared" si="11"/>
        <v>2772.67</v>
      </c>
    </row>
    <row r="3328" spans="1:10" ht="15.75" x14ac:dyDescent="0.25">
      <c r="A3328" s="21">
        <v>45626</v>
      </c>
      <c r="B3328" t="str">
        <f>IFERROR(IF(VLOOKUP(C3328,Hoja1!$B$1:$C$6191,2,0)="",_xlfn.XLOOKUP(C3328,Hoja1!$B$2:$B$6191,Hoja1!$A$2:$A$6191),VLOOKUP(C3328,Hoja1!$B$1:$C$6191,2,0)),"No esta en Infor")</f>
        <v>NAC0474</v>
      </c>
      <c r="C3328" s="3" t="s">
        <v>375</v>
      </c>
      <c r="D3328" s="3">
        <v>-3</v>
      </c>
      <c r="E3328" s="3"/>
      <c r="F3328" s="3">
        <v>0</v>
      </c>
      <c r="G3328" s="3">
        <v>0</v>
      </c>
      <c r="H3328" s="3">
        <v>0</v>
      </c>
      <c r="I3328" s="3">
        <v>0</v>
      </c>
      <c r="J3328" s="18">
        <f t="shared" si="11"/>
        <v>-3</v>
      </c>
    </row>
    <row r="3329" spans="1:10" ht="15.75" x14ac:dyDescent="0.25">
      <c r="A3329" s="21">
        <v>45626</v>
      </c>
      <c r="B3329" t="str">
        <f>IFERROR(IF(VLOOKUP(C3329,Hoja1!$B$1:$C$6191,2,0)="",_xlfn.XLOOKUP(C3329,Hoja1!$B$2:$B$6191,Hoja1!$A$2:$A$6191),VLOOKUP(C3329,Hoja1!$B$1:$C$6191,2,0)),"No esta en Infor")</f>
        <v>NAC0475</v>
      </c>
      <c r="C3329" s="3" t="s">
        <v>63</v>
      </c>
      <c r="D3329" s="4">
        <v>1221.04</v>
      </c>
      <c r="E3329" s="3"/>
      <c r="F3329" s="3">
        <v>0</v>
      </c>
      <c r="G3329" s="3">
        <v>0</v>
      </c>
      <c r="H3329" s="3">
        <v>0</v>
      </c>
      <c r="I3329" s="3">
        <v>0</v>
      </c>
      <c r="J3329" s="18">
        <f t="shared" si="11"/>
        <v>1221.04</v>
      </c>
    </row>
    <row r="3330" spans="1:10" ht="15.75" x14ac:dyDescent="0.25">
      <c r="A3330" s="21">
        <v>45626</v>
      </c>
      <c r="B3330" t="str">
        <f>IFERROR(IF(VLOOKUP(C3330,Hoja1!$B$1:$C$6191,2,0)="",_xlfn.XLOOKUP(C3330,Hoja1!$B$2:$B$6191,Hoja1!$A$2:$A$6191),VLOOKUP(C3330,Hoja1!$B$1:$C$6191,2,0)),"No esta en Infor")</f>
        <v>CAN0001</v>
      </c>
      <c r="C3330" s="3" t="s">
        <v>64</v>
      </c>
      <c r="D3330" s="4">
        <v>14426.99</v>
      </c>
      <c r="E3330" s="3"/>
      <c r="F3330" s="3">
        <v>0</v>
      </c>
      <c r="G3330" s="3">
        <v>0</v>
      </c>
      <c r="H3330" s="3">
        <v>0</v>
      </c>
      <c r="I3330" s="3">
        <v>0</v>
      </c>
      <c r="J3330" s="18">
        <f t="shared" si="11"/>
        <v>14426.99</v>
      </c>
    </row>
    <row r="3331" spans="1:10" ht="15.75" x14ac:dyDescent="0.25">
      <c r="A3331" s="21">
        <v>45626</v>
      </c>
      <c r="B3331" t="str">
        <f>IFERROR(IF(VLOOKUP(C3331,Hoja1!$B$1:$C$6191,2,0)="",_xlfn.XLOOKUP(C3331,Hoja1!$B$2:$B$6191,Hoja1!$A$2:$A$6191),VLOOKUP(C3331,Hoja1!$B$1:$C$6191,2,0)),"No esta en Infor")</f>
        <v>SH03121</v>
      </c>
      <c r="C3331" s="3" t="s">
        <v>797</v>
      </c>
      <c r="D3331" s="3">
        <v>-57.86</v>
      </c>
      <c r="E3331" s="3"/>
      <c r="F3331" s="3">
        <v>0</v>
      </c>
      <c r="G3331" s="3">
        <v>0</v>
      </c>
      <c r="H3331" s="3">
        <v>0</v>
      </c>
      <c r="I3331" s="3">
        <v>0</v>
      </c>
      <c r="J3331" s="18">
        <f t="shared" si="11"/>
        <v>-57.86</v>
      </c>
    </row>
    <row r="3332" spans="1:10" ht="15.75" x14ac:dyDescent="0.25">
      <c r="A3332" s="21">
        <v>45626</v>
      </c>
      <c r="B3332" t="str">
        <f>IFERROR(IF(VLOOKUP(C3332,Hoja1!$B$1:$C$6191,2,0)="",_xlfn.XLOOKUP(C3332,Hoja1!$B$2:$B$6191,Hoja1!$A$2:$A$6191),VLOOKUP(C3332,Hoja1!$B$1:$C$6191,2,0)),"No esta en Infor")</f>
        <v>NAC0513</v>
      </c>
      <c r="C3332" s="3" t="s">
        <v>377</v>
      </c>
      <c r="D3332" s="3">
        <v>0</v>
      </c>
      <c r="E3332" s="3"/>
      <c r="F3332" s="3">
        <v>0</v>
      </c>
      <c r="G3332" s="3">
        <v>0</v>
      </c>
      <c r="H3332" s="3">
        <v>-220.24</v>
      </c>
      <c r="I3332" s="3">
        <v>0</v>
      </c>
      <c r="J3332" s="18">
        <f t="shared" si="11"/>
        <v>-220.24</v>
      </c>
    </row>
    <row r="3333" spans="1:10" ht="15.75" x14ac:dyDescent="0.25">
      <c r="A3333" s="21">
        <v>45626</v>
      </c>
      <c r="B3333" t="str">
        <f>IFERROR(IF(VLOOKUP(C3333,Hoja1!$B$1:$C$6191,2,0)="",_xlfn.XLOOKUP(C3333,Hoja1!$B$2:$B$6191,Hoja1!$A$2:$A$6191),VLOOKUP(C3333,Hoja1!$B$1:$C$6191,2,0)),"No esta en Infor")</f>
        <v>NAC0514</v>
      </c>
      <c r="C3333" s="3" t="s">
        <v>65</v>
      </c>
      <c r="D3333" s="3">
        <v>747.51</v>
      </c>
      <c r="E3333" s="3"/>
      <c r="F3333" s="3">
        <v>0</v>
      </c>
      <c r="G3333" s="3">
        <v>0</v>
      </c>
      <c r="H3333" s="3">
        <v>0</v>
      </c>
      <c r="I3333" s="3">
        <v>0</v>
      </c>
      <c r="J3333" s="18">
        <f t="shared" si="11"/>
        <v>747.51</v>
      </c>
    </row>
    <row r="3334" spans="1:10" ht="15.75" x14ac:dyDescent="0.25">
      <c r="A3334" s="21">
        <v>45626</v>
      </c>
      <c r="B3334" t="str">
        <f>IFERROR(IF(VLOOKUP(C3334,Hoja1!$B$1:$C$6191,2,0)="",_xlfn.XLOOKUP(C3334,Hoja1!$B$2:$B$6191,Hoja1!$A$2:$A$6191),VLOOKUP(C3334,Hoja1!$B$1:$C$6191,2,0)),"No esta en Infor")</f>
        <v>NAC1621</v>
      </c>
      <c r="C3334" s="3" t="s">
        <v>792</v>
      </c>
      <c r="D3334" s="3">
        <v>181</v>
      </c>
      <c r="E3334" s="3"/>
      <c r="F3334" s="3">
        <v>0</v>
      </c>
      <c r="G3334" s="3">
        <v>0</v>
      </c>
      <c r="H3334" s="3">
        <v>0</v>
      </c>
      <c r="I3334" s="3">
        <v>0</v>
      </c>
      <c r="J3334" s="18">
        <f t="shared" si="11"/>
        <v>181</v>
      </c>
    </row>
    <row r="3335" spans="1:10" ht="15.75" x14ac:dyDescent="0.25">
      <c r="A3335" s="21">
        <v>45626</v>
      </c>
      <c r="B3335" t="str">
        <f>IFERROR(IF(VLOOKUP(C3335,Hoja1!$B$1:$C$6191,2,0)="",_xlfn.XLOOKUP(C3335,Hoja1!$B$2:$B$6191,Hoja1!$A$2:$A$6191),VLOOKUP(C3335,Hoja1!$B$1:$C$6191,2,0)),"No esta en Infor")</f>
        <v>NAC0520</v>
      </c>
      <c r="C3335" s="3" t="s">
        <v>68</v>
      </c>
      <c r="D3335" s="4">
        <v>20392</v>
      </c>
      <c r="E3335" s="3"/>
      <c r="F3335" s="3">
        <v>0</v>
      </c>
      <c r="G3335" s="3">
        <v>0</v>
      </c>
      <c r="H3335" s="3">
        <v>-13.6</v>
      </c>
      <c r="I3335" s="3">
        <v>-458.33</v>
      </c>
      <c r="J3335" s="18">
        <f t="shared" si="11"/>
        <v>19920.07</v>
      </c>
    </row>
    <row r="3336" spans="1:10" ht="15.75" x14ac:dyDescent="0.25">
      <c r="A3336" s="21">
        <v>45626</v>
      </c>
      <c r="B3336" t="str">
        <f>IFERROR(IF(VLOOKUP(C3336,Hoja1!$B$1:$C$6191,2,0)="",_xlfn.XLOOKUP(C3336,Hoja1!$B$2:$B$6191,Hoja1!$A$2:$A$6191),VLOOKUP(C3336,Hoja1!$B$1:$C$6191,2,0)),"No esta en Infor")</f>
        <v>NAC0525</v>
      </c>
      <c r="C3336" s="3" t="s">
        <v>71</v>
      </c>
      <c r="D3336" s="4">
        <v>2160</v>
      </c>
      <c r="E3336" s="3"/>
      <c r="F3336" s="3">
        <v>0</v>
      </c>
      <c r="G3336" s="3">
        <v>0</v>
      </c>
      <c r="H3336" s="3">
        <v>0</v>
      </c>
      <c r="I3336" s="3">
        <v>0</v>
      </c>
      <c r="J3336" s="18">
        <f t="shared" si="11"/>
        <v>2160</v>
      </c>
    </row>
    <row r="3337" spans="1:10" ht="15.75" x14ac:dyDescent="0.25">
      <c r="A3337" s="21">
        <v>45626</v>
      </c>
      <c r="B3337" t="str">
        <f>IFERROR(IF(VLOOKUP(C3337,Hoja1!$B$1:$C$6191,2,0)="",_xlfn.XLOOKUP(C3337,Hoja1!$B$2:$B$6191,Hoja1!$A$2:$A$6191),VLOOKUP(C3337,Hoja1!$B$1:$C$6191,2,0)),"No esta en Infor")</f>
        <v>SH00093</v>
      </c>
      <c r="C3337" s="3" t="s">
        <v>708</v>
      </c>
      <c r="D3337" s="3">
        <v>-215.23</v>
      </c>
      <c r="E3337" s="3"/>
      <c r="F3337" s="3">
        <v>0</v>
      </c>
      <c r="G3337" s="3">
        <v>0</v>
      </c>
      <c r="H3337" s="3">
        <v>0</v>
      </c>
      <c r="I3337" s="3">
        <v>0</v>
      </c>
      <c r="J3337" s="18">
        <f t="shared" si="11"/>
        <v>-215.23</v>
      </c>
    </row>
    <row r="3338" spans="1:10" ht="15.75" x14ac:dyDescent="0.25">
      <c r="A3338" s="21">
        <v>45626</v>
      </c>
      <c r="B3338" t="str">
        <f>IFERROR(IF(VLOOKUP(C3338,Hoja1!$B$1:$C$6191,2,0)="",_xlfn.XLOOKUP(C3338,Hoja1!$B$2:$B$6191,Hoja1!$A$2:$A$6191),VLOOKUP(C3338,Hoja1!$B$1:$C$6191,2,0)),"No esta en Infor")</f>
        <v>SH03259</v>
      </c>
      <c r="C3338" s="3" t="s">
        <v>805</v>
      </c>
      <c r="D3338" s="3">
        <v>-199.24</v>
      </c>
      <c r="E3338" s="3"/>
      <c r="F3338" s="3">
        <v>0</v>
      </c>
      <c r="G3338" s="3">
        <v>0</v>
      </c>
      <c r="H3338" s="3">
        <v>0</v>
      </c>
      <c r="I3338" s="3">
        <v>0</v>
      </c>
      <c r="J3338" s="18">
        <f t="shared" si="11"/>
        <v>-199.24</v>
      </c>
    </row>
    <row r="3339" spans="1:10" ht="15.75" x14ac:dyDescent="0.25">
      <c r="A3339" s="21">
        <v>45626</v>
      </c>
      <c r="B3339" t="str">
        <f>IFERROR(IF(VLOOKUP(C3339,Hoja1!$B$1:$C$6191,2,0)="",_xlfn.XLOOKUP(C3339,Hoja1!$B$2:$B$6191,Hoja1!$A$2:$A$6191),VLOOKUP(C3339,Hoja1!$B$1:$C$6191,2,0)),"No esta en Infor")</f>
        <v>NAC0527</v>
      </c>
      <c r="C3339" s="3" t="s">
        <v>776</v>
      </c>
      <c r="D3339" s="3">
        <v>39.94</v>
      </c>
      <c r="E3339" s="3"/>
      <c r="F3339" s="3">
        <v>0</v>
      </c>
      <c r="G3339" s="3">
        <v>0</v>
      </c>
      <c r="H3339" s="3">
        <v>0</v>
      </c>
      <c r="I3339" s="3">
        <v>0</v>
      </c>
      <c r="J3339" s="18">
        <f t="shared" si="11"/>
        <v>39.94</v>
      </c>
    </row>
    <row r="3340" spans="1:10" ht="15.75" x14ac:dyDescent="0.25">
      <c r="A3340" s="21">
        <v>45626</v>
      </c>
      <c r="B3340" t="str">
        <f>IFERROR(IF(VLOOKUP(C3340,Hoja1!$B$1:$C$6191,2,0)="",_xlfn.XLOOKUP(C3340,Hoja1!$B$2:$B$6191,Hoja1!$A$2:$A$6191),VLOOKUP(C3340,Hoja1!$B$1:$C$6191,2,0)),"No esta en Infor")</f>
        <v>NAC0528</v>
      </c>
      <c r="C3340" s="3" t="s">
        <v>76</v>
      </c>
      <c r="D3340" s="4">
        <v>2600</v>
      </c>
      <c r="E3340" s="3"/>
      <c r="F3340" s="3">
        <v>0</v>
      </c>
      <c r="G3340" s="3">
        <v>0</v>
      </c>
      <c r="H3340" s="3">
        <v>0</v>
      </c>
      <c r="I3340" s="3">
        <v>0</v>
      </c>
      <c r="J3340" s="18">
        <f t="shared" si="11"/>
        <v>2600</v>
      </c>
    </row>
    <row r="3341" spans="1:10" ht="15.75" x14ac:dyDescent="0.25">
      <c r="A3341" s="21">
        <v>45626</v>
      </c>
      <c r="B3341" t="str">
        <f>IFERROR(IF(VLOOKUP(C3341,Hoja1!$B$1:$C$6191,2,0)="",_xlfn.XLOOKUP(C3341,Hoja1!$B$2:$B$6191,Hoja1!$A$2:$A$6191),VLOOKUP(C3341,Hoja1!$B$1:$C$6191,2,0)),"No esta en Infor")</f>
        <v>SH03397</v>
      </c>
      <c r="C3341" s="3" t="s">
        <v>837</v>
      </c>
      <c r="D3341" s="3">
        <v>50.16</v>
      </c>
      <c r="E3341" s="3"/>
      <c r="F3341" s="3">
        <v>0</v>
      </c>
      <c r="G3341" s="3">
        <v>0</v>
      </c>
      <c r="H3341" s="3">
        <v>0</v>
      </c>
      <c r="I3341" s="3">
        <v>0</v>
      </c>
      <c r="J3341" s="18">
        <f t="shared" si="11"/>
        <v>50.16</v>
      </c>
    </row>
    <row r="3342" spans="1:10" ht="15.75" x14ac:dyDescent="0.25">
      <c r="A3342" s="21">
        <v>45626</v>
      </c>
      <c r="B3342" t="str">
        <f>IFERROR(IF(VLOOKUP(C3342,Hoja1!$B$1:$C$6191,2,0)="",_xlfn.XLOOKUP(C3342,Hoja1!$B$2:$B$6191,Hoja1!$A$2:$A$6191),VLOOKUP(C3342,Hoja1!$B$1:$C$6191,2,0)),"No esta en Infor")</f>
        <v>SH03365</v>
      </c>
      <c r="C3342" s="3" t="s">
        <v>825</v>
      </c>
      <c r="D3342" s="3">
        <v>5.81</v>
      </c>
      <c r="E3342" s="3"/>
      <c r="F3342" s="3">
        <v>0</v>
      </c>
      <c r="G3342" s="3">
        <v>0</v>
      </c>
      <c r="H3342" s="3">
        <v>0</v>
      </c>
      <c r="I3342" s="3">
        <v>0</v>
      </c>
      <c r="J3342" s="18">
        <f t="shared" si="11"/>
        <v>5.81</v>
      </c>
    </row>
    <row r="3343" spans="1:10" ht="15.75" x14ac:dyDescent="0.25">
      <c r="A3343" s="21">
        <v>45626</v>
      </c>
      <c r="B3343" t="str">
        <f>IFERROR(IF(VLOOKUP(C3343,Hoja1!$B$1:$C$6191,2,0)="",_xlfn.XLOOKUP(C3343,Hoja1!$B$2:$B$6191,Hoja1!$A$2:$A$6191),VLOOKUP(C3343,Hoja1!$B$1:$C$6191,2,0)),"No esta en Infor")</f>
        <v>SH03364</v>
      </c>
      <c r="C3343" s="3" t="s">
        <v>824</v>
      </c>
      <c r="D3343" s="3">
        <v>59.02</v>
      </c>
      <c r="E3343" s="3"/>
      <c r="F3343" s="3">
        <v>0</v>
      </c>
      <c r="G3343" s="3">
        <v>0</v>
      </c>
      <c r="H3343" s="3">
        <v>0</v>
      </c>
      <c r="I3343" s="3">
        <v>0</v>
      </c>
      <c r="J3343" s="18">
        <f t="shared" si="11"/>
        <v>59.02</v>
      </c>
    </row>
    <row r="3344" spans="1:10" ht="15.75" x14ac:dyDescent="0.25">
      <c r="A3344" s="21">
        <v>45626</v>
      </c>
      <c r="B3344" t="str">
        <f>IFERROR(IF(VLOOKUP(C3344,Hoja1!$B$1:$C$6191,2,0)="",_xlfn.XLOOKUP(C3344,Hoja1!$B$2:$B$6191,Hoja1!$A$2:$A$6191),VLOOKUP(C3344,Hoja1!$B$1:$C$6191,2,0)),"No esta en Infor")</f>
        <v>NAC0532</v>
      </c>
      <c r="C3344" s="3" t="s">
        <v>612</v>
      </c>
      <c r="D3344" s="3">
        <v>0</v>
      </c>
      <c r="E3344" s="3"/>
      <c r="F3344" s="3">
        <v>-92.32</v>
      </c>
      <c r="G3344" s="3">
        <v>0</v>
      </c>
      <c r="H3344" s="3">
        <v>0</v>
      </c>
      <c r="I3344" s="3">
        <v>0</v>
      </c>
      <c r="J3344" s="18">
        <f t="shared" si="11"/>
        <v>-92.32</v>
      </c>
    </row>
    <row r="3345" spans="1:10" ht="15.75" x14ac:dyDescent="0.25">
      <c r="A3345" s="21">
        <v>45626</v>
      </c>
      <c r="B3345" t="str">
        <f>IFERROR(IF(VLOOKUP(C3345,Hoja1!$B$1:$C$6191,2,0)="",_xlfn.XLOOKUP(C3345,Hoja1!$B$2:$B$6191,Hoja1!$A$2:$A$6191),VLOOKUP(C3345,Hoja1!$B$1:$C$6191,2,0)),"No esta en Infor")</f>
        <v>NAC0534</v>
      </c>
      <c r="C3345" s="3" t="s">
        <v>78</v>
      </c>
      <c r="D3345" s="4">
        <v>12972</v>
      </c>
      <c r="E3345" s="3"/>
      <c r="F3345" s="3">
        <v>0</v>
      </c>
      <c r="G3345" s="3">
        <v>0</v>
      </c>
      <c r="H3345" s="3">
        <v>0</v>
      </c>
      <c r="I3345" s="3">
        <v>0</v>
      </c>
      <c r="J3345" s="18">
        <f t="shared" si="11"/>
        <v>12972</v>
      </c>
    </row>
    <row r="3346" spans="1:10" ht="15.75" x14ac:dyDescent="0.25">
      <c r="A3346" s="21">
        <v>45626</v>
      </c>
      <c r="B3346" t="str">
        <f>IFERROR(IF(VLOOKUP(C3346,Hoja1!$B$1:$C$6191,2,0)="",_xlfn.XLOOKUP(C3346,Hoja1!$B$2:$B$6191,Hoja1!$A$2:$A$6191),VLOOKUP(C3346,Hoja1!$B$1:$C$6191,2,0)),"No esta en Infor")</f>
        <v>NAC0539</v>
      </c>
      <c r="C3346" s="3" t="s">
        <v>80</v>
      </c>
      <c r="D3346" s="4">
        <v>4014</v>
      </c>
      <c r="E3346" s="3"/>
      <c r="F3346" s="3">
        <v>0</v>
      </c>
      <c r="G3346" s="3">
        <v>0</v>
      </c>
      <c r="H3346" s="3">
        <v>0</v>
      </c>
      <c r="I3346" s="3">
        <v>0</v>
      </c>
      <c r="J3346" s="18">
        <f t="shared" si="11"/>
        <v>4014</v>
      </c>
    </row>
    <row r="3347" spans="1:10" ht="15.75" x14ac:dyDescent="0.25">
      <c r="A3347" s="21">
        <v>45626</v>
      </c>
      <c r="B3347" t="str">
        <f>IFERROR(IF(VLOOKUP(C3347,Hoja1!$B$1:$C$6191,2,0)="",_xlfn.XLOOKUP(C3347,Hoja1!$B$2:$B$6191,Hoja1!$A$2:$A$6191),VLOOKUP(C3347,Hoja1!$B$1:$C$6191,2,0)),"No esta en Infor")</f>
        <v>NAC0544</v>
      </c>
      <c r="C3347" s="3" t="s">
        <v>82</v>
      </c>
      <c r="D3347" s="4">
        <v>1147</v>
      </c>
      <c r="E3347" s="3"/>
      <c r="F3347" s="3">
        <v>0</v>
      </c>
      <c r="G3347" s="3">
        <v>0</v>
      </c>
      <c r="H3347" s="3">
        <v>0</v>
      </c>
      <c r="I3347" s="3">
        <v>0</v>
      </c>
      <c r="J3347" s="18">
        <f t="shared" si="11"/>
        <v>1147</v>
      </c>
    </row>
    <row r="3348" spans="1:10" ht="15.75" x14ac:dyDescent="0.25">
      <c r="A3348" s="21">
        <v>45626</v>
      </c>
      <c r="B3348" t="str">
        <f>IFERROR(IF(VLOOKUP(C3348,Hoja1!$B$1:$C$6191,2,0)="",_xlfn.XLOOKUP(C3348,Hoja1!$B$2:$B$6191,Hoja1!$A$2:$A$6191),VLOOKUP(C3348,Hoja1!$B$1:$C$6191,2,0)),"No esta en Infor")</f>
        <v>NAC0546</v>
      </c>
      <c r="C3348" s="3" t="s">
        <v>83</v>
      </c>
      <c r="D3348" s="4">
        <v>2440</v>
      </c>
      <c r="E3348" s="3"/>
      <c r="F3348" s="3">
        <v>0</v>
      </c>
      <c r="G3348" s="3">
        <v>0</v>
      </c>
      <c r="H3348" s="3">
        <v>0</v>
      </c>
      <c r="I3348" s="3">
        <v>0</v>
      </c>
      <c r="J3348" s="18">
        <f t="shared" si="11"/>
        <v>2440</v>
      </c>
    </row>
    <row r="3349" spans="1:10" ht="15.75" x14ac:dyDescent="0.25">
      <c r="A3349" s="21">
        <v>45626</v>
      </c>
      <c r="B3349" t="str">
        <f>IFERROR(IF(VLOOKUP(C3349,Hoja1!$B$1:$C$6191,2,0)="",_xlfn.XLOOKUP(C3349,Hoja1!$B$2:$B$6191,Hoja1!$A$2:$A$6191),VLOOKUP(C3349,Hoja1!$B$1:$C$6191,2,0)),"No esta en Infor")</f>
        <v>NAC0550</v>
      </c>
      <c r="C3349" s="3" t="s">
        <v>84</v>
      </c>
      <c r="D3349" s="4">
        <v>107043.75</v>
      </c>
      <c r="E3349" s="3"/>
      <c r="F3349" s="3">
        <v>0</v>
      </c>
      <c r="G3349" s="3">
        <v>0</v>
      </c>
      <c r="H3349" s="3">
        <v>0</v>
      </c>
      <c r="I3349" s="3">
        <v>0</v>
      </c>
      <c r="J3349" s="18">
        <f t="shared" si="11"/>
        <v>107043.75</v>
      </c>
    </row>
    <row r="3350" spans="1:10" ht="15.75" x14ac:dyDescent="0.25">
      <c r="A3350" s="21">
        <v>45626</v>
      </c>
      <c r="B3350" t="str">
        <f>IFERROR(IF(VLOOKUP(C3350,Hoja1!$B$1:$C$6191,2,0)="",_xlfn.XLOOKUP(C3350,Hoja1!$B$2:$B$6191,Hoja1!$A$2:$A$6191),VLOOKUP(C3350,Hoja1!$B$1:$C$6191,2,0)),"No esta en Infor")</f>
        <v>NAC0551</v>
      </c>
      <c r="C3350" s="3" t="s">
        <v>85</v>
      </c>
      <c r="D3350" s="4">
        <v>6912</v>
      </c>
      <c r="E3350" s="3"/>
      <c r="F3350" s="3">
        <v>0</v>
      </c>
      <c r="G3350" s="3">
        <v>0</v>
      </c>
      <c r="H3350" s="3">
        <v>0</v>
      </c>
      <c r="I3350" s="3">
        <v>0</v>
      </c>
      <c r="J3350" s="18">
        <f t="shared" si="11"/>
        <v>6912</v>
      </c>
    </row>
    <row r="3351" spans="1:10" ht="15.75" x14ac:dyDescent="0.25">
      <c r="A3351" s="21">
        <v>45626</v>
      </c>
      <c r="B3351" t="str">
        <f>IFERROR(IF(VLOOKUP(C3351,Hoja1!$B$1:$C$6191,2,0)="",_xlfn.XLOOKUP(C3351,Hoja1!$B$2:$B$6191,Hoja1!$A$2:$A$6191),VLOOKUP(C3351,Hoja1!$B$1:$C$6191,2,0)),"No esta en Infor")</f>
        <v>NAC0556</v>
      </c>
      <c r="C3351" s="3" t="s">
        <v>14</v>
      </c>
      <c r="D3351" s="4">
        <v>6965.73</v>
      </c>
      <c r="E3351" s="3"/>
      <c r="F3351" s="3">
        <v>0</v>
      </c>
      <c r="G3351" s="3">
        <v>0</v>
      </c>
      <c r="H3351" s="3">
        <v>0</v>
      </c>
      <c r="I3351" s="3">
        <v>0</v>
      </c>
      <c r="J3351" s="18">
        <f t="shared" si="11"/>
        <v>6965.73</v>
      </c>
    </row>
    <row r="3352" spans="1:10" ht="15.75" x14ac:dyDescent="0.25">
      <c r="A3352" s="21">
        <v>45626</v>
      </c>
      <c r="B3352" t="str">
        <f>IFERROR(IF(VLOOKUP(C3352,Hoja1!$B$1:$C$6191,2,0)="",_xlfn.XLOOKUP(C3352,Hoja1!$B$2:$B$6191,Hoja1!$A$2:$A$6191),VLOOKUP(C3352,Hoja1!$B$1:$C$6191,2,0)),"No esta en Infor")</f>
        <v>NAC0558</v>
      </c>
      <c r="C3352" s="3" t="s">
        <v>86</v>
      </c>
      <c r="D3352" s="4">
        <v>16864.400000000001</v>
      </c>
      <c r="E3352" s="3"/>
      <c r="F3352" s="3">
        <v>0</v>
      </c>
      <c r="G3352" s="3">
        <v>0</v>
      </c>
      <c r="H3352" s="3">
        <v>0</v>
      </c>
      <c r="I3352" s="3">
        <v>0</v>
      </c>
      <c r="J3352" s="18">
        <f t="shared" si="11"/>
        <v>16864.400000000001</v>
      </c>
    </row>
    <row r="3353" spans="1:10" ht="15.75" x14ac:dyDescent="0.25">
      <c r="A3353" s="21">
        <v>45626</v>
      </c>
      <c r="B3353" t="str">
        <f>IFERROR(IF(VLOOKUP(C3353,Hoja1!$B$1:$C$6191,2,0)="",_xlfn.XLOOKUP(C3353,Hoja1!$B$2:$B$6191,Hoja1!$A$2:$A$6191),VLOOKUP(C3353,Hoja1!$B$1:$C$6191,2,0)),"No esta en Infor")</f>
        <v>CAN0002</v>
      </c>
      <c r="C3353" s="3" t="s">
        <v>87</v>
      </c>
      <c r="D3353" s="4">
        <v>13082.86</v>
      </c>
      <c r="E3353" s="3"/>
      <c r="F3353" s="3">
        <v>0</v>
      </c>
      <c r="G3353" s="3">
        <v>0</v>
      </c>
      <c r="H3353" s="3">
        <v>-472.77</v>
      </c>
      <c r="I3353" s="3">
        <v>-81.7</v>
      </c>
      <c r="J3353" s="18">
        <f t="shared" si="11"/>
        <v>12528.39</v>
      </c>
    </row>
    <row r="3354" spans="1:10" ht="15.75" x14ac:dyDescent="0.25">
      <c r="A3354" s="21">
        <v>45626</v>
      </c>
      <c r="B3354" t="str">
        <f>IFERROR(IF(VLOOKUP(C3354,Hoja1!$B$1:$C$6191,2,0)="",_xlfn.XLOOKUP(C3354,Hoja1!$B$2:$B$6191,Hoja1!$A$2:$A$6191),VLOOKUP(C3354,Hoja1!$B$1:$C$6191,2,0)),"No esta en Infor")</f>
        <v>NAC0567</v>
      </c>
      <c r="C3354" s="3" t="s">
        <v>541</v>
      </c>
      <c r="D3354" s="3">
        <v>0</v>
      </c>
      <c r="E3354" s="3"/>
      <c r="F3354" s="3">
        <v>-608.84</v>
      </c>
      <c r="G3354" s="3">
        <v>0</v>
      </c>
      <c r="H3354" s="3">
        <v>0</v>
      </c>
      <c r="I3354" s="3">
        <v>0</v>
      </c>
      <c r="J3354" s="18">
        <f t="shared" si="11"/>
        <v>-608.84</v>
      </c>
    </row>
    <row r="3355" spans="1:10" ht="15.75" x14ac:dyDescent="0.25">
      <c r="A3355" s="21">
        <v>45626</v>
      </c>
      <c r="B3355" t="str">
        <f>IFERROR(IF(VLOOKUP(C3355,Hoja1!$B$1:$C$6191,2,0)="",_xlfn.XLOOKUP(C3355,Hoja1!$B$2:$B$6191,Hoja1!$A$2:$A$6191),VLOOKUP(C3355,Hoja1!$B$1:$C$6191,2,0)),"No esta en Infor")</f>
        <v>NAC0569</v>
      </c>
      <c r="C3355" s="3" t="s">
        <v>382</v>
      </c>
      <c r="D3355" s="4">
        <v>16009</v>
      </c>
      <c r="E3355" s="3"/>
      <c r="F3355" s="3">
        <v>0</v>
      </c>
      <c r="G3355" s="3">
        <v>0</v>
      </c>
      <c r="H3355" s="3">
        <v>0</v>
      </c>
      <c r="I3355" s="3">
        <v>0</v>
      </c>
      <c r="J3355" s="18">
        <f t="shared" si="11"/>
        <v>16009</v>
      </c>
    </row>
    <row r="3356" spans="1:10" ht="15.75" x14ac:dyDescent="0.25">
      <c r="A3356" s="21">
        <v>45626</v>
      </c>
      <c r="B3356" t="str">
        <f>IFERROR(IF(VLOOKUP(C3356,Hoja1!$B$1:$C$6191,2,0)="",_xlfn.XLOOKUP(C3356,Hoja1!$B$2:$B$6191,Hoja1!$A$2:$A$6191),VLOOKUP(C3356,Hoja1!$B$1:$C$6191,2,0)),"No esta en Infor")</f>
        <v>SH02874</v>
      </c>
      <c r="C3356" s="3" t="s">
        <v>650</v>
      </c>
      <c r="D3356" s="3">
        <v>13.83</v>
      </c>
      <c r="E3356" s="3"/>
      <c r="F3356" s="3">
        <v>0</v>
      </c>
      <c r="G3356" s="3">
        <v>0</v>
      </c>
      <c r="H3356" s="3">
        <v>0</v>
      </c>
      <c r="I3356" s="3">
        <v>0</v>
      </c>
      <c r="J3356" s="18">
        <f t="shared" si="11"/>
        <v>13.83</v>
      </c>
    </row>
    <row r="3357" spans="1:10" ht="15.75" x14ac:dyDescent="0.25">
      <c r="A3357" s="21">
        <v>45626</v>
      </c>
      <c r="B3357" t="str">
        <f>IFERROR(IF(VLOOKUP(C3357,Hoja1!$B$1:$C$6191,2,0)="",_xlfn.XLOOKUP(C3357,Hoja1!$B$2:$B$6191,Hoja1!$A$2:$A$6191),VLOOKUP(C3357,Hoja1!$B$1:$C$6191,2,0)),"No esta en Infor")</f>
        <v>CAN0003</v>
      </c>
      <c r="C3357" s="3" t="s">
        <v>441</v>
      </c>
      <c r="D3357" s="4">
        <v>13860</v>
      </c>
      <c r="E3357" s="3"/>
      <c r="F3357" s="3">
        <v>0</v>
      </c>
      <c r="G3357" s="3">
        <v>0</v>
      </c>
      <c r="H3357" s="3">
        <v>0</v>
      </c>
      <c r="I3357" s="3">
        <v>0</v>
      </c>
      <c r="J3357" s="18">
        <f t="shared" si="11"/>
        <v>13860</v>
      </c>
    </row>
    <row r="3358" spans="1:10" ht="15.75" x14ac:dyDescent="0.25">
      <c r="A3358" s="21">
        <v>45626</v>
      </c>
      <c r="B3358" t="str">
        <f>IFERROR(IF(VLOOKUP(C3358,Hoja1!$B$1:$C$6191,2,0)="",_xlfn.XLOOKUP(C3358,Hoja1!$B$2:$B$6191,Hoja1!$A$2:$A$6191),VLOOKUP(C3358,Hoja1!$B$1:$C$6191,2,0)),"No esta en Infor")</f>
        <v>NAC0578</v>
      </c>
      <c r="C3358" s="3" t="s">
        <v>777</v>
      </c>
      <c r="D3358" s="3">
        <v>648</v>
      </c>
      <c r="E3358" s="3"/>
      <c r="F3358" s="3">
        <v>0</v>
      </c>
      <c r="G3358" s="3">
        <v>0</v>
      </c>
      <c r="H3358" s="3">
        <v>0</v>
      </c>
      <c r="I3358" s="3">
        <v>0</v>
      </c>
      <c r="J3358" s="18">
        <f t="shared" si="11"/>
        <v>648</v>
      </c>
    </row>
    <row r="3359" spans="1:10" ht="15.75" x14ac:dyDescent="0.25">
      <c r="A3359" s="21">
        <v>45626</v>
      </c>
      <c r="B3359" t="str">
        <f>IFERROR(IF(VLOOKUP(C3359,Hoja1!$B$1:$C$6191,2,0)="",_xlfn.XLOOKUP(C3359,Hoja1!$B$2:$B$6191,Hoja1!$A$2:$A$6191),VLOOKUP(C3359,Hoja1!$B$1:$C$6191,2,0)),"No esta en Infor")</f>
        <v>CAN0005</v>
      </c>
      <c r="C3359" s="3" t="s">
        <v>90</v>
      </c>
      <c r="D3359" s="4">
        <v>171042.37</v>
      </c>
      <c r="E3359" s="3"/>
      <c r="F3359" s="3">
        <v>0</v>
      </c>
      <c r="G3359" s="3">
        <v>0</v>
      </c>
      <c r="H3359" s="3">
        <v>0</v>
      </c>
      <c r="I3359" s="3">
        <v>0</v>
      </c>
      <c r="J3359" s="18">
        <f t="shared" si="11"/>
        <v>171042.37</v>
      </c>
    </row>
    <row r="3360" spans="1:10" ht="15.75" x14ac:dyDescent="0.25">
      <c r="A3360" s="21">
        <v>45626</v>
      </c>
      <c r="B3360" t="str">
        <f>IFERROR(IF(VLOOKUP(C3360,Hoja1!$B$1:$C$6191,2,0)="",_xlfn.XLOOKUP(C3360,Hoja1!$B$2:$B$6191,Hoja1!$A$2:$A$6191),VLOOKUP(C3360,Hoja1!$B$1:$C$6191,2,0)),"No esta en Infor")</f>
        <v>NAC0583</v>
      </c>
      <c r="C3360" s="3" t="s">
        <v>385</v>
      </c>
      <c r="D3360" s="3">
        <v>-188.56</v>
      </c>
      <c r="E3360" s="3"/>
      <c r="F3360" s="3">
        <v>0</v>
      </c>
      <c r="G3360" s="3">
        <v>0</v>
      </c>
      <c r="H3360" s="3">
        <v>0</v>
      </c>
      <c r="I3360" s="3">
        <v>0</v>
      </c>
      <c r="J3360" s="18">
        <f t="shared" si="11"/>
        <v>-188.56</v>
      </c>
    </row>
    <row r="3361" spans="1:10" ht="15.75" x14ac:dyDescent="0.25">
      <c r="A3361" s="21">
        <v>45626</v>
      </c>
      <c r="B3361" t="str">
        <f>IFERROR(IF(VLOOKUP(C3361,Hoja1!$B$1:$C$6191,2,0)="",_xlfn.XLOOKUP(C3361,Hoja1!$B$2:$B$6191,Hoja1!$A$2:$A$6191),VLOOKUP(C3361,Hoja1!$B$1:$C$6191,2,0)),"No esta en Infor")</f>
        <v>NAC0589</v>
      </c>
      <c r="C3361" s="3" t="s">
        <v>92</v>
      </c>
      <c r="D3361" s="4">
        <v>3767.6</v>
      </c>
      <c r="E3361" s="3"/>
      <c r="F3361" s="3">
        <v>0</v>
      </c>
      <c r="G3361" s="3">
        <v>0</v>
      </c>
      <c r="H3361" s="3">
        <v>0</v>
      </c>
      <c r="I3361" s="3">
        <v>0</v>
      </c>
      <c r="J3361" s="18">
        <f t="shared" si="11"/>
        <v>3767.6</v>
      </c>
    </row>
    <row r="3362" spans="1:10" ht="15.75" x14ac:dyDescent="0.25">
      <c r="A3362" s="21">
        <v>45626</v>
      </c>
      <c r="B3362" t="str">
        <f>IFERROR(IF(VLOOKUP(C3362,Hoja1!$B$1:$C$6191,2,0)="",_xlfn.XLOOKUP(C3362,Hoja1!$B$2:$B$6191,Hoja1!$A$2:$A$6191),VLOOKUP(C3362,Hoja1!$B$1:$C$6191,2,0)),"No esta en Infor")</f>
        <v>NAC0594</v>
      </c>
      <c r="C3362" s="3" t="s">
        <v>94</v>
      </c>
      <c r="D3362" s="4">
        <v>67742</v>
      </c>
      <c r="E3362" s="3"/>
      <c r="F3362" s="3">
        <v>0</v>
      </c>
      <c r="G3362" s="3">
        <v>0</v>
      </c>
      <c r="H3362" s="3">
        <v>0</v>
      </c>
      <c r="I3362" s="3">
        <v>0</v>
      </c>
      <c r="J3362" s="18">
        <f t="shared" si="11"/>
        <v>67742</v>
      </c>
    </row>
    <row r="3363" spans="1:10" ht="15.75" x14ac:dyDescent="0.25">
      <c r="A3363" s="21">
        <v>45626</v>
      </c>
      <c r="B3363" t="str">
        <f>IFERROR(IF(VLOOKUP(C3363,Hoja1!$B$1:$C$6191,2,0)="",_xlfn.XLOOKUP(C3363,Hoja1!$B$2:$B$6191,Hoja1!$A$2:$A$6191),VLOOKUP(C3363,Hoja1!$B$1:$C$6191,2,0)),"No esta en Infor")</f>
        <v>SH03341</v>
      </c>
      <c r="C3363" s="3" t="s">
        <v>820</v>
      </c>
      <c r="D3363" s="3">
        <v>-80.31</v>
      </c>
      <c r="E3363" s="3"/>
      <c r="F3363" s="3">
        <v>0</v>
      </c>
      <c r="G3363" s="3">
        <v>0</v>
      </c>
      <c r="H3363" s="3">
        <v>0</v>
      </c>
      <c r="I3363" s="3">
        <v>0</v>
      </c>
      <c r="J3363" s="18">
        <f t="shared" si="11"/>
        <v>-80.31</v>
      </c>
    </row>
    <row r="3364" spans="1:10" ht="15.75" x14ac:dyDescent="0.25">
      <c r="A3364" s="21">
        <v>45626</v>
      </c>
      <c r="B3364" t="str">
        <f>IFERROR(IF(VLOOKUP(C3364,Hoja1!$B$1:$C$6191,2,0)="",_xlfn.XLOOKUP(C3364,Hoja1!$B$2:$B$6191,Hoja1!$A$2:$A$6191),VLOOKUP(C3364,Hoja1!$B$1:$C$6191,2,0)),"No esta en Infor")</f>
        <v>NAC0600</v>
      </c>
      <c r="C3364" s="3" t="s">
        <v>96</v>
      </c>
      <c r="D3364" s="4">
        <v>9345</v>
      </c>
      <c r="E3364" s="3"/>
      <c r="F3364" s="3">
        <v>0</v>
      </c>
      <c r="G3364" s="3">
        <v>0</v>
      </c>
      <c r="H3364" s="3">
        <v>0</v>
      </c>
      <c r="I3364" s="3">
        <v>0</v>
      </c>
      <c r="J3364" s="18">
        <f t="shared" ref="J3364:J3427" si="12">SUM(D3364:I3364)</f>
        <v>9345</v>
      </c>
    </row>
    <row r="3365" spans="1:10" ht="15.75" x14ac:dyDescent="0.25">
      <c r="A3365" s="21">
        <v>45626</v>
      </c>
      <c r="B3365" t="str">
        <f>IFERROR(IF(VLOOKUP(C3365,Hoja1!$B$1:$C$6191,2,0)="",_xlfn.XLOOKUP(C3365,Hoja1!$B$2:$B$6191,Hoja1!$A$2:$A$6191),VLOOKUP(C3365,Hoja1!$B$1:$C$6191,2,0)),"No esta en Infor")</f>
        <v>NAC0604</v>
      </c>
      <c r="C3365" s="3" t="s">
        <v>97</v>
      </c>
      <c r="D3365" s="4">
        <v>12630.44</v>
      </c>
      <c r="E3365" s="3"/>
      <c r="F3365" s="3">
        <v>0</v>
      </c>
      <c r="G3365" s="3">
        <v>0</v>
      </c>
      <c r="H3365" s="3">
        <v>0</v>
      </c>
      <c r="I3365" s="3">
        <v>0</v>
      </c>
      <c r="J3365" s="18">
        <f t="shared" si="12"/>
        <v>12630.44</v>
      </c>
    </row>
    <row r="3366" spans="1:10" ht="15.75" x14ac:dyDescent="0.25">
      <c r="A3366" s="21">
        <v>45626</v>
      </c>
      <c r="B3366" t="str">
        <f>IFERROR(IF(VLOOKUP(C3366,Hoja1!$B$1:$C$6191,2,0)="",_xlfn.XLOOKUP(C3366,Hoja1!$B$2:$B$6191,Hoja1!$A$2:$A$6191),VLOOKUP(C3366,Hoja1!$B$1:$C$6191,2,0)),"No esta en Infor")</f>
        <v>NAC0612</v>
      </c>
      <c r="C3366" s="3" t="s">
        <v>100</v>
      </c>
      <c r="D3366" s="4">
        <v>19643.84</v>
      </c>
      <c r="E3366" s="3"/>
      <c r="F3366" s="3">
        <v>0</v>
      </c>
      <c r="G3366" s="3">
        <v>0</v>
      </c>
      <c r="H3366" s="3">
        <v>0</v>
      </c>
      <c r="I3366" s="3">
        <v>0</v>
      </c>
      <c r="J3366" s="18">
        <f t="shared" si="12"/>
        <v>19643.84</v>
      </c>
    </row>
    <row r="3367" spans="1:10" ht="15.75" x14ac:dyDescent="0.25">
      <c r="A3367" s="21">
        <v>45626</v>
      </c>
      <c r="B3367" t="str">
        <f>IFERROR(IF(VLOOKUP(C3367,Hoja1!$B$1:$C$6191,2,0)="",_xlfn.XLOOKUP(C3367,Hoja1!$B$2:$B$6191,Hoja1!$A$2:$A$6191),VLOOKUP(C3367,Hoja1!$B$1:$C$6191,2,0)),"No esta en Infor")</f>
        <v>NAC0613</v>
      </c>
      <c r="C3367" s="3" t="s">
        <v>101</v>
      </c>
      <c r="D3367" s="4">
        <v>12066.65</v>
      </c>
      <c r="E3367" s="3"/>
      <c r="F3367" s="3">
        <v>0</v>
      </c>
      <c r="G3367" s="3">
        <v>0</v>
      </c>
      <c r="H3367" s="3">
        <v>-81.599999999999994</v>
      </c>
      <c r="I3367" s="3">
        <v>0</v>
      </c>
      <c r="J3367" s="18">
        <f t="shared" si="12"/>
        <v>11985.05</v>
      </c>
    </row>
    <row r="3368" spans="1:10" ht="15.75" x14ac:dyDescent="0.25">
      <c r="A3368" s="21">
        <v>45626</v>
      </c>
      <c r="B3368" t="str">
        <f>IFERROR(IF(VLOOKUP(C3368,Hoja1!$B$1:$C$6191,2,0)="",_xlfn.XLOOKUP(C3368,Hoja1!$B$2:$B$6191,Hoja1!$A$2:$A$6191),VLOOKUP(C3368,Hoja1!$B$1:$C$6191,2,0)),"No esta en Infor")</f>
        <v>NAC0614</v>
      </c>
      <c r="C3368" s="3" t="s">
        <v>102</v>
      </c>
      <c r="D3368" s="3">
        <v>29.44</v>
      </c>
      <c r="E3368" s="3"/>
      <c r="F3368" s="3">
        <v>0</v>
      </c>
      <c r="G3368" s="3">
        <v>0</v>
      </c>
      <c r="H3368" s="3">
        <v>0</v>
      </c>
      <c r="I3368" s="3">
        <v>0</v>
      </c>
      <c r="J3368" s="18">
        <f t="shared" si="12"/>
        <v>29.44</v>
      </c>
    </row>
    <row r="3369" spans="1:10" ht="15.75" x14ac:dyDescent="0.25">
      <c r="A3369" s="21">
        <v>45626</v>
      </c>
      <c r="B3369" t="str">
        <f>IFERROR(IF(VLOOKUP(C3369,Hoja1!$B$1:$C$6191,2,0)="",_xlfn.XLOOKUP(C3369,Hoja1!$B$2:$B$6191,Hoja1!$A$2:$A$6191),VLOOKUP(C3369,Hoja1!$B$1:$C$6191,2,0)),"No esta en Infor")</f>
        <v>NAC0616</v>
      </c>
      <c r="C3369" s="3" t="s">
        <v>103</v>
      </c>
      <c r="D3369" s="4">
        <v>1220.76</v>
      </c>
      <c r="E3369" s="3"/>
      <c r="F3369" s="3">
        <v>0</v>
      </c>
      <c r="G3369" s="3">
        <v>0</v>
      </c>
      <c r="H3369" s="3">
        <v>0</v>
      </c>
      <c r="I3369" s="3">
        <v>0</v>
      </c>
      <c r="J3369" s="18">
        <f t="shared" si="12"/>
        <v>1220.76</v>
      </c>
    </row>
    <row r="3370" spans="1:10" ht="15.75" x14ac:dyDescent="0.25">
      <c r="A3370" s="21">
        <v>45626</v>
      </c>
      <c r="B3370" t="str">
        <f>IFERROR(IF(VLOOKUP(C3370,Hoja1!$B$1:$C$6191,2,0)="",_xlfn.XLOOKUP(C3370,Hoja1!$B$2:$B$6191,Hoja1!$A$2:$A$6191),VLOOKUP(C3370,Hoja1!$B$1:$C$6191,2,0)),"No esta en Infor")</f>
        <v>SH03085</v>
      </c>
      <c r="C3370" s="3" t="s">
        <v>714</v>
      </c>
      <c r="D3370" s="3">
        <v>2.54</v>
      </c>
      <c r="E3370" s="3"/>
      <c r="F3370" s="3">
        <v>0</v>
      </c>
      <c r="G3370" s="3">
        <v>0</v>
      </c>
      <c r="H3370" s="3">
        <v>0</v>
      </c>
      <c r="I3370" s="3">
        <v>0</v>
      </c>
      <c r="J3370" s="18">
        <f t="shared" si="12"/>
        <v>2.54</v>
      </c>
    </row>
    <row r="3371" spans="1:10" ht="15.75" x14ac:dyDescent="0.25">
      <c r="A3371" s="21">
        <v>45626</v>
      </c>
      <c r="B3371" t="str">
        <f>IFERROR(IF(VLOOKUP(C3371,Hoja1!$B$1:$C$6191,2,0)="",_xlfn.XLOOKUP(C3371,Hoja1!$B$2:$B$6191,Hoja1!$A$2:$A$6191),VLOOKUP(C3371,Hoja1!$B$1:$C$6191,2,0)),"No esta en Infor")</f>
        <v>NAC0624</v>
      </c>
      <c r="C3371" s="3" t="s">
        <v>105</v>
      </c>
      <c r="D3371" s="4">
        <v>1709.74</v>
      </c>
      <c r="E3371" s="3"/>
      <c r="F3371" s="3">
        <v>0</v>
      </c>
      <c r="G3371" s="3">
        <v>0</v>
      </c>
      <c r="H3371" s="3">
        <v>-231</v>
      </c>
      <c r="I3371" s="3">
        <v>0</v>
      </c>
      <c r="J3371" s="18">
        <f t="shared" si="12"/>
        <v>1478.74</v>
      </c>
    </row>
    <row r="3372" spans="1:10" ht="15.75" x14ac:dyDescent="0.25">
      <c r="A3372" s="21">
        <v>45626</v>
      </c>
      <c r="B3372" t="str">
        <f>IFERROR(IF(VLOOKUP(C3372,Hoja1!$B$1:$C$6191,2,0)="",_xlfn.XLOOKUP(C3372,Hoja1!$B$2:$B$6191,Hoja1!$A$2:$A$6191),VLOOKUP(C3372,Hoja1!$B$1:$C$6191,2,0)),"No esta en Infor")</f>
        <v>SH03351</v>
      </c>
      <c r="C3372" s="3" t="s">
        <v>822</v>
      </c>
      <c r="D3372" s="3">
        <v>54.06</v>
      </c>
      <c r="E3372" s="3"/>
      <c r="F3372" s="3">
        <v>0</v>
      </c>
      <c r="G3372" s="3">
        <v>0</v>
      </c>
      <c r="H3372" s="3">
        <v>0</v>
      </c>
      <c r="I3372" s="3">
        <v>0</v>
      </c>
      <c r="J3372" s="18">
        <f t="shared" si="12"/>
        <v>54.06</v>
      </c>
    </row>
    <row r="3373" spans="1:10" ht="15.75" x14ac:dyDescent="0.25">
      <c r="A3373" s="21">
        <v>45626</v>
      </c>
      <c r="B3373" t="str">
        <f>IFERROR(IF(VLOOKUP(C3373,Hoja1!$B$1:$C$6191,2,0)="",_xlfn.XLOOKUP(C3373,Hoja1!$B$2:$B$6191,Hoja1!$A$2:$A$6191),VLOOKUP(C3373,Hoja1!$B$1:$C$6191,2,0)),"No esta en Infor")</f>
        <v>NAC0630</v>
      </c>
      <c r="C3373" s="3" t="s">
        <v>653</v>
      </c>
      <c r="D3373" s="4">
        <v>6048</v>
      </c>
      <c r="E3373" s="3"/>
      <c r="F3373" s="3">
        <v>0</v>
      </c>
      <c r="G3373" s="3">
        <v>0</v>
      </c>
      <c r="H3373" s="3">
        <v>0</v>
      </c>
      <c r="I3373" s="3">
        <v>0</v>
      </c>
      <c r="J3373" s="18">
        <f t="shared" si="12"/>
        <v>6048</v>
      </c>
    </row>
    <row r="3374" spans="1:10" ht="15.75" x14ac:dyDescent="0.25">
      <c r="A3374" s="21">
        <v>45626</v>
      </c>
      <c r="B3374" t="str">
        <f>IFERROR(IF(VLOOKUP(C3374,Hoja1!$B$1:$C$6191,2,0)="",_xlfn.XLOOKUP(C3374,Hoja1!$B$2:$B$6191,Hoja1!$A$2:$A$6191),VLOOKUP(C3374,Hoja1!$B$1:$C$6191,2,0)),"No esta en Infor")</f>
        <v>SH03335</v>
      </c>
      <c r="C3374" s="3" t="s">
        <v>818</v>
      </c>
      <c r="D3374" s="3">
        <v>53.34</v>
      </c>
      <c r="E3374" s="3"/>
      <c r="F3374" s="3">
        <v>0</v>
      </c>
      <c r="G3374" s="3">
        <v>0</v>
      </c>
      <c r="H3374" s="3">
        <v>0</v>
      </c>
      <c r="I3374" s="3">
        <v>0</v>
      </c>
      <c r="J3374" s="18">
        <f t="shared" si="12"/>
        <v>53.34</v>
      </c>
    </row>
    <row r="3375" spans="1:10" ht="15.75" x14ac:dyDescent="0.25">
      <c r="A3375" s="21">
        <v>45626</v>
      </c>
      <c r="B3375" t="str">
        <f>IFERROR(IF(VLOOKUP(C3375,Hoja1!$B$1:$C$6191,2,0)="",_xlfn.XLOOKUP(C3375,Hoja1!$B$2:$B$6191,Hoja1!$A$2:$A$6191),VLOOKUP(C3375,Hoja1!$B$1:$C$6191,2,0)),"No esta en Infor")</f>
        <v>NAC0632</v>
      </c>
      <c r="C3375" s="3" t="s">
        <v>108</v>
      </c>
      <c r="D3375" s="4">
        <v>1233.6300000000001</v>
      </c>
      <c r="E3375" s="3"/>
      <c r="F3375" s="3">
        <v>0</v>
      </c>
      <c r="G3375" s="3">
        <v>0</v>
      </c>
      <c r="H3375" s="3">
        <v>0</v>
      </c>
      <c r="I3375" s="3">
        <v>0</v>
      </c>
      <c r="J3375" s="18">
        <f t="shared" si="12"/>
        <v>1233.6300000000001</v>
      </c>
    </row>
    <row r="3376" spans="1:10" ht="15.75" x14ac:dyDescent="0.25">
      <c r="A3376" s="21">
        <v>45626</v>
      </c>
      <c r="B3376" t="str">
        <f>IFERROR(IF(VLOOKUP(C3376,Hoja1!$B$1:$C$6191,2,0)="",_xlfn.XLOOKUP(C3376,Hoja1!$B$2:$B$6191,Hoja1!$A$2:$A$6191),VLOOKUP(C3376,Hoja1!$B$1:$C$6191,2,0)),"No esta en Infor")</f>
        <v>NAC0641</v>
      </c>
      <c r="C3376" s="3" t="s">
        <v>18</v>
      </c>
      <c r="D3376" s="4">
        <v>2092.4</v>
      </c>
      <c r="E3376" s="3"/>
      <c r="F3376" s="3">
        <v>-10</v>
      </c>
      <c r="G3376" s="3">
        <v>0</v>
      </c>
      <c r="H3376" s="3">
        <v>0</v>
      </c>
      <c r="I3376" s="3">
        <v>0</v>
      </c>
      <c r="J3376" s="18">
        <f t="shared" si="12"/>
        <v>2082.4</v>
      </c>
    </row>
    <row r="3377" spans="1:10" ht="15.75" x14ac:dyDescent="0.25">
      <c r="A3377" s="21">
        <v>45626</v>
      </c>
      <c r="B3377" t="str">
        <f>IFERROR(IF(VLOOKUP(C3377,Hoja1!$B$1:$C$6191,2,0)="",_xlfn.XLOOKUP(C3377,Hoja1!$B$2:$B$6191,Hoja1!$A$2:$A$6191),VLOOKUP(C3377,Hoja1!$B$1:$C$6191,2,0)),"No esta en Infor")</f>
        <v>NAC0645</v>
      </c>
      <c r="C3377" s="3" t="s">
        <v>110</v>
      </c>
      <c r="D3377" s="3">
        <v>310.64999999999998</v>
      </c>
      <c r="E3377" s="3"/>
      <c r="F3377" s="3">
        <v>0</v>
      </c>
      <c r="G3377" s="3">
        <v>0</v>
      </c>
      <c r="H3377" s="3">
        <v>0</v>
      </c>
      <c r="I3377" s="3">
        <v>0</v>
      </c>
      <c r="J3377" s="18">
        <f t="shared" si="12"/>
        <v>310.64999999999998</v>
      </c>
    </row>
    <row r="3378" spans="1:10" ht="15.75" x14ac:dyDescent="0.25">
      <c r="A3378" s="21">
        <v>45626</v>
      </c>
      <c r="B3378" t="str">
        <f>IFERROR(IF(VLOOKUP(C3378,Hoja1!$B$1:$C$6191,2,0)="",_xlfn.XLOOKUP(C3378,Hoja1!$B$2:$B$6191,Hoja1!$A$2:$A$6191),VLOOKUP(C3378,Hoja1!$B$1:$C$6191,2,0)),"No esta en Infor")</f>
        <v>SH03277</v>
      </c>
      <c r="C3378" s="3" t="s">
        <v>806</v>
      </c>
      <c r="D3378" s="3">
        <v>15.52</v>
      </c>
      <c r="E3378" s="3"/>
      <c r="F3378" s="3">
        <v>0</v>
      </c>
      <c r="G3378" s="3">
        <v>0</v>
      </c>
      <c r="H3378" s="3">
        <v>0</v>
      </c>
      <c r="I3378" s="3">
        <v>0</v>
      </c>
      <c r="J3378" s="18">
        <f t="shared" si="12"/>
        <v>15.52</v>
      </c>
    </row>
    <row r="3379" spans="1:10" ht="15.75" x14ac:dyDescent="0.25">
      <c r="A3379" s="21">
        <v>45626</v>
      </c>
      <c r="B3379" t="str">
        <f>IFERROR(IF(VLOOKUP(C3379,Hoja1!$B$1:$C$6191,2,0)="",_xlfn.XLOOKUP(C3379,Hoja1!$B$2:$B$6191,Hoja1!$A$2:$A$6191),VLOOKUP(C3379,Hoja1!$B$1:$C$6191,2,0)),"No esta en Infor")</f>
        <v>NAC0652</v>
      </c>
      <c r="C3379" s="3" t="s">
        <v>113</v>
      </c>
      <c r="D3379" s="3">
        <v>133</v>
      </c>
      <c r="E3379" s="3"/>
      <c r="F3379" s="3">
        <v>0</v>
      </c>
      <c r="G3379" s="3">
        <v>0</v>
      </c>
      <c r="H3379" s="3">
        <v>0</v>
      </c>
      <c r="I3379" s="3">
        <v>0</v>
      </c>
      <c r="J3379" s="18">
        <f t="shared" si="12"/>
        <v>133</v>
      </c>
    </row>
    <row r="3380" spans="1:10" ht="15.75" x14ac:dyDescent="0.25">
      <c r="A3380" s="21">
        <v>45626</v>
      </c>
      <c r="B3380" t="str">
        <f>IFERROR(IF(VLOOKUP(C3380,Hoja1!$B$1:$C$6191,2,0)="",_xlfn.XLOOKUP(C3380,Hoja1!$B$2:$B$6191,Hoja1!$A$2:$A$6191),VLOOKUP(C3380,Hoja1!$B$1:$C$6191,2,0)),"No esta en Infor")</f>
        <v>NAC0657</v>
      </c>
      <c r="C3380" s="3" t="s">
        <v>114</v>
      </c>
      <c r="D3380" s="4">
        <v>4668.5</v>
      </c>
      <c r="E3380" s="3"/>
      <c r="F3380" s="3">
        <v>0</v>
      </c>
      <c r="G3380" s="3">
        <v>0</v>
      </c>
      <c r="H3380" s="3">
        <v>0</v>
      </c>
      <c r="I3380" s="3">
        <v>0</v>
      </c>
      <c r="J3380" s="18">
        <f t="shared" si="12"/>
        <v>4668.5</v>
      </c>
    </row>
    <row r="3381" spans="1:10" ht="15.75" x14ac:dyDescent="0.25">
      <c r="A3381" s="21">
        <v>45626</v>
      </c>
      <c r="B3381" t="str">
        <f>IFERROR(IF(VLOOKUP(C3381,Hoja1!$B$1:$C$6191,2,0)="",_xlfn.XLOOKUP(C3381,Hoja1!$B$2:$B$6191,Hoja1!$A$2:$A$6191),VLOOKUP(C3381,Hoja1!$B$1:$C$6191,2,0)),"No esta en Infor")</f>
        <v>CAN0008</v>
      </c>
      <c r="C3381" s="3" t="s">
        <v>115</v>
      </c>
      <c r="D3381" s="4">
        <v>2592.12</v>
      </c>
      <c r="E3381" s="3"/>
      <c r="F3381" s="4">
        <v>-1815.87</v>
      </c>
      <c r="G3381" s="3">
        <v>0</v>
      </c>
      <c r="H3381" s="3">
        <v>0</v>
      </c>
      <c r="I3381" s="3">
        <v>0</v>
      </c>
      <c r="J3381" s="18">
        <f t="shared" si="12"/>
        <v>776.25</v>
      </c>
    </row>
    <row r="3382" spans="1:10" ht="15.75" x14ac:dyDescent="0.25">
      <c r="A3382" s="21">
        <v>45626</v>
      </c>
      <c r="B3382" t="str">
        <f>IFERROR(IF(VLOOKUP(C3382,Hoja1!$B$1:$C$6191,2,0)="",_xlfn.XLOOKUP(C3382,Hoja1!$B$2:$B$6191,Hoja1!$A$2:$A$6191),VLOOKUP(C3382,Hoja1!$B$1:$C$6191,2,0)),"No esta en Infor")</f>
        <v>NAC0666</v>
      </c>
      <c r="C3382" s="3" t="s">
        <v>118</v>
      </c>
      <c r="D3382" s="4">
        <v>11479.46</v>
      </c>
      <c r="E3382" s="3"/>
      <c r="F3382" s="3">
        <v>0</v>
      </c>
      <c r="G3382" s="3">
        <v>0</v>
      </c>
      <c r="H3382" s="3">
        <v>0</v>
      </c>
      <c r="I3382" s="3">
        <v>0</v>
      </c>
      <c r="J3382" s="18">
        <f t="shared" si="12"/>
        <v>11479.46</v>
      </c>
    </row>
    <row r="3383" spans="1:10" ht="15.75" x14ac:dyDescent="0.25">
      <c r="A3383" s="21">
        <v>45626</v>
      </c>
      <c r="B3383" t="str">
        <f>IFERROR(IF(VLOOKUP(C3383,Hoja1!$B$1:$C$6191,2,0)="",_xlfn.XLOOKUP(C3383,Hoja1!$B$2:$B$6191,Hoja1!$A$2:$A$6191),VLOOKUP(C3383,Hoja1!$B$1:$C$6191,2,0)),"No esta en Infor")</f>
        <v>NAC0669</v>
      </c>
      <c r="C3383" s="3" t="s">
        <v>119</v>
      </c>
      <c r="D3383" s="4">
        <v>48880.639999999999</v>
      </c>
      <c r="E3383" s="3"/>
      <c r="F3383" s="3">
        <v>0</v>
      </c>
      <c r="G3383" s="3">
        <v>0</v>
      </c>
      <c r="H3383" s="3">
        <v>0</v>
      </c>
      <c r="I3383" s="3">
        <v>0</v>
      </c>
      <c r="J3383" s="18">
        <f t="shared" si="12"/>
        <v>48880.639999999999</v>
      </c>
    </row>
    <row r="3384" spans="1:10" ht="15.75" x14ac:dyDescent="0.25">
      <c r="A3384" s="21">
        <v>45626</v>
      </c>
      <c r="B3384" t="str">
        <f>IFERROR(IF(VLOOKUP(C3384,Hoja1!$B$1:$C$6191,2,0)="",_xlfn.XLOOKUP(C3384,Hoja1!$B$2:$B$6191,Hoja1!$A$2:$A$6191),VLOOKUP(C3384,Hoja1!$B$1:$C$6191,2,0)),"No esta en Infor")</f>
        <v>NAC0670</v>
      </c>
      <c r="C3384" s="3" t="s">
        <v>120</v>
      </c>
      <c r="D3384" s="4">
        <v>1014</v>
      </c>
      <c r="E3384" s="3"/>
      <c r="F3384" s="3">
        <v>0</v>
      </c>
      <c r="G3384" s="3">
        <v>0</v>
      </c>
      <c r="H3384" s="3">
        <v>0</v>
      </c>
      <c r="I3384" s="3">
        <v>0</v>
      </c>
      <c r="J3384" s="18">
        <f t="shared" si="12"/>
        <v>1014</v>
      </c>
    </row>
    <row r="3385" spans="1:10" ht="15.75" x14ac:dyDescent="0.25">
      <c r="A3385" s="21">
        <v>45626</v>
      </c>
      <c r="B3385" t="str">
        <f>IFERROR(IF(VLOOKUP(C3385,Hoja1!$B$1:$C$6191,2,0)="",_xlfn.XLOOKUP(C3385,Hoja1!$B$2:$B$6191,Hoja1!$A$2:$A$6191),VLOOKUP(C3385,Hoja1!$B$1:$C$6191,2,0)),"No esta en Infor")</f>
        <v>NAC0672</v>
      </c>
      <c r="C3385" s="3" t="s">
        <v>122</v>
      </c>
      <c r="D3385" s="4">
        <v>15800.64</v>
      </c>
      <c r="E3385" s="3"/>
      <c r="F3385" s="3">
        <v>0</v>
      </c>
      <c r="G3385" s="3">
        <v>0</v>
      </c>
      <c r="H3385" s="3">
        <v>0</v>
      </c>
      <c r="I3385" s="3">
        <v>0</v>
      </c>
      <c r="J3385" s="18">
        <f t="shared" si="12"/>
        <v>15800.64</v>
      </c>
    </row>
    <row r="3386" spans="1:10" ht="15.75" x14ac:dyDescent="0.25">
      <c r="A3386" s="21">
        <v>45626</v>
      </c>
      <c r="B3386" t="str">
        <f>IFERROR(IF(VLOOKUP(C3386,Hoja1!$B$1:$C$6191,2,0)="",_xlfn.XLOOKUP(C3386,Hoja1!$B$2:$B$6191,Hoja1!$A$2:$A$6191),VLOOKUP(C3386,Hoja1!$B$1:$C$6191,2,0)),"No esta en Infor")</f>
        <v>NAC0675</v>
      </c>
      <c r="C3386" s="3" t="s">
        <v>124</v>
      </c>
      <c r="D3386" s="3">
        <v>0</v>
      </c>
      <c r="E3386" s="3"/>
      <c r="F3386" s="3">
        <v>0</v>
      </c>
      <c r="G3386" s="3">
        <v>0</v>
      </c>
      <c r="H3386" s="3">
        <v>-787.89</v>
      </c>
      <c r="I3386" s="3">
        <v>0</v>
      </c>
      <c r="J3386" s="18">
        <f t="shared" si="12"/>
        <v>-787.89</v>
      </c>
    </row>
    <row r="3387" spans="1:10" ht="15.75" x14ac:dyDescent="0.25">
      <c r="A3387" s="21">
        <v>45626</v>
      </c>
      <c r="B3387" t="str">
        <f>IFERROR(IF(VLOOKUP(C3387,Hoja1!$B$1:$C$6191,2,0)="",_xlfn.XLOOKUP(C3387,Hoja1!$B$2:$B$6191,Hoja1!$A$2:$A$6191),VLOOKUP(C3387,Hoja1!$B$1:$C$6191,2,0)),"No esta en Infor")</f>
        <v>SH03396</v>
      </c>
      <c r="C3387" s="3" t="s">
        <v>836</v>
      </c>
      <c r="D3387" s="3">
        <v>69.48</v>
      </c>
      <c r="E3387" s="3"/>
      <c r="F3387" s="3">
        <v>0</v>
      </c>
      <c r="G3387" s="3">
        <v>0</v>
      </c>
      <c r="H3387" s="3">
        <v>0</v>
      </c>
      <c r="I3387" s="3">
        <v>0</v>
      </c>
      <c r="J3387" s="18">
        <f t="shared" si="12"/>
        <v>69.48</v>
      </c>
    </row>
    <row r="3388" spans="1:10" ht="15.75" x14ac:dyDescent="0.25">
      <c r="A3388" s="21">
        <v>45626</v>
      </c>
      <c r="B3388" t="str">
        <f>IFERROR(IF(VLOOKUP(C3388,Hoja1!$B$1:$C$6191,2,0)="",_xlfn.XLOOKUP(C3388,Hoja1!$B$2:$B$6191,Hoja1!$A$2:$A$6191),VLOOKUP(C3388,Hoja1!$B$1:$C$6191,2,0)),"No esta en Infor")</f>
        <v>SH00610</v>
      </c>
      <c r="C3388" s="3" t="s">
        <v>129</v>
      </c>
      <c r="D3388" s="3">
        <v>0</v>
      </c>
      <c r="E3388" s="3"/>
      <c r="F3388" s="3">
        <v>-15</v>
      </c>
      <c r="G3388" s="3">
        <v>0</v>
      </c>
      <c r="H3388" s="3">
        <v>0</v>
      </c>
      <c r="I3388" s="3">
        <v>0</v>
      </c>
      <c r="J3388" s="18">
        <f t="shared" si="12"/>
        <v>-15</v>
      </c>
    </row>
    <row r="3389" spans="1:10" ht="15.75" x14ac:dyDescent="0.25">
      <c r="A3389" s="21">
        <v>45626</v>
      </c>
      <c r="B3389" t="str">
        <f>IFERROR(IF(VLOOKUP(C3389,Hoja1!$B$1:$C$6191,2,0)="",_xlfn.XLOOKUP(C3389,Hoja1!$B$2:$B$6191,Hoja1!$A$2:$A$6191),VLOOKUP(C3389,Hoja1!$B$1:$C$6191,2,0)),"No esta en Infor")</f>
        <v>INT0052</v>
      </c>
      <c r="C3389" s="3" t="s">
        <v>130</v>
      </c>
      <c r="D3389" s="3">
        <v>116.53</v>
      </c>
      <c r="E3389" s="3"/>
      <c r="F3389" s="4">
        <v>12973.77</v>
      </c>
      <c r="G3389" s="4">
        <v>6665.87</v>
      </c>
      <c r="H3389" s="4">
        <v>7458.18</v>
      </c>
      <c r="I3389" s="4">
        <v>11547.44</v>
      </c>
      <c r="J3389" s="18">
        <f t="shared" si="12"/>
        <v>38761.79</v>
      </c>
    </row>
    <row r="3390" spans="1:10" ht="15.75" x14ac:dyDescent="0.25">
      <c r="A3390" s="21">
        <v>45626</v>
      </c>
      <c r="B3390" t="str">
        <f>IFERROR(IF(VLOOKUP(C3390,Hoja1!$B$1:$C$6191,2,0)="",_xlfn.XLOOKUP(C3390,Hoja1!$B$2:$B$6191,Hoja1!$A$2:$A$6191),VLOOKUP(C3390,Hoja1!$B$1:$C$6191,2,0)),"No esta en Infor")</f>
        <v>INT0007</v>
      </c>
      <c r="C3390" s="3" t="s">
        <v>131</v>
      </c>
      <c r="D3390" s="4">
        <v>1399009.78</v>
      </c>
      <c r="E3390" s="3"/>
      <c r="F3390" s="4">
        <v>1229678.77</v>
      </c>
      <c r="G3390" s="4">
        <v>-2278.44</v>
      </c>
      <c r="H3390" s="4">
        <v>4519.33</v>
      </c>
      <c r="I3390" s="4">
        <v>-6257.87</v>
      </c>
      <c r="J3390" s="18">
        <f t="shared" si="12"/>
        <v>2624671.5699999998</v>
      </c>
    </row>
    <row r="3391" spans="1:10" ht="15.75" x14ac:dyDescent="0.25">
      <c r="A3391" s="21">
        <v>45626</v>
      </c>
      <c r="B3391" t="str">
        <f>IFERROR(IF(VLOOKUP(C3391,Hoja1!$B$1:$C$6191,2,0)="",_xlfn.XLOOKUP(C3391,Hoja1!$B$2:$B$6191,Hoja1!$A$2:$A$6191),VLOOKUP(C3391,Hoja1!$B$1:$C$6191,2,0)),"No esta en Infor")</f>
        <v>INT0006</v>
      </c>
      <c r="C3391" s="3" t="s">
        <v>132</v>
      </c>
      <c r="D3391" s="4">
        <v>149208.82999999999</v>
      </c>
      <c r="E3391" s="3"/>
      <c r="F3391" s="4">
        <v>51485.57</v>
      </c>
      <c r="G3391" s="4">
        <v>127729.71</v>
      </c>
      <c r="H3391" s="4">
        <v>26147.18</v>
      </c>
      <c r="I3391" s="4">
        <v>20763.86</v>
      </c>
      <c r="J3391" s="18">
        <f t="shared" si="12"/>
        <v>375335.14999999997</v>
      </c>
    </row>
    <row r="3392" spans="1:10" ht="15.75" x14ac:dyDescent="0.25">
      <c r="A3392" s="21">
        <v>45626</v>
      </c>
      <c r="B3392" t="str">
        <f>IFERROR(IF(VLOOKUP(C3392,Hoja1!$B$1:$C$6191,2,0)="",_xlfn.XLOOKUP(C3392,Hoja1!$B$2:$B$6191,Hoja1!$A$2:$A$6191),VLOOKUP(C3392,Hoja1!$B$1:$C$6191,2,0)),"No esta en Infor")</f>
        <v>INT0002</v>
      </c>
      <c r="C3392" s="3" t="s">
        <v>133</v>
      </c>
      <c r="D3392" s="4">
        <v>128218.97</v>
      </c>
      <c r="E3392" s="3"/>
      <c r="F3392" s="4">
        <v>-3500</v>
      </c>
      <c r="G3392" s="3">
        <v>0</v>
      </c>
      <c r="H3392" s="3">
        <v>0</v>
      </c>
      <c r="I3392" s="3">
        <v>0</v>
      </c>
      <c r="J3392" s="18">
        <f t="shared" si="12"/>
        <v>124718.97</v>
      </c>
    </row>
    <row r="3393" spans="1:10" ht="15.75" x14ac:dyDescent="0.25">
      <c r="A3393" s="21">
        <v>45626</v>
      </c>
      <c r="B3393" t="str">
        <f>IFERROR(IF(VLOOKUP(C3393,Hoja1!$B$1:$C$6191,2,0)="",_xlfn.XLOOKUP(C3393,Hoja1!$B$2:$B$6191,Hoja1!$A$2:$A$6191),VLOOKUP(C3393,Hoja1!$B$1:$C$6191,2,0)),"No esta en Infor")</f>
        <v>INT0001</v>
      </c>
      <c r="C3393" s="3" t="s">
        <v>134</v>
      </c>
      <c r="D3393" s="4">
        <v>259305.69</v>
      </c>
      <c r="E3393" s="3"/>
      <c r="F3393" s="4">
        <v>2483.31</v>
      </c>
      <c r="G3393" s="3">
        <v>0</v>
      </c>
      <c r="H3393" s="3">
        <v>0</v>
      </c>
      <c r="I3393" s="3">
        <v>-531.94000000000005</v>
      </c>
      <c r="J3393" s="18">
        <f t="shared" si="12"/>
        <v>261257.06</v>
      </c>
    </row>
    <row r="3394" spans="1:10" ht="15.75" x14ac:dyDescent="0.25">
      <c r="A3394" s="21">
        <v>45626</v>
      </c>
      <c r="B3394" t="str">
        <f>IFERROR(IF(VLOOKUP(C3394,Hoja1!$B$1:$C$6191,2,0)="",_xlfn.XLOOKUP(C3394,Hoja1!$B$2:$B$6191,Hoja1!$A$2:$A$6191),VLOOKUP(C3394,Hoja1!$B$1:$C$6191,2,0)),"No esta en Infor")</f>
        <v>INT0065</v>
      </c>
      <c r="C3394" s="3" t="s">
        <v>135</v>
      </c>
      <c r="D3394" s="4">
        <v>43124.34</v>
      </c>
      <c r="E3394" s="3"/>
      <c r="F3394" s="4">
        <v>17969.419999999998</v>
      </c>
      <c r="G3394" s="3">
        <v>0</v>
      </c>
      <c r="H3394" s="4">
        <v>-17969.419999999998</v>
      </c>
      <c r="I3394" s="3">
        <v>0</v>
      </c>
      <c r="J3394" s="18">
        <f t="shared" si="12"/>
        <v>43124.34</v>
      </c>
    </row>
    <row r="3395" spans="1:10" ht="15.75" x14ac:dyDescent="0.25">
      <c r="A3395" s="21">
        <v>45626</v>
      </c>
      <c r="B3395" t="str">
        <f>IFERROR(IF(VLOOKUP(C3395,Hoja1!$B$1:$C$6191,2,0)="",_xlfn.XLOOKUP(C3395,Hoja1!$B$2:$B$6191,Hoja1!$A$2:$A$6191),VLOOKUP(C3395,Hoja1!$B$1:$C$6191,2,0)),"No esta en Infor")</f>
        <v>INT0009</v>
      </c>
      <c r="C3395" s="3" t="s">
        <v>658</v>
      </c>
      <c r="D3395" s="4">
        <v>31840.94</v>
      </c>
      <c r="E3395" s="3"/>
      <c r="F3395" s="3">
        <v>0</v>
      </c>
      <c r="G3395" s="3">
        <v>0</v>
      </c>
      <c r="H3395" s="4">
        <v>-14950</v>
      </c>
      <c r="I3395" s="3">
        <v>0</v>
      </c>
      <c r="J3395" s="18">
        <f t="shared" si="12"/>
        <v>16890.939999999999</v>
      </c>
    </row>
    <row r="3396" spans="1:10" ht="15.75" x14ac:dyDescent="0.25">
      <c r="A3396" s="21">
        <v>45626</v>
      </c>
      <c r="B3396" t="str">
        <f>IFERROR(IF(VLOOKUP(C3396,Hoja1!$B$1:$C$6191,2,0)="",_xlfn.XLOOKUP(C3396,Hoja1!$B$2:$B$6191,Hoja1!$A$2:$A$6191),VLOOKUP(C3396,Hoja1!$B$1:$C$6191,2,0)),"No esta en Infor")</f>
        <v>INT0060</v>
      </c>
      <c r="C3396" s="3" t="s">
        <v>136</v>
      </c>
      <c r="D3396" s="3">
        <v>49</v>
      </c>
      <c r="E3396" s="3"/>
      <c r="F3396" s="4">
        <v>3927</v>
      </c>
      <c r="G3396" s="4">
        <v>12089.74</v>
      </c>
      <c r="H3396" s="4">
        <v>6341.76</v>
      </c>
      <c r="I3396" s="4">
        <v>20451.93</v>
      </c>
      <c r="J3396" s="18">
        <f t="shared" si="12"/>
        <v>42859.43</v>
      </c>
    </row>
    <row r="3397" spans="1:10" ht="15.75" x14ac:dyDescent="0.25">
      <c r="A3397" s="21">
        <v>45626</v>
      </c>
      <c r="B3397" t="str">
        <f>IFERROR(IF(VLOOKUP(C3397,Hoja1!$B$1:$C$6191,2,0)="",_xlfn.XLOOKUP(C3397,Hoja1!$B$2:$B$6191,Hoja1!$A$2:$A$6191),VLOOKUP(C3397,Hoja1!$B$1:$C$6191,2,0)),"No esta en Infor")</f>
        <v>INT0064</v>
      </c>
      <c r="C3397" s="3" t="s">
        <v>659</v>
      </c>
      <c r="D3397" s="3">
        <v>338.78</v>
      </c>
      <c r="E3397" s="3"/>
      <c r="F3397" s="3">
        <v>0</v>
      </c>
      <c r="G3397" s="3">
        <v>0</v>
      </c>
      <c r="H3397" s="3">
        <v>0</v>
      </c>
      <c r="I3397" s="3">
        <v>0</v>
      </c>
      <c r="J3397" s="18">
        <f t="shared" si="12"/>
        <v>338.78</v>
      </c>
    </row>
    <row r="3398" spans="1:10" ht="15.75" x14ac:dyDescent="0.25">
      <c r="A3398" s="21">
        <v>45626</v>
      </c>
      <c r="B3398" t="str">
        <f>IFERROR(IF(VLOOKUP(C3398,Hoja1!$B$1:$C$6191,2,0)="",_xlfn.XLOOKUP(C3398,Hoja1!$B$2:$B$6191,Hoja1!$A$2:$A$6191),VLOOKUP(C3398,Hoja1!$B$1:$C$6191,2,0)),"No esta en Infor")</f>
        <v>NAC0706</v>
      </c>
      <c r="C3398" s="3" t="s">
        <v>139</v>
      </c>
      <c r="D3398" s="4">
        <v>6937</v>
      </c>
      <c r="E3398" s="3"/>
      <c r="F3398" s="3">
        <v>0</v>
      </c>
      <c r="G3398" s="3">
        <v>0</v>
      </c>
      <c r="H3398" s="3">
        <v>0</v>
      </c>
      <c r="I3398" s="3">
        <v>0</v>
      </c>
      <c r="J3398" s="18">
        <f t="shared" si="12"/>
        <v>6937</v>
      </c>
    </row>
    <row r="3399" spans="1:10" ht="15.75" x14ac:dyDescent="0.25">
      <c r="A3399" s="21">
        <v>45626</v>
      </c>
      <c r="B3399" t="str">
        <f>IFERROR(IF(VLOOKUP(C3399,Hoja1!$B$1:$C$6191,2,0)="",_xlfn.XLOOKUP(C3399,Hoja1!$B$2:$B$6191,Hoja1!$A$2:$A$6191),VLOOKUP(C3399,Hoja1!$B$1:$C$6191,2,0)),"No esta en Infor")</f>
        <v>NAC0710</v>
      </c>
      <c r="C3399" s="3" t="s">
        <v>140</v>
      </c>
      <c r="D3399" s="3">
        <v>-322</v>
      </c>
      <c r="E3399" s="3"/>
      <c r="F3399" s="3">
        <v>0</v>
      </c>
      <c r="G3399" s="3">
        <v>0</v>
      </c>
      <c r="H3399" s="3">
        <v>0</v>
      </c>
      <c r="I3399" s="3">
        <v>0</v>
      </c>
      <c r="J3399" s="18">
        <f t="shared" si="12"/>
        <v>-322</v>
      </c>
    </row>
    <row r="3400" spans="1:10" ht="15.75" x14ac:dyDescent="0.25">
      <c r="A3400" s="21">
        <v>45626</v>
      </c>
      <c r="B3400" t="str">
        <f>IFERROR(IF(VLOOKUP(C3400,Hoja1!$B$1:$C$6191,2,0)="",_xlfn.XLOOKUP(C3400,Hoja1!$B$2:$B$6191,Hoja1!$A$2:$A$6191),VLOOKUP(C3400,Hoja1!$B$1:$C$6191,2,0)),"No esta en Infor")</f>
        <v>CAN0014</v>
      </c>
      <c r="C3400" s="3" t="s">
        <v>141</v>
      </c>
      <c r="D3400" s="4">
        <v>1960</v>
      </c>
      <c r="E3400" s="3"/>
      <c r="F3400" s="3">
        <v>0</v>
      </c>
      <c r="G3400" s="3">
        <v>0</v>
      </c>
      <c r="H3400" s="3">
        <v>0</v>
      </c>
      <c r="I3400" s="3">
        <v>0</v>
      </c>
      <c r="J3400" s="18">
        <f t="shared" si="12"/>
        <v>1960</v>
      </c>
    </row>
    <row r="3401" spans="1:10" ht="15.75" x14ac:dyDescent="0.25">
      <c r="A3401" s="21">
        <v>45626</v>
      </c>
      <c r="B3401" t="str">
        <f>IFERROR(IF(VLOOKUP(C3401,Hoja1!$B$1:$C$6191,2,0)="",_xlfn.XLOOKUP(C3401,Hoja1!$B$2:$B$6191,Hoja1!$A$2:$A$6191),VLOOKUP(C3401,Hoja1!$B$1:$C$6191,2,0)),"No esta en Infor")</f>
        <v>NAC0712</v>
      </c>
      <c r="C3401" s="3" t="s">
        <v>142</v>
      </c>
      <c r="D3401" s="4">
        <v>50052</v>
      </c>
      <c r="E3401" s="3"/>
      <c r="F3401" s="3">
        <v>0</v>
      </c>
      <c r="G3401" s="3">
        <v>0</v>
      </c>
      <c r="H3401" s="3">
        <v>0</v>
      </c>
      <c r="I3401" s="3">
        <v>0</v>
      </c>
      <c r="J3401" s="18">
        <f t="shared" si="12"/>
        <v>50052</v>
      </c>
    </row>
    <row r="3402" spans="1:10" ht="15.75" x14ac:dyDescent="0.25">
      <c r="A3402" s="21">
        <v>45626</v>
      </c>
      <c r="B3402" t="str">
        <f>IFERROR(IF(VLOOKUP(C3402,Hoja1!$B$1:$C$6191,2,0)="",_xlfn.XLOOKUP(C3402,Hoja1!$B$2:$B$6191,Hoja1!$A$2:$A$6191),VLOOKUP(C3402,Hoja1!$B$1:$C$6191,2,0)),"No esta en Infor")</f>
        <v>SH00642</v>
      </c>
      <c r="C3402" s="3" t="s">
        <v>144</v>
      </c>
      <c r="D3402" s="3">
        <v>0</v>
      </c>
      <c r="E3402" s="3"/>
      <c r="F3402" s="3">
        <v>0</v>
      </c>
      <c r="G3402" s="3">
        <v>0</v>
      </c>
      <c r="H3402" s="3">
        <v>-290.49</v>
      </c>
      <c r="I3402" s="3">
        <v>0</v>
      </c>
      <c r="J3402" s="18">
        <f t="shared" si="12"/>
        <v>-290.49</v>
      </c>
    </row>
    <row r="3403" spans="1:10" ht="15.75" x14ac:dyDescent="0.25">
      <c r="A3403" s="21">
        <v>45626</v>
      </c>
      <c r="B3403" t="str">
        <f>IFERROR(IF(VLOOKUP(C3403,Hoja1!$B$1:$C$6191,2,0)="",_xlfn.XLOOKUP(C3403,Hoja1!$B$2:$B$6191,Hoja1!$A$2:$A$6191),VLOOKUP(C3403,Hoja1!$B$1:$C$6191,2,0)),"No esta en Infor")</f>
        <v>SH03294</v>
      </c>
      <c r="C3403" s="3" t="s">
        <v>813</v>
      </c>
      <c r="D3403" s="3">
        <v>1.51</v>
      </c>
      <c r="E3403" s="3"/>
      <c r="F3403" s="3">
        <v>0</v>
      </c>
      <c r="G3403" s="3">
        <v>0</v>
      </c>
      <c r="H3403" s="3">
        <v>0</v>
      </c>
      <c r="I3403" s="3">
        <v>0</v>
      </c>
      <c r="J3403" s="18">
        <f t="shared" si="12"/>
        <v>1.51</v>
      </c>
    </row>
    <row r="3404" spans="1:10" ht="15.75" x14ac:dyDescent="0.25">
      <c r="A3404" s="21">
        <v>45626</v>
      </c>
      <c r="B3404" t="str">
        <f>IFERROR(IF(VLOOKUP(C3404,Hoja1!$B$1:$C$6191,2,0)="",_xlfn.XLOOKUP(C3404,Hoja1!$B$2:$B$6191,Hoja1!$A$2:$A$6191),VLOOKUP(C3404,Hoja1!$B$1:$C$6191,2,0)),"No esta en Infor")</f>
        <v>NAC0726</v>
      </c>
      <c r="C3404" s="3" t="s">
        <v>147</v>
      </c>
      <c r="D3404" s="4">
        <v>24619.599999999999</v>
      </c>
      <c r="E3404" s="3"/>
      <c r="F3404" s="3">
        <v>0</v>
      </c>
      <c r="G3404" s="3">
        <v>0</v>
      </c>
      <c r="H3404" s="3">
        <v>0</v>
      </c>
      <c r="I3404" s="3">
        <v>0</v>
      </c>
      <c r="J3404" s="18">
        <f t="shared" si="12"/>
        <v>24619.599999999999</v>
      </c>
    </row>
    <row r="3405" spans="1:10" ht="15.75" x14ac:dyDescent="0.25">
      <c r="A3405" s="21">
        <v>45626</v>
      </c>
      <c r="B3405" t="str">
        <f>IFERROR(IF(VLOOKUP(C3405,Hoja1!$B$1:$C$6191,2,0)="",_xlfn.XLOOKUP(C3405,Hoja1!$B$2:$B$6191,Hoja1!$A$2:$A$6191),VLOOKUP(C3405,Hoja1!$B$1:$C$6191,2,0)),"No esta en Infor")</f>
        <v>NAC0732</v>
      </c>
      <c r="C3405" s="3" t="s">
        <v>778</v>
      </c>
      <c r="D3405" s="4">
        <v>1500</v>
      </c>
      <c r="E3405" s="3"/>
      <c r="F3405" s="3">
        <v>0</v>
      </c>
      <c r="G3405" s="3">
        <v>0</v>
      </c>
      <c r="H3405" s="3">
        <v>0</v>
      </c>
      <c r="I3405" s="3">
        <v>0</v>
      </c>
      <c r="J3405" s="18">
        <f t="shared" si="12"/>
        <v>1500</v>
      </c>
    </row>
    <row r="3406" spans="1:10" ht="15.75" x14ac:dyDescent="0.25">
      <c r="A3406" s="21">
        <v>45626</v>
      </c>
      <c r="B3406" t="str">
        <f>IFERROR(IF(VLOOKUP(C3406,Hoja1!$B$1:$C$6191,2,0)="",_xlfn.XLOOKUP(C3406,Hoja1!$B$2:$B$6191,Hoja1!$A$2:$A$6191),VLOOKUP(C3406,Hoja1!$B$1:$C$6191,2,0)),"No esta en Infor")</f>
        <v>NAC0733</v>
      </c>
      <c r="C3406" s="3" t="s">
        <v>660</v>
      </c>
      <c r="D3406" s="4">
        <v>6357</v>
      </c>
      <c r="E3406" s="3"/>
      <c r="F3406" s="3">
        <v>0</v>
      </c>
      <c r="G3406" s="3">
        <v>0</v>
      </c>
      <c r="H3406" s="3">
        <v>0</v>
      </c>
      <c r="I3406" s="3">
        <v>0</v>
      </c>
      <c r="J3406" s="18">
        <f t="shared" si="12"/>
        <v>6357</v>
      </c>
    </row>
    <row r="3407" spans="1:10" ht="15.75" x14ac:dyDescent="0.25">
      <c r="A3407" s="21">
        <v>45626</v>
      </c>
      <c r="B3407" t="str">
        <f>IFERROR(IF(VLOOKUP(C3407,Hoja1!$B$1:$C$6191,2,0)="",_xlfn.XLOOKUP(C3407,Hoja1!$B$2:$B$6191,Hoja1!$A$2:$A$6191),VLOOKUP(C3407,Hoja1!$B$1:$C$6191,2,0)),"No esta en Infor")</f>
        <v>NAC0740</v>
      </c>
      <c r="C3407" s="3" t="s">
        <v>151</v>
      </c>
      <c r="D3407" s="3">
        <v>0</v>
      </c>
      <c r="E3407" s="3"/>
      <c r="F3407" s="3">
        <v>0</v>
      </c>
      <c r="G3407" s="3">
        <v>60</v>
      </c>
      <c r="H3407" s="3">
        <v>0</v>
      </c>
      <c r="I3407" s="3">
        <v>96.38</v>
      </c>
      <c r="J3407" s="18">
        <f t="shared" si="12"/>
        <v>156.38</v>
      </c>
    </row>
    <row r="3408" spans="1:10" ht="15.75" x14ac:dyDescent="0.25">
      <c r="A3408" s="21">
        <v>45626</v>
      </c>
      <c r="B3408" t="str">
        <f>IFERROR(IF(VLOOKUP(C3408,Hoja1!$B$1:$C$6191,2,0)="",_xlfn.XLOOKUP(C3408,Hoja1!$B$2:$B$6191,Hoja1!$A$2:$A$6191),VLOOKUP(C3408,Hoja1!$B$1:$C$6191,2,0)),"No esta en Infor")</f>
        <v>NAC1608</v>
      </c>
      <c r="C3408" s="3" t="s">
        <v>538</v>
      </c>
      <c r="D3408" s="4">
        <v>3976.92</v>
      </c>
      <c r="E3408" s="3"/>
      <c r="F3408" s="3">
        <v>0</v>
      </c>
      <c r="G3408" s="3">
        <v>-62.57</v>
      </c>
      <c r="H3408" s="3">
        <v>0</v>
      </c>
      <c r="I3408" s="3">
        <v>-308</v>
      </c>
      <c r="J3408" s="18">
        <f t="shared" si="12"/>
        <v>3606.35</v>
      </c>
    </row>
    <row r="3409" spans="1:10" ht="15.75" x14ac:dyDescent="0.25">
      <c r="A3409" s="21">
        <v>45626</v>
      </c>
      <c r="B3409" t="str">
        <f>IFERROR(IF(VLOOKUP(C3409,Hoja1!$B$1:$C$6191,2,0)="",_xlfn.XLOOKUP(C3409,Hoja1!$B$2:$B$6191,Hoja1!$A$2:$A$6191),VLOOKUP(C3409,Hoja1!$B$1:$C$6191,2,0)),"No esta en Infor")</f>
        <v>NAC0759</v>
      </c>
      <c r="C3409" s="3" t="s">
        <v>581</v>
      </c>
      <c r="D3409" s="3">
        <v>0</v>
      </c>
      <c r="E3409" s="3"/>
      <c r="F3409" s="3">
        <v>-16.100000000000001</v>
      </c>
      <c r="G3409" s="3">
        <v>0</v>
      </c>
      <c r="H3409" s="3">
        <v>0</v>
      </c>
      <c r="I3409" s="3">
        <v>0</v>
      </c>
      <c r="J3409" s="18">
        <f t="shared" si="12"/>
        <v>-16.100000000000001</v>
      </c>
    </row>
    <row r="3410" spans="1:10" ht="15.75" x14ac:dyDescent="0.25">
      <c r="A3410" s="21">
        <v>45626</v>
      </c>
      <c r="B3410" t="str">
        <f>IFERROR(IF(VLOOKUP(C3410,Hoja1!$B$1:$C$6191,2,0)="",_xlfn.XLOOKUP(C3410,Hoja1!$B$2:$B$6191,Hoja1!$A$2:$A$6191),VLOOKUP(C3410,Hoja1!$B$1:$C$6191,2,0)),"No esta en Infor")</f>
        <v>NAC0756</v>
      </c>
      <c r="C3410" s="3" t="s">
        <v>154</v>
      </c>
      <c r="D3410" s="3">
        <v>0</v>
      </c>
      <c r="E3410" s="3"/>
      <c r="F3410" s="3">
        <v>0</v>
      </c>
      <c r="G3410" s="3">
        <v>0</v>
      </c>
      <c r="H3410" s="3">
        <v>0</v>
      </c>
      <c r="I3410" s="3">
        <v>-3.79</v>
      </c>
      <c r="J3410" s="18">
        <f t="shared" si="12"/>
        <v>-3.79</v>
      </c>
    </row>
    <row r="3411" spans="1:10" ht="15.75" x14ac:dyDescent="0.25">
      <c r="A3411" s="21">
        <v>45626</v>
      </c>
      <c r="B3411" t="str">
        <f>IFERROR(IF(VLOOKUP(C3411,Hoja1!$B$1:$C$6191,2,0)="",_xlfn.XLOOKUP(C3411,Hoja1!$B$2:$B$6191,Hoja1!$A$2:$A$6191),VLOOKUP(C3411,Hoja1!$B$1:$C$6191,2,0)),"No esta en Infor")</f>
        <v>NAC0767</v>
      </c>
      <c r="C3411" s="3" t="s">
        <v>155</v>
      </c>
      <c r="D3411" s="3">
        <v>0</v>
      </c>
      <c r="E3411" s="3"/>
      <c r="F3411" s="4">
        <v>-6341</v>
      </c>
      <c r="G3411" s="4">
        <v>-4416</v>
      </c>
      <c r="H3411" s="3">
        <v>0</v>
      </c>
      <c r="I3411" s="4">
        <v>-20987.9</v>
      </c>
      <c r="J3411" s="18">
        <f t="shared" si="12"/>
        <v>-31744.9</v>
      </c>
    </row>
    <row r="3412" spans="1:10" ht="15.75" x14ac:dyDescent="0.25">
      <c r="A3412" s="21">
        <v>45626</v>
      </c>
      <c r="B3412" t="str">
        <f>IFERROR(IF(VLOOKUP(C3412,Hoja1!$B$1:$C$6191,2,0)="",_xlfn.XLOOKUP(C3412,Hoja1!$B$2:$B$6191,Hoja1!$A$2:$A$6191),VLOOKUP(C3412,Hoja1!$B$1:$C$6191,2,0)),"No esta en Infor")</f>
        <v>NAC0769</v>
      </c>
      <c r="C3412" s="3" t="s">
        <v>156</v>
      </c>
      <c r="D3412" s="4">
        <v>31620</v>
      </c>
      <c r="E3412" s="3"/>
      <c r="F3412" s="3">
        <v>0</v>
      </c>
      <c r="G3412" s="3">
        <v>-297.89</v>
      </c>
      <c r="H3412" s="3">
        <v>0</v>
      </c>
      <c r="I3412" s="3">
        <v>0</v>
      </c>
      <c r="J3412" s="18">
        <f t="shared" si="12"/>
        <v>31322.11</v>
      </c>
    </row>
    <row r="3413" spans="1:10" ht="15.75" x14ac:dyDescent="0.25">
      <c r="A3413" s="21">
        <v>45626</v>
      </c>
      <c r="B3413" t="str">
        <f>IFERROR(IF(VLOOKUP(C3413,Hoja1!$B$1:$C$6191,2,0)="",_xlfn.XLOOKUP(C3413,Hoja1!$B$2:$B$6191,Hoja1!$A$2:$A$6191),VLOOKUP(C3413,Hoja1!$B$1:$C$6191,2,0)),"No esta en Infor")</f>
        <v>SH03288</v>
      </c>
      <c r="C3413" s="3" t="s">
        <v>809</v>
      </c>
      <c r="D3413" s="3">
        <v>3.46</v>
      </c>
      <c r="E3413" s="3"/>
      <c r="F3413" s="3">
        <v>0</v>
      </c>
      <c r="G3413" s="3">
        <v>0</v>
      </c>
      <c r="H3413" s="3">
        <v>0</v>
      </c>
      <c r="I3413" s="3">
        <v>0</v>
      </c>
      <c r="J3413" s="18">
        <f t="shared" si="12"/>
        <v>3.46</v>
      </c>
    </row>
    <row r="3414" spans="1:10" ht="15.75" x14ac:dyDescent="0.25">
      <c r="A3414" s="21">
        <v>45626</v>
      </c>
      <c r="B3414" t="str">
        <f>IFERROR(IF(VLOOKUP(C3414,Hoja1!$B$1:$C$6191,2,0)="",_xlfn.XLOOKUP(C3414,Hoja1!$B$2:$B$6191,Hoja1!$A$2:$A$6191),VLOOKUP(C3414,Hoja1!$B$1:$C$6191,2,0)),"No esta en Infor")</f>
        <v>NAC0770</v>
      </c>
      <c r="C3414" s="3" t="s">
        <v>616</v>
      </c>
      <c r="D3414" s="3">
        <v>155.52000000000001</v>
      </c>
      <c r="E3414" s="3"/>
      <c r="F3414" s="3">
        <v>0</v>
      </c>
      <c r="G3414" s="3">
        <v>0</v>
      </c>
      <c r="H3414" s="3">
        <v>0</v>
      </c>
      <c r="I3414" s="3">
        <v>0</v>
      </c>
      <c r="J3414" s="18">
        <f t="shared" si="12"/>
        <v>155.52000000000001</v>
      </c>
    </row>
    <row r="3415" spans="1:10" ht="15.75" x14ac:dyDescent="0.25">
      <c r="A3415" s="21">
        <v>45626</v>
      </c>
      <c r="B3415" t="str">
        <f>IFERROR(IF(VLOOKUP(C3415,Hoja1!$B$1:$C$6191,2,0)="",_xlfn.XLOOKUP(C3415,Hoja1!$B$2:$B$6191,Hoja1!$A$2:$A$6191),VLOOKUP(C3415,Hoja1!$B$1:$C$6191,2,0)),"No esta en Infor")</f>
        <v>SH03290</v>
      </c>
      <c r="C3415" s="3" t="s">
        <v>810</v>
      </c>
      <c r="D3415" s="3">
        <v>2.88</v>
      </c>
      <c r="E3415" s="3"/>
      <c r="F3415" s="3">
        <v>0</v>
      </c>
      <c r="G3415" s="3">
        <v>0</v>
      </c>
      <c r="H3415" s="3">
        <v>0</v>
      </c>
      <c r="I3415" s="3">
        <v>0</v>
      </c>
      <c r="J3415" s="18">
        <f t="shared" si="12"/>
        <v>2.88</v>
      </c>
    </row>
    <row r="3416" spans="1:10" ht="15.75" x14ac:dyDescent="0.25">
      <c r="A3416" s="21">
        <v>45626</v>
      </c>
      <c r="B3416" t="str">
        <f>IFERROR(IF(VLOOKUP(C3416,Hoja1!$B$1:$C$6191,2,0)="",_xlfn.XLOOKUP(C3416,Hoja1!$B$2:$B$6191,Hoja1!$A$2:$A$6191),VLOOKUP(C3416,Hoja1!$B$1:$C$6191,2,0)),"No esta en Infor")</f>
        <v>NAC0778</v>
      </c>
      <c r="C3416" s="3" t="s">
        <v>159</v>
      </c>
      <c r="D3416" s="4">
        <v>3596.22</v>
      </c>
      <c r="E3416" s="3"/>
      <c r="F3416" s="3">
        <v>0</v>
      </c>
      <c r="G3416" s="3">
        <v>0</v>
      </c>
      <c r="H3416" s="3">
        <v>0</v>
      </c>
      <c r="I3416" s="3">
        <v>-781.38</v>
      </c>
      <c r="J3416" s="18">
        <f t="shared" si="12"/>
        <v>2814.8399999999997</v>
      </c>
    </row>
    <row r="3417" spans="1:10" ht="15.75" x14ac:dyDescent="0.25">
      <c r="A3417" s="21">
        <v>45626</v>
      </c>
      <c r="B3417" t="str">
        <f>IFERROR(IF(VLOOKUP(C3417,Hoja1!$B$1:$C$6191,2,0)="",_xlfn.XLOOKUP(C3417,Hoja1!$B$2:$B$6191,Hoja1!$A$2:$A$6191),VLOOKUP(C3417,Hoja1!$B$1:$C$6191,2,0)),"No esta en Infor")</f>
        <v>NAC0780</v>
      </c>
      <c r="C3417" s="3" t="s">
        <v>161</v>
      </c>
      <c r="D3417" s="4">
        <v>5306</v>
      </c>
      <c r="E3417" s="3"/>
      <c r="F3417" s="3">
        <v>0</v>
      </c>
      <c r="G3417" s="3">
        <v>0</v>
      </c>
      <c r="H3417" s="3">
        <v>0</v>
      </c>
      <c r="I3417" s="3">
        <v>0</v>
      </c>
      <c r="J3417" s="18">
        <f t="shared" si="12"/>
        <v>5306</v>
      </c>
    </row>
    <row r="3418" spans="1:10" ht="15.75" x14ac:dyDescent="0.25">
      <c r="A3418" s="21">
        <v>45626</v>
      </c>
      <c r="B3418" t="str">
        <f>IFERROR(IF(VLOOKUP(C3418,Hoja1!$B$1:$C$6191,2,0)="",_xlfn.XLOOKUP(C3418,Hoja1!$B$2:$B$6191,Hoja1!$A$2:$A$6191),VLOOKUP(C3418,Hoja1!$B$1:$C$6191,2,0)),"No esta en Infor")</f>
        <v>NAC0781</v>
      </c>
      <c r="C3418" s="3" t="s">
        <v>162</v>
      </c>
      <c r="D3418" s="3">
        <v>156</v>
      </c>
      <c r="E3418" s="3"/>
      <c r="F3418" s="3">
        <v>0</v>
      </c>
      <c r="G3418" s="3">
        <v>0</v>
      </c>
      <c r="H3418" s="3">
        <v>-340</v>
      </c>
      <c r="I3418" s="3">
        <v>-390</v>
      </c>
      <c r="J3418" s="18">
        <f t="shared" si="12"/>
        <v>-574</v>
      </c>
    </row>
    <row r="3419" spans="1:10" ht="15.75" x14ac:dyDescent="0.25">
      <c r="A3419" s="21">
        <v>45626</v>
      </c>
      <c r="B3419" t="str">
        <f>IFERROR(IF(VLOOKUP(C3419,Hoja1!$B$1:$C$6191,2,0)="",_xlfn.XLOOKUP(C3419,Hoja1!$B$2:$B$6191,Hoja1!$A$2:$A$6191),VLOOKUP(C3419,Hoja1!$B$1:$C$6191,2,0)),"No esta en Infor")</f>
        <v>NAC0792</v>
      </c>
      <c r="C3419" s="3" t="s">
        <v>164</v>
      </c>
      <c r="D3419" s="4">
        <v>60043.7</v>
      </c>
      <c r="E3419" s="3"/>
      <c r="F3419" s="3">
        <v>0</v>
      </c>
      <c r="G3419" s="3">
        <v>0</v>
      </c>
      <c r="H3419" s="3">
        <v>0</v>
      </c>
      <c r="I3419" s="3">
        <v>0</v>
      </c>
      <c r="J3419" s="18">
        <f t="shared" si="12"/>
        <v>60043.7</v>
      </c>
    </row>
    <row r="3420" spans="1:10" ht="15.75" x14ac:dyDescent="0.25">
      <c r="A3420" s="21">
        <v>45626</v>
      </c>
      <c r="B3420" t="str">
        <f>IFERROR(IF(VLOOKUP(C3420,Hoja1!$B$1:$C$6191,2,0)="",_xlfn.XLOOKUP(C3420,Hoja1!$B$2:$B$6191,Hoja1!$A$2:$A$6191),VLOOKUP(C3420,Hoja1!$B$1:$C$6191,2,0)),"No esta en Infor")</f>
        <v>NAC1612</v>
      </c>
      <c r="C3420" s="3" t="s">
        <v>663</v>
      </c>
      <c r="D3420" s="3">
        <v>0</v>
      </c>
      <c r="E3420" s="3"/>
      <c r="F3420" s="3">
        <v>0</v>
      </c>
      <c r="G3420" s="3">
        <v>0</v>
      </c>
      <c r="H3420" s="3">
        <v>-0.02</v>
      </c>
      <c r="I3420" s="3">
        <v>0</v>
      </c>
      <c r="J3420" s="18">
        <f t="shared" si="12"/>
        <v>-0.02</v>
      </c>
    </row>
    <row r="3421" spans="1:10" ht="15.75" x14ac:dyDescent="0.25">
      <c r="A3421" s="21">
        <v>45626</v>
      </c>
      <c r="B3421" t="str">
        <f>IFERROR(IF(VLOOKUP(C3421,Hoja1!$B$1:$C$6191,2,0)="",_xlfn.XLOOKUP(C3421,Hoja1!$B$2:$B$6191,Hoja1!$A$2:$A$6191),VLOOKUP(C3421,Hoja1!$B$1:$C$6191,2,0)),"No esta en Infor")</f>
        <v>NAC0796</v>
      </c>
      <c r="C3421" s="3" t="s">
        <v>395</v>
      </c>
      <c r="D3421" s="4">
        <v>1680.99</v>
      </c>
      <c r="E3421" s="3"/>
      <c r="F3421" s="3">
        <v>0</v>
      </c>
      <c r="G3421" s="3">
        <v>0</v>
      </c>
      <c r="H3421" s="3">
        <v>0</v>
      </c>
      <c r="I3421" s="3">
        <v>0</v>
      </c>
      <c r="J3421" s="18">
        <f t="shared" si="12"/>
        <v>1680.99</v>
      </c>
    </row>
    <row r="3422" spans="1:10" ht="15.75" x14ac:dyDescent="0.25">
      <c r="A3422" s="21">
        <v>45626</v>
      </c>
      <c r="B3422" t="str">
        <f>IFERROR(IF(VLOOKUP(C3422,Hoja1!$B$1:$C$6191,2,0)="",_xlfn.XLOOKUP(C3422,Hoja1!$B$2:$B$6191,Hoja1!$A$2:$A$6191),VLOOKUP(C3422,Hoja1!$B$1:$C$6191,2,0)),"No esta en Infor")</f>
        <v>NAC0800</v>
      </c>
      <c r="C3422" s="3" t="s">
        <v>617</v>
      </c>
      <c r="D3422" s="3">
        <v>0</v>
      </c>
      <c r="E3422" s="3"/>
      <c r="F3422" s="4">
        <v>-1500</v>
      </c>
      <c r="G3422" s="3">
        <v>0</v>
      </c>
      <c r="H3422" s="3">
        <v>0</v>
      </c>
      <c r="I3422" s="3">
        <v>0</v>
      </c>
      <c r="J3422" s="18">
        <f t="shared" si="12"/>
        <v>-1500</v>
      </c>
    </row>
    <row r="3423" spans="1:10" ht="15.75" x14ac:dyDescent="0.25">
      <c r="A3423" s="21">
        <v>45626</v>
      </c>
      <c r="B3423" t="str">
        <f>IFERROR(IF(VLOOKUP(C3423,Hoja1!$B$1:$C$6191,2,0)="",_xlfn.XLOOKUP(C3423,Hoja1!$B$2:$B$6191,Hoja1!$A$2:$A$6191),VLOOKUP(C3423,Hoja1!$B$1:$C$6191,2,0)),"No esta en Infor")</f>
        <v>NAC0801</v>
      </c>
      <c r="C3423" s="3" t="s">
        <v>168</v>
      </c>
      <c r="D3423" s="4">
        <v>1664.44</v>
      </c>
      <c r="E3423" s="3"/>
      <c r="F3423" s="3">
        <v>0</v>
      </c>
      <c r="G3423" s="3">
        <v>0</v>
      </c>
      <c r="H3423" s="3">
        <v>0</v>
      </c>
      <c r="I3423" s="3">
        <v>0</v>
      </c>
      <c r="J3423" s="18">
        <f t="shared" si="12"/>
        <v>1664.44</v>
      </c>
    </row>
    <row r="3424" spans="1:10" ht="15.75" x14ac:dyDescent="0.25">
      <c r="A3424" s="21">
        <v>45626</v>
      </c>
      <c r="B3424" t="str">
        <f>IFERROR(IF(VLOOKUP(C3424,Hoja1!$B$1:$C$6191,2,0)="",_xlfn.XLOOKUP(C3424,Hoja1!$B$2:$B$6191,Hoja1!$A$2:$A$6191),VLOOKUP(C3424,Hoja1!$B$1:$C$6191,2,0)),"No esta en Infor")</f>
        <v>SH03349</v>
      </c>
      <c r="C3424" s="3" t="s">
        <v>821</v>
      </c>
      <c r="D3424" s="3">
        <v>54.5</v>
      </c>
      <c r="E3424" s="3"/>
      <c r="F3424" s="3">
        <v>0</v>
      </c>
      <c r="G3424" s="3">
        <v>0</v>
      </c>
      <c r="H3424" s="3">
        <v>0</v>
      </c>
      <c r="I3424" s="3">
        <v>0</v>
      </c>
      <c r="J3424" s="18">
        <f t="shared" si="12"/>
        <v>54.5</v>
      </c>
    </row>
    <row r="3425" spans="1:10" ht="15.75" x14ac:dyDescent="0.25">
      <c r="A3425" s="21">
        <v>45626</v>
      </c>
      <c r="B3425" t="str">
        <f>IFERROR(IF(VLOOKUP(C3425,Hoja1!$B$1:$C$6191,2,0)="",_xlfn.XLOOKUP(C3425,Hoja1!$B$2:$B$6191,Hoja1!$A$2:$A$6191),VLOOKUP(C3425,Hoja1!$B$1:$C$6191,2,0)),"No esta en Infor")</f>
        <v>NAC0804</v>
      </c>
      <c r="C3425" s="3" t="s">
        <v>169</v>
      </c>
      <c r="D3425" s="4">
        <v>2932.74</v>
      </c>
      <c r="E3425" s="3"/>
      <c r="F3425" s="3">
        <v>0</v>
      </c>
      <c r="G3425" s="3">
        <v>0</v>
      </c>
      <c r="H3425" s="3">
        <v>0</v>
      </c>
      <c r="I3425" s="3">
        <v>0</v>
      </c>
      <c r="J3425" s="18">
        <f t="shared" si="12"/>
        <v>2932.74</v>
      </c>
    </row>
    <row r="3426" spans="1:10" ht="15.75" x14ac:dyDescent="0.25">
      <c r="A3426" s="21">
        <v>45626</v>
      </c>
      <c r="B3426" t="str">
        <f>IFERROR(IF(VLOOKUP(C3426,Hoja1!$B$1:$C$6191,2,0)="",_xlfn.XLOOKUP(C3426,Hoja1!$B$2:$B$6191,Hoja1!$A$2:$A$6191),VLOOKUP(C3426,Hoja1!$B$1:$C$6191,2,0)),"No esta en Infor")</f>
        <v>NAC0809</v>
      </c>
      <c r="C3426" s="3" t="s">
        <v>171</v>
      </c>
      <c r="D3426" s="4">
        <v>1112</v>
      </c>
      <c r="E3426" s="3"/>
      <c r="F3426" s="3">
        <v>0</v>
      </c>
      <c r="G3426" s="3">
        <v>0</v>
      </c>
      <c r="H3426" s="3">
        <v>0</v>
      </c>
      <c r="I3426" s="3">
        <v>0</v>
      </c>
      <c r="J3426" s="18">
        <f t="shared" si="12"/>
        <v>1112</v>
      </c>
    </row>
    <row r="3427" spans="1:10" ht="15.75" x14ac:dyDescent="0.25">
      <c r="A3427" s="21">
        <v>45626</v>
      </c>
      <c r="B3427" t="str">
        <f>IFERROR(IF(VLOOKUP(C3427,Hoja1!$B$1:$C$6191,2,0)="",_xlfn.XLOOKUP(C3427,Hoja1!$B$2:$B$6191,Hoja1!$A$2:$A$6191),VLOOKUP(C3427,Hoja1!$B$1:$C$6191,2,0)),"No esta en Infor")</f>
        <v>CAN0019</v>
      </c>
      <c r="C3427" s="3" t="s">
        <v>172</v>
      </c>
      <c r="D3427" s="4">
        <v>14368.69</v>
      </c>
      <c r="E3427" s="3"/>
      <c r="F3427" s="3">
        <v>0</v>
      </c>
      <c r="G3427" s="3">
        <v>0</v>
      </c>
      <c r="H3427" s="3">
        <v>0</v>
      </c>
      <c r="I3427" s="3">
        <v>0</v>
      </c>
      <c r="J3427" s="18">
        <f t="shared" si="12"/>
        <v>14368.69</v>
      </c>
    </row>
    <row r="3428" spans="1:10" ht="15.75" x14ac:dyDescent="0.25">
      <c r="A3428" s="21">
        <v>45626</v>
      </c>
      <c r="B3428" t="str">
        <f>IFERROR(IF(VLOOKUP(C3428,Hoja1!$B$1:$C$6191,2,0)="",_xlfn.XLOOKUP(C3428,Hoja1!$B$2:$B$6191,Hoja1!$A$2:$A$6191),VLOOKUP(C3428,Hoja1!$B$1:$C$6191,2,0)),"No esta en Infor")</f>
        <v>NAC0811</v>
      </c>
      <c r="C3428" s="3" t="s">
        <v>173</v>
      </c>
      <c r="D3428" s="4">
        <v>10412.06</v>
      </c>
      <c r="E3428" s="3"/>
      <c r="F3428" s="3">
        <v>0</v>
      </c>
      <c r="G3428" s="3">
        <v>0</v>
      </c>
      <c r="H3428" s="3">
        <v>0</v>
      </c>
      <c r="I3428" s="3">
        <v>0</v>
      </c>
      <c r="J3428" s="18">
        <f t="shared" ref="J3428:J3491" si="13">SUM(D3428:I3428)</f>
        <v>10412.06</v>
      </c>
    </row>
    <row r="3429" spans="1:10" ht="15.75" x14ac:dyDescent="0.25">
      <c r="A3429" s="21">
        <v>45626</v>
      </c>
      <c r="B3429" t="str">
        <f>IFERROR(IF(VLOOKUP(C3429,Hoja1!$B$1:$C$6191,2,0)="",_xlfn.XLOOKUP(C3429,Hoja1!$B$2:$B$6191,Hoja1!$A$2:$A$6191),VLOOKUP(C3429,Hoja1!$B$1:$C$6191,2,0)),"No esta en Infor")</f>
        <v>No esta en Infor</v>
      </c>
      <c r="C3429" s="3" t="s">
        <v>552</v>
      </c>
      <c r="D3429" s="3">
        <v>0</v>
      </c>
      <c r="E3429" s="3"/>
      <c r="F3429" s="3">
        <v>-6.34</v>
      </c>
      <c r="G3429" s="3">
        <v>0</v>
      </c>
      <c r="H3429" s="3">
        <v>0</v>
      </c>
      <c r="I3429" s="3">
        <v>0</v>
      </c>
      <c r="J3429" s="18">
        <f t="shared" si="13"/>
        <v>-6.34</v>
      </c>
    </row>
    <row r="3430" spans="1:10" ht="15.75" x14ac:dyDescent="0.25">
      <c r="A3430" s="21">
        <v>45626</v>
      </c>
      <c r="B3430" t="str">
        <f>IFERROR(IF(VLOOKUP(C3430,Hoja1!$B$1:$C$6191,2,0)="",_xlfn.XLOOKUP(C3430,Hoja1!$B$2:$B$6191,Hoja1!$A$2:$A$6191),VLOOKUP(C3430,Hoja1!$B$1:$C$6191,2,0)),"No esta en Infor")</f>
        <v>CAN0020</v>
      </c>
      <c r="C3430" s="3" t="s">
        <v>174</v>
      </c>
      <c r="D3430" s="3">
        <v>554.39</v>
      </c>
      <c r="E3430" s="3"/>
      <c r="F3430" s="3">
        <v>-896.09</v>
      </c>
      <c r="G3430" s="3">
        <v>0</v>
      </c>
      <c r="H3430" s="3">
        <v>0</v>
      </c>
      <c r="I3430" s="3">
        <v>0</v>
      </c>
      <c r="J3430" s="18">
        <f t="shared" si="13"/>
        <v>-341.70000000000005</v>
      </c>
    </row>
    <row r="3431" spans="1:10" ht="15.75" x14ac:dyDescent="0.25">
      <c r="A3431" s="21">
        <v>45626</v>
      </c>
      <c r="B3431" t="str">
        <f>IFERROR(IF(VLOOKUP(C3431,Hoja1!$B$1:$C$6191,2,0)="",_xlfn.XLOOKUP(C3431,Hoja1!$B$2:$B$6191,Hoja1!$A$2:$A$6191),VLOOKUP(C3431,Hoja1!$B$1:$C$6191,2,0)),"No esta en Infor")</f>
        <v>NAC0816</v>
      </c>
      <c r="C3431" s="3" t="s">
        <v>176</v>
      </c>
      <c r="D3431" s="3">
        <v>783.4</v>
      </c>
      <c r="E3431" s="3"/>
      <c r="F3431" s="3">
        <v>-31.9</v>
      </c>
      <c r="G3431" s="3">
        <v>0</v>
      </c>
      <c r="H3431" s="3">
        <v>0</v>
      </c>
      <c r="I3431" s="3">
        <v>0</v>
      </c>
      <c r="J3431" s="18">
        <f t="shared" si="13"/>
        <v>751.5</v>
      </c>
    </row>
    <row r="3432" spans="1:10" ht="15.75" x14ac:dyDescent="0.25">
      <c r="A3432" s="21">
        <v>45626</v>
      </c>
      <c r="B3432" t="str">
        <f>IFERROR(IF(VLOOKUP(C3432,Hoja1!$B$1:$C$6191,2,0)="",_xlfn.XLOOKUP(C3432,Hoja1!$B$2:$B$6191,Hoja1!$A$2:$A$6191),VLOOKUP(C3432,Hoja1!$B$1:$C$6191,2,0)),"No esta en Infor")</f>
        <v>NAC0825</v>
      </c>
      <c r="C3432" s="3" t="s">
        <v>179</v>
      </c>
      <c r="D3432" s="4">
        <v>75778.75</v>
      </c>
      <c r="E3432" s="3"/>
      <c r="F3432" s="3">
        <v>0</v>
      </c>
      <c r="G3432" s="3">
        <v>0</v>
      </c>
      <c r="H3432" s="3">
        <v>0</v>
      </c>
      <c r="I3432" s="3">
        <v>0</v>
      </c>
      <c r="J3432" s="18">
        <f t="shared" si="13"/>
        <v>75778.75</v>
      </c>
    </row>
    <row r="3433" spans="1:10" ht="15.75" x14ac:dyDescent="0.25">
      <c r="A3433" s="21">
        <v>45626</v>
      </c>
      <c r="B3433" t="str">
        <f>IFERROR(IF(VLOOKUP(C3433,Hoja1!$B$1:$C$6191,2,0)="",_xlfn.XLOOKUP(C3433,Hoja1!$B$2:$B$6191,Hoja1!$A$2:$A$6191),VLOOKUP(C3433,Hoja1!$B$1:$C$6191,2,0)),"No esta en Infor")</f>
        <v>NAC0847</v>
      </c>
      <c r="C3433" s="3" t="s">
        <v>184</v>
      </c>
      <c r="D3433" s="3">
        <v>0</v>
      </c>
      <c r="E3433" s="3"/>
      <c r="F3433" s="3">
        <v>0</v>
      </c>
      <c r="G3433" s="3">
        <v>0</v>
      </c>
      <c r="H3433" s="3">
        <v>0</v>
      </c>
      <c r="I3433" s="3">
        <v>-1</v>
      </c>
      <c r="J3433" s="18">
        <f t="shared" si="13"/>
        <v>-1</v>
      </c>
    </row>
    <row r="3434" spans="1:10" ht="15.75" x14ac:dyDescent="0.25">
      <c r="A3434" s="21">
        <v>45626</v>
      </c>
      <c r="B3434" t="str">
        <f>IFERROR(IF(VLOOKUP(C3434,Hoja1!$B$1:$C$6191,2,0)="",_xlfn.XLOOKUP(C3434,Hoja1!$B$2:$B$6191,Hoja1!$A$2:$A$6191),VLOOKUP(C3434,Hoja1!$B$1:$C$6191,2,0)),"No esta en Infor")</f>
        <v>NAC0848</v>
      </c>
      <c r="C3434" s="3" t="s">
        <v>498</v>
      </c>
      <c r="D3434" s="4">
        <v>1970.09</v>
      </c>
      <c r="E3434" s="3"/>
      <c r="F3434" s="3">
        <v>0</v>
      </c>
      <c r="G3434" s="3">
        <v>0</v>
      </c>
      <c r="H3434" s="3">
        <v>0</v>
      </c>
      <c r="I3434" s="3">
        <v>0</v>
      </c>
      <c r="J3434" s="18">
        <f t="shared" si="13"/>
        <v>1970.09</v>
      </c>
    </row>
    <row r="3435" spans="1:10" ht="15.75" x14ac:dyDescent="0.25">
      <c r="A3435" s="21">
        <v>45626</v>
      </c>
      <c r="B3435" t="str">
        <f>IFERROR(IF(VLOOKUP(C3435,Hoja1!$B$1:$C$6191,2,0)="",_xlfn.XLOOKUP(C3435,Hoja1!$B$2:$B$6191,Hoja1!$A$2:$A$6191),VLOOKUP(C3435,Hoja1!$B$1:$C$6191,2,0)),"No esta en Infor")</f>
        <v>SH03084</v>
      </c>
      <c r="C3435" s="3" t="s">
        <v>721</v>
      </c>
      <c r="D3435" s="3">
        <v>2.84</v>
      </c>
      <c r="E3435" s="3"/>
      <c r="F3435" s="3">
        <v>0</v>
      </c>
      <c r="G3435" s="3">
        <v>0</v>
      </c>
      <c r="H3435" s="3">
        <v>0</v>
      </c>
      <c r="I3435" s="3">
        <v>0</v>
      </c>
      <c r="J3435" s="18">
        <f t="shared" si="13"/>
        <v>2.84</v>
      </c>
    </row>
    <row r="3436" spans="1:10" ht="15.75" x14ac:dyDescent="0.25">
      <c r="A3436" s="21">
        <v>45626</v>
      </c>
      <c r="B3436" t="str">
        <f>IFERROR(IF(VLOOKUP(C3436,Hoja1!$B$1:$C$6191,2,0)="",_xlfn.XLOOKUP(C3436,Hoja1!$B$2:$B$6191,Hoja1!$A$2:$A$6191),VLOOKUP(C3436,Hoja1!$B$1:$C$6191,2,0)),"No esta en Infor")</f>
        <v>NAC0851</v>
      </c>
      <c r="C3436" s="3" t="s">
        <v>185</v>
      </c>
      <c r="D3436" s="3">
        <v>0</v>
      </c>
      <c r="E3436" s="3"/>
      <c r="F3436" s="3">
        <v>0</v>
      </c>
      <c r="G3436" s="3">
        <v>-75.599999999999994</v>
      </c>
      <c r="H3436" s="3">
        <v>-75.599999999999994</v>
      </c>
      <c r="I3436" s="3">
        <v>-680.4</v>
      </c>
      <c r="J3436" s="18">
        <f t="shared" si="13"/>
        <v>-831.59999999999991</v>
      </c>
    </row>
    <row r="3437" spans="1:10" ht="15.75" x14ac:dyDescent="0.25">
      <c r="A3437" s="21">
        <v>45626</v>
      </c>
      <c r="B3437" t="str">
        <f>IFERROR(IF(VLOOKUP(C3437,Hoja1!$B$1:$C$6191,2,0)="",_xlfn.XLOOKUP(C3437,Hoja1!$B$2:$B$6191,Hoja1!$A$2:$A$6191),VLOOKUP(C3437,Hoja1!$B$1:$C$6191,2,0)),"No esta en Infor")</f>
        <v>NAC0856</v>
      </c>
      <c r="C3437" s="3" t="s">
        <v>722</v>
      </c>
      <c r="D3437" s="4">
        <v>10462.5</v>
      </c>
      <c r="E3437" s="3"/>
      <c r="F3437" s="3">
        <v>0</v>
      </c>
      <c r="G3437" s="3">
        <v>0</v>
      </c>
      <c r="H3437" s="3">
        <v>0</v>
      </c>
      <c r="I3437" s="3">
        <v>0</v>
      </c>
      <c r="J3437" s="18">
        <f t="shared" si="13"/>
        <v>10462.5</v>
      </c>
    </row>
    <row r="3438" spans="1:10" ht="15.75" x14ac:dyDescent="0.25">
      <c r="A3438" s="21">
        <v>45626</v>
      </c>
      <c r="B3438" t="str">
        <f>IFERROR(IF(VLOOKUP(C3438,Hoja1!$B$1:$C$6191,2,0)="",_xlfn.XLOOKUP(C3438,Hoja1!$B$2:$B$6191,Hoja1!$A$2:$A$6191),VLOOKUP(C3438,Hoja1!$B$1:$C$6191,2,0)),"No esta en Infor")</f>
        <v>NAC0858</v>
      </c>
      <c r="C3438" s="3" t="s">
        <v>188</v>
      </c>
      <c r="D3438" s="3">
        <v>250</v>
      </c>
      <c r="E3438" s="3"/>
      <c r="F3438" s="3">
        <v>0</v>
      </c>
      <c r="G3438" s="3">
        <v>0</v>
      </c>
      <c r="H3438" s="3">
        <v>0</v>
      </c>
      <c r="I3438" s="3">
        <v>0</v>
      </c>
      <c r="J3438" s="18">
        <f t="shared" si="13"/>
        <v>250</v>
      </c>
    </row>
    <row r="3439" spans="1:10" ht="15.75" x14ac:dyDescent="0.25">
      <c r="A3439" s="21">
        <v>45626</v>
      </c>
      <c r="B3439" t="str">
        <f>IFERROR(IF(VLOOKUP(C3439,Hoja1!$B$1:$C$6191,2,0)="",_xlfn.XLOOKUP(C3439,Hoja1!$B$2:$B$6191,Hoja1!$A$2:$A$6191),VLOOKUP(C3439,Hoja1!$B$1:$C$6191,2,0)),"No esta en Infor")</f>
        <v>NAC0863</v>
      </c>
      <c r="C3439" s="3" t="s">
        <v>398</v>
      </c>
      <c r="D3439" s="3">
        <v>0</v>
      </c>
      <c r="E3439" s="3"/>
      <c r="F3439" s="3">
        <v>0</v>
      </c>
      <c r="G3439" s="3">
        <v>0</v>
      </c>
      <c r="H3439" s="3">
        <v>-49.92</v>
      </c>
      <c r="I3439" s="3">
        <v>0</v>
      </c>
      <c r="J3439" s="18">
        <f t="shared" si="13"/>
        <v>-49.92</v>
      </c>
    </row>
    <row r="3440" spans="1:10" ht="15.75" x14ac:dyDescent="0.25">
      <c r="A3440" s="21">
        <v>45626</v>
      </c>
      <c r="B3440" t="str">
        <f>IFERROR(IF(VLOOKUP(C3440,Hoja1!$B$1:$C$6191,2,0)="",_xlfn.XLOOKUP(C3440,Hoja1!$B$2:$B$6191,Hoja1!$A$2:$A$6191),VLOOKUP(C3440,Hoja1!$B$1:$C$6191,2,0)),"No esta en Infor")</f>
        <v>NAC0865</v>
      </c>
      <c r="C3440" s="3" t="s">
        <v>23</v>
      </c>
      <c r="D3440" s="4">
        <v>6726.8</v>
      </c>
      <c r="E3440" s="3"/>
      <c r="F3440" s="3">
        <v>0</v>
      </c>
      <c r="G3440" s="3">
        <v>0</v>
      </c>
      <c r="H3440" s="3">
        <v>0</v>
      </c>
      <c r="I3440" s="3">
        <v>0</v>
      </c>
      <c r="J3440" s="18">
        <f t="shared" si="13"/>
        <v>6726.8</v>
      </c>
    </row>
    <row r="3441" spans="1:10" ht="15.75" x14ac:dyDescent="0.25">
      <c r="A3441" s="21">
        <v>45626</v>
      </c>
      <c r="B3441" t="str">
        <f>IFERROR(IF(VLOOKUP(C3441,Hoja1!$B$1:$C$6191,2,0)="",_xlfn.XLOOKUP(C3441,Hoja1!$B$2:$B$6191,Hoja1!$A$2:$A$6191),VLOOKUP(C3441,Hoja1!$B$1:$C$6191,2,0)),"No esta en Infor")</f>
        <v>NAC0867</v>
      </c>
      <c r="C3441" s="3" t="s">
        <v>723</v>
      </c>
      <c r="D3441" s="4">
        <v>-1845</v>
      </c>
      <c r="E3441" s="3"/>
      <c r="F3441" s="3">
        <v>0</v>
      </c>
      <c r="G3441" s="3">
        <v>0</v>
      </c>
      <c r="H3441" s="3">
        <v>0</v>
      </c>
      <c r="I3441" s="3">
        <v>0</v>
      </c>
      <c r="J3441" s="18">
        <f t="shared" si="13"/>
        <v>-1845</v>
      </c>
    </row>
    <row r="3442" spans="1:10" ht="15.75" x14ac:dyDescent="0.25">
      <c r="A3442" s="21">
        <v>45626</v>
      </c>
      <c r="B3442" t="str">
        <f>IFERROR(IF(VLOOKUP(C3442,Hoja1!$B$1:$C$6191,2,0)="",_xlfn.XLOOKUP(C3442,Hoja1!$B$2:$B$6191,Hoja1!$A$2:$A$6191),VLOOKUP(C3442,Hoja1!$B$1:$C$6191,2,0)),"No esta en Infor")</f>
        <v>NAC0871</v>
      </c>
      <c r="C3442" s="3" t="s">
        <v>193</v>
      </c>
      <c r="D3442" s="4">
        <v>28453.3</v>
      </c>
      <c r="E3442" s="3"/>
      <c r="F3442" s="3">
        <v>0</v>
      </c>
      <c r="G3442" s="3">
        <v>0</v>
      </c>
      <c r="H3442" s="3">
        <v>0</v>
      </c>
      <c r="I3442" s="3">
        <v>0</v>
      </c>
      <c r="J3442" s="18">
        <f t="shared" si="13"/>
        <v>28453.3</v>
      </c>
    </row>
    <row r="3443" spans="1:10" ht="15.75" x14ac:dyDescent="0.25">
      <c r="A3443" s="21">
        <v>45626</v>
      </c>
      <c r="B3443" t="str">
        <f>IFERROR(IF(VLOOKUP(C3443,Hoja1!$B$1:$C$6191,2,0)="",_xlfn.XLOOKUP(C3443,Hoja1!$B$2:$B$6191,Hoja1!$A$2:$A$6191),VLOOKUP(C3443,Hoja1!$B$1:$C$6191,2,0)),"No esta en Infor")</f>
        <v>NAC0873</v>
      </c>
      <c r="C3443" s="3" t="s">
        <v>455</v>
      </c>
      <c r="D3443" s="3">
        <v>243.52</v>
      </c>
      <c r="E3443" s="3"/>
      <c r="F3443" s="3">
        <v>0</v>
      </c>
      <c r="G3443" s="3">
        <v>0</v>
      </c>
      <c r="H3443" s="3">
        <v>0</v>
      </c>
      <c r="I3443" s="3">
        <v>0</v>
      </c>
      <c r="J3443" s="18">
        <f t="shared" si="13"/>
        <v>243.52</v>
      </c>
    </row>
    <row r="3444" spans="1:10" ht="15.75" x14ac:dyDescent="0.25">
      <c r="A3444" s="21">
        <v>45626</v>
      </c>
      <c r="B3444" t="str">
        <f>IFERROR(IF(VLOOKUP(C3444,Hoja1!$B$1:$C$6191,2,0)="",_xlfn.XLOOKUP(C3444,Hoja1!$B$2:$B$6191,Hoja1!$A$2:$A$6191),VLOOKUP(C3444,Hoja1!$B$1:$C$6191,2,0)),"No esta en Infor")</f>
        <v>NAC0876</v>
      </c>
      <c r="C3444" s="3" t="s">
        <v>779</v>
      </c>
      <c r="D3444" s="3">
        <v>448.74</v>
      </c>
      <c r="E3444" s="3"/>
      <c r="F3444" s="3">
        <v>0</v>
      </c>
      <c r="G3444" s="3">
        <v>0</v>
      </c>
      <c r="H3444" s="3">
        <v>0</v>
      </c>
      <c r="I3444" s="3">
        <v>0</v>
      </c>
      <c r="J3444" s="18">
        <f t="shared" si="13"/>
        <v>448.74</v>
      </c>
    </row>
    <row r="3445" spans="1:10" ht="15.75" x14ac:dyDescent="0.25">
      <c r="A3445" s="21">
        <v>45626</v>
      </c>
      <c r="B3445" t="str">
        <f>IFERROR(IF(VLOOKUP(C3445,Hoja1!$B$1:$C$6191,2,0)="",_xlfn.XLOOKUP(C3445,Hoja1!$B$2:$B$6191,Hoja1!$A$2:$A$6191),VLOOKUP(C3445,Hoja1!$B$1:$C$6191,2,0)),"No esta en Infor")</f>
        <v>SH03056</v>
      </c>
      <c r="C3445" s="3" t="s">
        <v>795</v>
      </c>
      <c r="D3445" s="3">
        <v>184.49</v>
      </c>
      <c r="E3445" s="3"/>
      <c r="F3445" s="3">
        <v>0</v>
      </c>
      <c r="G3445" s="3">
        <v>0</v>
      </c>
      <c r="H3445" s="3">
        <v>0</v>
      </c>
      <c r="I3445" s="3">
        <v>0</v>
      </c>
      <c r="J3445" s="18">
        <f t="shared" si="13"/>
        <v>184.49</v>
      </c>
    </row>
    <row r="3446" spans="1:10" ht="15.75" x14ac:dyDescent="0.25">
      <c r="A3446" s="21">
        <v>45626</v>
      </c>
      <c r="B3446" t="str">
        <f>IFERROR(IF(VLOOKUP(C3446,Hoja1!$B$1:$C$6191,2,0)="",_xlfn.XLOOKUP(C3446,Hoja1!$B$2:$B$6191,Hoja1!$A$2:$A$6191),VLOOKUP(C3446,Hoja1!$B$1:$C$6191,2,0)),"No esta en Infor")</f>
        <v>NAC0879</v>
      </c>
      <c r="C3446" s="3" t="s">
        <v>194</v>
      </c>
      <c r="D3446" s="3">
        <v>0</v>
      </c>
      <c r="E3446" s="3"/>
      <c r="F3446" s="3">
        <v>0</v>
      </c>
      <c r="G3446" s="3">
        <v>0</v>
      </c>
      <c r="H3446" s="3">
        <v>-117.9</v>
      </c>
      <c r="I3446" s="3">
        <v>0</v>
      </c>
      <c r="J3446" s="18">
        <f t="shared" si="13"/>
        <v>-117.9</v>
      </c>
    </row>
    <row r="3447" spans="1:10" ht="15.75" x14ac:dyDescent="0.25">
      <c r="A3447" s="21">
        <v>45626</v>
      </c>
      <c r="B3447" t="str">
        <f>IFERROR(IF(VLOOKUP(C3447,Hoja1!$B$1:$C$6191,2,0)="",_xlfn.XLOOKUP(C3447,Hoja1!$B$2:$B$6191,Hoja1!$A$2:$A$6191),VLOOKUP(C3447,Hoja1!$B$1:$C$6191,2,0)),"No esta en Infor")</f>
        <v>SH03372</v>
      </c>
      <c r="C3447" s="3" t="s">
        <v>827</v>
      </c>
      <c r="D3447" s="3">
        <v>3.35</v>
      </c>
      <c r="E3447" s="3"/>
      <c r="F3447" s="3">
        <v>0</v>
      </c>
      <c r="G3447" s="3">
        <v>0</v>
      </c>
      <c r="H3447" s="3">
        <v>0</v>
      </c>
      <c r="I3447" s="3">
        <v>0</v>
      </c>
      <c r="J3447" s="18">
        <f t="shared" si="13"/>
        <v>3.35</v>
      </c>
    </row>
    <row r="3448" spans="1:10" ht="15.75" x14ac:dyDescent="0.25">
      <c r="A3448" s="21">
        <v>45626</v>
      </c>
      <c r="B3448" t="str">
        <f>IFERROR(IF(VLOOKUP(C3448,Hoja1!$B$1:$C$6191,2,0)="",_xlfn.XLOOKUP(C3448,Hoja1!$B$2:$B$6191,Hoja1!$A$2:$A$6191),VLOOKUP(C3448,Hoja1!$B$1:$C$6191,2,0)),"No esta en Infor")</f>
        <v>NAC0880</v>
      </c>
      <c r="C3448" s="3" t="s">
        <v>24</v>
      </c>
      <c r="D3448" s="4">
        <v>9024.25</v>
      </c>
      <c r="E3448" s="3"/>
      <c r="F3448" s="3">
        <v>-142.84</v>
      </c>
      <c r="G3448" s="3">
        <v>0</v>
      </c>
      <c r="H3448" s="3">
        <v>0</v>
      </c>
      <c r="I3448" s="3">
        <v>-0.3</v>
      </c>
      <c r="J3448" s="18">
        <f t="shared" si="13"/>
        <v>8881.11</v>
      </c>
    </row>
    <row r="3449" spans="1:10" ht="15.75" x14ac:dyDescent="0.25">
      <c r="A3449" s="21">
        <v>45626</v>
      </c>
      <c r="B3449" t="str">
        <f>IFERROR(IF(VLOOKUP(C3449,Hoja1!$B$1:$C$6191,2,0)="",_xlfn.XLOOKUP(C3449,Hoja1!$B$2:$B$6191,Hoja1!$A$2:$A$6191),VLOOKUP(C3449,Hoja1!$B$1:$C$6191,2,0)),"No esta en Infor")</f>
        <v>NAC0881</v>
      </c>
      <c r="C3449" s="3" t="s">
        <v>195</v>
      </c>
      <c r="D3449" s="4">
        <v>51754.83</v>
      </c>
      <c r="E3449" s="3"/>
      <c r="F3449" s="3">
        <v>0</v>
      </c>
      <c r="G3449" s="3">
        <v>0</v>
      </c>
      <c r="H3449" s="3">
        <v>0</v>
      </c>
      <c r="I3449" s="3">
        <v>0</v>
      </c>
      <c r="J3449" s="18">
        <f t="shared" si="13"/>
        <v>51754.83</v>
      </c>
    </row>
    <row r="3450" spans="1:10" ht="15.75" x14ac:dyDescent="0.25">
      <c r="A3450" s="21">
        <v>45626</v>
      </c>
      <c r="B3450" t="str">
        <f>IFERROR(IF(VLOOKUP(C3450,Hoja1!$B$1:$C$6191,2,0)="",_xlfn.XLOOKUP(C3450,Hoja1!$B$2:$B$6191,Hoja1!$A$2:$A$6191),VLOOKUP(C3450,Hoja1!$B$1:$C$6191,2,0)),"No esta en Infor")</f>
        <v>NAC0886</v>
      </c>
      <c r="C3450" s="3" t="s">
        <v>196</v>
      </c>
      <c r="D3450" s="4">
        <v>11613.75</v>
      </c>
      <c r="E3450" s="3"/>
      <c r="F3450" s="3">
        <v>-0.1</v>
      </c>
      <c r="G3450" s="3">
        <v>0</v>
      </c>
      <c r="H3450" s="3">
        <v>0</v>
      </c>
      <c r="I3450" s="3">
        <v>0</v>
      </c>
      <c r="J3450" s="18">
        <f t="shared" si="13"/>
        <v>11613.65</v>
      </c>
    </row>
    <row r="3451" spans="1:10" ht="15.75" x14ac:dyDescent="0.25">
      <c r="A3451" s="21">
        <v>45626</v>
      </c>
      <c r="B3451" t="str">
        <f>IFERROR(IF(VLOOKUP(C3451,Hoja1!$B$1:$C$6191,2,0)="",_xlfn.XLOOKUP(C3451,Hoja1!$B$2:$B$6191,Hoja1!$A$2:$A$6191),VLOOKUP(C3451,Hoja1!$B$1:$C$6191,2,0)),"No esta en Infor")</f>
        <v>NAC0888</v>
      </c>
      <c r="C3451" s="3" t="s">
        <v>198</v>
      </c>
      <c r="D3451" s="4">
        <v>11450</v>
      </c>
      <c r="E3451" s="3"/>
      <c r="F3451" s="3">
        <v>0</v>
      </c>
      <c r="G3451" s="3">
        <v>0</v>
      </c>
      <c r="H3451" s="3">
        <v>0</v>
      </c>
      <c r="I3451" s="3">
        <v>0</v>
      </c>
      <c r="J3451" s="18">
        <f t="shared" si="13"/>
        <v>11450</v>
      </c>
    </row>
    <row r="3452" spans="1:10" ht="15.75" x14ac:dyDescent="0.25">
      <c r="A3452" s="21">
        <v>45626</v>
      </c>
      <c r="B3452" t="str">
        <f>IFERROR(IF(VLOOKUP(C3452,Hoja1!$B$1:$C$6191,2,0)="",_xlfn.XLOOKUP(C3452,Hoja1!$B$2:$B$6191,Hoja1!$A$2:$A$6191),VLOOKUP(C3452,Hoja1!$B$1:$C$6191,2,0)),"No esta en Infor")</f>
        <v>NAC0894</v>
      </c>
      <c r="C3452" s="3" t="s">
        <v>199</v>
      </c>
      <c r="D3452" s="4">
        <v>9212.85</v>
      </c>
      <c r="E3452" s="3"/>
      <c r="F3452" s="4">
        <v>-2280</v>
      </c>
      <c r="G3452" s="3">
        <v>0</v>
      </c>
      <c r="H3452" s="3">
        <v>0</v>
      </c>
      <c r="I3452" s="3">
        <v>0</v>
      </c>
      <c r="J3452" s="18">
        <f t="shared" si="13"/>
        <v>6932.85</v>
      </c>
    </row>
    <row r="3453" spans="1:10" ht="15.75" x14ac:dyDescent="0.25">
      <c r="A3453" s="21">
        <v>45626</v>
      </c>
      <c r="B3453" t="str">
        <f>IFERROR(IF(VLOOKUP(C3453,Hoja1!$B$1:$C$6191,2,0)="",_xlfn.XLOOKUP(C3453,Hoja1!$B$2:$B$6191,Hoja1!$A$2:$A$6191),VLOOKUP(C3453,Hoja1!$B$1:$C$6191,2,0)),"No esta en Infor")</f>
        <v>NAC0897</v>
      </c>
      <c r="C3453" s="3" t="s">
        <v>25</v>
      </c>
      <c r="D3453" s="4">
        <v>13276</v>
      </c>
      <c r="E3453" s="3"/>
      <c r="F3453" s="3">
        <v>0</v>
      </c>
      <c r="G3453" s="3">
        <v>0</v>
      </c>
      <c r="H3453" s="3">
        <v>-303.5</v>
      </c>
      <c r="I3453" s="3">
        <v>0</v>
      </c>
      <c r="J3453" s="18">
        <f t="shared" si="13"/>
        <v>12972.5</v>
      </c>
    </row>
    <row r="3454" spans="1:10" ht="15.75" x14ac:dyDescent="0.25">
      <c r="A3454" s="21">
        <v>45626</v>
      </c>
      <c r="B3454" t="str">
        <f>IFERROR(IF(VLOOKUP(C3454,Hoja1!$B$1:$C$6191,2,0)="",_xlfn.XLOOKUP(C3454,Hoja1!$B$2:$B$6191,Hoja1!$A$2:$A$6191),VLOOKUP(C3454,Hoja1!$B$1:$C$6191,2,0)),"No esta en Infor")</f>
        <v>NAC0898</v>
      </c>
      <c r="C3454" s="3" t="s">
        <v>200</v>
      </c>
      <c r="D3454" s="3">
        <v>471.11</v>
      </c>
      <c r="E3454" s="3"/>
      <c r="F3454" s="3">
        <v>0</v>
      </c>
      <c r="G3454" s="3">
        <v>0</v>
      </c>
      <c r="H3454" s="3">
        <v>0</v>
      </c>
      <c r="I3454" s="3">
        <v>0</v>
      </c>
      <c r="J3454" s="18">
        <f t="shared" si="13"/>
        <v>471.11</v>
      </c>
    </row>
    <row r="3455" spans="1:10" ht="15.75" x14ac:dyDescent="0.25">
      <c r="A3455" s="21">
        <v>45626</v>
      </c>
      <c r="B3455" t="str">
        <f>IFERROR(IF(VLOOKUP(C3455,Hoja1!$B$1:$C$6191,2,0)="",_xlfn.XLOOKUP(C3455,Hoja1!$B$2:$B$6191,Hoja1!$A$2:$A$6191),VLOOKUP(C3455,Hoja1!$B$1:$C$6191,2,0)),"No esta en Infor")</f>
        <v>NAC0904</v>
      </c>
      <c r="C3455" s="3" t="s">
        <v>400</v>
      </c>
      <c r="D3455" s="4">
        <v>3454</v>
      </c>
      <c r="E3455" s="3"/>
      <c r="F3455" s="3">
        <v>0</v>
      </c>
      <c r="G3455" s="3">
        <v>0</v>
      </c>
      <c r="H3455" s="3">
        <v>0</v>
      </c>
      <c r="I3455" s="3">
        <v>0</v>
      </c>
      <c r="J3455" s="18">
        <f t="shared" si="13"/>
        <v>3454</v>
      </c>
    </row>
    <row r="3456" spans="1:10" ht="15.75" x14ac:dyDescent="0.25">
      <c r="A3456" s="21">
        <v>45626</v>
      </c>
      <c r="B3456" t="str">
        <f>IFERROR(IF(VLOOKUP(C3456,Hoja1!$B$1:$C$6191,2,0)="",_xlfn.XLOOKUP(C3456,Hoja1!$B$2:$B$6191,Hoja1!$A$2:$A$6191),VLOOKUP(C3456,Hoja1!$B$1:$C$6191,2,0)),"No esta en Infor")</f>
        <v>NAC0906</v>
      </c>
      <c r="C3456" s="3" t="s">
        <v>456</v>
      </c>
      <c r="D3456" s="3">
        <v>0</v>
      </c>
      <c r="E3456" s="3"/>
      <c r="F3456" s="3">
        <v>0</v>
      </c>
      <c r="G3456" s="3">
        <v>-8.93</v>
      </c>
      <c r="H3456" s="3">
        <v>0</v>
      </c>
      <c r="I3456" s="3">
        <v>0</v>
      </c>
      <c r="J3456" s="18">
        <f t="shared" si="13"/>
        <v>-8.93</v>
      </c>
    </row>
    <row r="3457" spans="1:10" ht="15.75" x14ac:dyDescent="0.25">
      <c r="A3457" s="21">
        <v>45626</v>
      </c>
      <c r="B3457" t="str">
        <f>IFERROR(IF(VLOOKUP(C3457,Hoja1!$B$1:$C$6191,2,0)="",_xlfn.XLOOKUP(C3457,Hoja1!$B$2:$B$6191,Hoja1!$A$2:$A$6191),VLOOKUP(C3457,Hoja1!$B$1:$C$6191,2,0)),"No esta en Infor")</f>
        <v>CAN0092</v>
      </c>
      <c r="C3457" s="3" t="s">
        <v>555</v>
      </c>
      <c r="D3457" s="3">
        <v>0</v>
      </c>
      <c r="E3457" s="3"/>
      <c r="F3457" s="3">
        <v>0</v>
      </c>
      <c r="G3457" s="3">
        <v>-508.5</v>
      </c>
      <c r="H3457" s="3">
        <v>0</v>
      </c>
      <c r="I3457" s="3">
        <v>0</v>
      </c>
      <c r="J3457" s="18">
        <f t="shared" si="13"/>
        <v>-508.5</v>
      </c>
    </row>
    <row r="3458" spans="1:10" ht="15.75" x14ac:dyDescent="0.25">
      <c r="A3458" s="21">
        <v>45626</v>
      </c>
      <c r="B3458" t="str">
        <f>IFERROR(IF(VLOOKUP(C3458,Hoja1!$B$1:$C$6191,2,0)="",_xlfn.XLOOKUP(C3458,Hoja1!$B$2:$B$6191,Hoja1!$A$2:$A$6191),VLOOKUP(C3458,Hoja1!$B$1:$C$6191,2,0)),"No esta en Infor")</f>
        <v>SH03140</v>
      </c>
      <c r="C3458" s="3" t="s">
        <v>799</v>
      </c>
      <c r="D3458" s="3">
        <v>36.590000000000003</v>
      </c>
      <c r="E3458" s="3"/>
      <c r="F3458" s="3">
        <v>0</v>
      </c>
      <c r="G3458" s="3">
        <v>0</v>
      </c>
      <c r="H3458" s="3">
        <v>0</v>
      </c>
      <c r="I3458" s="3">
        <v>0</v>
      </c>
      <c r="J3458" s="18">
        <f t="shared" si="13"/>
        <v>36.590000000000003</v>
      </c>
    </row>
    <row r="3459" spans="1:10" ht="15.75" x14ac:dyDescent="0.25">
      <c r="A3459" s="21">
        <v>45626</v>
      </c>
      <c r="B3459" t="str">
        <f>IFERROR(IF(VLOOKUP(C3459,Hoja1!$B$1:$C$6191,2,0)="",_xlfn.XLOOKUP(C3459,Hoja1!$B$2:$B$6191,Hoja1!$A$2:$A$6191),VLOOKUP(C3459,Hoja1!$B$1:$C$6191,2,0)),"No esta en Infor")</f>
        <v>SH03395</v>
      </c>
      <c r="C3459" s="3" t="s">
        <v>835</v>
      </c>
      <c r="D3459" s="3">
        <v>54.24</v>
      </c>
      <c r="E3459" s="3"/>
      <c r="F3459" s="3">
        <v>0</v>
      </c>
      <c r="G3459" s="3">
        <v>0</v>
      </c>
      <c r="H3459" s="3">
        <v>0</v>
      </c>
      <c r="I3459" s="3">
        <v>0</v>
      </c>
      <c r="J3459" s="18">
        <f t="shared" si="13"/>
        <v>54.24</v>
      </c>
    </row>
    <row r="3460" spans="1:10" ht="15.75" x14ac:dyDescent="0.25">
      <c r="A3460" s="21">
        <v>45626</v>
      </c>
      <c r="B3460" t="str">
        <f>IFERROR(IF(VLOOKUP(C3460,Hoja1!$B$1:$C$6191,2,0)="",_xlfn.XLOOKUP(C3460,Hoja1!$B$2:$B$6191,Hoja1!$A$2:$A$6191),VLOOKUP(C3460,Hoja1!$B$1:$C$6191,2,0)),"No esta en Infor")</f>
        <v>NAC0933</v>
      </c>
      <c r="C3460" s="3" t="s">
        <v>728</v>
      </c>
      <c r="D3460" s="4">
        <v>2226.5</v>
      </c>
      <c r="E3460" s="3"/>
      <c r="F3460" s="3">
        <v>0</v>
      </c>
      <c r="G3460" s="3">
        <v>0</v>
      </c>
      <c r="H3460" s="3">
        <v>0</v>
      </c>
      <c r="I3460" s="3">
        <v>0</v>
      </c>
      <c r="J3460" s="18">
        <f t="shared" si="13"/>
        <v>2226.5</v>
      </c>
    </row>
    <row r="3461" spans="1:10" ht="15.75" x14ac:dyDescent="0.25">
      <c r="A3461" s="21">
        <v>45626</v>
      </c>
      <c r="B3461" t="str">
        <f>IFERROR(IF(VLOOKUP(C3461,Hoja1!$B$1:$C$6191,2,0)="",_xlfn.XLOOKUP(C3461,Hoja1!$B$2:$B$6191,Hoja1!$A$2:$A$6191),VLOOKUP(C3461,Hoja1!$B$1:$C$6191,2,0)),"No esta en Infor")</f>
        <v>NAC1607</v>
      </c>
      <c r="C3461" s="3" t="s">
        <v>668</v>
      </c>
      <c r="D3461" s="3">
        <v>0</v>
      </c>
      <c r="E3461" s="3"/>
      <c r="F3461" s="3">
        <v>-24.18</v>
      </c>
      <c r="G3461" s="3">
        <v>0</v>
      </c>
      <c r="H3461" s="3">
        <v>0</v>
      </c>
      <c r="I3461" s="3">
        <v>0</v>
      </c>
      <c r="J3461" s="18">
        <f t="shared" si="13"/>
        <v>-24.18</v>
      </c>
    </row>
    <row r="3462" spans="1:10" ht="15.75" x14ac:dyDescent="0.25">
      <c r="A3462" s="21">
        <v>45626</v>
      </c>
      <c r="B3462" t="str">
        <f>IFERROR(IF(VLOOKUP(C3462,Hoja1!$B$1:$C$6191,2,0)="",_xlfn.XLOOKUP(C3462,Hoja1!$B$2:$B$6191,Hoja1!$A$2:$A$6191),VLOOKUP(C3462,Hoja1!$B$1:$C$6191,2,0)),"No esta en Infor")</f>
        <v>NAC0953</v>
      </c>
      <c r="C3462" s="3" t="s">
        <v>28</v>
      </c>
      <c r="D3462" s="3">
        <v>279.39999999999998</v>
      </c>
      <c r="E3462" s="3"/>
      <c r="F3462" s="3">
        <v>-144</v>
      </c>
      <c r="G3462" s="3">
        <v>-19.53</v>
      </c>
      <c r="H3462" s="3">
        <v>-573.05999999999995</v>
      </c>
      <c r="I3462" s="3">
        <v>0</v>
      </c>
      <c r="J3462" s="18">
        <f t="shared" si="13"/>
        <v>-457.18999999999994</v>
      </c>
    </row>
    <row r="3463" spans="1:10" ht="15.75" x14ac:dyDescent="0.25">
      <c r="A3463" s="21">
        <v>45626</v>
      </c>
      <c r="B3463" t="str">
        <f>IFERROR(IF(VLOOKUP(C3463,Hoja1!$B$1:$C$6191,2,0)="",_xlfn.XLOOKUP(C3463,Hoja1!$B$2:$B$6191,Hoja1!$A$2:$A$6191),VLOOKUP(C3463,Hoja1!$B$1:$C$6191,2,0)),"No esta en Infor")</f>
        <v>NAC0959</v>
      </c>
      <c r="C3463" s="3" t="s">
        <v>669</v>
      </c>
      <c r="D3463" s="4">
        <v>46230.65</v>
      </c>
      <c r="E3463" s="3"/>
      <c r="F3463" s="3">
        <v>0</v>
      </c>
      <c r="G3463" s="3">
        <v>0</v>
      </c>
      <c r="H3463" s="3">
        <v>0</v>
      </c>
      <c r="I3463" s="3">
        <v>0</v>
      </c>
      <c r="J3463" s="18">
        <f t="shared" si="13"/>
        <v>46230.65</v>
      </c>
    </row>
    <row r="3464" spans="1:10" ht="15.75" x14ac:dyDescent="0.25">
      <c r="A3464" s="21">
        <v>45626</v>
      </c>
      <c r="B3464" t="str">
        <f>IFERROR(IF(VLOOKUP(C3464,Hoja1!$B$1:$C$6191,2,0)="",_xlfn.XLOOKUP(C3464,Hoja1!$B$2:$B$6191,Hoja1!$A$2:$A$6191),VLOOKUP(C3464,Hoja1!$B$1:$C$6191,2,0)),"No esta en Infor")</f>
        <v>SH03292</v>
      </c>
      <c r="C3464" s="3" t="s">
        <v>812</v>
      </c>
      <c r="D3464" s="3">
        <v>2.89</v>
      </c>
      <c r="E3464" s="3"/>
      <c r="F3464" s="3">
        <v>0</v>
      </c>
      <c r="G3464" s="3">
        <v>0</v>
      </c>
      <c r="H3464" s="3">
        <v>0</v>
      </c>
      <c r="I3464" s="3">
        <v>0</v>
      </c>
      <c r="J3464" s="18">
        <f t="shared" si="13"/>
        <v>2.89</v>
      </c>
    </row>
    <row r="3465" spans="1:10" ht="15.75" x14ac:dyDescent="0.25">
      <c r="A3465" s="21">
        <v>45626</v>
      </c>
      <c r="B3465" t="str">
        <f>IFERROR(IF(VLOOKUP(C3465,Hoja1!$B$1:$C$6191,2,0)="",_xlfn.XLOOKUP(C3465,Hoja1!$B$2:$B$6191,Hoja1!$A$2:$A$6191),VLOOKUP(C3465,Hoja1!$B$1:$C$6191,2,0)),"No esta en Infor")</f>
        <v>NAC0967</v>
      </c>
      <c r="C3465" s="3" t="s">
        <v>780</v>
      </c>
      <c r="D3465" s="3">
        <v>16.059999999999999</v>
      </c>
      <c r="E3465" s="3"/>
      <c r="F3465" s="3">
        <v>0</v>
      </c>
      <c r="G3465" s="3">
        <v>0</v>
      </c>
      <c r="H3465" s="3">
        <v>0</v>
      </c>
      <c r="I3465" s="3">
        <v>0</v>
      </c>
      <c r="J3465" s="18">
        <f t="shared" si="13"/>
        <v>16.059999999999999</v>
      </c>
    </row>
    <row r="3466" spans="1:10" ht="15.75" x14ac:dyDescent="0.25">
      <c r="A3466" s="21">
        <v>45626</v>
      </c>
      <c r="B3466" t="str">
        <f>IFERROR(IF(VLOOKUP(C3466,Hoja1!$B$1:$C$6191,2,0)="",_xlfn.XLOOKUP(C3466,Hoja1!$B$2:$B$6191,Hoja1!$A$2:$A$6191),VLOOKUP(C3466,Hoja1!$B$1:$C$6191,2,0)),"No esta en Infor")</f>
        <v>NAC0970</v>
      </c>
      <c r="C3466" s="3" t="s">
        <v>457</v>
      </c>
      <c r="D3466" s="4">
        <v>2862.44</v>
      </c>
      <c r="E3466" s="3"/>
      <c r="F3466" s="3">
        <v>0</v>
      </c>
      <c r="G3466" s="3">
        <v>0</v>
      </c>
      <c r="H3466" s="3">
        <v>0</v>
      </c>
      <c r="I3466" s="3">
        <v>0</v>
      </c>
      <c r="J3466" s="18">
        <f t="shared" si="13"/>
        <v>2862.44</v>
      </c>
    </row>
    <row r="3467" spans="1:10" ht="15.75" x14ac:dyDescent="0.25">
      <c r="A3467" s="21">
        <v>45626</v>
      </c>
      <c r="B3467" t="str">
        <f>IFERROR(IF(VLOOKUP(C3467,Hoja1!$B$1:$C$6191,2,0)="",_xlfn.XLOOKUP(C3467,Hoja1!$B$2:$B$6191,Hoja1!$A$2:$A$6191),VLOOKUP(C3467,Hoja1!$B$1:$C$6191,2,0)),"No esta en Infor")</f>
        <v>NAC0971</v>
      </c>
      <c r="C3467" s="3" t="s">
        <v>219</v>
      </c>
      <c r="D3467" s="4">
        <v>1692.86</v>
      </c>
      <c r="E3467" s="3"/>
      <c r="F3467" s="3">
        <v>-23.66</v>
      </c>
      <c r="G3467" s="3">
        <v>0</v>
      </c>
      <c r="H3467" s="3">
        <v>0</v>
      </c>
      <c r="I3467" s="3">
        <v>0</v>
      </c>
      <c r="J3467" s="18">
        <f t="shared" si="13"/>
        <v>1669.1999999999998</v>
      </c>
    </row>
    <row r="3468" spans="1:10" ht="15.75" x14ac:dyDescent="0.25">
      <c r="A3468" s="21">
        <v>45626</v>
      </c>
      <c r="B3468" t="str">
        <f>IFERROR(IF(VLOOKUP(C3468,Hoja1!$B$1:$C$6191,2,0)="",_xlfn.XLOOKUP(C3468,Hoja1!$B$2:$B$6191,Hoja1!$A$2:$A$6191),VLOOKUP(C3468,Hoja1!$B$1:$C$6191,2,0)),"No esta en Infor")</f>
        <v>NAC0978</v>
      </c>
      <c r="C3468" s="3" t="s">
        <v>502</v>
      </c>
      <c r="D3468" s="3">
        <v>0</v>
      </c>
      <c r="E3468" s="3"/>
      <c r="F3468" s="3">
        <v>-9.48</v>
      </c>
      <c r="G3468" s="3">
        <v>0</v>
      </c>
      <c r="H3468" s="3">
        <v>0</v>
      </c>
      <c r="I3468" s="3">
        <v>0</v>
      </c>
      <c r="J3468" s="18">
        <f t="shared" si="13"/>
        <v>-9.48</v>
      </c>
    </row>
    <row r="3469" spans="1:10" ht="15.75" x14ac:dyDescent="0.25">
      <c r="A3469" s="21">
        <v>45626</v>
      </c>
      <c r="B3469" t="str">
        <f>IFERROR(IF(VLOOKUP(C3469,Hoja1!$B$1:$C$6191,2,0)="",_xlfn.XLOOKUP(C3469,Hoja1!$B$2:$B$6191,Hoja1!$A$2:$A$6191),VLOOKUP(C3469,Hoja1!$B$1:$C$6191,2,0)),"No esta en Infor")</f>
        <v>SH02931</v>
      </c>
      <c r="C3469" s="3" t="s">
        <v>671</v>
      </c>
      <c r="D3469" s="3">
        <v>-11.13</v>
      </c>
      <c r="E3469" s="3"/>
      <c r="F3469" s="3">
        <v>0</v>
      </c>
      <c r="G3469" s="3">
        <v>0</v>
      </c>
      <c r="H3469" s="3">
        <v>0</v>
      </c>
      <c r="I3469" s="3">
        <v>0</v>
      </c>
      <c r="J3469" s="18">
        <f t="shared" si="13"/>
        <v>-11.13</v>
      </c>
    </row>
    <row r="3470" spans="1:10" ht="15.75" x14ac:dyDescent="0.25">
      <c r="A3470" s="21">
        <v>45626</v>
      </c>
      <c r="B3470" t="str">
        <f>IFERROR(IF(VLOOKUP(C3470,Hoja1!$B$1:$C$6191,2,0)="",_xlfn.XLOOKUP(C3470,Hoja1!$B$2:$B$6191,Hoja1!$A$2:$A$6191),VLOOKUP(C3470,Hoja1!$B$1:$C$6191,2,0)),"No esta en Infor")</f>
        <v>SH03399</v>
      </c>
      <c r="C3470" s="3" t="s">
        <v>858</v>
      </c>
      <c r="D3470" s="3">
        <v>56.2</v>
      </c>
      <c r="E3470" s="3"/>
      <c r="F3470" s="3">
        <v>0</v>
      </c>
      <c r="G3470" s="3">
        <v>0</v>
      </c>
      <c r="H3470" s="3">
        <v>0</v>
      </c>
      <c r="I3470" s="3">
        <v>0</v>
      </c>
      <c r="J3470" s="18">
        <f t="shared" si="13"/>
        <v>56.2</v>
      </c>
    </row>
    <row r="3471" spans="1:10" ht="15.75" x14ac:dyDescent="0.25">
      <c r="A3471" s="21">
        <v>45626</v>
      </c>
      <c r="B3471" t="str">
        <f>IFERROR(IF(VLOOKUP(C3471,Hoja1!$B$1:$C$6191,2,0)="",_xlfn.XLOOKUP(C3471,Hoja1!$B$2:$B$6191,Hoja1!$A$2:$A$6191),VLOOKUP(C3471,Hoja1!$B$1:$C$6191,2,0)),"No esta en Infor")</f>
        <v>SH03314</v>
      </c>
      <c r="C3471" s="3" t="s">
        <v>815</v>
      </c>
      <c r="D3471" s="3">
        <v>-324.76</v>
      </c>
      <c r="E3471" s="3"/>
      <c r="F3471" s="3">
        <v>0</v>
      </c>
      <c r="G3471" s="3">
        <v>0</v>
      </c>
      <c r="H3471" s="3">
        <v>0</v>
      </c>
      <c r="I3471" s="3">
        <v>0</v>
      </c>
      <c r="J3471" s="18">
        <f t="shared" si="13"/>
        <v>-324.76</v>
      </c>
    </row>
    <row r="3472" spans="1:10" ht="15.75" x14ac:dyDescent="0.25">
      <c r="A3472" s="21">
        <v>45626</v>
      </c>
      <c r="B3472" t="str">
        <f>IFERROR(IF(VLOOKUP(C3472,Hoja1!$B$1:$C$6191,2,0)="",_xlfn.XLOOKUP(C3472,Hoja1!$B$2:$B$6191,Hoja1!$A$2:$A$6191),VLOOKUP(C3472,Hoja1!$B$1:$C$6191,2,0)),"No esta en Infor")</f>
        <v>SH03291</v>
      </c>
      <c r="C3472" s="3" t="s">
        <v>811</v>
      </c>
      <c r="D3472" s="3">
        <v>6.48</v>
      </c>
      <c r="E3472" s="3"/>
      <c r="F3472" s="3">
        <v>0</v>
      </c>
      <c r="G3472" s="3">
        <v>0</v>
      </c>
      <c r="H3472" s="3">
        <v>0</v>
      </c>
      <c r="I3472" s="3">
        <v>0</v>
      </c>
      <c r="J3472" s="18">
        <f t="shared" si="13"/>
        <v>6.48</v>
      </c>
    </row>
    <row r="3473" spans="1:10" ht="15.75" x14ac:dyDescent="0.25">
      <c r="A3473" s="21">
        <v>45626</v>
      </c>
      <c r="B3473" t="str">
        <f>IFERROR(IF(VLOOKUP(C3473,Hoja1!$B$1:$C$6191,2,0)="",_xlfn.XLOOKUP(C3473,Hoja1!$B$2:$B$6191,Hoja1!$A$2:$A$6191),VLOOKUP(C3473,Hoja1!$B$1:$C$6191,2,0)),"No esta en Infor")</f>
        <v>SH03078</v>
      </c>
      <c r="C3473" s="3" t="s">
        <v>732</v>
      </c>
      <c r="D3473" s="3">
        <v>63.25</v>
      </c>
      <c r="E3473" s="3"/>
      <c r="F3473" s="3">
        <v>0</v>
      </c>
      <c r="G3473" s="3">
        <v>0</v>
      </c>
      <c r="H3473" s="3">
        <v>0</v>
      </c>
      <c r="I3473" s="3">
        <v>0</v>
      </c>
      <c r="J3473" s="18">
        <f t="shared" si="13"/>
        <v>63.25</v>
      </c>
    </row>
    <row r="3474" spans="1:10" ht="15.75" x14ac:dyDescent="0.25">
      <c r="A3474" s="21">
        <v>45626</v>
      </c>
      <c r="B3474" t="str">
        <f>IFERROR(IF(VLOOKUP(C3474,Hoja1!$B$1:$C$6191,2,0)="",_xlfn.XLOOKUP(C3474,Hoja1!$B$2:$B$6191,Hoja1!$A$2:$A$6191),VLOOKUP(C3474,Hoja1!$B$1:$C$6191,2,0)),"No esta en Infor")</f>
        <v>SH03241</v>
      </c>
      <c r="C3474" s="3" t="s">
        <v>804</v>
      </c>
      <c r="D3474" s="3">
        <v>1.28</v>
      </c>
      <c r="E3474" s="3"/>
      <c r="F3474" s="3">
        <v>0</v>
      </c>
      <c r="G3474" s="3">
        <v>0</v>
      </c>
      <c r="H3474" s="3">
        <v>0</v>
      </c>
      <c r="I3474" s="3">
        <v>0</v>
      </c>
      <c r="J3474" s="18">
        <f t="shared" si="13"/>
        <v>1.28</v>
      </c>
    </row>
    <row r="3475" spans="1:10" ht="15.75" x14ac:dyDescent="0.25">
      <c r="A3475" s="21">
        <v>45626</v>
      </c>
      <c r="B3475" t="str">
        <f>IFERROR(IF(VLOOKUP(C3475,Hoja1!$B$1:$C$6191,2,0)="",_xlfn.XLOOKUP(C3475,Hoja1!$B$2:$B$6191,Hoja1!$A$2:$A$6191),VLOOKUP(C3475,Hoja1!$B$1:$C$6191,2,0)),"No esta en Infor")</f>
        <v>NAC0986</v>
      </c>
      <c r="C3475" s="3" t="s">
        <v>224</v>
      </c>
      <c r="D3475" s="3">
        <v>0</v>
      </c>
      <c r="E3475" s="3"/>
      <c r="F3475" s="4">
        <v>-5213.51</v>
      </c>
      <c r="G3475" s="4">
        <v>2314.08</v>
      </c>
      <c r="H3475" s="3">
        <v>299.49</v>
      </c>
      <c r="I3475" s="3">
        <v>52.79</v>
      </c>
      <c r="J3475" s="18">
        <f t="shared" si="13"/>
        <v>-2547.1500000000005</v>
      </c>
    </row>
    <row r="3476" spans="1:10" ht="15.75" x14ac:dyDescent="0.25">
      <c r="A3476" s="21">
        <v>45626</v>
      </c>
      <c r="B3476" t="str">
        <f>IFERROR(IF(VLOOKUP(C3476,Hoja1!$B$1:$C$6191,2,0)="",_xlfn.XLOOKUP(C3476,Hoja1!$B$2:$B$6191,Hoja1!$A$2:$A$6191),VLOOKUP(C3476,Hoja1!$B$1:$C$6191,2,0)),"No esta en Infor")</f>
        <v>NAC0987</v>
      </c>
      <c r="C3476" s="3" t="s">
        <v>225</v>
      </c>
      <c r="D3476" s="3">
        <v>0</v>
      </c>
      <c r="E3476" s="3"/>
      <c r="F3476" s="3">
        <v>0</v>
      </c>
      <c r="G3476" s="3">
        <v>0</v>
      </c>
      <c r="H3476" s="3">
        <v>0</v>
      </c>
      <c r="I3476" s="4">
        <v>2040.5</v>
      </c>
      <c r="J3476" s="18">
        <f t="shared" si="13"/>
        <v>2040.5</v>
      </c>
    </row>
    <row r="3477" spans="1:10" ht="15.75" x14ac:dyDescent="0.25">
      <c r="A3477" s="21">
        <v>45626</v>
      </c>
      <c r="B3477" t="str">
        <f>IFERROR(IF(VLOOKUP(C3477,Hoja1!$B$1:$C$6191,2,0)="",_xlfn.XLOOKUP(C3477,Hoja1!$B$2:$B$6191,Hoja1!$A$2:$A$6191),VLOOKUP(C3477,Hoja1!$B$1:$C$6191,2,0)),"No esta en Infor")</f>
        <v>SH03083</v>
      </c>
      <c r="C3477" s="3" t="s">
        <v>734</v>
      </c>
      <c r="D3477" s="3">
        <v>-53.36</v>
      </c>
      <c r="E3477" s="3"/>
      <c r="F3477" s="3">
        <v>0</v>
      </c>
      <c r="G3477" s="3">
        <v>0</v>
      </c>
      <c r="H3477" s="3">
        <v>0</v>
      </c>
      <c r="I3477" s="3">
        <v>0</v>
      </c>
      <c r="J3477" s="18">
        <f t="shared" si="13"/>
        <v>-53.36</v>
      </c>
    </row>
    <row r="3478" spans="1:10" ht="15.75" x14ac:dyDescent="0.25">
      <c r="A3478" s="21">
        <v>45626</v>
      </c>
      <c r="B3478" t="str">
        <f>IFERROR(IF(VLOOKUP(C3478,Hoja1!$B$1:$C$6191,2,0)="",_xlfn.XLOOKUP(C3478,Hoja1!$B$2:$B$6191,Hoja1!$A$2:$A$6191),VLOOKUP(C3478,Hoja1!$B$1:$C$6191,2,0)),"No esta en Infor")</f>
        <v>SH03393</v>
      </c>
      <c r="C3478" s="3" t="s">
        <v>833</v>
      </c>
      <c r="D3478" s="3">
        <v>140.6</v>
      </c>
      <c r="E3478" s="3"/>
      <c r="F3478" s="3">
        <v>0</v>
      </c>
      <c r="G3478" s="3">
        <v>0</v>
      </c>
      <c r="H3478" s="3">
        <v>0</v>
      </c>
      <c r="I3478" s="3">
        <v>0</v>
      </c>
      <c r="J3478" s="18">
        <f t="shared" si="13"/>
        <v>140.6</v>
      </c>
    </row>
    <row r="3479" spans="1:10" ht="15.75" x14ac:dyDescent="0.25">
      <c r="A3479" s="21">
        <v>45626</v>
      </c>
      <c r="B3479" t="str">
        <f>IFERROR(IF(VLOOKUP(C3479,Hoja1!$B$1:$C$6191,2,0)="",_xlfn.XLOOKUP(C3479,Hoja1!$B$2:$B$6191,Hoja1!$A$2:$A$6191),VLOOKUP(C3479,Hoja1!$B$1:$C$6191,2,0)),"No esta en Infor")</f>
        <v>NAC0994</v>
      </c>
      <c r="C3479" s="3" t="s">
        <v>226</v>
      </c>
      <c r="D3479" s="3">
        <v>232</v>
      </c>
      <c r="E3479" s="3"/>
      <c r="F3479" s="3">
        <v>0</v>
      </c>
      <c r="G3479" s="3">
        <v>0</v>
      </c>
      <c r="H3479" s="3">
        <v>0</v>
      </c>
      <c r="I3479" s="3">
        <v>0</v>
      </c>
      <c r="J3479" s="18">
        <f t="shared" si="13"/>
        <v>232</v>
      </c>
    </row>
    <row r="3480" spans="1:10" ht="15.75" x14ac:dyDescent="0.25">
      <c r="A3480" s="21">
        <v>45626</v>
      </c>
      <c r="B3480" t="str">
        <f>IFERROR(IF(VLOOKUP(C3480,Hoja1!$B$1:$C$6191,2,0)="",_xlfn.XLOOKUP(C3480,Hoja1!$B$2:$B$6191,Hoja1!$A$2:$A$6191),VLOOKUP(C3480,Hoja1!$B$1:$C$6191,2,0)),"No esta en Infor")</f>
        <v>NAC0995</v>
      </c>
      <c r="C3480" s="3" t="s">
        <v>227</v>
      </c>
      <c r="D3480" s="3">
        <v>320</v>
      </c>
      <c r="E3480" s="3"/>
      <c r="F3480" s="3">
        <v>0</v>
      </c>
      <c r="G3480" s="3">
        <v>0</v>
      </c>
      <c r="H3480" s="3">
        <v>0</v>
      </c>
      <c r="I3480" s="3">
        <v>0</v>
      </c>
      <c r="J3480" s="18">
        <f t="shared" si="13"/>
        <v>320</v>
      </c>
    </row>
    <row r="3481" spans="1:10" ht="15.75" x14ac:dyDescent="0.25">
      <c r="A3481" s="21">
        <v>45626</v>
      </c>
      <c r="B3481" t="str">
        <f>IFERROR(IF(VLOOKUP(C3481,Hoja1!$B$1:$C$6191,2,0)="",_xlfn.XLOOKUP(C3481,Hoja1!$B$2:$B$6191,Hoja1!$A$2:$A$6191),VLOOKUP(C3481,Hoja1!$B$1:$C$6191,2,0)),"No esta en Infor")</f>
        <v>SH03287</v>
      </c>
      <c r="C3481" s="3" t="s">
        <v>808</v>
      </c>
      <c r="D3481" s="3">
        <v>4.6100000000000003</v>
      </c>
      <c r="E3481" s="3"/>
      <c r="F3481" s="3">
        <v>0</v>
      </c>
      <c r="G3481" s="3">
        <v>0</v>
      </c>
      <c r="H3481" s="3">
        <v>0</v>
      </c>
      <c r="I3481" s="3">
        <v>0</v>
      </c>
      <c r="J3481" s="18">
        <f t="shared" si="13"/>
        <v>4.6100000000000003</v>
      </c>
    </row>
    <row r="3482" spans="1:10" ht="15.75" x14ac:dyDescent="0.25">
      <c r="A3482" s="21">
        <v>45626</v>
      </c>
      <c r="B3482" t="str">
        <f>IFERROR(IF(VLOOKUP(C3482,Hoja1!$B$1:$C$6191,2,0)="",_xlfn.XLOOKUP(C3482,Hoja1!$B$2:$B$6191,Hoja1!$A$2:$A$6191),VLOOKUP(C3482,Hoja1!$B$1:$C$6191,2,0)),"No esta en Infor")</f>
        <v>NAC1000</v>
      </c>
      <c r="C3482" s="3" t="s">
        <v>405</v>
      </c>
      <c r="D3482" s="3">
        <v>10.56</v>
      </c>
      <c r="E3482" s="3"/>
      <c r="F3482" s="3">
        <v>0</v>
      </c>
      <c r="G3482" s="3">
        <v>0</v>
      </c>
      <c r="H3482" s="3">
        <v>0</v>
      </c>
      <c r="I3482" s="3">
        <v>0</v>
      </c>
      <c r="J3482" s="18">
        <f t="shared" si="13"/>
        <v>10.56</v>
      </c>
    </row>
    <row r="3483" spans="1:10" ht="15.75" x14ac:dyDescent="0.25">
      <c r="A3483" s="21">
        <v>45626</v>
      </c>
      <c r="B3483" t="str">
        <f>IFERROR(IF(VLOOKUP(C3483,Hoja1!$B$1:$C$6191,2,0)="",_xlfn.XLOOKUP(C3483,Hoja1!$B$2:$B$6191,Hoja1!$A$2:$A$6191),VLOOKUP(C3483,Hoja1!$B$1:$C$6191,2,0)),"No esta en Infor")</f>
        <v>SH03391</v>
      </c>
      <c r="C3483" s="3" t="s">
        <v>831</v>
      </c>
      <c r="D3483" s="3">
        <v>162.61000000000001</v>
      </c>
      <c r="E3483" s="3"/>
      <c r="F3483" s="3">
        <v>0</v>
      </c>
      <c r="G3483" s="3">
        <v>0</v>
      </c>
      <c r="H3483" s="3">
        <v>0</v>
      </c>
      <c r="I3483" s="3">
        <v>0</v>
      </c>
      <c r="J3483" s="18">
        <f t="shared" si="13"/>
        <v>162.61000000000001</v>
      </c>
    </row>
    <row r="3484" spans="1:10" ht="15.75" x14ac:dyDescent="0.25">
      <c r="A3484" s="21">
        <v>45626</v>
      </c>
      <c r="B3484" t="str">
        <f>IFERROR(IF(VLOOKUP(C3484,Hoja1!$B$1:$C$6191,2,0)="",_xlfn.XLOOKUP(C3484,Hoja1!$B$2:$B$6191,Hoja1!$A$2:$A$6191),VLOOKUP(C3484,Hoja1!$B$1:$C$6191,2,0)),"No esta en Infor")</f>
        <v>SH03240</v>
      </c>
      <c r="C3484" s="3" t="s">
        <v>803</v>
      </c>
      <c r="D3484" s="3">
        <v>-92.75</v>
      </c>
      <c r="E3484" s="3"/>
      <c r="F3484" s="3">
        <v>0</v>
      </c>
      <c r="G3484" s="3">
        <v>0</v>
      </c>
      <c r="H3484" s="3">
        <v>0</v>
      </c>
      <c r="I3484" s="3">
        <v>0</v>
      </c>
      <c r="J3484" s="18">
        <f t="shared" si="13"/>
        <v>-92.75</v>
      </c>
    </row>
    <row r="3485" spans="1:10" ht="15.75" x14ac:dyDescent="0.25">
      <c r="A3485" s="21">
        <v>45626</v>
      </c>
      <c r="B3485" t="str">
        <f>IFERROR(IF(VLOOKUP(C3485,Hoja1!$B$1:$C$6191,2,0)="",_xlfn.XLOOKUP(C3485,Hoja1!$B$2:$B$6191,Hoja1!$A$2:$A$6191),VLOOKUP(C3485,Hoja1!$B$1:$C$6191,2,0)),"No esta en Infor")</f>
        <v>NAC1007</v>
      </c>
      <c r="C3485" s="3" t="s">
        <v>233</v>
      </c>
      <c r="D3485" s="4">
        <v>11780</v>
      </c>
      <c r="E3485" s="3"/>
      <c r="F3485" s="3">
        <v>0</v>
      </c>
      <c r="G3485" s="3">
        <v>0</v>
      </c>
      <c r="H3485" s="4">
        <v>-1440</v>
      </c>
      <c r="I3485" s="3">
        <v>0</v>
      </c>
      <c r="J3485" s="18">
        <f t="shared" si="13"/>
        <v>10340</v>
      </c>
    </row>
    <row r="3486" spans="1:10" ht="15.75" x14ac:dyDescent="0.25">
      <c r="A3486" s="21">
        <v>45626</v>
      </c>
      <c r="B3486" t="str">
        <f>IFERROR(IF(VLOOKUP(C3486,Hoja1!$B$1:$C$6191,2,0)="",_xlfn.XLOOKUP(C3486,Hoja1!$B$2:$B$6191,Hoja1!$A$2:$A$6191),VLOOKUP(C3486,Hoja1!$B$1:$C$6191,2,0)),"No esta en Infor")</f>
        <v>NAC1013</v>
      </c>
      <c r="C3486" s="3" t="s">
        <v>235</v>
      </c>
      <c r="D3486" s="3">
        <v>391.55</v>
      </c>
      <c r="E3486" s="3"/>
      <c r="F3486" s="3">
        <v>0</v>
      </c>
      <c r="G3486" s="3">
        <v>0</v>
      </c>
      <c r="H3486" s="3">
        <v>0</v>
      </c>
      <c r="I3486" s="3">
        <v>0</v>
      </c>
      <c r="J3486" s="18">
        <f t="shared" si="13"/>
        <v>391.55</v>
      </c>
    </row>
    <row r="3487" spans="1:10" ht="15.75" x14ac:dyDescent="0.25">
      <c r="A3487" s="21">
        <v>45626</v>
      </c>
      <c r="B3487" t="str">
        <f>IFERROR(IF(VLOOKUP(C3487,Hoja1!$B$1:$C$6191,2,0)="",_xlfn.XLOOKUP(C3487,Hoja1!$B$2:$B$6191,Hoja1!$A$2:$A$6191),VLOOKUP(C3487,Hoja1!$B$1:$C$6191,2,0)),"No esta en Infor")</f>
        <v>SH03281</v>
      </c>
      <c r="C3487" s="3" t="s">
        <v>807</v>
      </c>
      <c r="D3487" s="3">
        <v>-90.49</v>
      </c>
      <c r="E3487" s="3"/>
      <c r="F3487" s="3">
        <v>0</v>
      </c>
      <c r="G3487" s="3">
        <v>0</v>
      </c>
      <c r="H3487" s="3">
        <v>0</v>
      </c>
      <c r="I3487" s="3">
        <v>0</v>
      </c>
      <c r="J3487" s="18">
        <f t="shared" si="13"/>
        <v>-90.49</v>
      </c>
    </row>
    <row r="3488" spans="1:10" ht="15.75" x14ac:dyDescent="0.25">
      <c r="A3488" s="21">
        <v>45626</v>
      </c>
      <c r="B3488" t="str">
        <f>IFERROR(IF(VLOOKUP(C3488,Hoja1!$B$1:$C$6191,2,0)="",_xlfn.XLOOKUP(C3488,Hoja1!$B$2:$B$6191,Hoja1!$A$2:$A$6191),VLOOKUP(C3488,Hoja1!$B$1:$C$6191,2,0)),"No esta en Infor")</f>
        <v>NAC1606</v>
      </c>
      <c r="C3488" s="3" t="s">
        <v>561</v>
      </c>
      <c r="D3488" s="4">
        <v>38095.81</v>
      </c>
      <c r="E3488" s="3"/>
      <c r="F3488" s="3">
        <v>0</v>
      </c>
      <c r="G3488" s="3">
        <v>0</v>
      </c>
      <c r="H3488" s="3">
        <v>0</v>
      </c>
      <c r="I3488" s="3">
        <v>0</v>
      </c>
      <c r="J3488" s="18">
        <f t="shared" si="13"/>
        <v>38095.81</v>
      </c>
    </row>
    <row r="3489" spans="1:10" ht="15.75" x14ac:dyDescent="0.25">
      <c r="A3489" s="21">
        <v>45626</v>
      </c>
      <c r="B3489" t="str">
        <f>IFERROR(IF(VLOOKUP(C3489,Hoja1!$B$1:$C$6191,2,0)="",_xlfn.XLOOKUP(C3489,Hoja1!$B$2:$B$6191,Hoja1!$A$2:$A$6191),VLOOKUP(C3489,Hoja1!$B$1:$C$6191,2,0)),"No esta en Infor")</f>
        <v>NAC1018</v>
      </c>
      <c r="C3489" s="3" t="s">
        <v>463</v>
      </c>
      <c r="D3489" s="4">
        <v>1227.58</v>
      </c>
      <c r="E3489" s="3"/>
      <c r="F3489" s="3">
        <v>0</v>
      </c>
      <c r="G3489" s="3">
        <v>0</v>
      </c>
      <c r="H3489" s="3">
        <v>0</v>
      </c>
      <c r="I3489" s="3">
        <v>0</v>
      </c>
      <c r="J3489" s="18">
        <f t="shared" si="13"/>
        <v>1227.58</v>
      </c>
    </row>
    <row r="3490" spans="1:10" ht="15.75" x14ac:dyDescent="0.25">
      <c r="A3490" s="21">
        <v>45626</v>
      </c>
      <c r="B3490" t="str">
        <f>IFERROR(IF(VLOOKUP(C3490,Hoja1!$B$1:$C$6191,2,0)="",_xlfn.XLOOKUP(C3490,Hoja1!$B$2:$B$6191,Hoja1!$A$2:$A$6191),VLOOKUP(C3490,Hoja1!$B$1:$C$6191,2,0)),"No esta en Infor")</f>
        <v>NAC1021</v>
      </c>
      <c r="C3490" s="3" t="s">
        <v>239</v>
      </c>
      <c r="D3490" s="3">
        <v>-5</v>
      </c>
      <c r="E3490" s="3"/>
      <c r="F3490" s="3">
        <v>0</v>
      </c>
      <c r="G3490" s="3">
        <v>0</v>
      </c>
      <c r="H3490" s="3">
        <v>0</v>
      </c>
      <c r="I3490" s="3">
        <v>0</v>
      </c>
      <c r="J3490" s="18">
        <f t="shared" si="13"/>
        <v>-5</v>
      </c>
    </row>
    <row r="3491" spans="1:10" ht="15.75" x14ac:dyDescent="0.25">
      <c r="A3491" s="21">
        <v>45626</v>
      </c>
      <c r="B3491" t="str">
        <f>IFERROR(IF(VLOOKUP(C3491,Hoja1!$B$1:$C$6191,2,0)="",_xlfn.XLOOKUP(C3491,Hoja1!$B$2:$B$6191,Hoja1!$A$2:$A$6191),VLOOKUP(C3491,Hoja1!$B$1:$C$6191,2,0)),"No esta en Infor")</f>
        <v>SH03296</v>
      </c>
      <c r="C3491" s="3" t="s">
        <v>814</v>
      </c>
      <c r="D3491" s="3">
        <v>2.19</v>
      </c>
      <c r="E3491" s="3"/>
      <c r="F3491" s="3">
        <v>0</v>
      </c>
      <c r="G3491" s="3">
        <v>0</v>
      </c>
      <c r="H3491" s="3">
        <v>0</v>
      </c>
      <c r="I3491" s="3">
        <v>0</v>
      </c>
      <c r="J3491" s="18">
        <f t="shared" si="13"/>
        <v>2.19</v>
      </c>
    </row>
    <row r="3492" spans="1:10" ht="15.75" x14ac:dyDescent="0.25">
      <c r="A3492" s="21">
        <v>45626</v>
      </c>
      <c r="B3492" t="str">
        <f>IFERROR(IF(VLOOKUP(C3492,Hoja1!$B$1:$C$6191,2,0)="",_xlfn.XLOOKUP(C3492,Hoja1!$B$2:$B$6191,Hoja1!$A$2:$A$6191),VLOOKUP(C3492,Hoja1!$B$1:$C$6191,2,0)),"No esta en Infor")</f>
        <v>NAC1024</v>
      </c>
      <c r="C3492" s="3" t="s">
        <v>241</v>
      </c>
      <c r="D3492" s="3">
        <v>388.94</v>
      </c>
      <c r="E3492" s="3"/>
      <c r="F3492" s="3">
        <v>0</v>
      </c>
      <c r="G3492" s="3">
        <v>0</v>
      </c>
      <c r="H3492" s="3">
        <v>0</v>
      </c>
      <c r="I3492" s="3">
        <v>0</v>
      </c>
      <c r="J3492" s="18">
        <f t="shared" ref="J3492:J3555" si="14">SUM(D3492:I3492)</f>
        <v>388.94</v>
      </c>
    </row>
    <row r="3493" spans="1:10" ht="15.75" x14ac:dyDescent="0.25">
      <c r="A3493" s="21">
        <v>45626</v>
      </c>
      <c r="B3493" t="str">
        <f>IFERROR(IF(VLOOKUP(C3493,Hoja1!$B$1:$C$6191,2,0)="",_xlfn.XLOOKUP(C3493,Hoja1!$B$2:$B$6191,Hoja1!$A$2:$A$6191),VLOOKUP(C3493,Hoja1!$B$1:$C$6191,2,0)),"No esta en Infor")</f>
        <v>NAC1025</v>
      </c>
      <c r="C3493" s="3" t="s">
        <v>242</v>
      </c>
      <c r="D3493" s="3">
        <v>-895.76</v>
      </c>
      <c r="E3493" s="3"/>
      <c r="F3493" s="3">
        <v>0</v>
      </c>
      <c r="G3493" s="3">
        <v>0</v>
      </c>
      <c r="H3493" s="3">
        <v>0</v>
      </c>
      <c r="I3493" s="3">
        <v>0</v>
      </c>
      <c r="J3493" s="18">
        <f t="shared" si="14"/>
        <v>-895.76</v>
      </c>
    </row>
    <row r="3494" spans="1:10" ht="15.75" x14ac:dyDescent="0.25">
      <c r="A3494" s="21">
        <v>45626</v>
      </c>
      <c r="B3494" t="str">
        <f>IFERROR(IF(VLOOKUP(C3494,Hoja1!$B$1:$C$6191,2,0)="",_xlfn.XLOOKUP(C3494,Hoja1!$B$2:$B$6191,Hoja1!$A$2:$A$6191),VLOOKUP(C3494,Hoja1!$B$1:$C$6191,2,0)),"No esta en Infor")</f>
        <v>NAC1027</v>
      </c>
      <c r="C3494" s="3" t="s">
        <v>243</v>
      </c>
      <c r="D3494" s="3">
        <v>0</v>
      </c>
      <c r="E3494" s="3"/>
      <c r="F3494" s="3">
        <v>0</v>
      </c>
      <c r="G3494" s="3">
        <v>0</v>
      </c>
      <c r="H3494" s="3">
        <v>0</v>
      </c>
      <c r="I3494" s="4">
        <v>-2408</v>
      </c>
      <c r="J3494" s="18">
        <f t="shared" si="14"/>
        <v>-2408</v>
      </c>
    </row>
    <row r="3495" spans="1:10" ht="15.75" x14ac:dyDescent="0.25">
      <c r="A3495" s="21">
        <v>45626</v>
      </c>
      <c r="B3495" t="str">
        <f>IFERROR(IF(VLOOKUP(C3495,Hoja1!$B$1:$C$6191,2,0)="",_xlfn.XLOOKUP(C3495,Hoja1!$B$2:$B$6191,Hoja1!$A$2:$A$6191),VLOOKUP(C3495,Hoja1!$B$1:$C$6191,2,0)),"No esta en Infor")</f>
        <v>NAC1042</v>
      </c>
      <c r="C3495" s="3" t="s">
        <v>244</v>
      </c>
      <c r="D3495" s="4">
        <v>52848</v>
      </c>
      <c r="E3495" s="3"/>
      <c r="F3495" s="3">
        <v>0</v>
      </c>
      <c r="G3495" s="3">
        <v>0</v>
      </c>
      <c r="H3495" s="3">
        <v>0</v>
      </c>
      <c r="I3495" s="3">
        <v>0</v>
      </c>
      <c r="J3495" s="18">
        <f t="shared" si="14"/>
        <v>52848</v>
      </c>
    </row>
    <row r="3496" spans="1:10" ht="15.75" x14ac:dyDescent="0.25">
      <c r="A3496" s="21">
        <v>45626</v>
      </c>
      <c r="B3496" t="str">
        <f>IFERROR(IF(VLOOKUP(C3496,Hoja1!$B$1:$C$6191,2,0)="",_xlfn.XLOOKUP(C3496,Hoja1!$B$2:$B$6191,Hoja1!$A$2:$A$6191),VLOOKUP(C3496,Hoja1!$B$1:$C$6191,2,0)),"No esta en Infor")</f>
        <v>SH03379</v>
      </c>
      <c r="C3496" s="3" t="s">
        <v>828</v>
      </c>
      <c r="D3496" s="3">
        <v>-84.05</v>
      </c>
      <c r="E3496" s="3"/>
      <c r="F3496" s="3">
        <v>0</v>
      </c>
      <c r="G3496" s="3">
        <v>0</v>
      </c>
      <c r="H3496" s="3">
        <v>0</v>
      </c>
      <c r="I3496" s="3">
        <v>0</v>
      </c>
      <c r="J3496" s="18">
        <f t="shared" si="14"/>
        <v>-84.05</v>
      </c>
    </row>
    <row r="3497" spans="1:10" ht="15.75" x14ac:dyDescent="0.25">
      <c r="A3497" s="21">
        <v>45626</v>
      </c>
      <c r="B3497" t="str">
        <f>IFERROR(IF(VLOOKUP(C3497,Hoja1!$B$1:$C$6191,2,0)="",_xlfn.XLOOKUP(C3497,Hoja1!$B$2:$B$6191,Hoja1!$A$2:$A$6191),VLOOKUP(C3497,Hoja1!$B$1:$C$6191,2,0)),"No esta en Infor")</f>
        <v>NAC1051</v>
      </c>
      <c r="C3497" s="3" t="s">
        <v>246</v>
      </c>
      <c r="D3497" s="3">
        <v>679.1</v>
      </c>
      <c r="E3497" s="3"/>
      <c r="F3497" s="3">
        <v>0</v>
      </c>
      <c r="G3497" s="3">
        <v>0</v>
      </c>
      <c r="H3497" s="3">
        <v>0</v>
      </c>
      <c r="I3497" s="3">
        <v>0</v>
      </c>
      <c r="J3497" s="18">
        <f t="shared" si="14"/>
        <v>679.1</v>
      </c>
    </row>
    <row r="3498" spans="1:10" ht="15.75" x14ac:dyDescent="0.25">
      <c r="A3498" s="21">
        <v>45626</v>
      </c>
      <c r="B3498" t="str">
        <f>IFERROR(IF(VLOOKUP(C3498,Hoja1!$B$1:$C$6191,2,0)="",_xlfn.XLOOKUP(C3498,Hoja1!$B$2:$B$6191,Hoja1!$A$2:$A$6191),VLOOKUP(C3498,Hoja1!$B$1:$C$6191,2,0)),"No esta en Infor")</f>
        <v>NAC1053</v>
      </c>
      <c r="C3498" s="3" t="s">
        <v>679</v>
      </c>
      <c r="D3498" s="4">
        <v>24002.42</v>
      </c>
      <c r="E3498" s="3"/>
      <c r="F3498" s="3">
        <v>0</v>
      </c>
      <c r="G3498" s="3">
        <v>0</v>
      </c>
      <c r="H3498" s="3">
        <v>0</v>
      </c>
      <c r="I3498" s="3">
        <v>0</v>
      </c>
      <c r="J3498" s="18">
        <f t="shared" si="14"/>
        <v>24002.42</v>
      </c>
    </row>
    <row r="3499" spans="1:10" ht="15.75" x14ac:dyDescent="0.25">
      <c r="A3499" s="21">
        <v>45626</v>
      </c>
      <c r="B3499" t="str">
        <f>IFERROR(IF(VLOOKUP(C3499,Hoja1!$B$1:$C$6191,2,0)="",_xlfn.XLOOKUP(C3499,Hoja1!$B$2:$B$6191,Hoja1!$A$2:$A$6191),VLOOKUP(C3499,Hoja1!$B$1:$C$6191,2,0)),"No esta en Infor")</f>
        <v>NAC1054</v>
      </c>
      <c r="C3499" s="3" t="s">
        <v>248</v>
      </c>
      <c r="D3499" s="4">
        <v>1254.5999999999999</v>
      </c>
      <c r="E3499" s="3"/>
      <c r="F3499" s="3">
        <v>0</v>
      </c>
      <c r="G3499" s="3">
        <v>0</v>
      </c>
      <c r="H3499" s="3">
        <v>0</v>
      </c>
      <c r="I3499" s="3">
        <v>0</v>
      </c>
      <c r="J3499" s="18">
        <f t="shared" si="14"/>
        <v>1254.5999999999999</v>
      </c>
    </row>
    <row r="3500" spans="1:10" ht="15.75" x14ac:dyDescent="0.25">
      <c r="A3500" s="21">
        <v>45626</v>
      </c>
      <c r="B3500" t="str">
        <f>IFERROR(IF(VLOOKUP(C3500,Hoja1!$B$1:$C$6191,2,0)="",_xlfn.XLOOKUP(C3500,Hoja1!$B$2:$B$6191,Hoja1!$A$2:$A$6191),VLOOKUP(C3500,Hoja1!$B$1:$C$6191,2,0)),"No esta en Infor")</f>
        <v>NAC1056</v>
      </c>
      <c r="C3500" s="3" t="s">
        <v>465</v>
      </c>
      <c r="D3500" s="3">
        <v>585</v>
      </c>
      <c r="E3500" s="3"/>
      <c r="F3500" s="3">
        <v>0</v>
      </c>
      <c r="G3500" s="3">
        <v>0</v>
      </c>
      <c r="H3500" s="3">
        <v>0</v>
      </c>
      <c r="I3500" s="3">
        <v>0</v>
      </c>
      <c r="J3500" s="18">
        <f t="shared" si="14"/>
        <v>585</v>
      </c>
    </row>
    <row r="3501" spans="1:10" ht="15.75" x14ac:dyDescent="0.25">
      <c r="A3501" s="21">
        <v>45626</v>
      </c>
      <c r="B3501" t="str">
        <f>IFERROR(IF(VLOOKUP(C3501,Hoja1!$B$1:$C$6191,2,0)="",_xlfn.XLOOKUP(C3501,Hoja1!$B$2:$B$6191,Hoja1!$A$2:$A$6191),VLOOKUP(C3501,Hoja1!$B$1:$C$6191,2,0)),"No esta en Infor")</f>
        <v>NAC1058</v>
      </c>
      <c r="C3501" s="3" t="s">
        <v>741</v>
      </c>
      <c r="D3501" s="3">
        <v>521</v>
      </c>
      <c r="E3501" s="3"/>
      <c r="F3501" s="3">
        <v>0</v>
      </c>
      <c r="G3501" s="3">
        <v>0</v>
      </c>
      <c r="H3501" s="3">
        <v>0</v>
      </c>
      <c r="I3501" s="3">
        <v>0</v>
      </c>
      <c r="J3501" s="18">
        <f t="shared" si="14"/>
        <v>521</v>
      </c>
    </row>
    <row r="3502" spans="1:10" ht="15.75" x14ac:dyDescent="0.25">
      <c r="A3502" s="21">
        <v>45626</v>
      </c>
      <c r="B3502" t="str">
        <f>IFERROR(IF(VLOOKUP(C3502,Hoja1!$B$1:$C$6191,2,0)="",_xlfn.XLOOKUP(C3502,Hoja1!$B$2:$B$6191,Hoja1!$A$2:$A$6191),VLOOKUP(C3502,Hoja1!$B$1:$C$6191,2,0)),"No esta en Infor")</f>
        <v>SH02914</v>
      </c>
      <c r="C3502" s="3" t="s">
        <v>793</v>
      </c>
      <c r="D3502" s="3">
        <v>21.24</v>
      </c>
      <c r="E3502" s="3"/>
      <c r="F3502" s="3">
        <v>0</v>
      </c>
      <c r="G3502" s="3">
        <v>0</v>
      </c>
      <c r="H3502" s="3">
        <v>0</v>
      </c>
      <c r="I3502" s="3">
        <v>0</v>
      </c>
      <c r="J3502" s="18">
        <f t="shared" si="14"/>
        <v>21.24</v>
      </c>
    </row>
    <row r="3503" spans="1:10" ht="15.75" x14ac:dyDescent="0.25">
      <c r="A3503" s="21">
        <v>45626</v>
      </c>
      <c r="B3503" t="str">
        <f>IFERROR(IF(VLOOKUP(C3503,Hoja1!$B$1:$C$6191,2,0)="",_xlfn.XLOOKUP(C3503,Hoja1!$B$2:$B$6191,Hoja1!$A$2:$A$6191),VLOOKUP(C3503,Hoja1!$B$1:$C$6191,2,0)),"No esta en Infor")</f>
        <v>SH03323</v>
      </c>
      <c r="C3503" s="3" t="s">
        <v>816</v>
      </c>
      <c r="D3503" s="3">
        <v>2.48</v>
      </c>
      <c r="E3503" s="3"/>
      <c r="F3503" s="3">
        <v>0</v>
      </c>
      <c r="G3503" s="3">
        <v>0</v>
      </c>
      <c r="H3503" s="3">
        <v>0</v>
      </c>
      <c r="I3503" s="3">
        <v>0</v>
      </c>
      <c r="J3503" s="18">
        <f t="shared" si="14"/>
        <v>2.48</v>
      </c>
    </row>
    <row r="3504" spans="1:10" ht="15.75" x14ac:dyDescent="0.25">
      <c r="A3504" s="21">
        <v>45626</v>
      </c>
      <c r="B3504" t="str">
        <f>IFERROR(IF(VLOOKUP(C3504,Hoja1!$B$1:$C$6191,2,0)="",_xlfn.XLOOKUP(C3504,Hoja1!$B$2:$B$6191,Hoja1!$A$2:$A$6191),VLOOKUP(C3504,Hoja1!$B$1:$C$6191,2,0)),"No esta en Infor")</f>
        <v>NAC1067</v>
      </c>
      <c r="C3504" s="3" t="s">
        <v>781</v>
      </c>
      <c r="D3504" s="3">
        <v>-613.5</v>
      </c>
      <c r="E3504" s="3"/>
      <c r="F3504" s="3">
        <v>0</v>
      </c>
      <c r="G3504" s="3">
        <v>0</v>
      </c>
      <c r="H3504" s="3">
        <v>0</v>
      </c>
      <c r="I3504" s="3">
        <v>0</v>
      </c>
      <c r="J3504" s="18">
        <f t="shared" si="14"/>
        <v>-613.5</v>
      </c>
    </row>
    <row r="3505" spans="1:10" ht="15.75" x14ac:dyDescent="0.25">
      <c r="A3505" s="21">
        <v>45626</v>
      </c>
      <c r="B3505" t="str">
        <f>IFERROR(IF(VLOOKUP(C3505,Hoja1!$B$1:$C$6191,2,0)="",_xlfn.XLOOKUP(C3505,Hoja1!$B$2:$B$6191,Hoja1!$A$2:$A$6191),VLOOKUP(C3505,Hoja1!$B$1:$C$6191,2,0)),"No esta en Infor")</f>
        <v>NAC1069</v>
      </c>
      <c r="C3505" s="3" t="s">
        <v>628</v>
      </c>
      <c r="D3505" s="4">
        <v>2000</v>
      </c>
      <c r="E3505" s="3"/>
      <c r="F3505" s="3">
        <v>0</v>
      </c>
      <c r="G3505" s="3">
        <v>0</v>
      </c>
      <c r="H3505" s="3">
        <v>0</v>
      </c>
      <c r="I3505" s="3">
        <v>0</v>
      </c>
      <c r="J3505" s="18">
        <f t="shared" si="14"/>
        <v>2000</v>
      </c>
    </row>
    <row r="3506" spans="1:10" ht="15.75" x14ac:dyDescent="0.25">
      <c r="A3506" s="21">
        <v>45626</v>
      </c>
      <c r="B3506" t="str">
        <f>IFERROR(IF(VLOOKUP(C3506,Hoja1!$B$1:$C$6191,2,0)="",_xlfn.XLOOKUP(C3506,Hoja1!$B$2:$B$6191,Hoja1!$A$2:$A$6191),VLOOKUP(C3506,Hoja1!$B$1:$C$6191,2,0)),"No esta en Infor")</f>
        <v>NAC1074</v>
      </c>
      <c r="C3506" s="3" t="s">
        <v>252</v>
      </c>
      <c r="D3506" s="3">
        <v>661.43</v>
      </c>
      <c r="E3506" s="3"/>
      <c r="F3506" s="3">
        <v>0</v>
      </c>
      <c r="G3506" s="3">
        <v>0</v>
      </c>
      <c r="H3506" s="3">
        <v>0</v>
      </c>
      <c r="I3506" s="3">
        <v>0</v>
      </c>
      <c r="J3506" s="18">
        <f t="shared" si="14"/>
        <v>661.43</v>
      </c>
    </row>
    <row r="3507" spans="1:10" ht="15.75" x14ac:dyDescent="0.25">
      <c r="A3507" s="21">
        <v>45626</v>
      </c>
      <c r="B3507" t="str">
        <f>IFERROR(IF(VLOOKUP(C3507,Hoja1!$B$1:$C$6191,2,0)="",_xlfn.XLOOKUP(C3507,Hoja1!$B$2:$B$6191,Hoja1!$A$2:$A$6191),VLOOKUP(C3507,Hoja1!$B$1:$C$6191,2,0)),"No esta en Infor")</f>
        <v>NAC1077</v>
      </c>
      <c r="C3507" s="3" t="s">
        <v>254</v>
      </c>
      <c r="D3507" s="4">
        <v>2583.5</v>
      </c>
      <c r="E3507" s="3"/>
      <c r="F3507" s="3">
        <v>0</v>
      </c>
      <c r="G3507" s="3">
        <v>0</v>
      </c>
      <c r="H3507" s="3">
        <v>0</v>
      </c>
      <c r="I3507" s="3">
        <v>0</v>
      </c>
      <c r="J3507" s="18">
        <f t="shared" si="14"/>
        <v>2583.5</v>
      </c>
    </row>
    <row r="3508" spans="1:10" ht="15.75" x14ac:dyDescent="0.25">
      <c r="A3508" s="21">
        <v>45626</v>
      </c>
      <c r="B3508" t="str">
        <f>IFERROR(IF(VLOOKUP(C3508,Hoja1!$B$1:$C$6191,2,0)="",_xlfn.XLOOKUP(C3508,Hoja1!$B$2:$B$6191,Hoja1!$A$2:$A$6191),VLOOKUP(C3508,Hoja1!$B$1:$C$6191,2,0)),"No esta en Infor")</f>
        <v>NAC1080</v>
      </c>
      <c r="C3508" s="3" t="s">
        <v>684</v>
      </c>
      <c r="D3508" s="3">
        <v>-18.45</v>
      </c>
      <c r="E3508" s="3"/>
      <c r="F3508" s="3">
        <v>0</v>
      </c>
      <c r="G3508" s="3">
        <v>0</v>
      </c>
      <c r="H3508" s="3">
        <v>0</v>
      </c>
      <c r="I3508" s="3">
        <v>0</v>
      </c>
      <c r="J3508" s="18">
        <f t="shared" si="14"/>
        <v>-18.45</v>
      </c>
    </row>
    <row r="3509" spans="1:10" ht="15.75" x14ac:dyDescent="0.25">
      <c r="A3509" s="21">
        <v>45626</v>
      </c>
      <c r="B3509" t="str">
        <f>IFERROR(IF(VLOOKUP(C3509,Hoja1!$B$1:$C$6191,2,0)="",_xlfn.XLOOKUP(C3509,Hoja1!$B$2:$B$6191,Hoja1!$A$2:$A$6191),VLOOKUP(C3509,Hoja1!$B$1:$C$6191,2,0)),"No esta en Infor")</f>
        <v>CAN0091</v>
      </c>
      <c r="C3509" s="3" t="s">
        <v>586</v>
      </c>
      <c r="D3509" s="3">
        <v>0</v>
      </c>
      <c r="E3509" s="3"/>
      <c r="F3509" s="3">
        <v>-646.09</v>
      </c>
      <c r="G3509" s="3">
        <v>0</v>
      </c>
      <c r="H3509" s="3">
        <v>0</v>
      </c>
      <c r="I3509" s="3">
        <v>0</v>
      </c>
      <c r="J3509" s="18">
        <f t="shared" si="14"/>
        <v>-646.09</v>
      </c>
    </row>
    <row r="3510" spans="1:10" ht="15.75" x14ac:dyDescent="0.25">
      <c r="A3510" s="21">
        <v>45626</v>
      </c>
      <c r="B3510" t="str">
        <f>IFERROR(IF(VLOOKUP(C3510,Hoja1!$B$1:$C$6191,2,0)="",_xlfn.XLOOKUP(C3510,Hoja1!$B$2:$B$6191,Hoja1!$A$2:$A$6191),VLOOKUP(C3510,Hoja1!$B$1:$C$6191,2,0)),"No esta en Infor")</f>
        <v>CAN0036</v>
      </c>
      <c r="C3510" s="3" t="s">
        <v>256</v>
      </c>
      <c r="D3510" s="3">
        <v>446.64</v>
      </c>
      <c r="E3510" s="3"/>
      <c r="F3510" s="3">
        <v>0</v>
      </c>
      <c r="G3510" s="3">
        <v>0</v>
      </c>
      <c r="H3510" s="3">
        <v>0</v>
      </c>
      <c r="I3510" s="3">
        <v>0</v>
      </c>
      <c r="J3510" s="18">
        <f t="shared" si="14"/>
        <v>446.64</v>
      </c>
    </row>
    <row r="3511" spans="1:10" ht="15.75" x14ac:dyDescent="0.25">
      <c r="A3511" s="21">
        <v>45626</v>
      </c>
      <c r="B3511" t="str">
        <f>IFERROR(IF(VLOOKUP(C3511,Hoja1!$B$1:$C$6191,2,0)="",_xlfn.XLOOKUP(C3511,Hoja1!$B$2:$B$6191,Hoja1!$A$2:$A$6191),VLOOKUP(C3511,Hoja1!$B$1:$C$6191,2,0)),"No esta en Infor")</f>
        <v>SH03331</v>
      </c>
      <c r="C3511" s="3" t="s">
        <v>817</v>
      </c>
      <c r="D3511" s="3">
        <v>193.06</v>
      </c>
      <c r="E3511" s="3"/>
      <c r="F3511" s="3">
        <v>0</v>
      </c>
      <c r="G3511" s="3">
        <v>0</v>
      </c>
      <c r="H3511" s="3">
        <v>0</v>
      </c>
      <c r="I3511" s="3">
        <v>0</v>
      </c>
      <c r="J3511" s="18">
        <f t="shared" si="14"/>
        <v>193.06</v>
      </c>
    </row>
    <row r="3512" spans="1:10" ht="15.75" x14ac:dyDescent="0.25">
      <c r="A3512" s="21">
        <v>45626</v>
      </c>
      <c r="B3512" t="str">
        <f>IFERROR(IF(VLOOKUP(C3512,Hoja1!$B$1:$C$6191,2,0)="",_xlfn.XLOOKUP(C3512,Hoja1!$B$2:$B$6191,Hoja1!$A$2:$A$6191),VLOOKUP(C3512,Hoja1!$B$1:$C$6191,2,0)),"No esta en Infor")</f>
        <v>NAC1083</v>
      </c>
      <c r="C3512" s="3" t="s">
        <v>685</v>
      </c>
      <c r="D3512" s="4">
        <v>-1035</v>
      </c>
      <c r="E3512" s="3"/>
      <c r="F3512" s="3">
        <v>0</v>
      </c>
      <c r="G3512" s="3">
        <v>0</v>
      </c>
      <c r="H3512" s="3">
        <v>0</v>
      </c>
      <c r="I3512" s="3">
        <v>0</v>
      </c>
      <c r="J3512" s="18">
        <f t="shared" si="14"/>
        <v>-1035</v>
      </c>
    </row>
    <row r="3513" spans="1:10" ht="15.75" x14ac:dyDescent="0.25">
      <c r="A3513" s="21">
        <v>45626</v>
      </c>
      <c r="B3513" t="str">
        <f>IFERROR(IF(VLOOKUP(C3513,Hoja1!$B$1:$C$6191,2,0)="",_xlfn.XLOOKUP(C3513,Hoja1!$B$2:$B$6191,Hoja1!$A$2:$A$6191),VLOOKUP(C3513,Hoja1!$B$1:$C$6191,2,0)),"No esta en Infor")</f>
        <v>SH03142</v>
      </c>
      <c r="C3513" s="3" t="s">
        <v>800</v>
      </c>
      <c r="D3513" s="3">
        <v>56.95</v>
      </c>
      <c r="E3513" s="3"/>
      <c r="F3513" s="3">
        <v>0</v>
      </c>
      <c r="G3513" s="3">
        <v>0</v>
      </c>
      <c r="H3513" s="3">
        <v>0</v>
      </c>
      <c r="I3513" s="3">
        <v>0</v>
      </c>
      <c r="J3513" s="18">
        <f t="shared" si="14"/>
        <v>56.95</v>
      </c>
    </row>
    <row r="3514" spans="1:10" ht="15.75" x14ac:dyDescent="0.25">
      <c r="A3514" s="21">
        <v>45626</v>
      </c>
      <c r="B3514" t="str">
        <f>IFERROR(IF(VLOOKUP(C3514,Hoja1!$B$1:$C$6191,2,0)="",_xlfn.XLOOKUP(C3514,Hoja1!$B$2:$B$6191,Hoja1!$A$2:$A$6191),VLOOKUP(C3514,Hoja1!$B$1:$C$6191,2,0)),"No esta en Infor")</f>
        <v>SH03394</v>
      </c>
      <c r="C3514" s="3" t="s">
        <v>834</v>
      </c>
      <c r="D3514" s="3">
        <v>113.8</v>
      </c>
      <c r="E3514" s="3"/>
      <c r="F3514" s="3">
        <v>0</v>
      </c>
      <c r="G3514" s="3">
        <v>0</v>
      </c>
      <c r="H3514" s="3">
        <v>0</v>
      </c>
      <c r="I3514" s="3">
        <v>0</v>
      </c>
      <c r="J3514" s="18">
        <f t="shared" si="14"/>
        <v>113.8</v>
      </c>
    </row>
    <row r="3515" spans="1:10" ht="15.75" x14ac:dyDescent="0.25">
      <c r="A3515" s="21">
        <v>45626</v>
      </c>
      <c r="B3515" t="str">
        <f>IFERROR(IF(VLOOKUP(C3515,Hoja1!$B$1:$C$6191,2,0)="",_xlfn.XLOOKUP(C3515,Hoja1!$B$2:$B$6191,Hoja1!$A$2:$A$6191),VLOOKUP(C3515,Hoja1!$B$1:$C$6191,2,0)),"No esta en Infor")</f>
        <v>NAC1594</v>
      </c>
      <c r="C3515" s="3" t="s">
        <v>791</v>
      </c>
      <c r="D3515" s="3">
        <v>625.33000000000004</v>
      </c>
      <c r="E3515" s="3"/>
      <c r="F3515" s="3">
        <v>0</v>
      </c>
      <c r="G3515" s="3">
        <v>0</v>
      </c>
      <c r="H3515" s="3">
        <v>0</v>
      </c>
      <c r="I3515" s="3">
        <v>0</v>
      </c>
      <c r="J3515" s="18">
        <f t="shared" si="14"/>
        <v>625.33000000000004</v>
      </c>
    </row>
    <row r="3516" spans="1:10" ht="15.75" x14ac:dyDescent="0.25">
      <c r="A3516" s="21">
        <v>45626</v>
      </c>
      <c r="B3516" t="str">
        <f>IFERROR(IF(VLOOKUP(C3516,Hoja1!$B$1:$C$6191,2,0)="",_xlfn.XLOOKUP(C3516,Hoja1!$B$2:$B$6191,Hoja1!$A$2:$A$6191),VLOOKUP(C3516,Hoja1!$B$1:$C$6191,2,0)),"No esta en Infor")</f>
        <v>NAC1087</v>
      </c>
      <c r="C3516" s="3" t="s">
        <v>631</v>
      </c>
      <c r="D3516" s="3">
        <v>908</v>
      </c>
      <c r="E3516" s="3"/>
      <c r="F3516" s="3">
        <v>0</v>
      </c>
      <c r="G3516" s="3">
        <v>0</v>
      </c>
      <c r="H3516" s="3">
        <v>0</v>
      </c>
      <c r="I3516" s="3">
        <v>0</v>
      </c>
      <c r="J3516" s="18">
        <f t="shared" si="14"/>
        <v>908</v>
      </c>
    </row>
    <row r="3517" spans="1:10" ht="15.75" x14ac:dyDescent="0.25">
      <c r="A3517" s="21">
        <v>45626</v>
      </c>
      <c r="B3517" t="str">
        <f>IFERROR(IF(VLOOKUP(C3517,Hoja1!$B$1:$C$6191,2,0)="",_xlfn.XLOOKUP(C3517,Hoja1!$B$2:$B$6191,Hoja1!$A$2:$A$6191),VLOOKUP(C3517,Hoja1!$B$1:$C$6191,2,0)),"No esta en Infor")</f>
        <v>SH03187</v>
      </c>
      <c r="C3517" s="3" t="s">
        <v>802</v>
      </c>
      <c r="D3517" s="3">
        <v>-13.74</v>
      </c>
      <c r="E3517" s="3"/>
      <c r="F3517" s="3">
        <v>0</v>
      </c>
      <c r="G3517" s="3">
        <v>0</v>
      </c>
      <c r="H3517" s="3">
        <v>0</v>
      </c>
      <c r="I3517" s="3">
        <v>0</v>
      </c>
      <c r="J3517" s="18">
        <f t="shared" si="14"/>
        <v>-13.74</v>
      </c>
    </row>
    <row r="3518" spans="1:10" ht="15.75" x14ac:dyDescent="0.25">
      <c r="A3518" s="21">
        <v>45626</v>
      </c>
      <c r="B3518" t="str">
        <f>IFERROR(IF(VLOOKUP(C3518,Hoja1!$B$1:$C$6191,2,0)="",_xlfn.XLOOKUP(C3518,Hoja1!$B$2:$B$6191,Hoja1!$A$2:$A$6191),VLOOKUP(C3518,Hoja1!$B$1:$C$6191,2,0)),"No esta en Infor")</f>
        <v>NAC1106</v>
      </c>
      <c r="C3518" s="3" t="s">
        <v>259</v>
      </c>
      <c r="D3518" s="3">
        <v>914.62</v>
      </c>
      <c r="E3518" s="3"/>
      <c r="F3518" s="3">
        <v>0</v>
      </c>
      <c r="G3518" s="3">
        <v>0</v>
      </c>
      <c r="H3518" s="3">
        <v>0</v>
      </c>
      <c r="I3518" s="3">
        <v>0</v>
      </c>
      <c r="J3518" s="18">
        <f t="shared" si="14"/>
        <v>914.62</v>
      </c>
    </row>
    <row r="3519" spans="1:10" ht="15.75" x14ac:dyDescent="0.25">
      <c r="A3519" s="21">
        <v>45626</v>
      </c>
      <c r="B3519" t="str">
        <f>IFERROR(IF(VLOOKUP(C3519,Hoja1!$B$1:$C$6191,2,0)="",_xlfn.XLOOKUP(C3519,Hoja1!$B$2:$B$6191,Hoja1!$A$2:$A$6191),VLOOKUP(C3519,Hoja1!$B$1:$C$6191,2,0)),"No esta en Infor")</f>
        <v>NAC1114</v>
      </c>
      <c r="C3519" s="3" t="s">
        <v>408</v>
      </c>
      <c r="D3519" s="3">
        <v>0</v>
      </c>
      <c r="E3519" s="3"/>
      <c r="F3519" s="3">
        <v>0</v>
      </c>
      <c r="G3519" s="3">
        <v>-196.34</v>
      </c>
      <c r="H3519" s="3">
        <v>0</v>
      </c>
      <c r="I3519" s="3">
        <v>0</v>
      </c>
      <c r="J3519" s="18">
        <f t="shared" si="14"/>
        <v>-196.34</v>
      </c>
    </row>
    <row r="3520" spans="1:10" ht="15.75" x14ac:dyDescent="0.25">
      <c r="A3520" s="21">
        <v>45626</v>
      </c>
      <c r="B3520" t="str">
        <f>IFERROR(IF(VLOOKUP(C3520,Hoja1!$B$1:$C$6191,2,0)="",_xlfn.XLOOKUP(C3520,Hoja1!$B$2:$B$6191,Hoja1!$A$2:$A$6191),VLOOKUP(C3520,Hoja1!$B$1:$C$6191,2,0)),"No esta en Infor")</f>
        <v>NAC1117</v>
      </c>
      <c r="C3520" s="3" t="s">
        <v>513</v>
      </c>
      <c r="D3520" s="3">
        <v>-222</v>
      </c>
      <c r="E3520" s="3"/>
      <c r="F3520" s="3">
        <v>0</v>
      </c>
      <c r="G3520" s="3">
        <v>0</v>
      </c>
      <c r="H3520" s="3">
        <v>0</v>
      </c>
      <c r="I3520" s="3">
        <v>0</v>
      </c>
      <c r="J3520" s="18">
        <f t="shared" si="14"/>
        <v>-222</v>
      </c>
    </row>
    <row r="3521" spans="1:10" ht="15.75" x14ac:dyDescent="0.25">
      <c r="A3521" s="21">
        <v>45626</v>
      </c>
      <c r="B3521" t="str">
        <f>IFERROR(IF(VLOOKUP(C3521,Hoja1!$B$1:$C$6191,2,0)="",_xlfn.XLOOKUP(C3521,Hoja1!$B$2:$B$6191,Hoja1!$A$2:$A$6191),VLOOKUP(C3521,Hoja1!$B$1:$C$6191,2,0)),"No esta en Infor")</f>
        <v>NAC1119</v>
      </c>
      <c r="C3521" s="3" t="s">
        <v>514</v>
      </c>
      <c r="D3521" s="3">
        <v>667.73</v>
      </c>
      <c r="E3521" s="3"/>
      <c r="F3521" s="3">
        <v>0</v>
      </c>
      <c r="G3521" s="3">
        <v>0</v>
      </c>
      <c r="H3521" s="3">
        <v>0</v>
      </c>
      <c r="I3521" s="3">
        <v>0</v>
      </c>
      <c r="J3521" s="18">
        <f t="shared" si="14"/>
        <v>667.73</v>
      </c>
    </row>
    <row r="3522" spans="1:10" ht="15.75" x14ac:dyDescent="0.25">
      <c r="A3522" s="21">
        <v>45626</v>
      </c>
      <c r="B3522" t="str">
        <f>IFERROR(IF(VLOOKUP(C3522,Hoja1!$B$1:$C$6191,2,0)="",_xlfn.XLOOKUP(C3522,Hoja1!$B$2:$B$6191,Hoja1!$A$2:$A$6191),VLOOKUP(C3522,Hoja1!$B$1:$C$6191,2,0)),"No esta en Infor")</f>
        <v>NAC1122</v>
      </c>
      <c r="C3522" s="3" t="s">
        <v>515</v>
      </c>
      <c r="D3522" s="4">
        <v>17014.04</v>
      </c>
      <c r="E3522" s="3"/>
      <c r="F3522" s="3">
        <v>-1</v>
      </c>
      <c r="G3522" s="3">
        <v>0</v>
      </c>
      <c r="H3522" s="3">
        <v>0</v>
      </c>
      <c r="I3522" s="3">
        <v>0</v>
      </c>
      <c r="J3522" s="18">
        <f t="shared" si="14"/>
        <v>17013.04</v>
      </c>
    </row>
    <row r="3523" spans="1:10" ht="15.75" x14ac:dyDescent="0.25">
      <c r="A3523" s="21">
        <v>45626</v>
      </c>
      <c r="B3523" t="str">
        <f>IFERROR(IF(VLOOKUP(C3523,Hoja1!$B$1:$C$6191,2,0)="",_xlfn.XLOOKUP(C3523,Hoja1!$B$2:$B$6191,Hoja1!$A$2:$A$6191),VLOOKUP(C3523,Hoja1!$B$1:$C$6191,2,0)),"No esta en Infor")</f>
        <v>NAC1123</v>
      </c>
      <c r="C3523" s="3" t="s">
        <v>782</v>
      </c>
      <c r="D3523" s="4">
        <v>-4512</v>
      </c>
      <c r="E3523" s="3"/>
      <c r="F3523" s="3">
        <v>0</v>
      </c>
      <c r="G3523" s="3">
        <v>0</v>
      </c>
      <c r="H3523" s="3">
        <v>0</v>
      </c>
      <c r="I3523" s="3">
        <v>0</v>
      </c>
      <c r="J3523" s="18">
        <f t="shared" si="14"/>
        <v>-4512</v>
      </c>
    </row>
    <row r="3524" spans="1:10" ht="15.75" x14ac:dyDescent="0.25">
      <c r="A3524" s="21">
        <v>45626</v>
      </c>
      <c r="B3524" t="str">
        <f>IFERROR(IF(VLOOKUP(C3524,Hoja1!$B$1:$C$6191,2,0)="",_xlfn.XLOOKUP(C3524,Hoja1!$B$2:$B$6191,Hoja1!$A$2:$A$6191),VLOOKUP(C3524,Hoja1!$B$1:$C$6191,2,0)),"No esta en Infor")</f>
        <v>NAC1614</v>
      </c>
      <c r="C3524" s="3" t="s">
        <v>563</v>
      </c>
      <c r="D3524" s="3">
        <v>0</v>
      </c>
      <c r="E3524" s="3"/>
      <c r="F3524" s="3">
        <v>71.900000000000006</v>
      </c>
      <c r="G3524" s="3">
        <v>58.13</v>
      </c>
      <c r="H3524" s="3">
        <v>0</v>
      </c>
      <c r="I3524" s="3">
        <v>0</v>
      </c>
      <c r="J3524" s="18">
        <f t="shared" si="14"/>
        <v>130.03</v>
      </c>
    </row>
    <row r="3525" spans="1:10" ht="15.75" x14ac:dyDescent="0.25">
      <c r="A3525" s="21">
        <v>45626</v>
      </c>
      <c r="B3525" t="str">
        <f>IFERROR(IF(VLOOKUP(C3525,Hoja1!$B$1:$C$6191,2,0)="",_xlfn.XLOOKUP(C3525,Hoja1!$B$2:$B$6191,Hoja1!$A$2:$A$6191),VLOOKUP(C3525,Hoja1!$B$1:$C$6191,2,0)),"No esta en Infor")</f>
        <v>CAN0037</v>
      </c>
      <c r="C3525" s="3" t="s">
        <v>687</v>
      </c>
      <c r="D3525" s="4">
        <v>24130.68</v>
      </c>
      <c r="E3525" s="3"/>
      <c r="F3525" s="3">
        <v>-240.46</v>
      </c>
      <c r="G3525" s="3">
        <v>0</v>
      </c>
      <c r="H3525" s="4">
        <v>-4056.13</v>
      </c>
      <c r="I3525" s="3">
        <v>0</v>
      </c>
      <c r="J3525" s="18">
        <f t="shared" si="14"/>
        <v>19834.09</v>
      </c>
    </row>
    <row r="3526" spans="1:10" ht="15.75" x14ac:dyDescent="0.25">
      <c r="A3526" s="21">
        <v>45626</v>
      </c>
      <c r="B3526" t="str">
        <f>IFERROR(IF(VLOOKUP(C3526,Hoja1!$B$1:$C$6191,2,0)="",_xlfn.XLOOKUP(C3526,Hoja1!$B$2:$B$6191,Hoja1!$A$2:$A$6191),VLOOKUP(C3526,Hoja1!$B$1:$C$6191,2,0)),"No esta en Infor")</f>
        <v>NAC1128</v>
      </c>
      <c r="C3526" s="3" t="s">
        <v>263</v>
      </c>
      <c r="D3526" s="4">
        <v>9967.5</v>
      </c>
      <c r="E3526" s="3"/>
      <c r="F3526" s="3">
        <v>0</v>
      </c>
      <c r="G3526" s="3">
        <v>0</v>
      </c>
      <c r="H3526" s="3">
        <v>0</v>
      </c>
      <c r="I3526" s="3">
        <v>0</v>
      </c>
      <c r="J3526" s="18">
        <f t="shared" si="14"/>
        <v>9967.5</v>
      </c>
    </row>
    <row r="3527" spans="1:10" ht="15.75" x14ac:dyDescent="0.25">
      <c r="A3527" s="21">
        <v>45626</v>
      </c>
      <c r="B3527" t="str">
        <f>IFERROR(IF(VLOOKUP(C3527,Hoja1!$B$1:$C$6191,2,0)="",_xlfn.XLOOKUP(C3527,Hoja1!$B$2:$B$6191,Hoja1!$A$2:$A$6191),VLOOKUP(C3527,Hoja1!$B$1:$C$6191,2,0)),"No esta en Infor")</f>
        <v>CAN0038</v>
      </c>
      <c r="C3527" s="3" t="s">
        <v>264</v>
      </c>
      <c r="D3527" s="4">
        <v>-2193.5300000000002</v>
      </c>
      <c r="E3527" s="3"/>
      <c r="F3527" s="3">
        <v>0</v>
      </c>
      <c r="G3527" s="3">
        <v>0</v>
      </c>
      <c r="H3527" s="3">
        <v>0</v>
      </c>
      <c r="I3527" s="3">
        <v>0</v>
      </c>
      <c r="J3527" s="18">
        <f t="shared" si="14"/>
        <v>-2193.5300000000002</v>
      </c>
    </row>
    <row r="3528" spans="1:10" ht="15.75" x14ac:dyDescent="0.25">
      <c r="A3528" s="21">
        <v>45626</v>
      </c>
      <c r="B3528" t="str">
        <f>IFERROR(IF(VLOOKUP(C3528,Hoja1!$B$1:$C$6191,2,0)="",_xlfn.XLOOKUP(C3528,Hoja1!$B$2:$B$6191,Hoja1!$A$2:$A$6191),VLOOKUP(C3528,Hoja1!$B$1:$C$6191,2,0)),"No esta en Infor")</f>
        <v>CAN0039</v>
      </c>
      <c r="C3528" s="3" t="s">
        <v>265</v>
      </c>
      <c r="D3528" s="4">
        <v>10950.38</v>
      </c>
      <c r="E3528" s="3"/>
      <c r="F3528" s="3">
        <v>0</v>
      </c>
      <c r="G3528" s="3">
        <v>0</v>
      </c>
      <c r="H3528" s="3">
        <v>0</v>
      </c>
      <c r="I3528" s="3">
        <v>0</v>
      </c>
      <c r="J3528" s="18">
        <f t="shared" si="14"/>
        <v>10950.38</v>
      </c>
    </row>
    <row r="3529" spans="1:10" ht="15.75" x14ac:dyDescent="0.25">
      <c r="A3529" s="21">
        <v>45626</v>
      </c>
      <c r="B3529" t="str">
        <f>IFERROR(IF(VLOOKUP(C3529,Hoja1!$B$1:$C$6191,2,0)="",_xlfn.XLOOKUP(C3529,Hoja1!$B$2:$B$6191,Hoja1!$A$2:$A$6191),VLOOKUP(C3529,Hoja1!$B$1:$C$6191,2,0)),"No esta en Infor")</f>
        <v>NAC1133</v>
      </c>
      <c r="C3529" s="3" t="s">
        <v>633</v>
      </c>
      <c r="D3529" s="4">
        <v>5063.8599999999997</v>
      </c>
      <c r="E3529" s="3"/>
      <c r="F3529" s="3">
        <v>0</v>
      </c>
      <c r="G3529" s="3">
        <v>0</v>
      </c>
      <c r="H3529" s="3">
        <v>0</v>
      </c>
      <c r="I3529" s="3">
        <v>0</v>
      </c>
      <c r="J3529" s="18">
        <f t="shared" si="14"/>
        <v>5063.8599999999997</v>
      </c>
    </row>
    <row r="3530" spans="1:10" ht="15.75" x14ac:dyDescent="0.25">
      <c r="A3530" s="21">
        <v>45626</v>
      </c>
      <c r="B3530" t="str">
        <f>IFERROR(IF(VLOOKUP(C3530,Hoja1!$B$1:$C$6191,2,0)="",_xlfn.XLOOKUP(C3530,Hoja1!$B$2:$B$6191,Hoja1!$A$2:$A$6191),VLOOKUP(C3530,Hoja1!$B$1:$C$6191,2,0)),"No esta en Infor")</f>
        <v>SH03354</v>
      </c>
      <c r="C3530" s="3" t="s">
        <v>823</v>
      </c>
      <c r="D3530" s="3">
        <v>231.79</v>
      </c>
      <c r="E3530" s="3"/>
      <c r="F3530" s="3">
        <v>0</v>
      </c>
      <c r="G3530" s="3">
        <v>0</v>
      </c>
      <c r="H3530" s="3">
        <v>0</v>
      </c>
      <c r="I3530" s="3">
        <v>0</v>
      </c>
      <c r="J3530" s="18">
        <f t="shared" si="14"/>
        <v>231.79</v>
      </c>
    </row>
    <row r="3531" spans="1:10" ht="15.75" x14ac:dyDescent="0.25">
      <c r="A3531" s="21">
        <v>45626</v>
      </c>
      <c r="B3531" t="str">
        <f>IFERROR(IF(VLOOKUP(C3531,Hoja1!$B$1:$C$6191,2,0)="",_xlfn.XLOOKUP(C3531,Hoja1!$B$2:$B$6191,Hoja1!$A$2:$A$6191),VLOOKUP(C3531,Hoja1!$B$1:$C$6191,2,0)),"No esta en Infor")</f>
        <v>NAC1135</v>
      </c>
      <c r="C3531" s="3" t="s">
        <v>689</v>
      </c>
      <c r="D3531" s="4">
        <v>-2038.7</v>
      </c>
      <c r="E3531" s="3"/>
      <c r="F3531" s="3">
        <v>0</v>
      </c>
      <c r="G3531" s="3">
        <v>0</v>
      </c>
      <c r="H3531" s="3">
        <v>0</v>
      </c>
      <c r="I3531" s="3">
        <v>0</v>
      </c>
      <c r="J3531" s="18">
        <f t="shared" si="14"/>
        <v>-2038.7</v>
      </c>
    </row>
    <row r="3532" spans="1:10" ht="15.75" x14ac:dyDescent="0.25">
      <c r="A3532" s="21">
        <v>45626</v>
      </c>
      <c r="B3532" t="str">
        <f>IFERROR(IF(VLOOKUP(C3532,Hoja1!$B$1:$C$6191,2,0)="",_xlfn.XLOOKUP(C3532,Hoja1!$B$2:$B$6191,Hoja1!$A$2:$A$6191),VLOOKUP(C3532,Hoja1!$B$1:$C$6191,2,0)),"No esta en Infor")</f>
        <v>SH03069</v>
      </c>
      <c r="C3532" s="3" t="s">
        <v>747</v>
      </c>
      <c r="D3532" s="3">
        <v>-558.65</v>
      </c>
      <c r="E3532" s="3"/>
      <c r="F3532" s="3">
        <v>0</v>
      </c>
      <c r="G3532" s="3">
        <v>0</v>
      </c>
      <c r="H3532" s="3">
        <v>0</v>
      </c>
      <c r="I3532" s="3">
        <v>0</v>
      </c>
      <c r="J3532" s="18">
        <f t="shared" si="14"/>
        <v>-558.65</v>
      </c>
    </row>
    <row r="3533" spans="1:10" ht="15.75" x14ac:dyDescent="0.25">
      <c r="A3533" s="21">
        <v>45626</v>
      </c>
      <c r="B3533" t="str">
        <f>IFERROR(IF(VLOOKUP(C3533,Hoja1!$B$1:$C$6191,2,0)="",_xlfn.XLOOKUP(C3533,Hoja1!$B$2:$B$6191,Hoja1!$A$2:$A$6191),VLOOKUP(C3533,Hoja1!$B$1:$C$6191,2,0)),"No esta en Infor")</f>
        <v>SH02869</v>
      </c>
      <c r="C3533" s="3" t="s">
        <v>691</v>
      </c>
      <c r="D3533" s="3">
        <v>6.66</v>
      </c>
      <c r="E3533" s="3"/>
      <c r="F3533" s="3">
        <v>0</v>
      </c>
      <c r="G3533" s="3">
        <v>0</v>
      </c>
      <c r="H3533" s="3">
        <v>0</v>
      </c>
      <c r="I3533" s="3">
        <v>0</v>
      </c>
      <c r="J3533" s="18">
        <f t="shared" si="14"/>
        <v>6.66</v>
      </c>
    </row>
    <row r="3534" spans="1:10" ht="15.75" x14ac:dyDescent="0.25">
      <c r="A3534" s="21">
        <v>45626</v>
      </c>
      <c r="B3534" t="str">
        <f>IFERROR(IF(VLOOKUP(C3534,Hoja1!$B$1:$C$6191,2,0)="",_xlfn.XLOOKUP(C3534,Hoja1!$B$2:$B$6191,Hoja1!$A$2:$A$6191),VLOOKUP(C3534,Hoja1!$B$1:$C$6191,2,0)),"No esta en Infor")</f>
        <v>NAC1148</v>
      </c>
      <c r="C3534" s="3" t="s">
        <v>270</v>
      </c>
      <c r="D3534" s="4">
        <v>11740.6</v>
      </c>
      <c r="E3534" s="3"/>
      <c r="F3534" s="3">
        <v>0</v>
      </c>
      <c r="G3534" s="3">
        <v>0</v>
      </c>
      <c r="H3534" s="3">
        <v>0</v>
      </c>
      <c r="I3534" s="3">
        <v>0</v>
      </c>
      <c r="J3534" s="18">
        <f t="shared" si="14"/>
        <v>11740.6</v>
      </c>
    </row>
    <row r="3535" spans="1:10" ht="15.75" x14ac:dyDescent="0.25">
      <c r="A3535" s="21">
        <v>45626</v>
      </c>
      <c r="B3535" t="str">
        <f>IFERROR(IF(VLOOKUP(C3535,Hoja1!$B$1:$C$6191,2,0)="",_xlfn.XLOOKUP(C3535,Hoja1!$B$2:$B$6191,Hoja1!$A$2:$A$6191),VLOOKUP(C3535,Hoja1!$B$1:$C$6191,2,0)),"No esta en Infor")</f>
        <v>NAC1151</v>
      </c>
      <c r="C3535" s="3" t="s">
        <v>271</v>
      </c>
      <c r="D3535" s="4">
        <v>1112.4000000000001</v>
      </c>
      <c r="E3535" s="3"/>
      <c r="F3535" s="3">
        <v>0</v>
      </c>
      <c r="G3535" s="4">
        <v>-1172</v>
      </c>
      <c r="H3535" s="3">
        <v>0</v>
      </c>
      <c r="I3535" s="3">
        <v>0</v>
      </c>
      <c r="J3535" s="18">
        <f t="shared" si="14"/>
        <v>-59.599999999999909</v>
      </c>
    </row>
    <row r="3536" spans="1:10" ht="15.75" x14ac:dyDescent="0.25">
      <c r="A3536" s="21">
        <v>45626</v>
      </c>
      <c r="B3536" t="str">
        <f>IFERROR(IF(VLOOKUP(C3536,Hoja1!$B$1:$C$6191,2,0)="",_xlfn.XLOOKUP(C3536,Hoja1!$B$2:$B$6191,Hoja1!$A$2:$A$6191),VLOOKUP(C3536,Hoja1!$B$1:$C$6191,2,0)),"No esta en Infor")</f>
        <v>NAC1152</v>
      </c>
      <c r="C3536" s="3" t="s">
        <v>470</v>
      </c>
      <c r="D3536" s="3">
        <v>0</v>
      </c>
      <c r="E3536" s="3"/>
      <c r="F3536" s="3">
        <v>-0.13</v>
      </c>
      <c r="G3536" s="3">
        <v>0</v>
      </c>
      <c r="H3536" s="3">
        <v>0</v>
      </c>
      <c r="I3536" s="3">
        <v>0</v>
      </c>
      <c r="J3536" s="18">
        <f t="shared" si="14"/>
        <v>-0.13</v>
      </c>
    </row>
    <row r="3537" spans="1:10" ht="15.75" x14ac:dyDescent="0.25">
      <c r="A3537" s="21">
        <v>45626</v>
      </c>
      <c r="B3537" t="str">
        <f>IFERROR(IF(VLOOKUP(C3537,Hoja1!$B$1:$C$6191,2,0)="",_xlfn.XLOOKUP(C3537,Hoja1!$B$2:$B$6191,Hoja1!$A$2:$A$6191),VLOOKUP(C3537,Hoja1!$B$1:$C$6191,2,0)),"No esta en Infor")</f>
        <v>NAC1154</v>
      </c>
      <c r="C3537" s="3" t="s">
        <v>783</v>
      </c>
      <c r="D3537" s="3">
        <v>-32.340000000000003</v>
      </c>
      <c r="E3537" s="3"/>
      <c r="F3537" s="3">
        <v>0</v>
      </c>
      <c r="G3537" s="3">
        <v>0</v>
      </c>
      <c r="H3537" s="3">
        <v>0</v>
      </c>
      <c r="I3537" s="3">
        <v>0</v>
      </c>
      <c r="J3537" s="18">
        <f t="shared" si="14"/>
        <v>-32.340000000000003</v>
      </c>
    </row>
    <row r="3538" spans="1:10" ht="15.75" x14ac:dyDescent="0.25">
      <c r="A3538" s="21">
        <v>45626</v>
      </c>
      <c r="B3538" t="str">
        <f>IFERROR(IF(VLOOKUP(C3538,Hoja1!$B$1:$C$6191,2,0)="",_xlfn.XLOOKUP(C3538,Hoja1!$B$2:$B$6191,Hoja1!$A$2:$A$6191),VLOOKUP(C3538,Hoja1!$B$1:$C$6191,2,0)),"No esta en Infor")</f>
        <v>NAC1158</v>
      </c>
      <c r="C3538" s="3" t="s">
        <v>272</v>
      </c>
      <c r="D3538" s="4">
        <v>63647.45</v>
      </c>
      <c r="E3538" s="3"/>
      <c r="F3538" s="3">
        <v>0</v>
      </c>
      <c r="G3538" s="3">
        <v>0</v>
      </c>
      <c r="H3538" s="3">
        <v>0</v>
      </c>
      <c r="I3538" s="3">
        <v>0</v>
      </c>
      <c r="J3538" s="18">
        <f t="shared" si="14"/>
        <v>63647.45</v>
      </c>
    </row>
    <row r="3539" spans="1:10" ht="15.75" x14ac:dyDescent="0.25">
      <c r="A3539" s="21">
        <v>45626</v>
      </c>
      <c r="B3539" t="str">
        <f>IFERROR(IF(VLOOKUP(C3539,Hoja1!$B$1:$C$6191,2,0)="",_xlfn.XLOOKUP(C3539,Hoja1!$B$2:$B$6191,Hoja1!$A$2:$A$6191),VLOOKUP(C3539,Hoja1!$B$1:$C$6191,2,0)),"No esta en Infor")</f>
        <v>NAC1604</v>
      </c>
      <c r="C3539" s="3" t="s">
        <v>693</v>
      </c>
      <c r="D3539" s="4">
        <v>103594.42</v>
      </c>
      <c r="E3539" s="3"/>
      <c r="F3539" s="3">
        <v>0</v>
      </c>
      <c r="G3539" s="3">
        <v>0</v>
      </c>
      <c r="H3539" s="3">
        <v>0</v>
      </c>
      <c r="I3539" s="3">
        <v>0</v>
      </c>
      <c r="J3539" s="18">
        <f t="shared" si="14"/>
        <v>103594.42</v>
      </c>
    </row>
    <row r="3540" spans="1:10" ht="15.75" x14ac:dyDescent="0.25">
      <c r="A3540" s="21">
        <v>45626</v>
      </c>
      <c r="B3540" t="str">
        <f>IFERROR(IF(VLOOKUP(C3540,Hoja1!$B$1:$C$6191,2,0)="",_xlfn.XLOOKUP(C3540,Hoja1!$B$2:$B$6191,Hoja1!$A$2:$A$6191),VLOOKUP(C3540,Hoja1!$B$1:$C$6191,2,0)),"No esta en Infor")</f>
        <v>NAC1167</v>
      </c>
      <c r="C3540" s="3" t="s">
        <v>34</v>
      </c>
      <c r="D3540" s="4">
        <v>2723</v>
      </c>
      <c r="E3540" s="3"/>
      <c r="F3540" s="3">
        <v>0</v>
      </c>
      <c r="G3540" s="3">
        <v>0</v>
      </c>
      <c r="H3540" s="3">
        <v>0</v>
      </c>
      <c r="I3540" s="3">
        <v>0</v>
      </c>
      <c r="J3540" s="18">
        <f t="shared" si="14"/>
        <v>2723</v>
      </c>
    </row>
    <row r="3541" spans="1:10" ht="15.75" x14ac:dyDescent="0.25">
      <c r="A3541" s="21">
        <v>45626</v>
      </c>
      <c r="B3541" t="str">
        <f>IFERROR(IF(VLOOKUP(C3541,Hoja1!$B$1:$C$6191,2,0)="",_xlfn.XLOOKUP(C3541,Hoja1!$B$2:$B$6191,Hoja1!$A$2:$A$6191),VLOOKUP(C3541,Hoja1!$B$1:$C$6191,2,0)),"No esta en Infor")</f>
        <v>NAC1168</v>
      </c>
      <c r="C3541" s="3" t="s">
        <v>277</v>
      </c>
      <c r="D3541" s="3">
        <v>303.60000000000002</v>
      </c>
      <c r="E3541" s="3"/>
      <c r="F3541" s="3">
        <v>0</v>
      </c>
      <c r="G3541" s="3">
        <v>0</v>
      </c>
      <c r="H3541" s="3">
        <v>0</v>
      </c>
      <c r="I3541" s="3">
        <v>0</v>
      </c>
      <c r="J3541" s="18">
        <f t="shared" si="14"/>
        <v>303.60000000000002</v>
      </c>
    </row>
    <row r="3542" spans="1:10" ht="15.75" x14ac:dyDescent="0.25">
      <c r="A3542" s="21">
        <v>45626</v>
      </c>
      <c r="B3542" t="str">
        <f>IFERROR(IF(VLOOKUP(C3542,Hoja1!$B$1:$C$6191,2,0)="",_xlfn.XLOOKUP(C3542,Hoja1!$B$2:$B$6191,Hoja1!$A$2:$A$6191),VLOOKUP(C3542,Hoja1!$B$1:$C$6191,2,0)),"No esta en Infor")</f>
        <v>NAC1170</v>
      </c>
      <c r="C3542" s="3" t="s">
        <v>278</v>
      </c>
      <c r="D3542" s="4">
        <v>90818.82</v>
      </c>
      <c r="E3542" s="3"/>
      <c r="F3542" s="3">
        <v>0</v>
      </c>
      <c r="G3542" s="3">
        <v>0</v>
      </c>
      <c r="H3542" s="3">
        <v>0</v>
      </c>
      <c r="I3542" s="3">
        <v>0</v>
      </c>
      <c r="J3542" s="18">
        <f t="shared" si="14"/>
        <v>90818.82</v>
      </c>
    </row>
    <row r="3543" spans="1:10" ht="15.75" x14ac:dyDescent="0.25">
      <c r="A3543" s="21">
        <v>45626</v>
      </c>
      <c r="B3543" t="str">
        <f>IFERROR(IF(VLOOKUP(C3543,Hoja1!$B$1:$C$6191,2,0)="",_xlfn.XLOOKUP(C3543,Hoja1!$B$2:$B$6191,Hoja1!$A$2:$A$6191),VLOOKUP(C3543,Hoja1!$B$1:$C$6191,2,0)),"No esta en Infor")</f>
        <v>NAC1174</v>
      </c>
      <c r="C3543" s="3" t="s">
        <v>279</v>
      </c>
      <c r="D3543" s="4">
        <v>1128.3399999999999</v>
      </c>
      <c r="E3543" s="3"/>
      <c r="F3543" s="3">
        <v>0</v>
      </c>
      <c r="G3543" s="3">
        <v>0</v>
      </c>
      <c r="H3543" s="3">
        <v>0</v>
      </c>
      <c r="I3543" s="3">
        <v>0</v>
      </c>
      <c r="J3543" s="18">
        <f t="shared" si="14"/>
        <v>1128.3399999999999</v>
      </c>
    </row>
    <row r="3544" spans="1:10" ht="15.75" x14ac:dyDescent="0.25">
      <c r="A3544" s="21">
        <v>45626</v>
      </c>
      <c r="B3544" t="str">
        <f>IFERROR(IF(VLOOKUP(C3544,Hoja1!$B$1:$C$6191,2,0)="",_xlfn.XLOOKUP(C3544,Hoja1!$B$2:$B$6191,Hoja1!$A$2:$A$6191),VLOOKUP(C3544,Hoja1!$B$1:$C$6191,2,0)),"No esta en Infor")</f>
        <v>SH03112</v>
      </c>
      <c r="C3544" s="3" t="s">
        <v>796</v>
      </c>
      <c r="D3544" s="3">
        <v>-88</v>
      </c>
      <c r="E3544" s="3"/>
      <c r="F3544" s="3">
        <v>0</v>
      </c>
      <c r="G3544" s="3">
        <v>0</v>
      </c>
      <c r="H3544" s="3">
        <v>0</v>
      </c>
      <c r="I3544" s="3">
        <v>0</v>
      </c>
      <c r="J3544" s="18">
        <f t="shared" si="14"/>
        <v>-88</v>
      </c>
    </row>
    <row r="3545" spans="1:10" ht="15.75" x14ac:dyDescent="0.25">
      <c r="A3545" s="21">
        <v>45626</v>
      </c>
      <c r="B3545" t="str">
        <f>IFERROR(IF(VLOOKUP(C3545,Hoja1!$B$1:$C$6191,2,0)="",_xlfn.XLOOKUP(C3545,Hoja1!$B$2:$B$6191,Hoja1!$A$2:$A$6191),VLOOKUP(C3545,Hoja1!$B$1:$C$6191,2,0)),"No esta en Infor")</f>
        <v>NAC1176</v>
      </c>
      <c r="C3545" s="3" t="s">
        <v>749</v>
      </c>
      <c r="D3545" s="4">
        <v>2163.8000000000002</v>
      </c>
      <c r="E3545" s="3"/>
      <c r="F3545" s="3">
        <v>0</v>
      </c>
      <c r="G3545" s="3">
        <v>0</v>
      </c>
      <c r="H3545" s="3">
        <v>0</v>
      </c>
      <c r="I3545" s="3">
        <v>0</v>
      </c>
      <c r="J3545" s="18">
        <f t="shared" si="14"/>
        <v>2163.8000000000002</v>
      </c>
    </row>
    <row r="3546" spans="1:10" ht="15.75" x14ac:dyDescent="0.25">
      <c r="A3546" s="21">
        <v>45626</v>
      </c>
      <c r="B3546" t="str">
        <f>IFERROR(IF(VLOOKUP(C3546,Hoja1!$B$1:$C$6191,2,0)="",_xlfn.XLOOKUP(C3546,Hoja1!$B$2:$B$6191,Hoja1!$A$2:$A$6191),VLOOKUP(C3546,Hoja1!$B$1:$C$6191,2,0)),"No esta en Infor")</f>
        <v>NAC1177</v>
      </c>
      <c r="C3546" s="3" t="s">
        <v>566</v>
      </c>
      <c r="D3546" s="3">
        <v>0</v>
      </c>
      <c r="E3546" s="3"/>
      <c r="F3546" s="3">
        <v>0</v>
      </c>
      <c r="G3546" s="3">
        <v>-14.41</v>
      </c>
      <c r="H3546" s="3">
        <v>0</v>
      </c>
      <c r="I3546" s="3">
        <v>0</v>
      </c>
      <c r="J3546" s="18">
        <f t="shared" si="14"/>
        <v>-14.41</v>
      </c>
    </row>
    <row r="3547" spans="1:10" ht="15.75" x14ac:dyDescent="0.25">
      <c r="A3547" s="21">
        <v>45626</v>
      </c>
      <c r="B3547" t="str">
        <f>IFERROR(IF(VLOOKUP(C3547,Hoja1!$B$1:$C$6191,2,0)="",_xlfn.XLOOKUP(C3547,Hoja1!$B$2:$B$6191,Hoja1!$A$2:$A$6191),VLOOKUP(C3547,Hoja1!$B$1:$C$6191,2,0)),"No esta en Infor")</f>
        <v>CAN0043</v>
      </c>
      <c r="C3547" s="3" t="s">
        <v>280</v>
      </c>
      <c r="D3547" s="3">
        <v>428.27</v>
      </c>
      <c r="E3547" s="3"/>
      <c r="F3547" s="3">
        <v>0</v>
      </c>
      <c r="G3547" s="3">
        <v>0</v>
      </c>
      <c r="H3547" s="3">
        <v>0</v>
      </c>
      <c r="I3547" s="3">
        <v>0</v>
      </c>
      <c r="J3547" s="18">
        <f t="shared" si="14"/>
        <v>428.27</v>
      </c>
    </row>
    <row r="3548" spans="1:10" ht="15.75" x14ac:dyDescent="0.25">
      <c r="A3548" s="21">
        <v>45626</v>
      </c>
      <c r="B3548" t="str">
        <f>IFERROR(IF(VLOOKUP(C3548,Hoja1!$B$1:$C$6191,2,0)="",_xlfn.XLOOKUP(C3548,Hoja1!$B$2:$B$6191,Hoja1!$A$2:$A$6191),VLOOKUP(C3548,Hoja1!$B$1:$C$6191,2,0)),"No esta en Infor")</f>
        <v>NAC1184</v>
      </c>
      <c r="C3548" s="3" t="s">
        <v>784</v>
      </c>
      <c r="D3548" s="3">
        <v>0.17</v>
      </c>
      <c r="E3548" s="3"/>
      <c r="F3548" s="3">
        <v>0</v>
      </c>
      <c r="G3548" s="3">
        <v>0</v>
      </c>
      <c r="H3548" s="3">
        <v>0</v>
      </c>
      <c r="I3548" s="3">
        <v>0</v>
      </c>
      <c r="J3548" s="18">
        <f t="shared" si="14"/>
        <v>0.17</v>
      </c>
    </row>
    <row r="3549" spans="1:10" ht="15.75" x14ac:dyDescent="0.25">
      <c r="A3549" s="21">
        <v>45626</v>
      </c>
      <c r="B3549" t="str">
        <f>IFERROR(IF(VLOOKUP(C3549,Hoja1!$B$1:$C$6191,2,0)="",_xlfn.XLOOKUP(C3549,Hoja1!$B$2:$B$6191,Hoja1!$A$2:$A$6191),VLOOKUP(C3549,Hoja1!$B$1:$C$6191,2,0)),"No esta en Infor")</f>
        <v>NAC1185</v>
      </c>
      <c r="C3549" s="3" t="s">
        <v>785</v>
      </c>
      <c r="D3549" s="3">
        <v>77.569999999999993</v>
      </c>
      <c r="E3549" s="3"/>
      <c r="F3549" s="3">
        <v>0</v>
      </c>
      <c r="G3549" s="3">
        <v>0</v>
      </c>
      <c r="H3549" s="3">
        <v>0</v>
      </c>
      <c r="I3549" s="3">
        <v>0</v>
      </c>
      <c r="J3549" s="18">
        <f t="shared" si="14"/>
        <v>77.569999999999993</v>
      </c>
    </row>
    <row r="3550" spans="1:10" ht="15.75" x14ac:dyDescent="0.25">
      <c r="A3550" s="21">
        <v>45626</v>
      </c>
      <c r="B3550" t="str">
        <f>IFERROR(IF(VLOOKUP(C3550,Hoja1!$B$1:$C$6191,2,0)="",_xlfn.XLOOKUP(C3550,Hoja1!$B$2:$B$6191,Hoja1!$A$2:$A$6191),VLOOKUP(C3550,Hoja1!$B$1:$C$6191,2,0)),"No esta en Infor")</f>
        <v>NAC1190</v>
      </c>
      <c r="C3550" s="3" t="s">
        <v>636</v>
      </c>
      <c r="D3550" s="4">
        <v>29813.8</v>
      </c>
      <c r="E3550" s="3"/>
      <c r="F3550" s="3">
        <v>0</v>
      </c>
      <c r="G3550" s="3">
        <v>0</v>
      </c>
      <c r="H3550" s="3">
        <v>0</v>
      </c>
      <c r="I3550" s="3">
        <v>0</v>
      </c>
      <c r="J3550" s="18">
        <f t="shared" si="14"/>
        <v>29813.8</v>
      </c>
    </row>
    <row r="3551" spans="1:10" ht="15.75" x14ac:dyDescent="0.25">
      <c r="A3551" s="21">
        <v>45626</v>
      </c>
      <c r="B3551" t="str">
        <f>IFERROR(IF(VLOOKUP(C3551,Hoja1!$B$1:$C$6191,2,0)="",_xlfn.XLOOKUP(C3551,Hoja1!$B$2:$B$6191,Hoja1!$A$2:$A$6191),VLOOKUP(C3551,Hoja1!$B$1:$C$6191,2,0)),"No esta en Infor")</f>
        <v>CAN0045</v>
      </c>
      <c r="C3551" s="3" t="s">
        <v>472</v>
      </c>
      <c r="D3551" s="3">
        <v>22.6</v>
      </c>
      <c r="E3551" s="3"/>
      <c r="F3551" s="3">
        <v>0</v>
      </c>
      <c r="G3551" s="3">
        <v>0</v>
      </c>
      <c r="H3551" s="3">
        <v>0</v>
      </c>
      <c r="I3551" s="3">
        <v>0</v>
      </c>
      <c r="J3551" s="18">
        <f t="shared" si="14"/>
        <v>22.6</v>
      </c>
    </row>
    <row r="3552" spans="1:10" ht="15.75" x14ac:dyDescent="0.25">
      <c r="A3552" s="21">
        <v>45626</v>
      </c>
      <c r="B3552" t="str">
        <f>IFERROR(IF(VLOOKUP(C3552,Hoja1!$B$1:$C$6191,2,0)="",_xlfn.XLOOKUP(C3552,Hoja1!$B$2:$B$6191,Hoja1!$A$2:$A$6191),VLOOKUP(C3552,Hoja1!$B$1:$C$6191,2,0)),"No esta en Infor")</f>
        <v>CAN0046</v>
      </c>
      <c r="C3552" s="3" t="s">
        <v>283</v>
      </c>
      <c r="D3552" s="3">
        <v>609.07000000000005</v>
      </c>
      <c r="E3552" s="3"/>
      <c r="F3552" s="3">
        <v>0</v>
      </c>
      <c r="G3552" s="3">
        <v>0</v>
      </c>
      <c r="H3552" s="3">
        <v>0</v>
      </c>
      <c r="I3552" s="3">
        <v>0</v>
      </c>
      <c r="J3552" s="18">
        <f t="shared" si="14"/>
        <v>609.07000000000005</v>
      </c>
    </row>
    <row r="3553" spans="1:10" ht="15.75" x14ac:dyDescent="0.25">
      <c r="A3553" s="21">
        <v>45626</v>
      </c>
      <c r="B3553" t="str">
        <f>IFERROR(IF(VLOOKUP(C3553,Hoja1!$B$1:$C$6191,2,0)="",_xlfn.XLOOKUP(C3553,Hoja1!$B$2:$B$6191,Hoja1!$A$2:$A$6191),VLOOKUP(C3553,Hoja1!$B$1:$C$6191,2,0)),"No esta en Infor")</f>
        <v>CAN0048</v>
      </c>
      <c r="C3553" s="3" t="s">
        <v>567</v>
      </c>
      <c r="D3553" s="3">
        <v>0</v>
      </c>
      <c r="E3553" s="3"/>
      <c r="F3553" s="3">
        <v>0</v>
      </c>
      <c r="G3553" s="4">
        <v>-12463.9</v>
      </c>
      <c r="H3553" s="3">
        <v>0</v>
      </c>
      <c r="I3553" s="3">
        <v>0</v>
      </c>
      <c r="J3553" s="18">
        <f t="shared" si="14"/>
        <v>-12463.9</v>
      </c>
    </row>
    <row r="3554" spans="1:10" ht="15.75" x14ac:dyDescent="0.25">
      <c r="A3554" s="21">
        <v>45626</v>
      </c>
      <c r="B3554" t="str">
        <f>IFERROR(IF(VLOOKUP(C3554,Hoja1!$B$1:$C$6191,2,0)="",_xlfn.XLOOKUP(C3554,Hoja1!$B$2:$B$6191,Hoja1!$A$2:$A$6191),VLOOKUP(C3554,Hoja1!$B$1:$C$6191,2,0)),"No esta en Infor")</f>
        <v>NAC1205</v>
      </c>
      <c r="C3554" s="3" t="s">
        <v>568</v>
      </c>
      <c r="D3554" s="3">
        <v>0</v>
      </c>
      <c r="E3554" s="3"/>
      <c r="F3554" s="3">
        <v>-316.68</v>
      </c>
      <c r="G3554" s="3">
        <v>0</v>
      </c>
      <c r="H3554" s="3">
        <v>0</v>
      </c>
      <c r="I3554" s="3">
        <v>0</v>
      </c>
      <c r="J3554" s="18">
        <f t="shared" si="14"/>
        <v>-316.68</v>
      </c>
    </row>
    <row r="3555" spans="1:10" ht="15.75" x14ac:dyDescent="0.25">
      <c r="A3555" s="21">
        <v>45626</v>
      </c>
      <c r="B3555" t="str">
        <f>IFERROR(IF(VLOOKUP(C3555,Hoja1!$B$1:$C$6191,2,0)="",_xlfn.XLOOKUP(C3555,Hoja1!$B$2:$B$6191,Hoja1!$A$2:$A$6191),VLOOKUP(C3555,Hoja1!$B$1:$C$6191,2,0)),"No esta en Infor")</f>
        <v>NAC1208</v>
      </c>
      <c r="C3555" s="3" t="s">
        <v>695</v>
      </c>
      <c r="D3555" s="4">
        <v>13295.5</v>
      </c>
      <c r="E3555" s="3"/>
      <c r="F3555" s="3">
        <v>0</v>
      </c>
      <c r="G3555" s="3">
        <v>0</v>
      </c>
      <c r="H3555" s="3">
        <v>0</v>
      </c>
      <c r="I3555" s="3">
        <v>0</v>
      </c>
      <c r="J3555" s="18">
        <f t="shared" si="14"/>
        <v>13295.5</v>
      </c>
    </row>
    <row r="3556" spans="1:10" ht="15.75" x14ac:dyDescent="0.25">
      <c r="A3556" s="21">
        <v>45626</v>
      </c>
      <c r="B3556" t="str">
        <f>IFERROR(IF(VLOOKUP(C3556,Hoja1!$B$1:$C$6191,2,0)="",_xlfn.XLOOKUP(C3556,Hoja1!$B$2:$B$6191,Hoja1!$A$2:$A$6191),VLOOKUP(C3556,Hoja1!$B$1:$C$6191,2,0)),"No esta en Infor")</f>
        <v>NAC1209</v>
      </c>
      <c r="C3556" s="3" t="s">
        <v>753</v>
      </c>
      <c r="D3556" s="3">
        <v>137.5</v>
      </c>
      <c r="E3556" s="3"/>
      <c r="F3556" s="3">
        <v>0</v>
      </c>
      <c r="G3556" s="3">
        <v>0</v>
      </c>
      <c r="H3556" s="3">
        <v>0</v>
      </c>
      <c r="I3556" s="3">
        <v>0</v>
      </c>
      <c r="J3556" s="18">
        <f t="shared" ref="J3556:J3619" si="15">SUM(D3556:I3556)</f>
        <v>137.5</v>
      </c>
    </row>
    <row r="3557" spans="1:10" ht="15.75" x14ac:dyDescent="0.25">
      <c r="A3557" s="21">
        <v>45626</v>
      </c>
      <c r="B3557" t="str">
        <f>IFERROR(IF(VLOOKUP(C3557,Hoja1!$B$1:$C$6191,2,0)="",_xlfn.XLOOKUP(C3557,Hoja1!$B$2:$B$6191,Hoja1!$A$2:$A$6191),VLOOKUP(C3557,Hoja1!$B$1:$C$6191,2,0)),"No esta en Infor")</f>
        <v>NAC1211</v>
      </c>
      <c r="C3557" s="3" t="s">
        <v>284</v>
      </c>
      <c r="D3557" s="4">
        <v>91263.12</v>
      </c>
      <c r="E3557" s="3"/>
      <c r="F3557" s="3">
        <v>0</v>
      </c>
      <c r="G3557" s="3">
        <v>0</v>
      </c>
      <c r="H3557" s="3">
        <v>0</v>
      </c>
      <c r="I3557" s="3">
        <v>0</v>
      </c>
      <c r="J3557" s="18">
        <f t="shared" si="15"/>
        <v>91263.12</v>
      </c>
    </row>
    <row r="3558" spans="1:10" ht="15.75" x14ac:dyDescent="0.25">
      <c r="A3558" s="21">
        <v>45626</v>
      </c>
      <c r="B3558" t="str">
        <f>IFERROR(IF(VLOOKUP(C3558,Hoja1!$B$1:$C$6191,2,0)="",_xlfn.XLOOKUP(C3558,Hoja1!$B$2:$B$6191,Hoja1!$A$2:$A$6191),VLOOKUP(C3558,Hoja1!$B$1:$C$6191,2,0)),"No esta en Infor")</f>
        <v>NAC1212</v>
      </c>
      <c r="C3558" s="3" t="s">
        <v>285</v>
      </c>
      <c r="D3558" s="4">
        <v>15024.56</v>
      </c>
      <c r="E3558" s="3"/>
      <c r="F3558" s="3">
        <v>-0.1</v>
      </c>
      <c r="G3558" s="3">
        <v>0</v>
      </c>
      <c r="H3558" s="3">
        <v>0</v>
      </c>
      <c r="I3558" s="3">
        <v>0</v>
      </c>
      <c r="J3558" s="18">
        <f t="shared" si="15"/>
        <v>15024.46</v>
      </c>
    </row>
    <row r="3559" spans="1:10" ht="15.75" x14ac:dyDescent="0.25">
      <c r="A3559" s="21">
        <v>45626</v>
      </c>
      <c r="B3559" t="str">
        <f>IFERROR(IF(VLOOKUP(C3559,Hoja1!$B$1:$C$6191,2,0)="",_xlfn.XLOOKUP(C3559,Hoja1!$B$2:$B$6191,Hoja1!$A$2:$A$6191),VLOOKUP(C3559,Hoja1!$B$1:$C$6191,2,0)),"No esta en Infor")</f>
        <v>SH02013</v>
      </c>
      <c r="C3559" s="3" t="s">
        <v>754</v>
      </c>
      <c r="D3559" s="3">
        <v>-366.73</v>
      </c>
      <c r="E3559" s="3"/>
      <c r="F3559" s="3">
        <v>0</v>
      </c>
      <c r="G3559" s="3">
        <v>0</v>
      </c>
      <c r="H3559" s="3">
        <v>0</v>
      </c>
      <c r="I3559" s="3">
        <v>0</v>
      </c>
      <c r="J3559" s="18">
        <f t="shared" si="15"/>
        <v>-366.73</v>
      </c>
    </row>
    <row r="3560" spans="1:10" ht="15.75" x14ac:dyDescent="0.25">
      <c r="A3560" s="21">
        <v>45626</v>
      </c>
      <c r="B3560" t="str">
        <f>IFERROR(IF(VLOOKUP(C3560,Hoja1!$B$1:$C$6191,2,0)="",_xlfn.XLOOKUP(C3560,Hoja1!$B$2:$B$6191,Hoja1!$A$2:$A$6191),VLOOKUP(C3560,Hoja1!$B$1:$C$6191,2,0)),"No esta en Infor")</f>
        <v>SH03392</v>
      </c>
      <c r="C3560" s="3" t="s">
        <v>832</v>
      </c>
      <c r="D3560" s="3">
        <v>56.59</v>
      </c>
      <c r="E3560" s="3"/>
      <c r="F3560" s="3">
        <v>0</v>
      </c>
      <c r="G3560" s="3">
        <v>0</v>
      </c>
      <c r="H3560" s="3">
        <v>0</v>
      </c>
      <c r="I3560" s="3">
        <v>0</v>
      </c>
      <c r="J3560" s="18">
        <f t="shared" si="15"/>
        <v>56.59</v>
      </c>
    </row>
    <row r="3561" spans="1:10" ht="15.75" x14ac:dyDescent="0.25">
      <c r="A3561" s="21">
        <v>45626</v>
      </c>
      <c r="B3561" t="str">
        <f>IFERROR(IF(VLOOKUP(C3561,Hoja1!$B$1:$C$6191,2,0)="",_xlfn.XLOOKUP(C3561,Hoja1!$B$2:$B$6191,Hoja1!$A$2:$A$6191),VLOOKUP(C3561,Hoja1!$B$1:$C$6191,2,0)),"No esta en Infor")</f>
        <v>NAC1218</v>
      </c>
      <c r="C3561" s="3" t="s">
        <v>474</v>
      </c>
      <c r="D3561" s="4">
        <v>2264.9</v>
      </c>
      <c r="E3561" s="3"/>
      <c r="F3561" s="3">
        <v>0</v>
      </c>
      <c r="G3561" s="3">
        <v>0</v>
      </c>
      <c r="H3561" s="3">
        <v>0</v>
      </c>
      <c r="I3561" s="3">
        <v>0</v>
      </c>
      <c r="J3561" s="18">
        <f t="shared" si="15"/>
        <v>2264.9</v>
      </c>
    </row>
    <row r="3562" spans="1:10" ht="15.75" x14ac:dyDescent="0.25">
      <c r="A3562" s="21">
        <v>45626</v>
      </c>
      <c r="B3562" t="str">
        <f>IFERROR(IF(VLOOKUP(C3562,Hoja1!$B$1:$C$6191,2,0)="",_xlfn.XLOOKUP(C3562,Hoja1!$B$2:$B$6191,Hoja1!$A$2:$A$6191),VLOOKUP(C3562,Hoja1!$B$1:$C$6191,2,0)),"No esta en Infor")</f>
        <v>NAC1219</v>
      </c>
      <c r="C3562" s="3" t="s">
        <v>475</v>
      </c>
      <c r="D3562" s="3">
        <v>0</v>
      </c>
      <c r="E3562" s="3"/>
      <c r="F3562" s="3">
        <v>0</v>
      </c>
      <c r="G3562" s="3">
        <v>-299.55</v>
      </c>
      <c r="H3562" s="3">
        <v>0</v>
      </c>
      <c r="I3562" s="3">
        <v>0</v>
      </c>
      <c r="J3562" s="18">
        <f t="shared" si="15"/>
        <v>-299.55</v>
      </c>
    </row>
    <row r="3563" spans="1:10" ht="15.75" x14ac:dyDescent="0.25">
      <c r="A3563" s="21">
        <v>45626</v>
      </c>
      <c r="B3563" t="str">
        <f>IFERROR(IF(VLOOKUP(C3563,Hoja1!$B$1:$C$6191,2,0)="",_xlfn.XLOOKUP(C3563,Hoja1!$B$2:$B$6191,Hoja1!$A$2:$A$6191),VLOOKUP(C3563,Hoja1!$B$1:$C$6191,2,0)),"No esta en Infor")</f>
        <v>CAN0049</v>
      </c>
      <c r="C3563" s="3" t="s">
        <v>289</v>
      </c>
      <c r="D3563" s="3">
        <v>382.2</v>
      </c>
      <c r="E3563" s="3"/>
      <c r="F3563" s="3">
        <v>-660.04</v>
      </c>
      <c r="G3563" s="3">
        <v>0</v>
      </c>
      <c r="H3563" s="3">
        <v>0</v>
      </c>
      <c r="I3563" s="3">
        <v>0</v>
      </c>
      <c r="J3563" s="18">
        <f t="shared" si="15"/>
        <v>-277.83999999999997</v>
      </c>
    </row>
    <row r="3564" spans="1:10" ht="15.75" x14ac:dyDescent="0.25">
      <c r="A3564" s="21">
        <v>45626</v>
      </c>
      <c r="B3564" t="str">
        <f>IFERROR(IF(VLOOKUP(C3564,Hoja1!$B$1:$C$6191,2,0)="",_xlfn.XLOOKUP(C3564,Hoja1!$B$2:$B$6191,Hoja1!$A$2:$A$6191),VLOOKUP(C3564,Hoja1!$B$1:$C$6191,2,0)),"No esta en Infor")</f>
        <v>NAC1229</v>
      </c>
      <c r="C3564" s="3" t="s">
        <v>418</v>
      </c>
      <c r="D3564" s="3">
        <v>136.5</v>
      </c>
      <c r="E3564" s="3"/>
      <c r="F3564" s="3">
        <v>0</v>
      </c>
      <c r="G3564" s="3">
        <v>0</v>
      </c>
      <c r="H3564" s="3">
        <v>0</v>
      </c>
      <c r="I3564" s="3">
        <v>0</v>
      </c>
      <c r="J3564" s="18">
        <f t="shared" si="15"/>
        <v>136.5</v>
      </c>
    </row>
    <row r="3565" spans="1:10" ht="15.75" x14ac:dyDescent="0.25">
      <c r="A3565" s="21">
        <v>45626</v>
      </c>
      <c r="B3565" t="str">
        <f>IFERROR(IF(VLOOKUP(C3565,Hoja1!$B$1:$C$6191,2,0)="",_xlfn.XLOOKUP(C3565,Hoja1!$B$2:$B$6191,Hoja1!$A$2:$A$6191),VLOOKUP(C3565,Hoja1!$B$1:$C$6191,2,0)),"No esta en Infor")</f>
        <v>NAC1231</v>
      </c>
      <c r="C3565" s="3" t="s">
        <v>290</v>
      </c>
      <c r="D3565" s="4">
        <v>39335.1</v>
      </c>
      <c r="E3565" s="3"/>
      <c r="F3565" s="3">
        <v>0</v>
      </c>
      <c r="G3565" s="3">
        <v>0</v>
      </c>
      <c r="H3565" s="3">
        <v>0</v>
      </c>
      <c r="I3565" s="3">
        <v>0</v>
      </c>
      <c r="J3565" s="18">
        <f t="shared" si="15"/>
        <v>39335.1</v>
      </c>
    </row>
    <row r="3566" spans="1:10" ht="15.75" x14ac:dyDescent="0.25">
      <c r="A3566" s="21">
        <v>45626</v>
      </c>
      <c r="B3566" t="str">
        <f>IFERROR(IF(VLOOKUP(C3566,Hoja1!$B$1:$C$6191,2,0)="",_xlfn.XLOOKUP(C3566,Hoja1!$B$2:$B$6191,Hoja1!$A$2:$A$6191),VLOOKUP(C3566,Hoja1!$B$1:$C$6191,2,0)),"No esta en Infor")</f>
        <v>CAN0050</v>
      </c>
      <c r="C3566" s="3" t="s">
        <v>291</v>
      </c>
      <c r="D3566" s="4">
        <v>2304.87</v>
      </c>
      <c r="E3566" s="3"/>
      <c r="F3566" s="3">
        <v>-0.1</v>
      </c>
      <c r="G3566" s="3">
        <v>0</v>
      </c>
      <c r="H3566" s="3">
        <v>0</v>
      </c>
      <c r="I3566" s="3">
        <v>0</v>
      </c>
      <c r="J3566" s="18">
        <f t="shared" si="15"/>
        <v>2304.77</v>
      </c>
    </row>
    <row r="3567" spans="1:10" ht="15.75" x14ac:dyDescent="0.25">
      <c r="A3567" s="21">
        <v>45626</v>
      </c>
      <c r="B3567" t="str">
        <f>IFERROR(IF(VLOOKUP(C3567,Hoja1!$B$1:$C$6191,2,0)="",_xlfn.XLOOKUP(C3567,Hoja1!$B$2:$B$6191,Hoja1!$A$2:$A$6191),VLOOKUP(C3567,Hoja1!$B$1:$C$6191,2,0)),"No esta en Infor")</f>
        <v>NAC1234</v>
      </c>
      <c r="C3567" s="3" t="s">
        <v>293</v>
      </c>
      <c r="D3567" s="4">
        <v>2518.35</v>
      </c>
      <c r="E3567" s="3"/>
      <c r="F3567" s="3">
        <v>0</v>
      </c>
      <c r="G3567" s="3">
        <v>0</v>
      </c>
      <c r="H3567" s="3">
        <v>0</v>
      </c>
      <c r="I3567" s="3">
        <v>0</v>
      </c>
      <c r="J3567" s="18">
        <f t="shared" si="15"/>
        <v>2518.35</v>
      </c>
    </row>
    <row r="3568" spans="1:10" ht="15.75" x14ac:dyDescent="0.25">
      <c r="A3568" s="21">
        <v>45626</v>
      </c>
      <c r="B3568" t="str">
        <f>IFERROR(IF(VLOOKUP(C3568,Hoja1!$B$1:$C$6191,2,0)="",_xlfn.XLOOKUP(C3568,Hoja1!$B$2:$B$6191,Hoja1!$A$2:$A$6191),VLOOKUP(C3568,Hoja1!$B$1:$C$6191,2,0)),"No esta en Infor")</f>
        <v>NAC1240</v>
      </c>
      <c r="C3568" s="3" t="s">
        <v>759</v>
      </c>
      <c r="D3568" s="4">
        <v>4164.49</v>
      </c>
      <c r="E3568" s="3"/>
      <c r="F3568" s="3">
        <v>0</v>
      </c>
      <c r="G3568" s="3">
        <v>0</v>
      </c>
      <c r="H3568" s="3">
        <v>0</v>
      </c>
      <c r="I3568" s="3">
        <v>0</v>
      </c>
      <c r="J3568" s="18">
        <f t="shared" si="15"/>
        <v>4164.49</v>
      </c>
    </row>
    <row r="3569" spans="1:10" ht="15.75" x14ac:dyDescent="0.25">
      <c r="A3569" s="21">
        <v>45626</v>
      </c>
      <c r="B3569" t="str">
        <f>IFERROR(IF(VLOOKUP(C3569,Hoja1!$B$1:$C$6191,2,0)="",_xlfn.XLOOKUP(C3569,Hoja1!$B$2:$B$6191,Hoja1!$A$2:$A$6191),VLOOKUP(C3569,Hoja1!$B$1:$C$6191,2,0)),"No esta en Infor")</f>
        <v>NAC1242</v>
      </c>
      <c r="C3569" s="3" t="s">
        <v>296</v>
      </c>
      <c r="D3569" s="3">
        <v>425.89</v>
      </c>
      <c r="E3569" s="3"/>
      <c r="F3569" s="3">
        <v>0</v>
      </c>
      <c r="G3569" s="3">
        <v>0</v>
      </c>
      <c r="H3569" s="3">
        <v>0</v>
      </c>
      <c r="I3569" s="3">
        <v>0</v>
      </c>
      <c r="J3569" s="18">
        <f t="shared" si="15"/>
        <v>425.89</v>
      </c>
    </row>
    <row r="3570" spans="1:10" ht="15.75" x14ac:dyDescent="0.25">
      <c r="A3570" s="21">
        <v>45626</v>
      </c>
      <c r="B3570" t="str">
        <f>IFERROR(IF(VLOOKUP(C3570,Hoja1!$B$1:$C$6191,2,0)="",_xlfn.XLOOKUP(C3570,Hoja1!$B$2:$B$6191,Hoja1!$A$2:$A$6191),VLOOKUP(C3570,Hoja1!$B$1:$C$6191,2,0)),"No esta en Infor")</f>
        <v>NAC1243</v>
      </c>
      <c r="C3570" s="3" t="s">
        <v>297</v>
      </c>
      <c r="D3570" s="4">
        <v>3468</v>
      </c>
      <c r="E3570" s="3"/>
      <c r="F3570" s="3">
        <v>0</v>
      </c>
      <c r="G3570" s="3">
        <v>0</v>
      </c>
      <c r="H3570" s="3">
        <v>0</v>
      </c>
      <c r="I3570" s="3">
        <v>0</v>
      </c>
      <c r="J3570" s="18">
        <f t="shared" si="15"/>
        <v>3468</v>
      </c>
    </row>
    <row r="3571" spans="1:10" ht="15.75" x14ac:dyDescent="0.25">
      <c r="A3571" s="21">
        <v>45626</v>
      </c>
      <c r="B3571" t="str">
        <f>IFERROR(IF(VLOOKUP(C3571,Hoja1!$B$1:$C$6191,2,0)="",_xlfn.XLOOKUP(C3571,Hoja1!$B$2:$B$6191,Hoja1!$A$2:$A$6191),VLOOKUP(C3571,Hoja1!$B$1:$C$6191,2,0)),"No esta en Infor")</f>
        <v>NAC1247</v>
      </c>
      <c r="C3571" s="3" t="s">
        <v>298</v>
      </c>
      <c r="D3571" s="4">
        <v>21607.66</v>
      </c>
      <c r="E3571" s="3"/>
      <c r="F3571" s="3">
        <v>0</v>
      </c>
      <c r="G3571" s="3">
        <v>0</v>
      </c>
      <c r="H3571" s="3">
        <v>0</v>
      </c>
      <c r="I3571" s="3">
        <v>0</v>
      </c>
      <c r="J3571" s="18">
        <f t="shared" si="15"/>
        <v>21607.66</v>
      </c>
    </row>
    <row r="3572" spans="1:10" ht="15.75" x14ac:dyDescent="0.25">
      <c r="A3572" s="21">
        <v>45626</v>
      </c>
      <c r="B3572" t="str">
        <f>IFERROR(IF(VLOOKUP(C3572,Hoja1!$B$1:$C$6191,2,0)="",_xlfn.XLOOKUP(C3572,Hoja1!$B$2:$B$6191,Hoja1!$A$2:$A$6191),VLOOKUP(C3572,Hoja1!$B$1:$C$6191,2,0)),"No esta en Infor")</f>
        <v>NAC1248</v>
      </c>
      <c r="C3572" s="3" t="s">
        <v>589</v>
      </c>
      <c r="D3572" s="4">
        <v>2732.83</v>
      </c>
      <c r="E3572" s="3"/>
      <c r="F3572" s="3">
        <v>0</v>
      </c>
      <c r="G3572" s="3">
        <v>0</v>
      </c>
      <c r="H3572" s="3">
        <v>0</v>
      </c>
      <c r="I3572" s="3">
        <v>0</v>
      </c>
      <c r="J3572" s="18">
        <f t="shared" si="15"/>
        <v>2732.83</v>
      </c>
    </row>
    <row r="3573" spans="1:10" ht="15.75" x14ac:dyDescent="0.25">
      <c r="A3573" s="21">
        <v>45626</v>
      </c>
      <c r="B3573" t="str">
        <f>IFERROR(IF(VLOOKUP(C3573,Hoja1!$B$1:$C$6191,2,0)="",_xlfn.XLOOKUP(C3573,Hoja1!$B$2:$B$6191,Hoja1!$A$2:$A$6191),VLOOKUP(C3573,Hoja1!$B$1:$C$6191,2,0)),"No esta en Infor")</f>
        <v>CAN0051</v>
      </c>
      <c r="C3573" s="3" t="s">
        <v>299</v>
      </c>
      <c r="D3573" s="3">
        <v>0</v>
      </c>
      <c r="E3573" s="3"/>
      <c r="F3573" s="3">
        <v>0</v>
      </c>
      <c r="G3573" s="3">
        <v>0</v>
      </c>
      <c r="H3573" s="3">
        <v>-0.34</v>
      </c>
      <c r="I3573" s="3">
        <v>0</v>
      </c>
      <c r="J3573" s="18">
        <f t="shared" si="15"/>
        <v>-0.34</v>
      </c>
    </row>
    <row r="3574" spans="1:10" ht="15.75" x14ac:dyDescent="0.25">
      <c r="A3574" s="21">
        <v>45626</v>
      </c>
      <c r="B3574" t="str">
        <f>IFERROR(IF(VLOOKUP(C3574,Hoja1!$B$1:$C$6191,2,0)="",_xlfn.XLOOKUP(C3574,Hoja1!$B$2:$B$6191,Hoja1!$A$2:$A$6191),VLOOKUP(C3574,Hoja1!$B$1:$C$6191,2,0)),"No esta en Infor")</f>
        <v>NAC1249</v>
      </c>
      <c r="C3574" s="3" t="s">
        <v>300</v>
      </c>
      <c r="D3574" s="3">
        <v>0</v>
      </c>
      <c r="E3574" s="3"/>
      <c r="F3574" s="3">
        <v>0</v>
      </c>
      <c r="G3574" s="3">
        <v>0</v>
      </c>
      <c r="H3574" s="3">
        <v>-17.760000000000002</v>
      </c>
      <c r="I3574" s="3">
        <v>0</v>
      </c>
      <c r="J3574" s="18">
        <f t="shared" si="15"/>
        <v>-17.760000000000002</v>
      </c>
    </row>
    <row r="3575" spans="1:10" ht="15.75" x14ac:dyDescent="0.25">
      <c r="A3575" s="21">
        <v>45626</v>
      </c>
      <c r="B3575" t="str">
        <f>IFERROR(IF(VLOOKUP(C3575,Hoja1!$B$1:$C$6191,2,0)="",_xlfn.XLOOKUP(C3575,Hoja1!$B$2:$B$6191,Hoja1!$A$2:$A$6191),VLOOKUP(C3575,Hoja1!$B$1:$C$6191,2,0)),"No esta en Infor")</f>
        <v>NAC1251</v>
      </c>
      <c r="C3575" s="3" t="s">
        <v>519</v>
      </c>
      <c r="D3575" s="4">
        <v>1415.61</v>
      </c>
      <c r="E3575" s="3"/>
      <c r="F3575" s="3">
        <v>0</v>
      </c>
      <c r="G3575" s="3">
        <v>0</v>
      </c>
      <c r="H3575" s="3">
        <v>0</v>
      </c>
      <c r="I3575" s="3">
        <v>0</v>
      </c>
      <c r="J3575" s="18">
        <f t="shared" si="15"/>
        <v>1415.61</v>
      </c>
    </row>
    <row r="3576" spans="1:10" ht="15.75" x14ac:dyDescent="0.25">
      <c r="A3576" s="21">
        <v>45626</v>
      </c>
      <c r="B3576" t="str">
        <f>IFERROR(IF(VLOOKUP(C3576,Hoja1!$B$1:$C$6191,2,0)="",_xlfn.XLOOKUP(C3576,Hoja1!$B$2:$B$6191,Hoja1!$A$2:$A$6191),VLOOKUP(C3576,Hoja1!$B$1:$C$6191,2,0)),"No esta en Infor")</f>
        <v>NAC1252</v>
      </c>
      <c r="C3576" s="3" t="s">
        <v>301</v>
      </c>
      <c r="D3576" s="4">
        <v>52095.11</v>
      </c>
      <c r="E3576" s="3"/>
      <c r="F3576" s="3">
        <v>0</v>
      </c>
      <c r="G3576" s="3">
        <v>0</v>
      </c>
      <c r="H3576" s="3">
        <v>0</v>
      </c>
      <c r="I3576" s="3">
        <v>0</v>
      </c>
      <c r="J3576" s="18">
        <f t="shared" si="15"/>
        <v>52095.11</v>
      </c>
    </row>
    <row r="3577" spans="1:10" ht="15.75" x14ac:dyDescent="0.25">
      <c r="A3577" s="21">
        <v>45626</v>
      </c>
      <c r="B3577" t="str">
        <f>IFERROR(IF(VLOOKUP(C3577,Hoja1!$B$1:$C$6191,2,0)="",_xlfn.XLOOKUP(C3577,Hoja1!$B$2:$B$6191,Hoja1!$A$2:$A$6191),VLOOKUP(C3577,Hoja1!$B$1:$C$6191,2,0)),"No esta en Infor")</f>
        <v>NAC1615</v>
      </c>
      <c r="C3577" s="3" t="s">
        <v>520</v>
      </c>
      <c r="D3577" s="3">
        <v>0</v>
      </c>
      <c r="E3577" s="3"/>
      <c r="F3577" s="3">
        <v>0</v>
      </c>
      <c r="G3577" s="3">
        <v>-252</v>
      </c>
      <c r="H3577" s="3">
        <v>0</v>
      </c>
      <c r="I3577" s="3">
        <v>0</v>
      </c>
      <c r="J3577" s="18">
        <f t="shared" si="15"/>
        <v>-252</v>
      </c>
    </row>
    <row r="3578" spans="1:10" ht="15.75" x14ac:dyDescent="0.25">
      <c r="A3578" s="21">
        <v>45626</v>
      </c>
      <c r="B3578" t="str">
        <f>IFERROR(IF(VLOOKUP(C3578,Hoja1!$B$1:$C$6191,2,0)="",_xlfn.XLOOKUP(C3578,Hoja1!$B$2:$B$6191,Hoja1!$A$2:$A$6191),VLOOKUP(C3578,Hoja1!$B$1:$C$6191,2,0)),"No esta en Infor")</f>
        <v>SH03383</v>
      </c>
      <c r="C3578" s="3" t="s">
        <v>829</v>
      </c>
      <c r="D3578" s="3">
        <v>-65.91</v>
      </c>
      <c r="E3578" s="3"/>
      <c r="F3578" s="3">
        <v>0</v>
      </c>
      <c r="G3578" s="3">
        <v>0</v>
      </c>
      <c r="H3578" s="3">
        <v>0</v>
      </c>
      <c r="I3578" s="3">
        <v>0</v>
      </c>
      <c r="J3578" s="18">
        <f t="shared" si="15"/>
        <v>-65.91</v>
      </c>
    </row>
    <row r="3579" spans="1:10" ht="15.75" x14ac:dyDescent="0.25">
      <c r="A3579" s="21">
        <v>45626</v>
      </c>
      <c r="B3579" t="str">
        <f>IFERROR(IF(VLOOKUP(C3579,Hoja1!$B$1:$C$6191,2,0)="",_xlfn.XLOOKUP(C3579,Hoja1!$B$2:$B$6191,Hoja1!$A$2:$A$6191),VLOOKUP(C3579,Hoja1!$B$1:$C$6191,2,0)),"No esta en Infor")</f>
        <v>NAC1260</v>
      </c>
      <c r="C3579" s="3" t="s">
        <v>571</v>
      </c>
      <c r="D3579" s="3">
        <v>0</v>
      </c>
      <c r="E3579" s="3"/>
      <c r="F3579" s="4">
        <v>-19694.63</v>
      </c>
      <c r="G3579" s="3">
        <v>0</v>
      </c>
      <c r="H3579" s="3">
        <v>0</v>
      </c>
      <c r="I3579" s="3">
        <v>0</v>
      </c>
      <c r="J3579" s="18">
        <f t="shared" si="15"/>
        <v>-19694.63</v>
      </c>
    </row>
    <row r="3580" spans="1:10" ht="15.75" x14ac:dyDescent="0.25">
      <c r="A3580" s="21">
        <v>45626</v>
      </c>
      <c r="B3580" t="str">
        <f>IFERROR(IF(VLOOKUP(C3580,Hoja1!$B$1:$C$6191,2,0)="",_xlfn.XLOOKUP(C3580,Hoja1!$B$2:$B$6191,Hoja1!$A$2:$A$6191),VLOOKUP(C3580,Hoja1!$B$1:$C$6191,2,0)),"No esta en Infor")</f>
        <v>NAC1261</v>
      </c>
      <c r="C3580" s="3" t="s">
        <v>303</v>
      </c>
      <c r="D3580" s="4">
        <v>1323</v>
      </c>
      <c r="E3580" s="3"/>
      <c r="F3580" s="3">
        <v>0</v>
      </c>
      <c r="G3580" s="3">
        <v>0</v>
      </c>
      <c r="H3580" s="3">
        <v>0</v>
      </c>
      <c r="I3580" s="3">
        <v>0</v>
      </c>
      <c r="J3580" s="18">
        <f t="shared" si="15"/>
        <v>1323</v>
      </c>
    </row>
    <row r="3581" spans="1:10" ht="15.75" x14ac:dyDescent="0.25">
      <c r="A3581" s="21">
        <v>45626</v>
      </c>
      <c r="B3581" t="str">
        <f>IFERROR(IF(VLOOKUP(C3581,Hoja1!$B$1:$C$6191,2,0)="",_xlfn.XLOOKUP(C3581,Hoja1!$B$2:$B$6191,Hoja1!$A$2:$A$6191),VLOOKUP(C3581,Hoja1!$B$1:$C$6191,2,0)),"No esta en Infor")</f>
        <v>SH03164</v>
      </c>
      <c r="C3581" s="3" t="s">
        <v>801</v>
      </c>
      <c r="D3581" s="3">
        <v>13.34</v>
      </c>
      <c r="E3581" s="3"/>
      <c r="F3581" s="3">
        <v>0</v>
      </c>
      <c r="G3581" s="3">
        <v>0</v>
      </c>
      <c r="H3581" s="3">
        <v>0</v>
      </c>
      <c r="I3581" s="3">
        <v>0</v>
      </c>
      <c r="J3581" s="18">
        <f t="shared" si="15"/>
        <v>13.34</v>
      </c>
    </row>
    <row r="3582" spans="1:10" ht="15.75" x14ac:dyDescent="0.25">
      <c r="A3582" s="21">
        <v>45626</v>
      </c>
      <c r="B3582" t="str">
        <f>IFERROR(IF(VLOOKUP(C3582,Hoja1!$B$1:$C$6191,2,0)="",_xlfn.XLOOKUP(C3582,Hoja1!$B$2:$B$6191,Hoja1!$A$2:$A$6191),VLOOKUP(C3582,Hoja1!$B$1:$C$6191,2,0)),"No esta en Infor")</f>
        <v>SH03367</v>
      </c>
      <c r="C3582" s="3" t="s">
        <v>826</v>
      </c>
      <c r="D3582" s="3">
        <v>12.09</v>
      </c>
      <c r="E3582" s="3"/>
      <c r="F3582" s="3">
        <v>0</v>
      </c>
      <c r="G3582" s="3">
        <v>0</v>
      </c>
      <c r="H3582" s="3">
        <v>0</v>
      </c>
      <c r="I3582" s="3">
        <v>0</v>
      </c>
      <c r="J3582" s="18">
        <f t="shared" si="15"/>
        <v>12.09</v>
      </c>
    </row>
    <row r="3583" spans="1:10" ht="15.75" x14ac:dyDescent="0.25">
      <c r="A3583" s="21">
        <v>45626</v>
      </c>
      <c r="B3583" t="str">
        <f>IFERROR(IF(VLOOKUP(C3583,Hoja1!$B$1:$C$6191,2,0)="",_xlfn.XLOOKUP(C3583,Hoja1!$B$2:$B$6191,Hoja1!$A$2:$A$6191),VLOOKUP(C3583,Hoja1!$B$1:$C$6191,2,0)),"No esta en Infor")</f>
        <v>NAC1283</v>
      </c>
      <c r="C3583" s="3" t="s">
        <v>308</v>
      </c>
      <c r="D3583" s="4">
        <v>26138.5</v>
      </c>
      <c r="E3583" s="3"/>
      <c r="F3583" s="3">
        <v>0</v>
      </c>
      <c r="G3583" s="3">
        <v>0</v>
      </c>
      <c r="H3583" s="3">
        <v>-118</v>
      </c>
      <c r="I3583" s="3">
        <v>0</v>
      </c>
      <c r="J3583" s="18">
        <f t="shared" si="15"/>
        <v>26020.5</v>
      </c>
    </row>
    <row r="3584" spans="1:10" ht="15.75" x14ac:dyDescent="0.25">
      <c r="A3584" s="21">
        <v>45626</v>
      </c>
      <c r="B3584" t="str">
        <f>IFERROR(IF(VLOOKUP(C3584,Hoja1!$B$1:$C$6191,2,0)="",_xlfn.XLOOKUP(C3584,Hoja1!$B$2:$B$6191,Hoja1!$A$2:$A$6191),VLOOKUP(C3584,Hoja1!$B$1:$C$6191,2,0)),"No esta en Infor")</f>
        <v>SH03124</v>
      </c>
      <c r="C3584" s="3" t="s">
        <v>798</v>
      </c>
      <c r="D3584" s="3">
        <v>-507.08</v>
      </c>
      <c r="E3584" s="3"/>
      <c r="F3584" s="3">
        <v>0</v>
      </c>
      <c r="G3584" s="3">
        <v>0</v>
      </c>
      <c r="H3584" s="3">
        <v>0</v>
      </c>
      <c r="I3584" s="3">
        <v>0</v>
      </c>
      <c r="J3584" s="18">
        <f t="shared" si="15"/>
        <v>-507.08</v>
      </c>
    </row>
    <row r="3585" spans="1:10" ht="15.75" x14ac:dyDescent="0.25">
      <c r="A3585" s="21">
        <v>45626</v>
      </c>
      <c r="B3585" t="str">
        <f>IFERROR(IF(VLOOKUP(C3585,Hoja1!$B$1:$C$6191,2,0)="",_xlfn.XLOOKUP(C3585,Hoja1!$B$2:$B$6191,Hoja1!$A$2:$A$6191),VLOOKUP(C3585,Hoja1!$B$1:$C$6191,2,0)),"No esta en Infor")</f>
        <v>NAC1288</v>
      </c>
      <c r="C3585" s="3" t="s">
        <v>787</v>
      </c>
      <c r="D3585" s="3">
        <v>47.08</v>
      </c>
      <c r="E3585" s="3"/>
      <c r="F3585" s="3">
        <v>0</v>
      </c>
      <c r="G3585" s="3">
        <v>0</v>
      </c>
      <c r="H3585" s="3">
        <v>0</v>
      </c>
      <c r="I3585" s="3">
        <v>0</v>
      </c>
      <c r="J3585" s="18">
        <f t="shared" si="15"/>
        <v>47.08</v>
      </c>
    </row>
    <row r="3586" spans="1:10" ht="15.75" x14ac:dyDescent="0.25">
      <c r="A3586" s="21">
        <v>45626</v>
      </c>
      <c r="B3586" t="str">
        <f>IFERROR(IF(VLOOKUP(C3586,Hoja1!$B$1:$C$6191,2,0)="",_xlfn.XLOOKUP(C3586,Hoja1!$B$2:$B$6191,Hoja1!$A$2:$A$6191),VLOOKUP(C3586,Hoja1!$B$1:$C$6191,2,0)),"No esta en Infor")</f>
        <v>NAC1287</v>
      </c>
      <c r="C3586" s="3" t="s">
        <v>786</v>
      </c>
      <c r="D3586" s="3">
        <v>585.62</v>
      </c>
      <c r="E3586" s="3"/>
      <c r="F3586" s="3">
        <v>0</v>
      </c>
      <c r="G3586" s="3">
        <v>0</v>
      </c>
      <c r="H3586" s="3">
        <v>0</v>
      </c>
      <c r="I3586" s="3">
        <v>0</v>
      </c>
      <c r="J3586" s="18">
        <f t="shared" si="15"/>
        <v>585.62</v>
      </c>
    </row>
    <row r="3587" spans="1:10" ht="15.75" x14ac:dyDescent="0.25">
      <c r="A3587" s="21">
        <v>45626</v>
      </c>
      <c r="B3587" t="str">
        <f>IFERROR(IF(VLOOKUP(C3587,Hoja1!$B$1:$C$6191,2,0)="",_xlfn.XLOOKUP(C3587,Hoja1!$B$2:$B$6191,Hoja1!$A$2:$A$6191),VLOOKUP(C3587,Hoja1!$B$1:$C$6191,2,0)),"No esta en Infor")</f>
        <v>NAC1292</v>
      </c>
      <c r="C3587" s="3" t="s">
        <v>46</v>
      </c>
      <c r="D3587" s="4">
        <v>68105.52</v>
      </c>
      <c r="E3587" s="3"/>
      <c r="F3587" s="3">
        <v>0</v>
      </c>
      <c r="G3587" s="3">
        <v>0</v>
      </c>
      <c r="H3587" s="3">
        <v>0</v>
      </c>
      <c r="I3587" s="3">
        <v>0</v>
      </c>
      <c r="J3587" s="18">
        <f t="shared" si="15"/>
        <v>68105.52</v>
      </c>
    </row>
    <row r="3588" spans="1:10" ht="15.75" x14ac:dyDescent="0.25">
      <c r="A3588" s="21">
        <v>45626</v>
      </c>
      <c r="B3588" t="str">
        <f>IFERROR(IF(VLOOKUP(C3588,Hoja1!$B$1:$C$6191,2,0)="",_xlfn.XLOOKUP(C3588,Hoja1!$B$2:$B$6191,Hoja1!$A$2:$A$6191),VLOOKUP(C3588,Hoja1!$B$1:$C$6191,2,0)),"No esta en Infor")</f>
        <v>CAN0056</v>
      </c>
      <c r="C3588" s="3" t="s">
        <v>590</v>
      </c>
      <c r="D3588" s="4">
        <v>1285.94</v>
      </c>
      <c r="E3588" s="3"/>
      <c r="F3588" s="3">
        <v>0</v>
      </c>
      <c r="G3588" s="3">
        <v>0</v>
      </c>
      <c r="H3588" s="3">
        <v>0</v>
      </c>
      <c r="I3588" s="3">
        <v>0</v>
      </c>
      <c r="J3588" s="18">
        <f t="shared" si="15"/>
        <v>1285.94</v>
      </c>
    </row>
    <row r="3589" spans="1:10" ht="15.75" x14ac:dyDescent="0.25">
      <c r="A3589" s="21">
        <v>45626</v>
      </c>
      <c r="B3589" t="str">
        <f>IFERROR(IF(VLOOKUP(C3589,Hoja1!$B$1:$C$6191,2,0)="",_xlfn.XLOOKUP(C3589,Hoja1!$B$2:$B$6191,Hoja1!$A$2:$A$6191),VLOOKUP(C3589,Hoja1!$B$1:$C$6191,2,0)),"No esta en Infor")</f>
        <v>SH02984</v>
      </c>
      <c r="C3589" s="3" t="s">
        <v>794</v>
      </c>
      <c r="D3589" s="3">
        <v>2.25</v>
      </c>
      <c r="E3589" s="3"/>
      <c r="F3589" s="3">
        <v>0</v>
      </c>
      <c r="G3589" s="3">
        <v>0</v>
      </c>
      <c r="H3589" s="3">
        <v>0</v>
      </c>
      <c r="I3589" s="3">
        <v>0</v>
      </c>
      <c r="J3589" s="18">
        <f t="shared" si="15"/>
        <v>2.25</v>
      </c>
    </row>
    <row r="3590" spans="1:10" ht="15.75" x14ac:dyDescent="0.25">
      <c r="A3590" s="21">
        <v>45626</v>
      </c>
      <c r="B3590" t="str">
        <f>IFERROR(IF(VLOOKUP(C3590,Hoja1!$B$1:$C$6191,2,0)="",_xlfn.XLOOKUP(C3590,Hoja1!$B$2:$B$6191,Hoja1!$A$2:$A$6191),VLOOKUP(C3590,Hoja1!$B$1:$C$6191,2,0)),"No esta en Infor")</f>
        <v>NAC1303</v>
      </c>
      <c r="C3590" s="3" t="s">
        <v>697</v>
      </c>
      <c r="D3590" s="3">
        <v>224</v>
      </c>
      <c r="E3590" s="3"/>
      <c r="F3590" s="3">
        <v>0</v>
      </c>
      <c r="G3590" s="3">
        <v>0</v>
      </c>
      <c r="H3590" s="3">
        <v>0</v>
      </c>
      <c r="I3590" s="3">
        <v>0</v>
      </c>
      <c r="J3590" s="18">
        <f t="shared" si="15"/>
        <v>224</v>
      </c>
    </row>
    <row r="3591" spans="1:10" ht="15.75" x14ac:dyDescent="0.25">
      <c r="A3591" s="21">
        <v>45626</v>
      </c>
      <c r="B3591" t="str">
        <f>IFERROR(IF(VLOOKUP(C3591,Hoja1!$B$1:$C$6191,2,0)="",_xlfn.XLOOKUP(C3591,Hoja1!$B$2:$B$6191,Hoja1!$A$2:$A$6191),VLOOKUP(C3591,Hoja1!$B$1:$C$6191,2,0)),"No esta en Infor")</f>
        <v>NAC1312</v>
      </c>
      <c r="C3591" s="3" t="s">
        <v>314</v>
      </c>
      <c r="D3591" s="4">
        <v>91392.47</v>
      </c>
      <c r="E3591" s="3"/>
      <c r="F3591" s="3">
        <v>0</v>
      </c>
      <c r="G3591" s="4">
        <v>236197.94</v>
      </c>
      <c r="H3591" s="3">
        <v>0</v>
      </c>
      <c r="I3591" s="4">
        <v>6392.93</v>
      </c>
      <c r="J3591" s="18">
        <f t="shared" si="15"/>
        <v>333983.34000000003</v>
      </c>
    </row>
    <row r="3592" spans="1:10" ht="15.75" x14ac:dyDescent="0.25">
      <c r="A3592" s="21">
        <v>45626</v>
      </c>
      <c r="B3592" t="str">
        <f>IFERROR(IF(VLOOKUP(C3592,Hoja1!$B$1:$C$6191,2,0)="",_xlfn.XLOOKUP(C3592,Hoja1!$B$2:$B$6191,Hoja1!$A$2:$A$6191),VLOOKUP(C3592,Hoja1!$B$1:$C$6191,2,0)),"No esta en Infor")</f>
        <v>NAC1313</v>
      </c>
      <c r="C3592" s="3" t="s">
        <v>315</v>
      </c>
      <c r="D3592" s="4">
        <v>7824</v>
      </c>
      <c r="E3592" s="3"/>
      <c r="F3592" s="3">
        <v>0</v>
      </c>
      <c r="G3592" s="3">
        <v>0</v>
      </c>
      <c r="H3592" s="3">
        <v>0</v>
      </c>
      <c r="I3592" s="3">
        <v>0</v>
      </c>
      <c r="J3592" s="18">
        <f t="shared" si="15"/>
        <v>7824</v>
      </c>
    </row>
    <row r="3593" spans="1:10" ht="15.75" x14ac:dyDescent="0.25">
      <c r="A3593" s="21">
        <v>45626</v>
      </c>
      <c r="B3593" t="str">
        <f>IFERROR(IF(VLOOKUP(C3593,Hoja1!$B$1:$C$6191,2,0)="",_xlfn.XLOOKUP(C3593,Hoja1!$B$2:$B$6191,Hoja1!$A$2:$A$6191),VLOOKUP(C3593,Hoja1!$B$1:$C$6191,2,0)),"No esta en Infor")</f>
        <v>NAC1326</v>
      </c>
      <c r="C3593" s="3" t="s">
        <v>763</v>
      </c>
      <c r="D3593" s="3">
        <v>994.63</v>
      </c>
      <c r="E3593" s="3"/>
      <c r="F3593" s="3">
        <v>0</v>
      </c>
      <c r="G3593" s="3">
        <v>0</v>
      </c>
      <c r="H3593" s="3">
        <v>0</v>
      </c>
      <c r="I3593" s="3">
        <v>0</v>
      </c>
      <c r="J3593" s="18">
        <f t="shared" si="15"/>
        <v>994.63</v>
      </c>
    </row>
    <row r="3594" spans="1:10" ht="15.75" x14ac:dyDescent="0.25">
      <c r="A3594" s="21">
        <v>45626</v>
      </c>
      <c r="B3594" t="str">
        <f>IFERROR(IF(VLOOKUP(C3594,Hoja1!$B$1:$C$6191,2,0)="",_xlfn.XLOOKUP(C3594,Hoja1!$B$2:$B$6191,Hoja1!$A$2:$A$6191),VLOOKUP(C3594,Hoja1!$B$1:$C$6191,2,0)),"No esta en Infor")</f>
        <v>SH03400</v>
      </c>
      <c r="C3594" s="3" t="s">
        <v>859</v>
      </c>
      <c r="D3594" s="3">
        <v>37.57</v>
      </c>
      <c r="E3594" s="3"/>
      <c r="F3594" s="3">
        <v>0</v>
      </c>
      <c r="G3594" s="3">
        <v>0</v>
      </c>
      <c r="H3594" s="3">
        <v>0</v>
      </c>
      <c r="I3594" s="3">
        <v>0</v>
      </c>
      <c r="J3594" s="18">
        <f t="shared" si="15"/>
        <v>37.57</v>
      </c>
    </row>
    <row r="3595" spans="1:10" ht="15.75" x14ac:dyDescent="0.25">
      <c r="A3595" s="21">
        <v>45626</v>
      </c>
      <c r="B3595" t="str">
        <f>IFERROR(IF(VLOOKUP(C3595,Hoja1!$B$1:$C$6191,2,0)="",_xlfn.XLOOKUP(C3595,Hoja1!$B$2:$B$6191,Hoja1!$A$2:$A$6191),VLOOKUP(C3595,Hoja1!$B$1:$C$6191,2,0)),"No esta en Infor")</f>
        <v>CAN0060</v>
      </c>
      <c r="C3595" s="3" t="s">
        <v>422</v>
      </c>
      <c r="D3595" s="4">
        <v>2081.46</v>
      </c>
      <c r="E3595" s="3"/>
      <c r="F3595" s="3">
        <v>0</v>
      </c>
      <c r="G3595" s="3">
        <v>-28.5</v>
      </c>
      <c r="H3595" s="3">
        <v>0</v>
      </c>
      <c r="I3595" s="3">
        <v>0</v>
      </c>
      <c r="J3595" s="18">
        <f t="shared" si="15"/>
        <v>2052.96</v>
      </c>
    </row>
    <row r="3596" spans="1:10" ht="15.75" x14ac:dyDescent="0.25">
      <c r="A3596" s="21">
        <v>45626</v>
      </c>
      <c r="B3596" t="str">
        <f>IFERROR(IF(VLOOKUP(C3596,Hoja1!$B$1:$C$6191,2,0)="",_xlfn.XLOOKUP(C3596,Hoja1!$B$2:$B$6191,Hoja1!$A$2:$A$6191),VLOOKUP(C3596,Hoja1!$B$1:$C$6191,2,0)),"No esta en Infor")</f>
        <v>NAC1332</v>
      </c>
      <c r="C3596" s="3" t="s">
        <v>317</v>
      </c>
      <c r="D3596" s="4">
        <v>1817.48</v>
      </c>
      <c r="E3596" s="3"/>
      <c r="F3596" s="3">
        <v>0</v>
      </c>
      <c r="G3596" s="3">
        <v>0</v>
      </c>
      <c r="H3596" s="3">
        <v>0</v>
      </c>
      <c r="I3596" s="3">
        <v>0</v>
      </c>
      <c r="J3596" s="18">
        <f t="shared" si="15"/>
        <v>1817.48</v>
      </c>
    </row>
    <row r="3597" spans="1:10" ht="15.75" x14ac:dyDescent="0.25">
      <c r="A3597" s="21">
        <v>45626</v>
      </c>
      <c r="B3597" t="str">
        <f>IFERROR(IF(VLOOKUP(C3597,Hoja1!$B$1:$C$6191,2,0)="",_xlfn.XLOOKUP(C3597,Hoja1!$B$2:$B$6191,Hoja1!$A$2:$A$6191),VLOOKUP(C3597,Hoja1!$B$1:$C$6191,2,0)),"No esta en Infor")</f>
        <v>SH02288</v>
      </c>
      <c r="C3597" s="3" t="s">
        <v>698</v>
      </c>
      <c r="D3597" s="3">
        <v>0</v>
      </c>
      <c r="E3597" s="3"/>
      <c r="F3597" s="3">
        <v>0</v>
      </c>
      <c r="G3597" s="3">
        <v>0</v>
      </c>
      <c r="H3597" s="3">
        <v>48.29</v>
      </c>
      <c r="I3597" s="3">
        <v>0</v>
      </c>
      <c r="J3597" s="18">
        <f t="shared" si="15"/>
        <v>48.29</v>
      </c>
    </row>
    <row r="3598" spans="1:10" ht="15.75" x14ac:dyDescent="0.25">
      <c r="A3598" s="21">
        <v>45626</v>
      </c>
      <c r="B3598" t="str">
        <f>IFERROR(IF(VLOOKUP(C3598,Hoja1!$B$1:$C$6191,2,0)="",_xlfn.XLOOKUP(C3598,Hoja1!$B$2:$B$6191,Hoja1!$A$2:$A$6191),VLOOKUP(C3598,Hoja1!$B$1:$C$6191,2,0)),"No esta en Infor")</f>
        <v>SH02293</v>
      </c>
      <c r="C3598" s="3" t="s">
        <v>699</v>
      </c>
      <c r="D3598" s="3">
        <v>7.3</v>
      </c>
      <c r="E3598" s="3"/>
      <c r="F3598" s="3">
        <v>0</v>
      </c>
      <c r="G3598" s="3">
        <v>0</v>
      </c>
      <c r="H3598" s="3">
        <v>0</v>
      </c>
      <c r="I3598" s="3">
        <v>0</v>
      </c>
      <c r="J3598" s="18">
        <f t="shared" si="15"/>
        <v>7.3</v>
      </c>
    </row>
    <row r="3599" spans="1:10" ht="15.75" x14ac:dyDescent="0.25">
      <c r="A3599" s="21">
        <v>45626</v>
      </c>
      <c r="B3599" t="str">
        <f>IFERROR(IF(VLOOKUP(C3599,Hoja1!$B$1:$C$6191,2,0)="",_xlfn.XLOOKUP(C3599,Hoja1!$B$2:$B$6191,Hoja1!$A$2:$A$6191),VLOOKUP(C3599,Hoja1!$B$1:$C$6191,2,0)),"No esta en Infor")</f>
        <v>SH03398</v>
      </c>
      <c r="C3599" s="3" t="s">
        <v>838</v>
      </c>
      <c r="D3599" s="3">
        <v>152.06</v>
      </c>
      <c r="E3599" s="3"/>
      <c r="F3599" s="3">
        <v>0</v>
      </c>
      <c r="G3599" s="3">
        <v>0</v>
      </c>
      <c r="H3599" s="3">
        <v>0</v>
      </c>
      <c r="I3599" s="3">
        <v>0</v>
      </c>
      <c r="J3599" s="18">
        <f t="shared" si="15"/>
        <v>152.06</v>
      </c>
    </row>
    <row r="3600" spans="1:10" ht="15.75" x14ac:dyDescent="0.25">
      <c r="A3600" s="21">
        <v>45626</v>
      </c>
      <c r="B3600" t="str">
        <f>IFERROR(IF(VLOOKUP(C3600,Hoja1!$B$1:$C$6191,2,0)="",_xlfn.XLOOKUP(C3600,Hoja1!$B$2:$B$6191,Hoja1!$A$2:$A$6191),VLOOKUP(C3600,Hoja1!$B$1:$C$6191,2,0)),"No esta en Infor")</f>
        <v>NAC1346</v>
      </c>
      <c r="C3600" s="3" t="s">
        <v>321</v>
      </c>
      <c r="D3600" s="4">
        <v>1192.69</v>
      </c>
      <c r="E3600" s="3"/>
      <c r="F3600" s="3">
        <v>-47.94</v>
      </c>
      <c r="G3600" s="3">
        <v>0</v>
      </c>
      <c r="H3600" s="3">
        <v>0</v>
      </c>
      <c r="I3600" s="3">
        <v>0</v>
      </c>
      <c r="J3600" s="18">
        <f t="shared" si="15"/>
        <v>1144.75</v>
      </c>
    </row>
    <row r="3601" spans="1:10" ht="15.75" x14ac:dyDescent="0.25">
      <c r="A3601" s="21">
        <v>45626</v>
      </c>
      <c r="B3601" t="str">
        <f>IFERROR(IF(VLOOKUP(C3601,Hoja1!$B$1:$C$6191,2,0)="",_xlfn.XLOOKUP(C3601,Hoja1!$B$2:$B$6191,Hoja1!$A$2:$A$6191),VLOOKUP(C3601,Hoja1!$B$1:$C$6191,2,0)),"No esta en Infor")</f>
        <v>NAC1347</v>
      </c>
      <c r="C3601" s="3" t="s">
        <v>606</v>
      </c>
      <c r="D3601" s="3">
        <v>115</v>
      </c>
      <c r="E3601" s="3"/>
      <c r="F3601" s="3">
        <v>0</v>
      </c>
      <c r="G3601" s="3">
        <v>0</v>
      </c>
      <c r="H3601" s="3">
        <v>0</v>
      </c>
      <c r="I3601" s="3">
        <v>0</v>
      </c>
      <c r="J3601" s="18">
        <f t="shared" si="15"/>
        <v>115</v>
      </c>
    </row>
    <row r="3602" spans="1:10" ht="15.75" x14ac:dyDescent="0.25">
      <c r="A3602" s="21">
        <v>45626</v>
      </c>
      <c r="B3602" t="str">
        <f>IFERROR(IF(VLOOKUP(C3602,Hoja1!$B$1:$C$6191,2,0)="",_xlfn.XLOOKUP(C3602,Hoja1!$B$2:$B$6191,Hoja1!$A$2:$A$6191),VLOOKUP(C3602,Hoja1!$B$1:$C$6191,2,0)),"No esta en Infor")</f>
        <v>NAC1349</v>
      </c>
      <c r="C3602" s="3" t="s">
        <v>322</v>
      </c>
      <c r="D3602" s="3">
        <v>0</v>
      </c>
      <c r="E3602" s="3"/>
      <c r="F3602" s="3">
        <v>0</v>
      </c>
      <c r="G3602" s="3">
        <v>0</v>
      </c>
      <c r="H3602" s="3">
        <v>-178.85</v>
      </c>
      <c r="I3602" s="3">
        <v>-169.96</v>
      </c>
      <c r="J3602" s="18">
        <f t="shared" si="15"/>
        <v>-348.81</v>
      </c>
    </row>
    <row r="3603" spans="1:10" ht="15.75" x14ac:dyDescent="0.25">
      <c r="A3603" s="21">
        <v>45626</v>
      </c>
      <c r="B3603" t="str">
        <f>IFERROR(IF(VLOOKUP(C3603,Hoja1!$B$1:$C$6191,2,0)="",_xlfn.XLOOKUP(C3603,Hoja1!$B$2:$B$6191,Hoja1!$A$2:$A$6191),VLOOKUP(C3603,Hoja1!$B$1:$C$6191,2,0)),"No esta en Infor")</f>
        <v>NAC1348</v>
      </c>
      <c r="C3603" s="3" t="s">
        <v>323</v>
      </c>
      <c r="D3603" s="3">
        <v>197.25</v>
      </c>
      <c r="E3603" s="3"/>
      <c r="F3603" s="3">
        <v>0</v>
      </c>
      <c r="G3603" s="3">
        <v>0</v>
      </c>
      <c r="H3603" s="3">
        <v>0</v>
      </c>
      <c r="I3603" s="3">
        <v>0</v>
      </c>
      <c r="J3603" s="18">
        <f t="shared" si="15"/>
        <v>197.25</v>
      </c>
    </row>
    <row r="3604" spans="1:10" ht="15.75" x14ac:dyDescent="0.25">
      <c r="A3604" s="21">
        <v>45626</v>
      </c>
      <c r="B3604" t="str">
        <f>IFERROR(IF(VLOOKUP(C3604,Hoja1!$B$1:$C$6191,2,0)="",_xlfn.XLOOKUP(C3604,Hoja1!$B$2:$B$6191,Hoja1!$A$2:$A$6191),VLOOKUP(C3604,Hoja1!$B$1:$C$6191,2,0)),"No esta en Infor")</f>
        <v>NAC1356</v>
      </c>
      <c r="C3604" s="3" t="s">
        <v>325</v>
      </c>
      <c r="D3604" s="3">
        <v>0</v>
      </c>
      <c r="E3604" s="3"/>
      <c r="F3604" s="3">
        <v>0</v>
      </c>
      <c r="G3604" s="3">
        <v>0</v>
      </c>
      <c r="H3604" s="3">
        <v>0</v>
      </c>
      <c r="I3604" s="3">
        <v>-421.28</v>
      </c>
      <c r="J3604" s="18">
        <f t="shared" si="15"/>
        <v>-421.28</v>
      </c>
    </row>
    <row r="3605" spans="1:10" ht="15.75" x14ac:dyDescent="0.25">
      <c r="A3605" s="21">
        <v>45626</v>
      </c>
      <c r="B3605" t="str">
        <f>IFERROR(IF(VLOOKUP(C3605,Hoja1!$B$1:$C$6191,2,0)="",_xlfn.XLOOKUP(C3605,Hoja1!$B$2:$B$6191,Hoja1!$A$2:$A$6191),VLOOKUP(C3605,Hoja1!$B$1:$C$6191,2,0)),"No esta en Infor")</f>
        <v>NAC1357</v>
      </c>
      <c r="C3605" s="3" t="s">
        <v>423</v>
      </c>
      <c r="D3605" s="4">
        <v>1591.1</v>
      </c>
      <c r="E3605" s="3"/>
      <c r="F3605" s="3">
        <v>0</v>
      </c>
      <c r="G3605" s="3">
        <v>0</v>
      </c>
      <c r="H3605" s="3">
        <v>0</v>
      </c>
      <c r="I3605" s="3">
        <v>0</v>
      </c>
      <c r="J3605" s="18">
        <f t="shared" si="15"/>
        <v>1591.1</v>
      </c>
    </row>
    <row r="3606" spans="1:10" ht="15.75" x14ac:dyDescent="0.25">
      <c r="A3606" s="21">
        <v>45626</v>
      </c>
      <c r="B3606" t="str">
        <f>IFERROR(IF(VLOOKUP(C3606,Hoja1!$B$1:$C$6191,2,0)="",_xlfn.XLOOKUP(C3606,Hoja1!$B$2:$B$6191,Hoja1!$A$2:$A$6191),VLOOKUP(C3606,Hoja1!$B$1:$C$6191,2,0)),"No esta en Infor")</f>
        <v>NAC1359</v>
      </c>
      <c r="C3606" s="3" t="s">
        <v>524</v>
      </c>
      <c r="D3606" s="4">
        <v>42195.1</v>
      </c>
      <c r="E3606" s="3"/>
      <c r="F3606" s="3">
        <v>0</v>
      </c>
      <c r="G3606" s="3">
        <v>0</v>
      </c>
      <c r="H3606" s="3">
        <v>0</v>
      </c>
      <c r="I3606" s="3">
        <v>0</v>
      </c>
      <c r="J3606" s="18">
        <f t="shared" si="15"/>
        <v>42195.1</v>
      </c>
    </row>
    <row r="3607" spans="1:10" ht="15.75" x14ac:dyDescent="0.25">
      <c r="A3607" s="21">
        <v>45626</v>
      </c>
      <c r="B3607" t="str">
        <f>IFERROR(IF(VLOOKUP(C3607,Hoja1!$B$1:$C$6191,2,0)="",_xlfn.XLOOKUP(C3607,Hoja1!$B$2:$B$6191,Hoja1!$A$2:$A$6191),VLOOKUP(C3607,Hoja1!$B$1:$C$6191,2,0)),"No esta en Infor")</f>
        <v>NAC1362</v>
      </c>
      <c r="C3607" s="3" t="s">
        <v>701</v>
      </c>
      <c r="D3607" s="4">
        <v>3780</v>
      </c>
      <c r="E3607" s="3"/>
      <c r="F3607" s="3">
        <v>0</v>
      </c>
      <c r="G3607" s="3">
        <v>0</v>
      </c>
      <c r="H3607" s="3">
        <v>0</v>
      </c>
      <c r="I3607" s="3">
        <v>0</v>
      </c>
      <c r="J3607" s="18">
        <f t="shared" si="15"/>
        <v>3780</v>
      </c>
    </row>
    <row r="3608" spans="1:10" ht="15.75" x14ac:dyDescent="0.25">
      <c r="A3608" s="21">
        <v>45626</v>
      </c>
      <c r="B3608" t="str">
        <f>IFERROR(IF(VLOOKUP(C3608,Hoja1!$B$1:$C$6191,2,0)="",_xlfn.XLOOKUP(C3608,Hoja1!$B$2:$B$6191,Hoja1!$A$2:$A$6191),VLOOKUP(C3608,Hoja1!$B$1:$C$6191,2,0)),"No esta en Infor")</f>
        <v>CAN0065</v>
      </c>
      <c r="C3608" s="3" t="s">
        <v>327</v>
      </c>
      <c r="D3608" s="4">
        <v>38685</v>
      </c>
      <c r="E3608" s="3"/>
      <c r="F3608" s="3">
        <v>0</v>
      </c>
      <c r="G3608" s="3">
        <v>0</v>
      </c>
      <c r="H3608" s="3">
        <v>0</v>
      </c>
      <c r="I3608" s="3">
        <v>0</v>
      </c>
      <c r="J3608" s="18">
        <f t="shared" si="15"/>
        <v>38685</v>
      </c>
    </row>
    <row r="3609" spans="1:10" ht="15.75" x14ac:dyDescent="0.25">
      <c r="A3609" s="21">
        <v>45626</v>
      </c>
      <c r="B3609" t="str">
        <f>IFERROR(IF(VLOOKUP(C3609,Hoja1!$B$1:$C$6191,2,0)="",_xlfn.XLOOKUP(C3609,Hoja1!$B$2:$B$6191,Hoja1!$A$2:$A$6191),VLOOKUP(C3609,Hoja1!$B$1:$C$6191,2,0)),"No esta en Infor")</f>
        <v>NAC1372</v>
      </c>
      <c r="C3609" s="3" t="s">
        <v>607</v>
      </c>
      <c r="D3609" s="3">
        <v>420.12</v>
      </c>
      <c r="E3609" s="3"/>
      <c r="F3609" s="3">
        <v>0</v>
      </c>
      <c r="G3609" s="3">
        <v>0</v>
      </c>
      <c r="H3609" s="3">
        <v>0</v>
      </c>
      <c r="I3609" s="3">
        <v>0</v>
      </c>
      <c r="J3609" s="18">
        <f t="shared" si="15"/>
        <v>420.12</v>
      </c>
    </row>
    <row r="3610" spans="1:10" ht="15.75" x14ac:dyDescent="0.25">
      <c r="A3610" s="21">
        <v>45626</v>
      </c>
      <c r="B3610" t="str">
        <f>IFERROR(IF(VLOOKUP(C3610,Hoja1!$B$1:$C$6191,2,0)="",_xlfn.XLOOKUP(C3610,Hoja1!$B$2:$B$6191,Hoja1!$A$2:$A$6191),VLOOKUP(C3610,Hoja1!$B$1:$C$6191,2,0)),"No esta en Infor")</f>
        <v>NAC1377</v>
      </c>
      <c r="C3610" s="3" t="s">
        <v>525</v>
      </c>
      <c r="D3610" s="3">
        <v>356.67</v>
      </c>
      <c r="E3610" s="3"/>
      <c r="F3610" s="3">
        <v>0</v>
      </c>
      <c r="G3610" s="3">
        <v>0</v>
      </c>
      <c r="H3610" s="3">
        <v>0</v>
      </c>
      <c r="I3610" s="3">
        <v>0</v>
      </c>
      <c r="J3610" s="18">
        <f t="shared" si="15"/>
        <v>356.67</v>
      </c>
    </row>
    <row r="3611" spans="1:10" ht="15.75" x14ac:dyDescent="0.25">
      <c r="A3611" s="21">
        <v>45626</v>
      </c>
      <c r="B3611" t="str">
        <f>IFERROR(IF(VLOOKUP(C3611,Hoja1!$B$1:$C$6191,2,0)="",_xlfn.XLOOKUP(C3611,Hoja1!$B$2:$B$6191,Hoja1!$A$2:$A$6191),VLOOKUP(C3611,Hoja1!$B$1:$C$6191,2,0)),"No esta en Infor")</f>
        <v>NAC1381</v>
      </c>
      <c r="C3611" s="3" t="s">
        <v>478</v>
      </c>
      <c r="D3611" s="3">
        <v>56.33</v>
      </c>
      <c r="E3611" s="3"/>
      <c r="F3611" s="3">
        <v>0</v>
      </c>
      <c r="G3611" s="3">
        <v>-5.28</v>
      </c>
      <c r="H3611" s="3">
        <v>0</v>
      </c>
      <c r="I3611" s="3">
        <v>0</v>
      </c>
      <c r="J3611" s="18">
        <f t="shared" si="15"/>
        <v>51.05</v>
      </c>
    </row>
    <row r="3612" spans="1:10" ht="15.75" x14ac:dyDescent="0.25">
      <c r="A3612" s="21">
        <v>45626</v>
      </c>
      <c r="B3612" t="str">
        <f>IFERROR(IF(VLOOKUP(C3612,Hoja1!$B$1:$C$6191,2,0)="",_xlfn.XLOOKUP(C3612,Hoja1!$B$2:$B$6191,Hoja1!$A$2:$A$6191),VLOOKUP(C3612,Hoja1!$B$1:$C$6191,2,0)),"No esta en Infor")</f>
        <v>CAN0067</v>
      </c>
      <c r="C3612" s="3" t="s">
        <v>775</v>
      </c>
      <c r="D3612" s="4">
        <v>1037.3399999999999</v>
      </c>
      <c r="E3612" s="3"/>
      <c r="F3612" s="3">
        <v>0</v>
      </c>
      <c r="G3612" s="3">
        <v>0</v>
      </c>
      <c r="H3612" s="3">
        <v>0</v>
      </c>
      <c r="I3612" s="3">
        <v>0</v>
      </c>
      <c r="J3612" s="18">
        <f t="shared" si="15"/>
        <v>1037.3399999999999</v>
      </c>
    </row>
    <row r="3613" spans="1:10" ht="15.75" x14ac:dyDescent="0.25">
      <c r="A3613" s="21">
        <v>45626</v>
      </c>
      <c r="B3613" t="str">
        <f>IFERROR(IF(VLOOKUP(C3613,Hoja1!$B$1:$C$6191,2,0)="",_xlfn.XLOOKUP(C3613,Hoja1!$B$2:$B$6191,Hoja1!$A$2:$A$6191),VLOOKUP(C3613,Hoja1!$B$1:$C$6191,2,0)),"No esta en Infor")</f>
        <v>NAC1382</v>
      </c>
      <c r="C3613" s="3" t="s">
        <v>332</v>
      </c>
      <c r="D3613" s="4">
        <v>110307.44</v>
      </c>
      <c r="E3613" s="3"/>
      <c r="F3613" s="3">
        <v>0</v>
      </c>
      <c r="G3613" s="3">
        <v>0</v>
      </c>
      <c r="H3613" s="3">
        <v>0</v>
      </c>
      <c r="I3613" s="3">
        <v>0</v>
      </c>
      <c r="J3613" s="18">
        <f t="shared" si="15"/>
        <v>110307.44</v>
      </c>
    </row>
    <row r="3614" spans="1:10" ht="15.75" x14ac:dyDescent="0.25">
      <c r="A3614" s="21">
        <v>45626</v>
      </c>
      <c r="B3614" t="str">
        <f>IFERROR(IF(VLOOKUP(C3614,Hoja1!$B$1:$C$6191,2,0)="",_xlfn.XLOOKUP(C3614,Hoja1!$B$2:$B$6191,Hoja1!$A$2:$A$6191),VLOOKUP(C3614,Hoja1!$B$1:$C$6191,2,0)),"No esta en Infor")</f>
        <v>NAC1385</v>
      </c>
      <c r="C3614" s="3" t="s">
        <v>428</v>
      </c>
      <c r="D3614" s="4">
        <v>20353.3</v>
      </c>
      <c r="E3614" s="3"/>
      <c r="F3614" s="3">
        <v>0</v>
      </c>
      <c r="G3614" s="3">
        <v>0</v>
      </c>
      <c r="H3614" s="3">
        <v>0</v>
      </c>
      <c r="I3614" s="3">
        <v>0</v>
      </c>
      <c r="J3614" s="18">
        <f t="shared" si="15"/>
        <v>20353.3</v>
      </c>
    </row>
    <row r="3615" spans="1:10" ht="15.75" x14ac:dyDescent="0.25">
      <c r="A3615" s="21">
        <v>45626</v>
      </c>
      <c r="B3615" t="str">
        <f>IFERROR(IF(VLOOKUP(C3615,Hoja1!$B$1:$C$6191,2,0)="",_xlfn.XLOOKUP(C3615,Hoja1!$B$2:$B$6191,Hoja1!$A$2:$A$6191),VLOOKUP(C3615,Hoja1!$B$1:$C$6191,2,0)),"No esta en Infor")</f>
        <v>NAC1610</v>
      </c>
      <c r="C3615" s="3" t="s">
        <v>540</v>
      </c>
      <c r="D3615" s="3">
        <v>265</v>
      </c>
      <c r="E3615" s="3"/>
      <c r="F3615" s="3">
        <v>0</v>
      </c>
      <c r="G3615" s="3">
        <v>0</v>
      </c>
      <c r="H3615" s="3">
        <v>0</v>
      </c>
      <c r="I3615" s="3">
        <v>0</v>
      </c>
      <c r="J3615" s="18">
        <f t="shared" si="15"/>
        <v>265</v>
      </c>
    </row>
    <row r="3616" spans="1:10" ht="15.75" x14ac:dyDescent="0.25">
      <c r="A3616" s="21">
        <v>45626</v>
      </c>
      <c r="B3616" t="str">
        <f>IFERROR(IF(VLOOKUP(C3616,Hoja1!$B$1:$C$6191,2,0)="",_xlfn.XLOOKUP(C3616,Hoja1!$B$2:$B$6191,Hoja1!$A$2:$A$6191),VLOOKUP(C3616,Hoja1!$B$1:$C$6191,2,0)),"No esta en Infor")</f>
        <v>NAC1394</v>
      </c>
      <c r="C3616" s="3" t="s">
        <v>767</v>
      </c>
      <c r="D3616" s="3">
        <v>-126.76</v>
      </c>
      <c r="E3616" s="3"/>
      <c r="F3616" s="3">
        <v>0</v>
      </c>
      <c r="G3616" s="3">
        <v>0</v>
      </c>
      <c r="H3616" s="3">
        <v>0</v>
      </c>
      <c r="I3616" s="3">
        <v>0</v>
      </c>
      <c r="J3616" s="18">
        <f t="shared" si="15"/>
        <v>-126.76</v>
      </c>
    </row>
    <row r="3617" spans="1:10" ht="15.75" x14ac:dyDescent="0.25">
      <c r="A3617" s="21">
        <v>45626</v>
      </c>
      <c r="B3617" t="str">
        <f>IFERROR(IF(VLOOKUP(C3617,Hoja1!$B$1:$C$6191,2,0)="",_xlfn.XLOOKUP(C3617,Hoja1!$B$2:$B$6191,Hoja1!$A$2:$A$6191),VLOOKUP(C3617,Hoja1!$B$1:$C$6191,2,0)),"No esta en Infor")</f>
        <v>SH03390</v>
      </c>
      <c r="C3617" s="3" t="s">
        <v>830</v>
      </c>
      <c r="D3617" s="3">
        <v>87.9</v>
      </c>
      <c r="E3617" s="3"/>
      <c r="F3617" s="3">
        <v>0</v>
      </c>
      <c r="G3617" s="3">
        <v>0</v>
      </c>
      <c r="H3617" s="3">
        <v>0</v>
      </c>
      <c r="I3617" s="3">
        <v>0</v>
      </c>
      <c r="J3617" s="18">
        <f t="shared" si="15"/>
        <v>87.9</v>
      </c>
    </row>
    <row r="3618" spans="1:10" ht="15.75" x14ac:dyDescent="0.25">
      <c r="A3618" s="21">
        <v>45626</v>
      </c>
      <c r="B3618" t="str">
        <f>IFERROR(IF(VLOOKUP(C3618,Hoja1!$B$1:$C$6191,2,0)="",_xlfn.XLOOKUP(C3618,Hoja1!$B$2:$B$6191,Hoja1!$A$2:$A$6191),VLOOKUP(C3618,Hoja1!$B$1:$C$6191,2,0)),"No esta en Infor")</f>
        <v>NAC1395</v>
      </c>
      <c r="C3618" s="3" t="s">
        <v>337</v>
      </c>
      <c r="D3618" s="4">
        <v>69626.539999999994</v>
      </c>
      <c r="E3618" s="3"/>
      <c r="F3618" s="3">
        <v>0</v>
      </c>
      <c r="G3618" s="3">
        <v>0</v>
      </c>
      <c r="H3618" s="3">
        <v>0</v>
      </c>
      <c r="I3618" s="3">
        <v>0</v>
      </c>
      <c r="J3618" s="18">
        <f t="shared" si="15"/>
        <v>69626.539999999994</v>
      </c>
    </row>
    <row r="3619" spans="1:10" ht="15.75" x14ac:dyDescent="0.25">
      <c r="A3619" s="21">
        <v>45626</v>
      </c>
      <c r="B3619" t="str">
        <f>IFERROR(IF(VLOOKUP(C3619,Hoja1!$B$1:$C$6191,2,0)="",_xlfn.XLOOKUP(C3619,Hoja1!$B$2:$B$6191,Hoja1!$A$2:$A$6191),VLOOKUP(C3619,Hoja1!$B$1:$C$6191,2,0)),"No esta en Infor")</f>
        <v>NAC1396</v>
      </c>
      <c r="C3619" s="3" t="s">
        <v>788</v>
      </c>
      <c r="D3619" s="3">
        <v>-38.85</v>
      </c>
      <c r="E3619" s="3"/>
      <c r="F3619" s="3">
        <v>0</v>
      </c>
      <c r="G3619" s="3">
        <v>0</v>
      </c>
      <c r="H3619" s="3">
        <v>0</v>
      </c>
      <c r="I3619" s="3">
        <v>0</v>
      </c>
      <c r="J3619" s="18">
        <f t="shared" si="15"/>
        <v>-38.85</v>
      </c>
    </row>
    <row r="3620" spans="1:10" ht="15.75" x14ac:dyDescent="0.25">
      <c r="A3620" s="21">
        <v>45626</v>
      </c>
      <c r="B3620" t="str">
        <f>IFERROR(IF(VLOOKUP(C3620,Hoja1!$B$1:$C$6191,2,0)="",_xlfn.XLOOKUP(C3620,Hoja1!$B$2:$B$6191,Hoja1!$A$2:$A$6191),VLOOKUP(C3620,Hoja1!$B$1:$C$6191,2,0)),"No esta en Infor")</f>
        <v>NAC1404</v>
      </c>
      <c r="C3620" s="3" t="s">
        <v>592</v>
      </c>
      <c r="D3620" s="3">
        <v>104.94</v>
      </c>
      <c r="E3620" s="3"/>
      <c r="F3620" s="3">
        <v>-85.32</v>
      </c>
      <c r="G3620" s="3">
        <v>0</v>
      </c>
      <c r="H3620" s="3">
        <v>0</v>
      </c>
      <c r="I3620" s="3">
        <v>0</v>
      </c>
      <c r="J3620" s="18">
        <f t="shared" ref="J3620:J3683" si="16">SUM(D3620:I3620)</f>
        <v>19.620000000000005</v>
      </c>
    </row>
    <row r="3621" spans="1:10" ht="15.75" x14ac:dyDescent="0.25">
      <c r="A3621" s="21">
        <v>45626</v>
      </c>
      <c r="B3621" t="str">
        <f>IFERROR(IF(VLOOKUP(C3621,Hoja1!$B$1:$C$6191,2,0)="",_xlfn.XLOOKUP(C3621,Hoja1!$B$2:$B$6191,Hoja1!$A$2:$A$6191),VLOOKUP(C3621,Hoja1!$B$1:$C$6191,2,0)),"No esta en Infor")</f>
        <v>NAC1408</v>
      </c>
      <c r="C3621" s="3" t="s">
        <v>530</v>
      </c>
      <c r="D3621" s="3">
        <v>217</v>
      </c>
      <c r="E3621" s="3"/>
      <c r="F3621" s="3">
        <v>0</v>
      </c>
      <c r="G3621" s="3">
        <v>0</v>
      </c>
      <c r="H3621" s="3">
        <v>0</v>
      </c>
      <c r="I3621" s="3">
        <v>0</v>
      </c>
      <c r="J3621" s="18">
        <f t="shared" si="16"/>
        <v>217</v>
      </c>
    </row>
    <row r="3622" spans="1:10" ht="15.75" x14ac:dyDescent="0.25">
      <c r="A3622" s="21">
        <v>45626</v>
      </c>
      <c r="B3622" t="str">
        <f>IFERROR(IF(VLOOKUP(C3622,Hoja1!$B$1:$C$6191,2,0)="",_xlfn.XLOOKUP(C3622,Hoja1!$B$2:$B$6191,Hoja1!$A$2:$A$6191),VLOOKUP(C3622,Hoja1!$B$1:$C$6191,2,0)),"No esta en Infor")</f>
        <v>CAN0090</v>
      </c>
      <c r="C3622" s="3" t="s">
        <v>574</v>
      </c>
      <c r="D3622" s="4">
        <v>101078.7</v>
      </c>
      <c r="E3622" s="3"/>
      <c r="F3622" s="3">
        <v>0</v>
      </c>
      <c r="G3622" s="3">
        <v>0</v>
      </c>
      <c r="H3622" s="3">
        <v>0</v>
      </c>
      <c r="I3622" s="3">
        <v>0</v>
      </c>
      <c r="J3622" s="18">
        <f t="shared" si="16"/>
        <v>101078.7</v>
      </c>
    </row>
    <row r="3623" spans="1:10" ht="15.75" x14ac:dyDescent="0.25">
      <c r="A3623" s="21">
        <v>45626</v>
      </c>
      <c r="B3623" t="str">
        <f>IFERROR(IF(VLOOKUP(C3623,Hoja1!$B$1:$C$6191,2,0)="",_xlfn.XLOOKUP(C3623,Hoja1!$B$2:$B$6191,Hoja1!$A$2:$A$6191),VLOOKUP(C3623,Hoja1!$B$1:$C$6191,2,0)),"No esta en Infor")</f>
        <v>NAC1413</v>
      </c>
      <c r="C3623" s="3" t="s">
        <v>342</v>
      </c>
      <c r="D3623" s="4">
        <v>23566.400000000001</v>
      </c>
      <c r="E3623" s="3"/>
      <c r="F3623" s="3">
        <v>0</v>
      </c>
      <c r="G3623" s="3">
        <v>0</v>
      </c>
      <c r="H3623" s="3">
        <v>0</v>
      </c>
      <c r="I3623" s="3">
        <v>0</v>
      </c>
      <c r="J3623" s="18">
        <f t="shared" si="16"/>
        <v>23566.400000000001</v>
      </c>
    </row>
    <row r="3624" spans="1:10" ht="15.75" x14ac:dyDescent="0.25">
      <c r="A3624" s="21">
        <v>45626</v>
      </c>
      <c r="B3624" t="str">
        <f>IFERROR(IF(VLOOKUP(C3624,Hoja1!$B$1:$C$6191,2,0)="",_xlfn.XLOOKUP(C3624,Hoja1!$B$2:$B$6191,Hoja1!$A$2:$A$6191),VLOOKUP(C3624,Hoja1!$B$1:$C$6191,2,0)),"No esta en Infor")</f>
        <v>NAC1417</v>
      </c>
      <c r="C3624" s="3" t="s">
        <v>645</v>
      </c>
      <c r="D3624" s="4">
        <v>202015</v>
      </c>
      <c r="E3624" s="3"/>
      <c r="F3624" s="3">
        <v>0</v>
      </c>
      <c r="G3624" s="3">
        <v>0</v>
      </c>
      <c r="H3624" s="3">
        <v>0</v>
      </c>
      <c r="I3624" s="3">
        <v>0</v>
      </c>
      <c r="J3624" s="18">
        <f t="shared" si="16"/>
        <v>202015</v>
      </c>
    </row>
    <row r="3625" spans="1:10" ht="15.75" x14ac:dyDescent="0.25">
      <c r="A3625" s="21">
        <v>45626</v>
      </c>
      <c r="B3625" t="str">
        <f>IFERROR(IF(VLOOKUP(C3625,Hoja1!$B$1:$C$6191,2,0)="",_xlfn.XLOOKUP(C3625,Hoja1!$B$2:$B$6191,Hoja1!$A$2:$A$6191),VLOOKUP(C3625,Hoja1!$B$1:$C$6191,2,0)),"No esta en Infor")</f>
        <v>NAC1420</v>
      </c>
      <c r="C3625" s="3" t="s">
        <v>480</v>
      </c>
      <c r="D3625" s="4">
        <v>1183.18</v>
      </c>
      <c r="E3625" s="3"/>
      <c r="F3625" s="3">
        <v>0</v>
      </c>
      <c r="G3625" s="3">
        <v>0</v>
      </c>
      <c r="H3625" s="3">
        <v>0</v>
      </c>
      <c r="I3625" s="3">
        <v>0</v>
      </c>
      <c r="J3625" s="18">
        <f t="shared" si="16"/>
        <v>1183.18</v>
      </c>
    </row>
    <row r="3626" spans="1:10" ht="15.75" x14ac:dyDescent="0.25">
      <c r="A3626" s="21">
        <v>45626</v>
      </c>
      <c r="B3626" t="str">
        <f>IFERROR(IF(VLOOKUP(C3626,Hoja1!$B$1:$C$6191,2,0)="",_xlfn.XLOOKUP(C3626,Hoja1!$B$2:$B$6191,Hoja1!$A$2:$A$6191),VLOOKUP(C3626,Hoja1!$B$1:$C$6191,2,0)),"No esta en Infor")</f>
        <v>NAC1424</v>
      </c>
      <c r="C3626" s="3" t="s">
        <v>345</v>
      </c>
      <c r="D3626" s="4">
        <v>32097.9</v>
      </c>
      <c r="E3626" s="3"/>
      <c r="F3626" s="3">
        <v>0</v>
      </c>
      <c r="G3626" s="3">
        <v>0</v>
      </c>
      <c r="H3626" s="3">
        <v>0</v>
      </c>
      <c r="I3626" s="3">
        <v>0</v>
      </c>
      <c r="J3626" s="18">
        <f t="shared" si="16"/>
        <v>32097.9</v>
      </c>
    </row>
    <row r="3627" spans="1:10" ht="15.75" x14ac:dyDescent="0.25">
      <c r="A3627" s="21">
        <v>45626</v>
      </c>
      <c r="B3627" t="str">
        <f>IFERROR(IF(VLOOKUP(C3627,Hoja1!$B$1:$C$6191,2,0)="",_xlfn.XLOOKUP(C3627,Hoja1!$B$2:$B$6191,Hoja1!$A$2:$A$6191),VLOOKUP(C3627,Hoja1!$B$1:$C$6191,2,0)),"No esta en Infor")</f>
        <v>NAC1545</v>
      </c>
      <c r="C3627" s="3" t="s">
        <v>769</v>
      </c>
      <c r="D3627" s="4">
        <v>4230</v>
      </c>
      <c r="E3627" s="3"/>
      <c r="F3627" s="3">
        <v>0</v>
      </c>
      <c r="G3627" s="3">
        <v>0</v>
      </c>
      <c r="H3627" s="3">
        <v>0</v>
      </c>
      <c r="I3627" s="3">
        <v>0</v>
      </c>
      <c r="J3627" s="18">
        <f t="shared" si="16"/>
        <v>4230</v>
      </c>
    </row>
    <row r="3628" spans="1:10" ht="15.75" x14ac:dyDescent="0.25">
      <c r="A3628" s="21">
        <v>45626</v>
      </c>
      <c r="B3628" t="str">
        <f>IFERROR(IF(VLOOKUP(C3628,Hoja1!$B$1:$C$6191,2,0)="",_xlfn.XLOOKUP(C3628,Hoja1!$B$2:$B$6191,Hoja1!$A$2:$A$6191),VLOOKUP(C3628,Hoja1!$B$1:$C$6191,2,0)),"No esta en Infor")</f>
        <v>NAC1432</v>
      </c>
      <c r="C3628" s="3" t="s">
        <v>575</v>
      </c>
      <c r="D3628" s="3">
        <v>0</v>
      </c>
      <c r="E3628" s="3"/>
      <c r="F3628" s="3">
        <v>-536.64</v>
      </c>
      <c r="G3628" s="3">
        <v>0</v>
      </c>
      <c r="H3628" s="3">
        <v>0</v>
      </c>
      <c r="I3628" s="3">
        <v>0</v>
      </c>
      <c r="J3628" s="18">
        <f t="shared" si="16"/>
        <v>-536.64</v>
      </c>
    </row>
    <row r="3629" spans="1:10" ht="15.75" x14ac:dyDescent="0.25">
      <c r="A3629" s="21">
        <v>45626</v>
      </c>
      <c r="B3629" t="str">
        <f>IFERROR(IF(VLOOKUP(C3629,Hoja1!$B$1:$C$6191,2,0)="",_xlfn.XLOOKUP(C3629,Hoja1!$B$2:$B$6191,Hoja1!$A$2:$A$6191),VLOOKUP(C3629,Hoja1!$B$1:$C$6191,2,0)),"No esta en Infor")</f>
        <v>NAC1434</v>
      </c>
      <c r="C3629" s="3" t="s">
        <v>348</v>
      </c>
      <c r="D3629" s="4">
        <v>6348</v>
      </c>
      <c r="E3629" s="3"/>
      <c r="F3629" s="3">
        <v>0</v>
      </c>
      <c r="G3629" s="3">
        <v>0</v>
      </c>
      <c r="H3629" s="3">
        <v>0</v>
      </c>
      <c r="I3629" s="3">
        <v>0</v>
      </c>
      <c r="J3629" s="18">
        <f t="shared" si="16"/>
        <v>6348</v>
      </c>
    </row>
    <row r="3630" spans="1:10" ht="15.75" x14ac:dyDescent="0.25">
      <c r="A3630" s="21">
        <v>45626</v>
      </c>
      <c r="B3630" t="str">
        <f>IFERROR(IF(VLOOKUP(C3630,Hoja1!$B$1:$C$6191,2,0)="",_xlfn.XLOOKUP(C3630,Hoja1!$B$2:$B$6191,Hoja1!$A$2:$A$6191),VLOOKUP(C3630,Hoja1!$B$1:$C$6191,2,0)),"No esta en Infor")</f>
        <v>NAC1471</v>
      </c>
      <c r="C3630" s="3" t="s">
        <v>351</v>
      </c>
      <c r="D3630" s="4">
        <v>44112</v>
      </c>
      <c r="E3630" s="3"/>
      <c r="F3630" s="3">
        <v>0</v>
      </c>
      <c r="G3630" s="3">
        <v>0</v>
      </c>
      <c r="H3630" s="3">
        <v>0</v>
      </c>
      <c r="I3630" s="3">
        <v>0</v>
      </c>
      <c r="J3630" s="18">
        <f t="shared" si="16"/>
        <v>44112</v>
      </c>
    </row>
    <row r="3631" spans="1:10" ht="15.75" x14ac:dyDescent="0.25">
      <c r="A3631" s="21">
        <v>45626</v>
      </c>
      <c r="B3631" t="str">
        <f>IFERROR(IF(VLOOKUP(C3631,Hoja1!$B$1:$C$6191,2,0)="",_xlfn.XLOOKUP(C3631,Hoja1!$B$2:$B$6191,Hoja1!$A$2:$A$6191),VLOOKUP(C3631,Hoja1!$B$1:$C$6191,2,0)),"No esta en Infor")</f>
        <v>NAC1473</v>
      </c>
      <c r="C3631" s="3" t="s">
        <v>532</v>
      </c>
      <c r="D3631" s="4">
        <v>11780</v>
      </c>
      <c r="E3631" s="3"/>
      <c r="F3631" s="3">
        <v>0</v>
      </c>
      <c r="G3631" s="3">
        <v>0</v>
      </c>
      <c r="H3631" s="3">
        <v>0</v>
      </c>
      <c r="I3631" s="3">
        <v>0</v>
      </c>
      <c r="J3631" s="18">
        <f t="shared" si="16"/>
        <v>11780</v>
      </c>
    </row>
    <row r="3632" spans="1:10" ht="15.75" x14ac:dyDescent="0.25">
      <c r="A3632" s="21">
        <v>45626</v>
      </c>
      <c r="B3632" t="str">
        <f>IFERROR(IF(VLOOKUP(C3632,Hoja1!$B$1:$C$6191,2,0)="",_xlfn.XLOOKUP(C3632,Hoja1!$B$2:$B$6191,Hoja1!$A$2:$A$6191),VLOOKUP(C3632,Hoja1!$B$1:$C$6191,2,0)),"No esta en Infor")</f>
        <v>NAC1479</v>
      </c>
      <c r="C3632" s="3" t="s">
        <v>354</v>
      </c>
      <c r="D3632" s="4">
        <v>2011</v>
      </c>
      <c r="E3632" s="3"/>
      <c r="F3632" s="3">
        <v>0</v>
      </c>
      <c r="G3632" s="3">
        <v>0</v>
      </c>
      <c r="H3632" s="3">
        <v>0</v>
      </c>
      <c r="I3632" s="3">
        <v>0</v>
      </c>
      <c r="J3632" s="18">
        <f t="shared" si="16"/>
        <v>2011</v>
      </c>
    </row>
    <row r="3633" spans="1:10" ht="15.75" x14ac:dyDescent="0.25">
      <c r="A3633" s="21">
        <v>45626</v>
      </c>
      <c r="B3633" t="str">
        <f>IFERROR(IF(VLOOKUP(C3633,Hoja1!$B$1:$C$6191,2,0)="",_xlfn.XLOOKUP(C3633,Hoja1!$B$2:$B$6191,Hoja1!$A$2:$A$6191),VLOOKUP(C3633,Hoja1!$B$1:$C$6191,2,0)),"No esta en Infor")</f>
        <v>CAN0080</v>
      </c>
      <c r="C3633" s="3" t="s">
        <v>533</v>
      </c>
      <c r="D3633" s="3">
        <v>250.86</v>
      </c>
      <c r="E3633" s="3"/>
      <c r="F3633" s="3">
        <v>0</v>
      </c>
      <c r="G3633" s="3">
        <v>-93.6</v>
      </c>
      <c r="H3633" s="3">
        <v>0</v>
      </c>
      <c r="I3633" s="3">
        <v>0</v>
      </c>
      <c r="J3633" s="18">
        <f t="shared" si="16"/>
        <v>157.26000000000002</v>
      </c>
    </row>
    <row r="3634" spans="1:10" ht="15.75" x14ac:dyDescent="0.25">
      <c r="A3634" s="21">
        <v>45626</v>
      </c>
      <c r="B3634" t="str">
        <f>IFERROR(IF(VLOOKUP(C3634,Hoja1!$B$1:$C$6191,2,0)="",_xlfn.XLOOKUP(C3634,Hoja1!$B$2:$B$6191,Hoja1!$A$2:$A$6191),VLOOKUP(C3634,Hoja1!$B$1:$C$6191,2,0)),"No esta en Infor")</f>
        <v>SH03339</v>
      </c>
      <c r="C3634" s="3" t="s">
        <v>819</v>
      </c>
      <c r="D3634" s="3">
        <v>1.5</v>
      </c>
      <c r="E3634" s="3"/>
      <c r="F3634" s="3">
        <v>0</v>
      </c>
      <c r="G3634" s="3">
        <v>0</v>
      </c>
      <c r="H3634" s="3">
        <v>0</v>
      </c>
      <c r="I3634" s="3">
        <v>0</v>
      </c>
      <c r="J3634" s="18">
        <f t="shared" si="16"/>
        <v>1.5</v>
      </c>
    </row>
    <row r="3635" spans="1:10" ht="15.75" x14ac:dyDescent="0.25">
      <c r="A3635" s="21">
        <v>45626</v>
      </c>
      <c r="B3635" t="str">
        <f>IFERROR(IF(VLOOKUP(C3635,Hoja1!$B$1:$C$6191,2,0)="",_xlfn.XLOOKUP(C3635,Hoja1!$B$2:$B$6191,Hoja1!$A$2:$A$6191),VLOOKUP(C3635,Hoja1!$B$1:$C$6191,2,0)),"No esta en Infor")</f>
        <v>NAC1485</v>
      </c>
      <c r="C3635" s="3" t="s">
        <v>358</v>
      </c>
      <c r="D3635" s="4">
        <v>-14146.7</v>
      </c>
      <c r="E3635" s="3"/>
      <c r="F3635" s="3">
        <v>0</v>
      </c>
      <c r="G3635" s="3">
        <v>0</v>
      </c>
      <c r="H3635" s="3">
        <v>0</v>
      </c>
      <c r="I3635" s="3">
        <v>0</v>
      </c>
      <c r="J3635" s="18">
        <f t="shared" si="16"/>
        <v>-14146.7</v>
      </c>
    </row>
    <row r="3636" spans="1:10" ht="15.75" x14ac:dyDescent="0.25">
      <c r="A3636" s="21">
        <v>45626</v>
      </c>
      <c r="B3636" t="str">
        <f>IFERROR(IF(VLOOKUP(C3636,Hoja1!$B$1:$C$6191,2,0)="",_xlfn.XLOOKUP(C3636,Hoja1!$B$2:$B$6191,Hoja1!$A$2:$A$6191),VLOOKUP(C3636,Hoja1!$B$1:$C$6191,2,0)),"No esta en Infor")</f>
        <v>NAC1642</v>
      </c>
      <c r="C3636" s="3" t="s">
        <v>772</v>
      </c>
      <c r="D3636" s="4">
        <v>2310</v>
      </c>
      <c r="E3636" s="3"/>
      <c r="F3636" s="3">
        <v>0</v>
      </c>
      <c r="G3636" s="3">
        <v>0</v>
      </c>
      <c r="H3636" s="3">
        <v>0</v>
      </c>
      <c r="I3636" s="3">
        <v>0</v>
      </c>
      <c r="J3636" s="18">
        <f t="shared" si="16"/>
        <v>2310</v>
      </c>
    </row>
    <row r="3637" spans="1:10" ht="15.75" x14ac:dyDescent="0.25">
      <c r="A3637" s="21">
        <v>45626</v>
      </c>
      <c r="B3637" t="str">
        <f>IFERROR(IF(VLOOKUP(C3637,Hoja1!$B$1:$C$6191,2,0)="",_xlfn.XLOOKUP(C3637,Hoja1!$B$2:$B$6191,Hoja1!$A$2:$A$6191),VLOOKUP(C3637,Hoja1!$B$1:$C$6191,2,0)),"No esta en Infor")</f>
        <v>CAN0081</v>
      </c>
      <c r="C3637" s="3" t="s">
        <v>431</v>
      </c>
      <c r="D3637" s="4">
        <v>6872.79</v>
      </c>
      <c r="E3637" s="3"/>
      <c r="F3637" s="3">
        <v>0</v>
      </c>
      <c r="G3637" s="3">
        <v>-585</v>
      </c>
      <c r="H3637" s="3">
        <v>0</v>
      </c>
      <c r="I3637" s="3">
        <v>0</v>
      </c>
      <c r="J3637" s="18">
        <f t="shared" si="16"/>
        <v>6287.79</v>
      </c>
    </row>
    <row r="3638" spans="1:10" ht="15.75" x14ac:dyDescent="0.25">
      <c r="A3638" s="21">
        <v>45626</v>
      </c>
      <c r="B3638" t="str">
        <f>IFERROR(IF(VLOOKUP(C3638,Hoja1!$B$1:$C$6191,2,0)="",_xlfn.XLOOKUP(C3638,Hoja1!$B$2:$B$6191,Hoja1!$A$2:$A$6191),VLOOKUP(C3638,Hoja1!$B$1:$C$6191,2,0)),"No esta en Infor")</f>
        <v>NAC1504</v>
      </c>
      <c r="C3638" s="3" t="s">
        <v>363</v>
      </c>
      <c r="D3638" s="4">
        <v>1551.28</v>
      </c>
      <c r="E3638" s="3"/>
      <c r="F3638" s="3">
        <v>0</v>
      </c>
      <c r="G3638" s="3">
        <v>0</v>
      </c>
      <c r="H3638" s="3">
        <v>0</v>
      </c>
      <c r="I3638" s="3">
        <v>0</v>
      </c>
      <c r="J3638" s="18">
        <f t="shared" si="16"/>
        <v>1551.28</v>
      </c>
    </row>
    <row r="3639" spans="1:10" ht="15.75" x14ac:dyDescent="0.25">
      <c r="A3639" s="21">
        <v>45626</v>
      </c>
      <c r="B3639" t="str">
        <f>IFERROR(IF(VLOOKUP(C3639,Hoja1!$B$1:$C$6191,2,0)="",_xlfn.XLOOKUP(C3639,Hoja1!$B$2:$B$6191,Hoja1!$A$2:$A$6191),VLOOKUP(C3639,Hoja1!$B$1:$C$6191,2,0)),"No esta en Infor")</f>
        <v>NAC1506</v>
      </c>
      <c r="C3639" s="3" t="s">
        <v>364</v>
      </c>
      <c r="D3639" s="3">
        <v>457</v>
      </c>
      <c r="E3639" s="3"/>
      <c r="F3639" s="3">
        <v>0</v>
      </c>
      <c r="G3639" s="3">
        <v>0</v>
      </c>
      <c r="H3639" s="3">
        <v>0</v>
      </c>
      <c r="I3639" s="3">
        <v>0</v>
      </c>
      <c r="J3639" s="18">
        <f t="shared" si="16"/>
        <v>457</v>
      </c>
    </row>
    <row r="3640" spans="1:10" ht="15.75" x14ac:dyDescent="0.25">
      <c r="A3640" s="21">
        <v>45626</v>
      </c>
      <c r="B3640" t="str">
        <f>IFERROR(IF(VLOOKUP(C3640,Hoja1!$B$1:$C$6191,2,0)="",_xlfn.XLOOKUP(C3640,Hoja1!$B$2:$B$6191,Hoja1!$A$2:$A$6191),VLOOKUP(C3640,Hoja1!$B$1:$C$6191,2,0)),"No esta en Infor")</f>
        <v>NAC1514</v>
      </c>
      <c r="C3640" s="3" t="s">
        <v>774</v>
      </c>
      <c r="D3640" s="3">
        <v>210</v>
      </c>
      <c r="E3640" s="3"/>
      <c r="F3640" s="3">
        <v>0</v>
      </c>
      <c r="G3640" s="3">
        <v>0</v>
      </c>
      <c r="H3640" s="3">
        <v>0</v>
      </c>
      <c r="I3640" s="3">
        <v>0</v>
      </c>
      <c r="J3640" s="18">
        <f t="shared" si="16"/>
        <v>210</v>
      </c>
    </row>
    <row r="3641" spans="1:10" ht="15.75" x14ac:dyDescent="0.25">
      <c r="A3641" s="21">
        <v>45626</v>
      </c>
      <c r="B3641" t="str">
        <f>IFERROR(IF(VLOOKUP(C3641,Hoja1!$B$1:$C$6191,2,0)="",_xlfn.XLOOKUP(C3641,Hoja1!$B$2:$B$6191,Hoja1!$A$2:$A$6191),VLOOKUP(C3641,Hoja1!$B$1:$C$6191,2,0)),"No esta en Infor")</f>
        <v>NAC1517</v>
      </c>
      <c r="C3641" s="3" t="s">
        <v>365</v>
      </c>
      <c r="D3641" s="4">
        <v>39915.339999999997</v>
      </c>
      <c r="E3641" s="3"/>
      <c r="F3641" s="4">
        <v>-1042.03</v>
      </c>
      <c r="G3641" s="3">
        <v>-515.5</v>
      </c>
      <c r="H3641" s="3">
        <v>0</v>
      </c>
      <c r="I3641" s="3">
        <v>-194.5</v>
      </c>
      <c r="J3641" s="18">
        <f t="shared" si="16"/>
        <v>38163.31</v>
      </c>
    </row>
    <row r="3642" spans="1:10" ht="15.75" x14ac:dyDescent="0.25">
      <c r="A3642" s="21">
        <v>45626</v>
      </c>
      <c r="B3642" t="str">
        <f>IFERROR(IF(VLOOKUP(C3642,Hoja1!$B$1:$C$6191,2,0)="",_xlfn.XLOOKUP(C3642,Hoja1!$B$2:$B$6191,Hoja1!$A$2:$A$6191),VLOOKUP(C3642,Hoja1!$B$1:$C$6191,2,0)),"No esta en Infor")</f>
        <v>NAC1521</v>
      </c>
      <c r="C3642" s="3" t="s">
        <v>593</v>
      </c>
      <c r="D3642" s="3">
        <v>0</v>
      </c>
      <c r="E3642" s="3"/>
      <c r="F3642" s="3">
        <v>-100</v>
      </c>
      <c r="G3642" s="3">
        <v>0</v>
      </c>
      <c r="H3642" s="3">
        <v>0</v>
      </c>
      <c r="I3642" s="3">
        <v>0</v>
      </c>
      <c r="J3642" s="18">
        <f t="shared" si="16"/>
        <v>-100</v>
      </c>
    </row>
    <row r="3643" spans="1:10" ht="15.75" x14ac:dyDescent="0.25">
      <c r="A3643" s="21">
        <v>45626</v>
      </c>
      <c r="B3643" t="str">
        <f>IFERROR(IF(VLOOKUP(C3643,Hoja1!$B$1:$C$6191,2,0)="",_xlfn.XLOOKUP(C3643,Hoja1!$B$2:$B$6191,Hoja1!$A$2:$A$6191),VLOOKUP(C3643,Hoja1!$B$1:$C$6191,2,0)),"No esta en Infor")</f>
        <v>NAC1522</v>
      </c>
      <c r="C3643" s="3" t="s">
        <v>366</v>
      </c>
      <c r="D3643" s="3">
        <v>502.82</v>
      </c>
      <c r="E3643" s="3"/>
      <c r="F3643" s="3">
        <v>0</v>
      </c>
      <c r="G3643" s="3">
        <v>0</v>
      </c>
      <c r="H3643" s="3">
        <v>0</v>
      </c>
      <c r="I3643" s="3">
        <v>0</v>
      </c>
      <c r="J3643" s="18">
        <f t="shared" si="16"/>
        <v>502.82</v>
      </c>
    </row>
    <row r="3644" spans="1:10" ht="15.75" x14ac:dyDescent="0.25">
      <c r="A3644" s="21">
        <v>45626</v>
      </c>
      <c r="B3644" t="str">
        <f>IFERROR(IF(VLOOKUP(C3644,Hoja1!$B$1:$C$6191,2,0)="",_xlfn.XLOOKUP(C3644,Hoja1!$B$2:$B$6191,Hoja1!$A$2:$A$6191),VLOOKUP(C3644,Hoja1!$B$1:$C$6191,2,0)),"No esta en Infor")</f>
        <v>NAC1527</v>
      </c>
      <c r="C3644" s="3" t="s">
        <v>790</v>
      </c>
      <c r="D3644" s="3">
        <v>-103.5</v>
      </c>
      <c r="E3644" s="3"/>
      <c r="F3644" s="3">
        <v>0</v>
      </c>
      <c r="G3644" s="3">
        <v>0</v>
      </c>
      <c r="H3644" s="3">
        <v>0</v>
      </c>
      <c r="I3644" s="3">
        <v>0</v>
      </c>
      <c r="J3644" s="18">
        <f t="shared" si="16"/>
        <v>-103.5</v>
      </c>
    </row>
    <row r="3645" spans="1:10" ht="15.75" x14ac:dyDescent="0.25">
      <c r="A3645" s="21">
        <v>45626</v>
      </c>
      <c r="B3645" t="str">
        <f>IFERROR(IF(VLOOKUP(C3645,Hoja1!$B$1:$C$6191,2,0)="",_xlfn.XLOOKUP(C3645,Hoja1!$B$2:$B$6191,Hoja1!$A$2:$A$6191),VLOOKUP(C3645,Hoja1!$B$1:$C$6191,2,0)),"No esta en Infor")</f>
        <v>CAN0088</v>
      </c>
      <c r="C3645" s="3" t="s">
        <v>369</v>
      </c>
      <c r="D3645" s="3">
        <v>0</v>
      </c>
      <c r="E3645" s="3"/>
      <c r="F3645" s="3">
        <v>0</v>
      </c>
      <c r="G3645" s="3">
        <v>0</v>
      </c>
      <c r="H3645" s="3">
        <v>-891</v>
      </c>
      <c r="I3645" s="3">
        <v>0</v>
      </c>
      <c r="J3645" s="18">
        <f t="shared" si="16"/>
        <v>-891</v>
      </c>
    </row>
    <row r="3646" spans="1:10" ht="15.75" x14ac:dyDescent="0.25">
      <c r="A3646" s="21">
        <v>45626</v>
      </c>
      <c r="B3646" t="str">
        <f>IFERROR(IF(VLOOKUP(C3646,Hoja1!$B$1:$C$6191,2,0)="",_xlfn.XLOOKUP(C3646,Hoja1!$B$2:$B$6191,Hoja1!$A$2:$A$6191),VLOOKUP(C3646,Hoja1!$B$1:$C$6191,2,0)),"No esta en Infor")</f>
        <v>NAC1530</v>
      </c>
      <c r="C3646" s="3" t="s">
        <v>611</v>
      </c>
      <c r="D3646" s="3">
        <v>-0.01</v>
      </c>
      <c r="E3646" s="3"/>
      <c r="F3646" s="3">
        <v>0</v>
      </c>
      <c r="G3646" s="3">
        <v>0</v>
      </c>
      <c r="H3646" s="3">
        <v>0</v>
      </c>
      <c r="I3646" s="3">
        <v>0</v>
      </c>
      <c r="J3646" s="18">
        <f t="shared" si="16"/>
        <v>-0.01</v>
      </c>
    </row>
    <row r="3647" spans="1:10" ht="15.75" x14ac:dyDescent="0.25">
      <c r="A3647" s="21">
        <v>45626</v>
      </c>
      <c r="B3647" t="str">
        <f>IFERROR(IF(VLOOKUP(C3647,Hoja1!$B$1:$C$6191,2,0)="",_xlfn.XLOOKUP(C3647,Hoja1!$B$2:$B$6191,Hoja1!$A$2:$A$6191),VLOOKUP(C3647,Hoja1!$B$1:$C$6191,2,0)),"No esta en Infor")</f>
        <v>NAC1533</v>
      </c>
      <c r="C3647" s="3" t="s">
        <v>483</v>
      </c>
      <c r="D3647" s="4">
        <v>1631.9</v>
      </c>
      <c r="E3647" s="3"/>
      <c r="F3647" s="3">
        <v>-0.16</v>
      </c>
      <c r="G3647" s="3">
        <v>0</v>
      </c>
      <c r="H3647" s="3">
        <v>0</v>
      </c>
      <c r="I3647" s="3">
        <v>0</v>
      </c>
      <c r="J3647" s="18">
        <f t="shared" si="16"/>
        <v>1631.74</v>
      </c>
    </row>
    <row r="3648" spans="1:10" ht="15.75" x14ac:dyDescent="0.25">
      <c r="A3648" s="21">
        <v>45626</v>
      </c>
      <c r="B3648" t="str">
        <f>IFERROR(IF(VLOOKUP(C3648,Hoja1!$B$1:$C$6191,2,0)="",_xlfn.XLOOKUP(C3648,Hoja1!$B$2:$B$6191,Hoja1!$A$2:$A$6191),VLOOKUP(C3648,Hoja1!$B$1:$C$6191,2,0)),"No esta en Infor")</f>
        <v>NAC1538</v>
      </c>
      <c r="C3648" s="3" t="s">
        <v>536</v>
      </c>
      <c r="D3648" s="3">
        <v>94.26</v>
      </c>
      <c r="E3648" s="3"/>
      <c r="F3648" s="3">
        <v>0</v>
      </c>
      <c r="G3648" s="3">
        <v>0</v>
      </c>
      <c r="H3648" s="3">
        <v>0</v>
      </c>
      <c r="I3648" s="3">
        <v>0</v>
      </c>
      <c r="J3648" s="18">
        <f t="shared" si="16"/>
        <v>94.26</v>
      </c>
    </row>
    <row r="3649" spans="1:10" ht="15.75" x14ac:dyDescent="0.25">
      <c r="A3649" s="21">
        <v>45626</v>
      </c>
      <c r="B3649" t="str">
        <f>IFERROR(IF(VLOOKUP(C3649,Hoja1!$B$1:$C$6191,2,0)="",_xlfn.XLOOKUP(C3649,Hoja1!$B$2:$B$6191,Hoja1!$A$2:$A$6191),VLOOKUP(C3649,Hoja1!$B$1:$C$6191,2,0)),"No esta en Infor")</f>
        <v>NAC1539</v>
      </c>
      <c r="C3649" s="3" t="s">
        <v>58</v>
      </c>
      <c r="D3649" s="4">
        <v>2636.8</v>
      </c>
      <c r="E3649" s="3"/>
      <c r="F3649" s="3">
        <v>0</v>
      </c>
      <c r="G3649" s="3">
        <v>0</v>
      </c>
      <c r="H3649" s="3">
        <v>0</v>
      </c>
      <c r="I3649" s="3">
        <v>0</v>
      </c>
      <c r="J3649" s="18">
        <f t="shared" si="16"/>
        <v>2636.8</v>
      </c>
    </row>
    <row r="3650" spans="1:10" ht="15.75" x14ac:dyDescent="0.25">
      <c r="A3650" s="21">
        <v>45626</v>
      </c>
      <c r="B3650" t="str">
        <f>IFERROR(IF(VLOOKUP(C3650,Hoja1!$B$1:$C$6191,2,0)="",_xlfn.XLOOKUP(C3650,Hoja1!$B$2:$B$6191,Hoja1!$A$2:$A$6191),VLOOKUP(C3650,Hoja1!$B$1:$C$6191,2,0)),"No esta en Infor")</f>
        <v>NAC1394</v>
      </c>
      <c r="C3650" s="3" t="s">
        <v>767</v>
      </c>
      <c r="D3650" s="31">
        <v>-126.76</v>
      </c>
      <c r="E3650" s="3"/>
      <c r="F3650" s="31">
        <v>0</v>
      </c>
      <c r="G3650" s="31">
        <v>0</v>
      </c>
      <c r="H3650" s="31">
        <v>0</v>
      </c>
      <c r="I3650" s="31">
        <v>0</v>
      </c>
      <c r="J3650" s="18">
        <f t="shared" si="16"/>
        <v>-126.76</v>
      </c>
    </row>
    <row r="3651" spans="1:10" ht="15.75" x14ac:dyDescent="0.25">
      <c r="A3651" s="21">
        <v>45626</v>
      </c>
      <c r="B3651" t="str">
        <f>IFERROR(IF(VLOOKUP(C3651,Hoja1!$B$1:$C$6191,2,0)="",_xlfn.XLOOKUP(C3651,Hoja1!$B$2:$B$6191,Hoja1!$A$2:$A$6191),VLOOKUP(C3651,Hoja1!$B$1:$C$6191,2,0)),"No esta en Infor")</f>
        <v>SH03390</v>
      </c>
      <c r="C3651" s="3" t="s">
        <v>830</v>
      </c>
      <c r="D3651" s="31">
        <v>87.9</v>
      </c>
      <c r="E3651" s="3"/>
      <c r="F3651" s="31">
        <v>0</v>
      </c>
      <c r="G3651" s="31">
        <v>0</v>
      </c>
      <c r="H3651" s="31">
        <v>0</v>
      </c>
      <c r="I3651" s="31">
        <v>0</v>
      </c>
      <c r="J3651" s="18">
        <f t="shared" si="16"/>
        <v>87.9</v>
      </c>
    </row>
    <row r="3652" spans="1:10" ht="15.75" x14ac:dyDescent="0.25">
      <c r="A3652" s="21">
        <v>45626</v>
      </c>
      <c r="B3652" t="str">
        <f>IFERROR(IF(VLOOKUP(C3652,Hoja1!$B$1:$C$6191,2,0)="",_xlfn.XLOOKUP(C3652,Hoja1!$B$2:$B$6191,Hoja1!$A$2:$A$6191),VLOOKUP(C3652,Hoja1!$B$1:$C$6191,2,0)),"No esta en Infor")</f>
        <v>SH03407</v>
      </c>
      <c r="C3652" s="3" t="s">
        <v>860</v>
      </c>
      <c r="D3652" s="31">
        <v>153.15</v>
      </c>
      <c r="E3652" s="3"/>
      <c r="F3652" s="31">
        <v>0</v>
      </c>
      <c r="G3652" s="31">
        <v>0</v>
      </c>
      <c r="H3652" s="31">
        <v>0</v>
      </c>
      <c r="I3652" s="31">
        <v>0</v>
      </c>
      <c r="J3652" s="18">
        <f t="shared" si="16"/>
        <v>153.15</v>
      </c>
    </row>
    <row r="3653" spans="1:10" ht="15.75" x14ac:dyDescent="0.25">
      <c r="A3653" s="21">
        <v>45626</v>
      </c>
      <c r="B3653" t="str">
        <f>IFERROR(IF(VLOOKUP(C3653,Hoja1!$B$1:$C$6191,2,0)="",_xlfn.XLOOKUP(C3653,Hoja1!$B$2:$B$6191,Hoja1!$A$2:$A$6191),VLOOKUP(C3653,Hoja1!$B$1:$C$6191,2,0)),"No esta en Infor")</f>
        <v>SH03411</v>
      </c>
      <c r="C3653" s="3" t="s">
        <v>861</v>
      </c>
      <c r="D3653" s="31">
        <v>60.78</v>
      </c>
      <c r="E3653" s="3"/>
      <c r="F3653" s="31">
        <v>0</v>
      </c>
      <c r="G3653" s="31">
        <v>0</v>
      </c>
      <c r="H3653" s="31">
        <v>0</v>
      </c>
      <c r="I3653" s="31">
        <v>0</v>
      </c>
      <c r="J3653" s="18">
        <f t="shared" si="16"/>
        <v>60.78</v>
      </c>
    </row>
    <row r="3654" spans="1:10" ht="15.75" x14ac:dyDescent="0.25">
      <c r="A3654" s="21">
        <v>45626</v>
      </c>
      <c r="B3654" t="str">
        <f>IFERROR(IF(VLOOKUP(C3654,Hoja1!$B$1:$C$6191,2,0)="",_xlfn.XLOOKUP(C3654,Hoja1!$B$2:$B$6191,Hoja1!$A$2:$A$6191),VLOOKUP(C3654,Hoja1!$B$1:$C$6191,2,0)),"No esta en Infor")</f>
        <v>NAC1395</v>
      </c>
      <c r="C3654" s="3" t="s">
        <v>337</v>
      </c>
      <c r="D3654" s="31">
        <v>69626.539999999994</v>
      </c>
      <c r="E3654" s="3"/>
      <c r="F3654" s="31">
        <v>0</v>
      </c>
      <c r="G3654" s="31">
        <v>0</v>
      </c>
      <c r="H3654" s="31">
        <v>0</v>
      </c>
      <c r="I3654" s="31">
        <v>0</v>
      </c>
      <c r="J3654" s="18">
        <f t="shared" si="16"/>
        <v>69626.539999999994</v>
      </c>
    </row>
    <row r="3655" spans="1:10" ht="15.75" x14ac:dyDescent="0.25">
      <c r="A3655" s="21">
        <v>45626</v>
      </c>
      <c r="B3655" t="str">
        <f>IFERROR(IF(VLOOKUP(C3655,Hoja1!$B$1:$C$6191,2,0)="",_xlfn.XLOOKUP(C3655,Hoja1!$B$2:$B$6191,Hoja1!$A$2:$A$6191),VLOOKUP(C3655,Hoja1!$B$1:$C$6191,2,0)),"No esta en Infor")</f>
        <v>NAC1396</v>
      </c>
      <c r="C3655" s="3" t="s">
        <v>788</v>
      </c>
      <c r="D3655" s="31">
        <v>-38.85</v>
      </c>
      <c r="E3655" s="3"/>
      <c r="F3655" s="31">
        <v>0</v>
      </c>
      <c r="G3655" s="31">
        <v>0</v>
      </c>
      <c r="H3655" s="31">
        <v>0</v>
      </c>
      <c r="I3655" s="31">
        <v>0</v>
      </c>
      <c r="J3655" s="18">
        <f t="shared" si="16"/>
        <v>-38.85</v>
      </c>
    </row>
    <row r="3656" spans="1:10" ht="15.75" x14ac:dyDescent="0.25">
      <c r="A3656" s="21">
        <v>45626</v>
      </c>
      <c r="B3656" t="str">
        <f>IFERROR(IF(VLOOKUP(C3656,Hoja1!$B$1:$C$6191,2,0)="",_xlfn.XLOOKUP(C3656,Hoja1!$B$2:$B$6191,Hoja1!$A$2:$A$6191),VLOOKUP(C3656,Hoja1!$B$1:$C$6191,2,0)),"No esta en Infor")</f>
        <v>NAC1404</v>
      </c>
      <c r="C3656" s="3" t="s">
        <v>592</v>
      </c>
      <c r="D3656" s="31">
        <v>104.94</v>
      </c>
      <c r="E3656" s="3"/>
      <c r="F3656" s="31">
        <v>-85.32</v>
      </c>
      <c r="G3656" s="31">
        <v>0</v>
      </c>
      <c r="H3656" s="31">
        <v>0</v>
      </c>
      <c r="I3656" s="31">
        <v>0</v>
      </c>
      <c r="J3656" s="18">
        <f t="shared" si="16"/>
        <v>19.620000000000005</v>
      </c>
    </row>
    <row r="3657" spans="1:10" ht="15.75" x14ac:dyDescent="0.25">
      <c r="A3657" s="21">
        <v>45626</v>
      </c>
      <c r="B3657" t="str">
        <f>IFERROR(IF(VLOOKUP(C3657,Hoja1!$B$1:$C$6191,2,0)="",_xlfn.XLOOKUP(C3657,Hoja1!$B$2:$B$6191,Hoja1!$A$2:$A$6191),VLOOKUP(C3657,Hoja1!$B$1:$C$6191,2,0)),"No esta en Infor")</f>
        <v>SH03415</v>
      </c>
      <c r="C3657" s="3" t="s">
        <v>862</v>
      </c>
      <c r="D3657" s="31">
        <v>71.88</v>
      </c>
      <c r="E3657" s="3"/>
      <c r="F3657" s="31">
        <v>0</v>
      </c>
      <c r="G3657" s="31">
        <v>0</v>
      </c>
      <c r="H3657" s="31">
        <v>0</v>
      </c>
      <c r="I3657" s="31">
        <v>0</v>
      </c>
      <c r="J3657" s="18">
        <f t="shared" si="16"/>
        <v>71.88</v>
      </c>
    </row>
    <row r="3658" spans="1:10" ht="15.75" x14ac:dyDescent="0.25">
      <c r="A3658" s="21">
        <v>45626</v>
      </c>
      <c r="B3658" t="str">
        <f>IFERROR(IF(VLOOKUP(C3658,Hoja1!$B$1:$C$6191,2,0)="",_xlfn.XLOOKUP(C3658,Hoja1!$B$2:$B$6191,Hoja1!$A$2:$A$6191),VLOOKUP(C3658,Hoja1!$B$1:$C$6191,2,0)),"No esta en Infor")</f>
        <v>NAC1408</v>
      </c>
      <c r="C3658" s="3" t="s">
        <v>530</v>
      </c>
      <c r="D3658" s="31">
        <v>217</v>
      </c>
      <c r="E3658" s="3"/>
      <c r="F3658" s="31">
        <v>0</v>
      </c>
      <c r="G3658" s="31">
        <v>0</v>
      </c>
      <c r="H3658" s="31">
        <v>0</v>
      </c>
      <c r="I3658" s="31">
        <v>0</v>
      </c>
      <c r="J3658" s="18">
        <f t="shared" si="16"/>
        <v>217</v>
      </c>
    </row>
    <row r="3659" spans="1:10" ht="15.75" x14ac:dyDescent="0.25">
      <c r="A3659" s="21">
        <v>45626</v>
      </c>
      <c r="B3659" t="str">
        <f>IFERROR(IF(VLOOKUP(C3659,Hoja1!$B$1:$C$6191,2,0)="",_xlfn.XLOOKUP(C3659,Hoja1!$B$2:$B$6191,Hoja1!$A$2:$A$6191),VLOOKUP(C3659,Hoja1!$B$1:$C$6191,2,0)),"No esta en Infor")</f>
        <v>CAN0090</v>
      </c>
      <c r="C3659" s="3" t="s">
        <v>574</v>
      </c>
      <c r="D3659" s="31">
        <v>101078.7</v>
      </c>
      <c r="E3659" s="3"/>
      <c r="F3659" s="31">
        <v>0</v>
      </c>
      <c r="G3659" s="31">
        <v>0</v>
      </c>
      <c r="H3659" s="31">
        <v>0</v>
      </c>
      <c r="I3659" s="31">
        <v>0</v>
      </c>
      <c r="J3659" s="18">
        <f t="shared" si="16"/>
        <v>101078.7</v>
      </c>
    </row>
    <row r="3660" spans="1:10" ht="15.75" x14ac:dyDescent="0.25">
      <c r="A3660" s="21">
        <v>45626</v>
      </c>
      <c r="B3660" t="str">
        <f>IFERROR(IF(VLOOKUP(C3660,Hoja1!$B$1:$C$6191,2,0)="",_xlfn.XLOOKUP(C3660,Hoja1!$B$2:$B$6191,Hoja1!$A$2:$A$6191),VLOOKUP(C3660,Hoja1!$B$1:$C$6191,2,0)),"No esta en Infor")</f>
        <v>NAC1413</v>
      </c>
      <c r="C3660" s="3" t="s">
        <v>342</v>
      </c>
      <c r="D3660" s="31">
        <v>23566.400000000001</v>
      </c>
      <c r="E3660" s="3"/>
      <c r="F3660" s="31">
        <v>0</v>
      </c>
      <c r="G3660" s="31">
        <v>0</v>
      </c>
      <c r="H3660" s="31">
        <v>0</v>
      </c>
      <c r="I3660" s="31">
        <v>0</v>
      </c>
      <c r="J3660" s="18">
        <f t="shared" si="16"/>
        <v>23566.400000000001</v>
      </c>
    </row>
    <row r="3661" spans="1:10" ht="15.75" x14ac:dyDescent="0.25">
      <c r="A3661" s="21">
        <v>45626</v>
      </c>
      <c r="B3661" t="str">
        <f>IFERROR(IF(VLOOKUP(C3661,Hoja1!$B$1:$C$6191,2,0)="",_xlfn.XLOOKUP(C3661,Hoja1!$B$2:$B$6191,Hoja1!$A$2:$A$6191),VLOOKUP(C3661,Hoja1!$B$1:$C$6191,2,0)),"No esta en Infor")</f>
        <v>NAC1417</v>
      </c>
      <c r="C3661" s="3" t="s">
        <v>645</v>
      </c>
      <c r="D3661" s="31">
        <v>202015</v>
      </c>
      <c r="E3661" s="3"/>
      <c r="F3661" s="31">
        <v>0</v>
      </c>
      <c r="G3661" s="31">
        <v>0</v>
      </c>
      <c r="H3661" s="31">
        <v>0</v>
      </c>
      <c r="I3661" s="31">
        <v>0</v>
      </c>
      <c r="J3661" s="18">
        <f t="shared" si="16"/>
        <v>202015</v>
      </c>
    </row>
    <row r="3662" spans="1:10" ht="15.75" x14ac:dyDescent="0.25">
      <c r="A3662" s="21">
        <v>45626</v>
      </c>
      <c r="B3662" t="str">
        <f>IFERROR(IF(VLOOKUP(C3662,Hoja1!$B$1:$C$6191,2,0)="",_xlfn.XLOOKUP(C3662,Hoja1!$B$2:$B$6191,Hoja1!$A$2:$A$6191),VLOOKUP(C3662,Hoja1!$B$1:$C$6191,2,0)),"No esta en Infor")</f>
        <v>NAC1420</v>
      </c>
      <c r="C3662" s="3" t="s">
        <v>480</v>
      </c>
      <c r="D3662" s="31">
        <v>1183.18</v>
      </c>
      <c r="E3662" s="3"/>
      <c r="F3662" s="31">
        <v>0</v>
      </c>
      <c r="G3662" s="31">
        <v>0</v>
      </c>
      <c r="H3662" s="31">
        <v>0</v>
      </c>
      <c r="I3662" s="31">
        <v>0</v>
      </c>
      <c r="J3662" s="18">
        <f t="shared" si="16"/>
        <v>1183.18</v>
      </c>
    </row>
    <row r="3663" spans="1:10" ht="15.75" x14ac:dyDescent="0.25">
      <c r="A3663" s="21">
        <v>45626</v>
      </c>
      <c r="B3663" t="str">
        <f>IFERROR(IF(VLOOKUP(C3663,Hoja1!$B$1:$C$6191,2,0)="",_xlfn.XLOOKUP(C3663,Hoja1!$B$2:$B$6191,Hoja1!$A$2:$A$6191),VLOOKUP(C3663,Hoja1!$B$1:$C$6191,2,0)),"No esta en Infor")</f>
        <v>NAC1424</v>
      </c>
      <c r="C3663" s="3" t="s">
        <v>345</v>
      </c>
      <c r="D3663" s="31">
        <v>34788.9</v>
      </c>
      <c r="E3663" s="3"/>
      <c r="F3663" s="31">
        <v>0</v>
      </c>
      <c r="G3663" s="31">
        <v>0</v>
      </c>
      <c r="H3663" s="31">
        <v>0</v>
      </c>
      <c r="I3663" s="31">
        <v>0</v>
      </c>
      <c r="J3663" s="18">
        <f t="shared" si="16"/>
        <v>34788.9</v>
      </c>
    </row>
    <row r="3664" spans="1:10" ht="15.75" x14ac:dyDescent="0.25">
      <c r="A3664" s="21">
        <v>45626</v>
      </c>
      <c r="B3664" t="str">
        <f>IFERROR(IF(VLOOKUP(C3664,Hoja1!$B$1:$C$6191,2,0)="",_xlfn.XLOOKUP(C3664,Hoja1!$B$2:$B$6191,Hoja1!$A$2:$A$6191),VLOOKUP(C3664,Hoja1!$B$1:$C$6191,2,0)),"No esta en Infor")</f>
        <v>NAC1545</v>
      </c>
      <c r="C3664" s="3" t="s">
        <v>769</v>
      </c>
      <c r="D3664" s="31">
        <v>4230</v>
      </c>
      <c r="E3664" s="3"/>
      <c r="F3664" s="31">
        <v>0</v>
      </c>
      <c r="G3664" s="31">
        <v>0</v>
      </c>
      <c r="H3664" s="31">
        <v>0</v>
      </c>
      <c r="I3664" s="31">
        <v>0</v>
      </c>
      <c r="J3664" s="18">
        <f t="shared" si="16"/>
        <v>4230</v>
      </c>
    </row>
    <row r="3665" spans="1:10" ht="15.75" x14ac:dyDescent="0.25">
      <c r="A3665" s="21">
        <v>45626</v>
      </c>
      <c r="B3665" t="str">
        <f>IFERROR(IF(VLOOKUP(C3665,Hoja1!$B$1:$C$6191,2,0)="",_xlfn.XLOOKUP(C3665,Hoja1!$B$2:$B$6191,Hoja1!$A$2:$A$6191),VLOOKUP(C3665,Hoja1!$B$1:$C$6191,2,0)),"No esta en Infor")</f>
        <v>NAC1432</v>
      </c>
      <c r="C3665" s="3" t="s">
        <v>575</v>
      </c>
      <c r="D3665" s="31">
        <v>0</v>
      </c>
      <c r="E3665" s="3"/>
      <c r="F3665" s="31">
        <v>-536.64</v>
      </c>
      <c r="G3665" s="31">
        <v>0</v>
      </c>
      <c r="H3665" s="31">
        <v>0</v>
      </c>
      <c r="I3665" s="31">
        <v>0</v>
      </c>
      <c r="J3665" s="18">
        <f t="shared" si="16"/>
        <v>-536.64</v>
      </c>
    </row>
    <row r="3666" spans="1:10" ht="15.75" x14ac:dyDescent="0.25">
      <c r="A3666" s="21">
        <v>45626</v>
      </c>
      <c r="B3666" t="str">
        <f>IFERROR(IF(VLOOKUP(C3666,Hoja1!$B$1:$C$6191,2,0)="",_xlfn.XLOOKUP(C3666,Hoja1!$B$2:$B$6191,Hoja1!$A$2:$A$6191),VLOOKUP(C3666,Hoja1!$B$1:$C$6191,2,0)),"No esta en Infor")</f>
        <v>NAC1434</v>
      </c>
      <c r="C3666" s="3" t="s">
        <v>348</v>
      </c>
      <c r="D3666" s="31">
        <v>6348</v>
      </c>
      <c r="E3666" s="3"/>
      <c r="F3666" s="31">
        <v>0</v>
      </c>
      <c r="G3666" s="31">
        <v>0</v>
      </c>
      <c r="H3666" s="31">
        <v>0</v>
      </c>
      <c r="I3666" s="31">
        <v>0</v>
      </c>
      <c r="J3666" s="18">
        <f t="shared" si="16"/>
        <v>6348</v>
      </c>
    </row>
    <row r="3667" spans="1:10" ht="15.75" x14ac:dyDescent="0.25">
      <c r="A3667" s="21">
        <v>45626</v>
      </c>
      <c r="B3667" t="str">
        <f>IFERROR(IF(VLOOKUP(C3667,Hoja1!$B$1:$C$6191,2,0)="",_xlfn.XLOOKUP(C3667,Hoja1!$B$2:$B$6191,Hoja1!$A$2:$A$6191),VLOOKUP(C3667,Hoja1!$B$1:$C$6191,2,0)),"No esta en Infor")</f>
        <v>SH03424</v>
      </c>
      <c r="C3667" s="3" t="s">
        <v>863</v>
      </c>
      <c r="D3667" s="31">
        <v>54.66</v>
      </c>
      <c r="E3667" s="3"/>
      <c r="F3667" s="31">
        <v>0</v>
      </c>
      <c r="G3667" s="31">
        <v>0</v>
      </c>
      <c r="H3667" s="31">
        <v>0</v>
      </c>
      <c r="I3667" s="31">
        <v>0</v>
      </c>
      <c r="J3667" s="18">
        <f t="shared" si="16"/>
        <v>54.66</v>
      </c>
    </row>
    <row r="3668" spans="1:10" ht="15.75" x14ac:dyDescent="0.25">
      <c r="A3668" s="21">
        <v>45626</v>
      </c>
      <c r="B3668" t="str">
        <f>IFERROR(IF(VLOOKUP(C3668,Hoja1!$B$1:$C$6191,2,0)="",_xlfn.XLOOKUP(C3668,Hoja1!$B$2:$B$6191,Hoja1!$A$2:$A$6191),VLOOKUP(C3668,Hoja1!$B$1:$C$6191,2,0)),"No esta en Infor")</f>
        <v>NAC1471</v>
      </c>
      <c r="C3668" s="3" t="s">
        <v>351</v>
      </c>
      <c r="D3668" s="31">
        <v>44112</v>
      </c>
      <c r="E3668" s="3"/>
      <c r="F3668" s="31">
        <v>0</v>
      </c>
      <c r="G3668" s="31">
        <v>0</v>
      </c>
      <c r="H3668" s="31">
        <v>0</v>
      </c>
      <c r="I3668" s="31">
        <v>0</v>
      </c>
      <c r="J3668" s="18">
        <f t="shared" si="16"/>
        <v>44112</v>
      </c>
    </row>
    <row r="3669" spans="1:10" ht="15.75" x14ac:dyDescent="0.25">
      <c r="A3669" s="21">
        <v>45626</v>
      </c>
      <c r="B3669" t="str">
        <f>IFERROR(IF(VLOOKUP(C3669,Hoja1!$B$1:$C$6191,2,0)="",_xlfn.XLOOKUP(C3669,Hoja1!$B$2:$B$6191,Hoja1!$A$2:$A$6191),VLOOKUP(C3669,Hoja1!$B$1:$C$6191,2,0)),"No esta en Infor")</f>
        <v>NAC1473</v>
      </c>
      <c r="C3669" s="3" t="s">
        <v>532</v>
      </c>
      <c r="D3669" s="31">
        <v>11780</v>
      </c>
      <c r="E3669" s="3"/>
      <c r="F3669" s="31">
        <v>0</v>
      </c>
      <c r="G3669" s="31">
        <v>0</v>
      </c>
      <c r="H3669" s="31">
        <v>0</v>
      </c>
      <c r="I3669" s="31">
        <v>0</v>
      </c>
      <c r="J3669" s="18">
        <f t="shared" si="16"/>
        <v>11780</v>
      </c>
    </row>
    <row r="3670" spans="1:10" ht="15.75" x14ac:dyDescent="0.25">
      <c r="A3670" s="21">
        <v>45626</v>
      </c>
      <c r="B3670" t="str">
        <f>IFERROR(IF(VLOOKUP(C3670,Hoja1!$B$1:$C$6191,2,0)="",_xlfn.XLOOKUP(C3670,Hoja1!$B$2:$B$6191,Hoja1!$A$2:$A$6191),VLOOKUP(C3670,Hoja1!$B$1:$C$6191,2,0)),"No esta en Infor")</f>
        <v>NAC1479</v>
      </c>
      <c r="C3670" s="3" t="s">
        <v>354</v>
      </c>
      <c r="D3670" s="31">
        <v>2011</v>
      </c>
      <c r="E3670" s="3"/>
      <c r="F3670" s="31">
        <v>0</v>
      </c>
      <c r="G3670" s="31">
        <v>0</v>
      </c>
      <c r="H3670" s="31">
        <v>0</v>
      </c>
      <c r="I3670" s="31">
        <v>0</v>
      </c>
      <c r="J3670" s="18">
        <f t="shared" si="16"/>
        <v>2011</v>
      </c>
    </row>
    <row r="3671" spans="1:10" ht="15.75" x14ac:dyDescent="0.25">
      <c r="A3671" s="21">
        <v>45626</v>
      </c>
      <c r="B3671" t="str">
        <f>IFERROR(IF(VLOOKUP(C3671,Hoja1!$B$1:$C$6191,2,0)="",_xlfn.XLOOKUP(C3671,Hoja1!$B$2:$B$6191,Hoja1!$A$2:$A$6191),VLOOKUP(C3671,Hoja1!$B$1:$C$6191,2,0)),"No esta en Infor")</f>
        <v>CAN0080</v>
      </c>
      <c r="C3671" s="3" t="s">
        <v>533</v>
      </c>
      <c r="D3671" s="31">
        <v>250.86</v>
      </c>
      <c r="E3671" s="3"/>
      <c r="F3671" s="31">
        <v>0</v>
      </c>
      <c r="G3671" s="31">
        <v>-93.6</v>
      </c>
      <c r="H3671" s="31">
        <v>0</v>
      </c>
      <c r="I3671" s="31">
        <v>0</v>
      </c>
      <c r="J3671" s="18">
        <f t="shared" si="16"/>
        <v>157.26000000000002</v>
      </c>
    </row>
    <row r="3672" spans="1:10" ht="15.75" x14ac:dyDescent="0.25">
      <c r="A3672" s="21">
        <v>45626</v>
      </c>
      <c r="B3672" t="str">
        <f>IFERROR(IF(VLOOKUP(C3672,Hoja1!$B$1:$C$6191,2,0)="",_xlfn.XLOOKUP(C3672,Hoja1!$B$2:$B$6191,Hoja1!$A$2:$A$6191),VLOOKUP(C3672,Hoja1!$B$1:$C$6191,2,0)),"No esta en Infor")</f>
        <v>SH03339</v>
      </c>
      <c r="C3672" s="3" t="s">
        <v>819</v>
      </c>
      <c r="D3672" s="31">
        <v>1.5</v>
      </c>
      <c r="E3672" s="3"/>
      <c r="F3672" s="31">
        <v>0</v>
      </c>
      <c r="G3672" s="31">
        <v>0</v>
      </c>
      <c r="H3672" s="31">
        <v>0</v>
      </c>
      <c r="I3672" s="31">
        <v>0</v>
      </c>
      <c r="J3672" s="18">
        <f t="shared" si="16"/>
        <v>1.5</v>
      </c>
    </row>
    <row r="3673" spans="1:10" ht="15.75" x14ac:dyDescent="0.25">
      <c r="A3673" s="21">
        <v>45626</v>
      </c>
      <c r="B3673" t="str">
        <f>IFERROR(IF(VLOOKUP(C3673,Hoja1!$B$1:$C$6191,2,0)="",_xlfn.XLOOKUP(C3673,Hoja1!$B$2:$B$6191,Hoja1!$A$2:$A$6191),VLOOKUP(C3673,Hoja1!$B$1:$C$6191,2,0)),"No esta en Infor")</f>
        <v>NAC1485</v>
      </c>
      <c r="C3673" s="3" t="s">
        <v>358</v>
      </c>
      <c r="D3673" s="31">
        <v>-14146.7</v>
      </c>
      <c r="E3673" s="3"/>
      <c r="F3673" s="31">
        <v>0</v>
      </c>
      <c r="G3673" s="31">
        <v>0</v>
      </c>
      <c r="H3673" s="31">
        <v>0</v>
      </c>
      <c r="I3673" s="31">
        <v>0</v>
      </c>
      <c r="J3673" s="18">
        <f t="shared" si="16"/>
        <v>-14146.7</v>
      </c>
    </row>
    <row r="3674" spans="1:10" ht="15.75" x14ac:dyDescent="0.25">
      <c r="A3674" s="21">
        <v>45626</v>
      </c>
      <c r="B3674" t="str">
        <f>IFERROR(IF(VLOOKUP(C3674,Hoja1!$B$1:$C$6191,2,0)="",_xlfn.XLOOKUP(C3674,Hoja1!$B$2:$B$6191,Hoja1!$A$2:$A$6191),VLOOKUP(C3674,Hoja1!$B$1:$C$6191,2,0)),"No esta en Infor")</f>
        <v>NAC1642</v>
      </c>
      <c r="C3674" s="3" t="s">
        <v>772</v>
      </c>
      <c r="D3674" s="31">
        <v>2310</v>
      </c>
      <c r="E3674" s="3"/>
      <c r="F3674" s="31">
        <v>0</v>
      </c>
      <c r="G3674" s="31">
        <v>0</v>
      </c>
      <c r="H3674" s="31">
        <v>0</v>
      </c>
      <c r="I3674" s="31">
        <v>0</v>
      </c>
      <c r="J3674" s="18">
        <f t="shared" si="16"/>
        <v>2310</v>
      </c>
    </row>
    <row r="3675" spans="1:10" ht="15.75" x14ac:dyDescent="0.25">
      <c r="A3675" s="21">
        <v>45626</v>
      </c>
      <c r="B3675" t="str">
        <f>IFERROR(IF(VLOOKUP(C3675,Hoja1!$B$1:$C$6191,2,0)="",_xlfn.XLOOKUP(C3675,Hoja1!$B$2:$B$6191,Hoja1!$A$2:$A$6191),VLOOKUP(C3675,Hoja1!$B$1:$C$6191,2,0)),"No esta en Infor")</f>
        <v>CAN0081</v>
      </c>
      <c r="C3675" s="3" t="s">
        <v>431</v>
      </c>
      <c r="D3675" s="31">
        <v>6872.79</v>
      </c>
      <c r="E3675" s="3"/>
      <c r="F3675" s="31">
        <v>0</v>
      </c>
      <c r="G3675" s="31">
        <v>-585</v>
      </c>
      <c r="H3675" s="31">
        <v>0</v>
      </c>
      <c r="I3675" s="31">
        <v>0</v>
      </c>
      <c r="J3675" s="18">
        <f t="shared" si="16"/>
        <v>6287.79</v>
      </c>
    </row>
    <row r="3676" spans="1:10" ht="15.75" x14ac:dyDescent="0.25">
      <c r="A3676" s="21">
        <v>45626</v>
      </c>
      <c r="B3676" t="str">
        <f>IFERROR(IF(VLOOKUP(C3676,Hoja1!$B$1:$C$6191,2,0)="",_xlfn.XLOOKUP(C3676,Hoja1!$B$2:$B$6191,Hoja1!$A$2:$A$6191),VLOOKUP(C3676,Hoja1!$B$1:$C$6191,2,0)),"No esta en Infor")</f>
        <v>NAC1499</v>
      </c>
      <c r="C3676" s="3" t="s">
        <v>789</v>
      </c>
      <c r="D3676" s="31">
        <v>427.2</v>
      </c>
      <c r="E3676" s="3"/>
      <c r="F3676" s="31">
        <v>0</v>
      </c>
      <c r="G3676" s="31">
        <v>0</v>
      </c>
      <c r="H3676" s="31">
        <v>0</v>
      </c>
      <c r="I3676" s="31">
        <v>0</v>
      </c>
      <c r="J3676" s="18">
        <f t="shared" si="16"/>
        <v>427.2</v>
      </c>
    </row>
    <row r="3677" spans="1:10" ht="15.75" x14ac:dyDescent="0.25">
      <c r="A3677" s="21">
        <v>45626</v>
      </c>
      <c r="B3677" t="str">
        <f>IFERROR(IF(VLOOKUP(C3677,Hoja1!$B$1:$C$6191,2,0)="",_xlfn.XLOOKUP(C3677,Hoja1!$B$2:$B$6191,Hoja1!$A$2:$A$6191),VLOOKUP(C3677,Hoja1!$B$1:$C$6191,2,0)),"No esta en Infor")</f>
        <v>NAC1504</v>
      </c>
      <c r="C3677" s="3" t="s">
        <v>363</v>
      </c>
      <c r="D3677" s="31">
        <v>1551.28</v>
      </c>
      <c r="E3677" s="3"/>
      <c r="F3677" s="31">
        <v>0</v>
      </c>
      <c r="G3677" s="31">
        <v>0</v>
      </c>
      <c r="H3677" s="31">
        <v>0</v>
      </c>
      <c r="I3677" s="31">
        <v>0</v>
      </c>
      <c r="J3677" s="18">
        <f t="shared" si="16"/>
        <v>1551.28</v>
      </c>
    </row>
    <row r="3678" spans="1:10" ht="15.75" x14ac:dyDescent="0.25">
      <c r="A3678" s="21">
        <v>45626</v>
      </c>
      <c r="B3678" t="str">
        <f>IFERROR(IF(VLOOKUP(C3678,Hoja1!$B$1:$C$6191,2,0)="",_xlfn.XLOOKUP(C3678,Hoja1!$B$2:$B$6191,Hoja1!$A$2:$A$6191),VLOOKUP(C3678,Hoja1!$B$1:$C$6191,2,0)),"No esta en Infor")</f>
        <v>NAC1506</v>
      </c>
      <c r="C3678" s="3" t="s">
        <v>364</v>
      </c>
      <c r="D3678" s="31">
        <v>457</v>
      </c>
      <c r="E3678" s="3"/>
      <c r="F3678" s="31">
        <v>0</v>
      </c>
      <c r="G3678" s="31">
        <v>0</v>
      </c>
      <c r="H3678" s="31">
        <v>0</v>
      </c>
      <c r="I3678" s="31">
        <v>0</v>
      </c>
      <c r="J3678" s="18">
        <f t="shared" si="16"/>
        <v>457</v>
      </c>
    </row>
    <row r="3679" spans="1:10" ht="15.75" x14ac:dyDescent="0.25">
      <c r="A3679" s="21">
        <v>45626</v>
      </c>
      <c r="B3679" t="str">
        <f>IFERROR(IF(VLOOKUP(C3679,Hoja1!$B$1:$C$6191,2,0)="",_xlfn.XLOOKUP(C3679,Hoja1!$B$2:$B$6191,Hoja1!$A$2:$A$6191),VLOOKUP(C3679,Hoja1!$B$1:$C$6191,2,0)),"No esta en Infor")</f>
        <v>NAC1514</v>
      </c>
      <c r="C3679" s="3" t="s">
        <v>774</v>
      </c>
      <c r="D3679" s="31">
        <v>210</v>
      </c>
      <c r="E3679" s="3"/>
      <c r="F3679" s="31">
        <v>0</v>
      </c>
      <c r="G3679" s="31">
        <v>0</v>
      </c>
      <c r="H3679" s="31">
        <v>0</v>
      </c>
      <c r="I3679" s="31">
        <v>0</v>
      </c>
      <c r="J3679" s="18">
        <f t="shared" si="16"/>
        <v>210</v>
      </c>
    </row>
    <row r="3680" spans="1:10" ht="15.75" x14ac:dyDescent="0.25">
      <c r="A3680" s="21">
        <v>45626</v>
      </c>
      <c r="B3680" t="str">
        <f>IFERROR(IF(VLOOKUP(C3680,Hoja1!$B$1:$C$6191,2,0)="",_xlfn.XLOOKUP(C3680,Hoja1!$B$2:$B$6191,Hoja1!$A$2:$A$6191),VLOOKUP(C3680,Hoja1!$B$1:$C$6191,2,0)),"No esta en Infor")</f>
        <v>NAC1517</v>
      </c>
      <c r="C3680" s="3" t="s">
        <v>365</v>
      </c>
      <c r="D3680" s="31">
        <v>39915.339999999997</v>
      </c>
      <c r="E3680" s="3"/>
      <c r="F3680" s="31">
        <v>-1083.1400000000001</v>
      </c>
      <c r="G3680" s="31">
        <v>-405.39</v>
      </c>
      <c r="H3680" s="31">
        <v>-69</v>
      </c>
      <c r="I3680" s="31">
        <v>-194.5</v>
      </c>
      <c r="J3680" s="18">
        <f t="shared" si="16"/>
        <v>38163.31</v>
      </c>
    </row>
    <row r="3681" spans="1:10" ht="15.75" x14ac:dyDescent="0.25">
      <c r="A3681" s="21">
        <v>45626</v>
      </c>
      <c r="B3681" t="str">
        <f>IFERROR(IF(VLOOKUP(C3681,Hoja1!$B$1:$C$6191,2,0)="",_xlfn.XLOOKUP(C3681,Hoja1!$B$2:$B$6191,Hoja1!$A$2:$A$6191),VLOOKUP(C3681,Hoja1!$B$1:$C$6191,2,0)),"No esta en Infor")</f>
        <v>NAC1521</v>
      </c>
      <c r="C3681" s="3" t="s">
        <v>593</v>
      </c>
      <c r="D3681" s="31">
        <v>0</v>
      </c>
      <c r="E3681" s="3"/>
      <c r="F3681" s="31">
        <v>-100</v>
      </c>
      <c r="G3681" s="31">
        <v>0</v>
      </c>
      <c r="H3681" s="31">
        <v>0</v>
      </c>
      <c r="I3681" s="31">
        <v>0</v>
      </c>
      <c r="J3681" s="18">
        <f t="shared" si="16"/>
        <v>-100</v>
      </c>
    </row>
    <row r="3682" spans="1:10" ht="15.75" x14ac:dyDescent="0.25">
      <c r="A3682" s="21">
        <v>45626</v>
      </c>
      <c r="B3682" t="str">
        <f>IFERROR(IF(VLOOKUP(C3682,Hoja1!$B$1:$C$6191,2,0)="",_xlfn.XLOOKUP(C3682,Hoja1!$B$2:$B$6191,Hoja1!$A$2:$A$6191),VLOOKUP(C3682,Hoja1!$B$1:$C$6191,2,0)),"No esta en Infor")</f>
        <v>NAC1522</v>
      </c>
      <c r="C3682" s="3" t="s">
        <v>366</v>
      </c>
      <c r="D3682" s="31">
        <v>502.82</v>
      </c>
      <c r="E3682" s="3"/>
      <c r="F3682" s="31">
        <v>0</v>
      </c>
      <c r="G3682" s="31">
        <v>0</v>
      </c>
      <c r="H3682" s="31">
        <v>0</v>
      </c>
      <c r="I3682" s="31">
        <v>0</v>
      </c>
      <c r="J3682" s="18">
        <f t="shared" si="16"/>
        <v>502.82</v>
      </c>
    </row>
    <row r="3683" spans="1:10" ht="15.75" x14ac:dyDescent="0.25">
      <c r="A3683" s="21">
        <v>45626</v>
      </c>
      <c r="B3683" t="str">
        <f>IFERROR(IF(VLOOKUP(C3683,Hoja1!$B$1:$C$6191,2,0)="",_xlfn.XLOOKUP(C3683,Hoja1!$B$2:$B$6191,Hoja1!$A$2:$A$6191),VLOOKUP(C3683,Hoja1!$B$1:$C$6191,2,0)),"No esta en Infor")</f>
        <v>NAC1527</v>
      </c>
      <c r="C3683" s="3" t="s">
        <v>790</v>
      </c>
      <c r="D3683" s="31">
        <v>-103.5</v>
      </c>
      <c r="E3683" s="3"/>
      <c r="F3683" s="31">
        <v>0</v>
      </c>
      <c r="G3683" s="31">
        <v>0</v>
      </c>
      <c r="H3683" s="31">
        <v>0</v>
      </c>
      <c r="I3683" s="31">
        <v>0</v>
      </c>
      <c r="J3683" s="18">
        <f t="shared" si="16"/>
        <v>-103.5</v>
      </c>
    </row>
    <row r="3684" spans="1:10" ht="15.75" x14ac:dyDescent="0.25">
      <c r="A3684" s="21">
        <v>45626</v>
      </c>
      <c r="B3684" t="str">
        <f>IFERROR(IF(VLOOKUP(C3684,Hoja1!$B$1:$C$6191,2,0)="",_xlfn.XLOOKUP(C3684,Hoja1!$B$2:$B$6191,Hoja1!$A$2:$A$6191),VLOOKUP(C3684,Hoja1!$B$1:$C$6191,2,0)),"No esta en Infor")</f>
        <v>CAN0088</v>
      </c>
      <c r="C3684" s="3" t="s">
        <v>369</v>
      </c>
      <c r="D3684" s="31">
        <v>0</v>
      </c>
      <c r="E3684" s="3"/>
      <c r="F3684" s="31">
        <v>0</v>
      </c>
      <c r="G3684" s="31">
        <v>0</v>
      </c>
      <c r="H3684" s="31">
        <v>-891</v>
      </c>
      <c r="I3684" s="31">
        <v>0</v>
      </c>
      <c r="J3684" s="18">
        <f t="shared" ref="J3684:J3688" si="17">SUM(D3684:I3684)</f>
        <v>-891</v>
      </c>
    </row>
    <row r="3685" spans="1:10" ht="15.75" x14ac:dyDescent="0.25">
      <c r="A3685" s="21">
        <v>45626</v>
      </c>
      <c r="B3685" t="str">
        <f>IFERROR(IF(VLOOKUP(C3685,Hoja1!$B$1:$C$6191,2,0)="",_xlfn.XLOOKUP(C3685,Hoja1!$B$2:$B$6191,Hoja1!$A$2:$A$6191),VLOOKUP(C3685,Hoja1!$B$1:$C$6191,2,0)),"No esta en Infor")</f>
        <v>NAC1530</v>
      </c>
      <c r="C3685" s="3" t="s">
        <v>611</v>
      </c>
      <c r="D3685" s="31">
        <v>-0.01</v>
      </c>
      <c r="E3685" s="3"/>
      <c r="F3685" s="31">
        <v>0</v>
      </c>
      <c r="G3685" s="31">
        <v>0</v>
      </c>
      <c r="H3685" s="31">
        <v>0</v>
      </c>
      <c r="I3685" s="31">
        <v>0</v>
      </c>
      <c r="J3685" s="18">
        <f t="shared" si="17"/>
        <v>-0.01</v>
      </c>
    </row>
    <row r="3686" spans="1:10" ht="15.75" x14ac:dyDescent="0.25">
      <c r="A3686" s="21">
        <v>45626</v>
      </c>
      <c r="B3686" t="str">
        <f>IFERROR(IF(VLOOKUP(C3686,Hoja1!$B$1:$C$6191,2,0)="",_xlfn.XLOOKUP(C3686,Hoja1!$B$2:$B$6191,Hoja1!$A$2:$A$6191),VLOOKUP(C3686,Hoja1!$B$1:$C$6191,2,0)),"No esta en Infor")</f>
        <v>NAC1533</v>
      </c>
      <c r="C3686" s="3" t="s">
        <v>483</v>
      </c>
      <c r="D3686" s="31">
        <v>1631.9</v>
      </c>
      <c r="E3686" s="3"/>
      <c r="F3686" s="31">
        <v>-0.16</v>
      </c>
      <c r="G3686" s="31">
        <v>0</v>
      </c>
      <c r="H3686" s="31">
        <v>0</v>
      </c>
      <c r="I3686" s="31">
        <v>0</v>
      </c>
      <c r="J3686" s="18">
        <f t="shared" si="17"/>
        <v>1631.74</v>
      </c>
    </row>
    <row r="3687" spans="1:10" ht="15.75" x14ac:dyDescent="0.25">
      <c r="A3687" s="21">
        <v>45626</v>
      </c>
      <c r="B3687" t="str">
        <f>IFERROR(IF(VLOOKUP(C3687,Hoja1!$B$1:$C$6191,2,0)="",_xlfn.XLOOKUP(C3687,Hoja1!$B$2:$B$6191,Hoja1!$A$2:$A$6191),VLOOKUP(C3687,Hoja1!$B$1:$C$6191,2,0)),"No esta en Infor")</f>
        <v>NAC1538</v>
      </c>
      <c r="C3687" s="3" t="s">
        <v>536</v>
      </c>
      <c r="D3687" s="31">
        <v>94.26</v>
      </c>
      <c r="E3687" s="3"/>
      <c r="F3687" s="31">
        <v>0</v>
      </c>
      <c r="G3687" s="31">
        <v>0</v>
      </c>
      <c r="H3687" s="31">
        <v>0</v>
      </c>
      <c r="I3687" s="31">
        <v>0</v>
      </c>
      <c r="J3687" s="18">
        <f t="shared" si="17"/>
        <v>94.26</v>
      </c>
    </row>
    <row r="3688" spans="1:10" ht="15.75" x14ac:dyDescent="0.25">
      <c r="A3688" s="21">
        <v>45626</v>
      </c>
      <c r="B3688" t="str">
        <f>IFERROR(IF(VLOOKUP(C3688,Hoja1!$B$1:$C$6191,2,0)="",_xlfn.XLOOKUP(C3688,Hoja1!$B$2:$B$6191,Hoja1!$A$2:$A$6191),VLOOKUP(C3688,Hoja1!$B$1:$C$6191,2,0)),"No esta en Infor")</f>
        <v>NAC1539</v>
      </c>
      <c r="C3688" s="3" t="s">
        <v>58</v>
      </c>
      <c r="D3688" s="31">
        <v>2636.8</v>
      </c>
      <c r="E3688" s="3"/>
      <c r="F3688" s="31">
        <v>0</v>
      </c>
      <c r="G3688" s="31">
        <v>0</v>
      </c>
      <c r="H3688" s="31">
        <v>0</v>
      </c>
      <c r="I3688" s="31">
        <v>0</v>
      </c>
      <c r="J3688" s="18">
        <f t="shared" si="17"/>
        <v>2636.8</v>
      </c>
    </row>
    <row r="3689" spans="1:10" x14ac:dyDescent="0.25">
      <c r="A3689" s="20">
        <v>45657</v>
      </c>
      <c r="B3689" t="str">
        <f>IFERROR(IF(VLOOKUP(C3689,Hoja1!$B$1:$C$6191,2,0)="",_xlfn.XLOOKUP(C3689,Hoja1!$B$2:$B$6191,Hoja1!$A$2:$A$6191),VLOOKUP(C3689,Hoja1!$B$1:$C$6191,2,0)),"No esta en Infor")</f>
        <v>NAC0476</v>
      </c>
      <c r="C3689" s="56" t="s">
        <v>11</v>
      </c>
      <c r="D3689" s="57">
        <v>239837.44</v>
      </c>
      <c r="F3689" s="56">
        <v>49.81</v>
      </c>
      <c r="G3689" s="56">
        <v>774.08</v>
      </c>
      <c r="H3689" s="57">
        <v>2250</v>
      </c>
      <c r="I3689" s="56">
        <v>-345.39</v>
      </c>
      <c r="J3689" s="57">
        <f t="shared" ref="J3689:J3752" si="18">SUM(E3689:I3689)</f>
        <v>2728.5000000000005</v>
      </c>
    </row>
    <row r="3690" spans="1:10" x14ac:dyDescent="0.25">
      <c r="A3690" s="20">
        <v>45657</v>
      </c>
      <c r="B3690" t="str">
        <f>IFERROR(IF(VLOOKUP(C3690,Hoja1!$B$1:$C$6191,2,0)="",_xlfn.XLOOKUP(C3690,Hoja1!$B$2:$B$6191,Hoja1!$A$2:$A$6191),VLOOKUP(C3690,Hoja1!$B$1:$C$6191,2,0)),"No esta en Infor")</f>
        <v>NAC0483</v>
      </c>
      <c r="C3690" s="56" t="s">
        <v>12</v>
      </c>
      <c r="D3690" s="56">
        <v>0</v>
      </c>
      <c r="F3690" s="56">
        <v>-146.83000000000001</v>
      </c>
      <c r="G3690" s="56">
        <v>0</v>
      </c>
      <c r="H3690" s="56">
        <v>0</v>
      </c>
      <c r="I3690" s="56">
        <v>474.11</v>
      </c>
      <c r="J3690" s="57">
        <f t="shared" si="18"/>
        <v>327.27999999999997</v>
      </c>
    </row>
    <row r="3691" spans="1:10" x14ac:dyDescent="0.25">
      <c r="A3691" s="20">
        <v>45657</v>
      </c>
      <c r="B3691" t="str">
        <f>IFERROR(IF(VLOOKUP(C3691,Hoja1!$B$1:$C$6191,2,0)="",_xlfn.XLOOKUP(C3691,Hoja1!$B$2:$B$6191,Hoja1!$A$2:$A$6191),VLOOKUP(C3691,Hoja1!$B$1:$C$6191,2,0)),"No esta en Infor")</f>
        <v>CAN0002</v>
      </c>
      <c r="C3691" s="56" t="s">
        <v>87</v>
      </c>
      <c r="D3691" s="57">
        <v>4991.49</v>
      </c>
      <c r="F3691" s="56">
        <v>0</v>
      </c>
      <c r="G3691" s="56">
        <v>0</v>
      </c>
      <c r="H3691" s="56">
        <v>-804.19</v>
      </c>
      <c r="I3691" s="56">
        <v>249.72</v>
      </c>
      <c r="J3691" s="57">
        <f t="shared" si="18"/>
        <v>-554.47</v>
      </c>
    </row>
    <row r="3692" spans="1:10" x14ac:dyDescent="0.25">
      <c r="A3692" s="20">
        <v>45657</v>
      </c>
      <c r="B3692" t="str">
        <f>IFERROR(IF(VLOOKUP(C3692,Hoja1!$B$1:$C$6191,2,0)="",_xlfn.XLOOKUP(C3692,Hoja1!$B$2:$B$6191,Hoja1!$A$2:$A$6191),VLOOKUP(C3692,Hoja1!$B$1:$C$6191,2,0)),"No esta en Infor")</f>
        <v>NAC0573</v>
      </c>
      <c r="C3692" s="56" t="s">
        <v>15</v>
      </c>
      <c r="D3692" s="57">
        <v>15467.3</v>
      </c>
      <c r="F3692" s="56">
        <v>254</v>
      </c>
      <c r="G3692" s="56">
        <v>0</v>
      </c>
      <c r="H3692" s="56">
        <v>0</v>
      </c>
      <c r="I3692" s="56">
        <v>283.5</v>
      </c>
      <c r="J3692" s="57">
        <f t="shared" si="18"/>
        <v>537.5</v>
      </c>
    </row>
    <row r="3693" spans="1:10" x14ac:dyDescent="0.25">
      <c r="A3693" s="20">
        <v>45657</v>
      </c>
      <c r="B3693" t="str">
        <f>IFERROR(IF(VLOOKUP(C3693,Hoja1!$B$1:$C$6191,2,0)="",_xlfn.XLOOKUP(C3693,Hoja1!$B$2:$B$6191,Hoja1!$A$2:$A$6191),VLOOKUP(C3693,Hoja1!$B$1:$C$6191,2,0)),"No esta en Infor")</f>
        <v>CAN0006</v>
      </c>
      <c r="C3693" s="56" t="s">
        <v>17</v>
      </c>
      <c r="D3693" s="57">
        <v>22184.400000000001</v>
      </c>
      <c r="F3693" s="56">
        <v>893.02</v>
      </c>
      <c r="G3693" s="56">
        <v>0</v>
      </c>
      <c r="H3693" s="57">
        <v>-1036.68</v>
      </c>
      <c r="I3693" s="56">
        <v>0</v>
      </c>
      <c r="J3693" s="57">
        <f t="shared" si="18"/>
        <v>-143.66000000000008</v>
      </c>
    </row>
    <row r="3694" spans="1:10" x14ac:dyDescent="0.25">
      <c r="A3694" s="20">
        <v>45657</v>
      </c>
      <c r="B3694" t="str">
        <f>IFERROR(IF(VLOOKUP(C3694,Hoja1!$B$1:$C$6191,2,0)="",_xlfn.XLOOKUP(C3694,Hoja1!$B$2:$B$6191,Hoja1!$A$2:$A$6191),VLOOKUP(C3694,Hoja1!$B$1:$C$6191,2,0)),"No esta en Infor")</f>
        <v>NAC0614</v>
      </c>
      <c r="C3694" s="56" t="s">
        <v>102</v>
      </c>
      <c r="D3694" s="57">
        <v>8621.5</v>
      </c>
      <c r="F3694" s="56">
        <v>29.44</v>
      </c>
      <c r="G3694" s="56">
        <v>0</v>
      </c>
      <c r="H3694" s="56">
        <v>0</v>
      </c>
      <c r="I3694" s="56">
        <v>0</v>
      </c>
      <c r="J3694" s="57">
        <f t="shared" si="18"/>
        <v>29.44</v>
      </c>
    </row>
    <row r="3695" spans="1:10" x14ac:dyDescent="0.25">
      <c r="A3695" s="20">
        <v>45657</v>
      </c>
      <c r="B3695" t="str">
        <f>IFERROR(IF(VLOOKUP(C3695,Hoja1!$B$1:$C$6191,2,0)="",_xlfn.XLOOKUP(C3695,Hoja1!$B$2:$B$6191,Hoja1!$A$2:$A$6191),VLOOKUP(C3695,Hoja1!$B$1:$C$6191,2,0)),"No esta en Infor")</f>
        <v>NAC0618</v>
      </c>
      <c r="C3695" s="56" t="s">
        <v>488</v>
      </c>
      <c r="D3695" s="56">
        <v>0</v>
      </c>
      <c r="F3695" s="56">
        <v>0</v>
      </c>
      <c r="G3695" s="56">
        <v>120.02</v>
      </c>
      <c r="H3695" s="56">
        <v>0</v>
      </c>
      <c r="I3695" s="56">
        <v>0</v>
      </c>
      <c r="J3695" s="57">
        <f t="shared" si="18"/>
        <v>120.02</v>
      </c>
    </row>
    <row r="3696" spans="1:10" x14ac:dyDescent="0.25">
      <c r="A3696" s="20">
        <v>45657</v>
      </c>
      <c r="B3696" t="str">
        <f>IFERROR(IF(VLOOKUP(C3696,Hoja1!$B$1:$C$6191,2,0)="",_xlfn.XLOOKUP(C3696,Hoja1!$B$2:$B$6191,Hoja1!$A$2:$A$6191),VLOOKUP(C3696,Hoja1!$B$1:$C$6191,2,0)),"No esta en Infor")</f>
        <v>CAN0011</v>
      </c>
      <c r="C3696" s="56" t="s">
        <v>121</v>
      </c>
      <c r="D3696" s="57">
        <v>6902.22</v>
      </c>
      <c r="F3696" s="56">
        <v>0</v>
      </c>
      <c r="G3696" s="57">
        <v>2709.74</v>
      </c>
      <c r="H3696" s="56">
        <v>381.94</v>
      </c>
      <c r="I3696" s="56">
        <v>0</v>
      </c>
      <c r="J3696" s="57">
        <f t="shared" si="18"/>
        <v>3091.68</v>
      </c>
    </row>
    <row r="3697" spans="1:10" x14ac:dyDescent="0.25">
      <c r="A3697" s="20">
        <v>45657</v>
      </c>
      <c r="B3697" t="str">
        <f>IFERROR(IF(VLOOKUP(C3697,Hoja1!$B$1:$C$6191,2,0)="",_xlfn.XLOOKUP(C3697,Hoja1!$B$2:$B$6191,Hoja1!$A$2:$A$6191),VLOOKUP(C3697,Hoja1!$B$1:$C$6191,2,0)),"No esta en Infor")</f>
        <v>NAC0672</v>
      </c>
      <c r="C3697" s="56" t="s">
        <v>122</v>
      </c>
      <c r="D3697" s="57">
        <v>11448.34</v>
      </c>
      <c r="F3697" s="57">
        <v>8878</v>
      </c>
      <c r="G3697" s="56">
        <v>0</v>
      </c>
      <c r="H3697" s="56">
        <v>0</v>
      </c>
      <c r="I3697" s="56">
        <v>0</v>
      </c>
      <c r="J3697" s="57">
        <f t="shared" si="18"/>
        <v>8878</v>
      </c>
    </row>
    <row r="3698" spans="1:10" x14ac:dyDescent="0.25">
      <c r="A3698" s="20">
        <v>45657</v>
      </c>
      <c r="B3698" t="str">
        <f>IFERROR(IF(VLOOKUP(C3698,Hoja1!$B$1:$C$6191,2,0)="",_xlfn.XLOOKUP(C3698,Hoja1!$B$2:$B$6191,Hoja1!$A$2:$A$6191),VLOOKUP(C3698,Hoja1!$B$1:$C$6191,2,0)),"No esta en Infor")</f>
        <v>NAC0673</v>
      </c>
      <c r="C3698" s="56" t="s">
        <v>390</v>
      </c>
      <c r="D3698" s="56">
        <v>982.62</v>
      </c>
      <c r="F3698" s="56">
        <v>0</v>
      </c>
      <c r="G3698" s="56">
        <v>0</v>
      </c>
      <c r="H3698" s="56">
        <v>32.729999999999997</v>
      </c>
      <c r="I3698" s="56">
        <v>0</v>
      </c>
      <c r="J3698" s="57">
        <f t="shared" si="18"/>
        <v>32.729999999999997</v>
      </c>
    </row>
    <row r="3699" spans="1:10" x14ac:dyDescent="0.25">
      <c r="A3699" s="20">
        <v>45657</v>
      </c>
      <c r="B3699" t="str">
        <f>IFERROR(IF(VLOOKUP(C3699,Hoja1!$B$1:$C$6191,2,0)="",_xlfn.XLOOKUP(C3699,Hoja1!$B$2:$B$6191,Hoja1!$A$2:$A$6191),VLOOKUP(C3699,Hoja1!$B$1:$C$6191,2,0)),"No esta en Infor")</f>
        <v>NAC0729</v>
      </c>
      <c r="C3699" s="56" t="s">
        <v>148</v>
      </c>
      <c r="D3699" s="56">
        <v>0</v>
      </c>
      <c r="F3699" s="56">
        <v>0</v>
      </c>
      <c r="G3699" s="56">
        <v>0</v>
      </c>
      <c r="H3699" s="56">
        <v>316</v>
      </c>
      <c r="I3699" s="56">
        <v>0</v>
      </c>
      <c r="J3699" s="57">
        <f t="shared" si="18"/>
        <v>316</v>
      </c>
    </row>
    <row r="3700" spans="1:10" x14ac:dyDescent="0.25">
      <c r="A3700" s="20">
        <v>45657</v>
      </c>
      <c r="B3700" t="str">
        <f>IFERROR(IF(VLOOKUP(C3700,Hoja1!$B$1:$C$6191,2,0)="",_xlfn.XLOOKUP(C3700,Hoja1!$B$2:$B$6191,Hoja1!$A$2:$A$6191),VLOOKUP(C3700,Hoja1!$B$1:$C$6191,2,0)),"No esta en Infor")</f>
        <v>CAN0018</v>
      </c>
      <c r="C3700" s="56" t="s">
        <v>21</v>
      </c>
      <c r="D3700" s="57">
        <v>24559.14</v>
      </c>
      <c r="F3700" s="56">
        <v>0</v>
      </c>
      <c r="G3700" s="57">
        <v>21588.880000000001</v>
      </c>
      <c r="H3700" s="56">
        <v>0</v>
      </c>
      <c r="I3700" s="56">
        <v>0</v>
      </c>
      <c r="J3700" s="57">
        <f t="shared" si="18"/>
        <v>21588.880000000001</v>
      </c>
    </row>
    <row r="3701" spans="1:10" x14ac:dyDescent="0.25">
      <c r="A3701" s="20">
        <v>45657</v>
      </c>
      <c r="B3701" t="str">
        <f>IFERROR(IF(VLOOKUP(C3701,Hoja1!$B$1:$C$6191,2,0)="",_xlfn.XLOOKUP(C3701,Hoja1!$B$2:$B$6191,Hoja1!$A$2:$A$6191),VLOOKUP(C3701,Hoja1!$B$1:$C$6191,2,0)),"No esta en Infor")</f>
        <v>NAC0823</v>
      </c>
      <c r="C3701" s="56" t="s">
        <v>497</v>
      </c>
      <c r="D3701" s="56">
        <v>0</v>
      </c>
      <c r="F3701" s="56">
        <v>0</v>
      </c>
      <c r="G3701" s="56">
        <v>64.489999999999995</v>
      </c>
      <c r="H3701" s="56">
        <v>0</v>
      </c>
      <c r="I3701" s="56">
        <v>0</v>
      </c>
      <c r="J3701" s="57">
        <f t="shared" si="18"/>
        <v>64.489999999999995</v>
      </c>
    </row>
    <row r="3702" spans="1:10" x14ac:dyDescent="0.25">
      <c r="A3702" s="20">
        <v>45657</v>
      </c>
      <c r="B3702" t="str">
        <f>IFERROR(IF(VLOOKUP(C3702,Hoja1!$B$1:$C$6191,2,0)="",_xlfn.XLOOKUP(C3702,Hoja1!$B$2:$B$6191,Hoja1!$A$2:$A$6191),VLOOKUP(C3702,Hoja1!$B$1:$C$6191,2,0)),"No esta en Infor")</f>
        <v>NAC0838</v>
      </c>
      <c r="C3702" s="56" t="s">
        <v>396</v>
      </c>
      <c r="D3702" s="56">
        <v>0</v>
      </c>
      <c r="F3702" s="56">
        <v>0</v>
      </c>
      <c r="G3702" s="56">
        <v>0</v>
      </c>
      <c r="H3702" s="56">
        <v>54</v>
      </c>
      <c r="I3702" s="56">
        <v>0</v>
      </c>
      <c r="J3702" s="57">
        <f t="shared" si="18"/>
        <v>54</v>
      </c>
    </row>
    <row r="3703" spans="1:10" x14ac:dyDescent="0.25">
      <c r="A3703" s="20">
        <v>45657</v>
      </c>
      <c r="B3703" t="str">
        <f>IFERROR(IF(VLOOKUP(C3703,Hoja1!$B$1:$C$6191,2,0)="",_xlfn.XLOOKUP(C3703,Hoja1!$B$2:$B$6191,Hoja1!$A$2:$A$6191),VLOOKUP(C3703,Hoja1!$B$1:$C$6191,2,0)),"No esta en Infor")</f>
        <v>NAC0848</v>
      </c>
      <c r="C3703" s="56" t="s">
        <v>498</v>
      </c>
      <c r="D3703" s="56">
        <v>0</v>
      </c>
      <c r="F3703" s="56">
        <v>842.34</v>
      </c>
      <c r="G3703" s="56">
        <v>0</v>
      </c>
      <c r="H3703" s="56">
        <v>0</v>
      </c>
      <c r="I3703" s="56">
        <v>0</v>
      </c>
      <c r="J3703" s="57">
        <f t="shared" si="18"/>
        <v>842.34</v>
      </c>
    </row>
    <row r="3704" spans="1:10" x14ac:dyDescent="0.25">
      <c r="A3704" s="20">
        <v>45657</v>
      </c>
      <c r="B3704" t="str">
        <f>IFERROR(IF(VLOOKUP(C3704,Hoja1!$B$1:$C$6191,2,0)="",_xlfn.XLOOKUP(C3704,Hoja1!$B$2:$B$6191,Hoja1!$A$2:$A$6191),VLOOKUP(C3704,Hoja1!$B$1:$C$6191,2,0)),"No esta en Infor")</f>
        <v>NAC0862</v>
      </c>
      <c r="C3704" s="56" t="s">
        <v>190</v>
      </c>
      <c r="D3704" s="57">
        <v>2749.9</v>
      </c>
      <c r="F3704" s="56">
        <v>0</v>
      </c>
      <c r="G3704" s="56">
        <v>96.3</v>
      </c>
      <c r="H3704" s="56">
        <v>0</v>
      </c>
      <c r="I3704" s="56">
        <v>0</v>
      </c>
      <c r="J3704" s="57">
        <f t="shared" si="18"/>
        <v>96.3</v>
      </c>
    </row>
    <row r="3705" spans="1:10" x14ac:dyDescent="0.25">
      <c r="A3705" s="20">
        <v>45657</v>
      </c>
      <c r="B3705" t="str">
        <f>IFERROR(IF(VLOOKUP(C3705,Hoja1!$B$1:$C$6191,2,0)="",_xlfn.XLOOKUP(C3705,Hoja1!$B$2:$B$6191,Hoja1!$A$2:$A$6191),VLOOKUP(C3705,Hoja1!$B$1:$C$6191,2,0)),"No esta en Infor")</f>
        <v>NAC0865</v>
      </c>
      <c r="C3705" s="56" t="s">
        <v>23</v>
      </c>
      <c r="D3705" s="57">
        <v>2921.6</v>
      </c>
      <c r="F3705" s="57">
        <v>3805.2</v>
      </c>
      <c r="G3705" s="56">
        <v>0</v>
      </c>
      <c r="H3705" s="56">
        <v>0</v>
      </c>
      <c r="I3705" s="56">
        <v>0</v>
      </c>
      <c r="J3705" s="57">
        <f t="shared" si="18"/>
        <v>3805.2</v>
      </c>
    </row>
    <row r="3706" spans="1:10" x14ac:dyDescent="0.25">
      <c r="A3706" s="20">
        <v>45657</v>
      </c>
      <c r="B3706" t="str">
        <f>IFERROR(IF(VLOOKUP(C3706,Hoja1!$B$1:$C$6191,2,0)="",_xlfn.XLOOKUP(C3706,Hoja1!$B$2:$B$6191,Hoja1!$A$2:$A$6191),VLOOKUP(C3706,Hoja1!$B$1:$C$6191,2,0)),"No esta en Infor")</f>
        <v>NAC0869</v>
      </c>
      <c r="C3706" s="56" t="s">
        <v>192</v>
      </c>
      <c r="D3706" s="56">
        <v>0</v>
      </c>
      <c r="F3706" s="56">
        <v>-0.05</v>
      </c>
      <c r="G3706" s="56">
        <v>255.25</v>
      </c>
      <c r="H3706" s="56">
        <v>277.3</v>
      </c>
      <c r="I3706" s="56">
        <v>0</v>
      </c>
      <c r="J3706" s="57">
        <f t="shared" si="18"/>
        <v>532.5</v>
      </c>
    </row>
    <row r="3707" spans="1:10" x14ac:dyDescent="0.25">
      <c r="A3707" s="20">
        <v>45657</v>
      </c>
      <c r="B3707" t="str">
        <f>IFERROR(IF(VLOOKUP(C3707,Hoja1!$B$1:$C$6191,2,0)="",_xlfn.XLOOKUP(C3707,Hoja1!$B$2:$B$6191,Hoja1!$A$2:$A$6191),VLOOKUP(C3707,Hoja1!$B$1:$C$6191,2,0)),"No esta en Infor")</f>
        <v>NAC0914</v>
      </c>
      <c r="C3707" s="56" t="s">
        <v>202</v>
      </c>
      <c r="D3707" s="57">
        <v>2896.3</v>
      </c>
      <c r="F3707" s="56">
        <v>0</v>
      </c>
      <c r="G3707" s="56">
        <v>354.79</v>
      </c>
      <c r="H3707" s="56">
        <v>0</v>
      </c>
      <c r="I3707" s="56">
        <v>0</v>
      </c>
      <c r="J3707" s="57">
        <f t="shared" si="18"/>
        <v>354.79</v>
      </c>
    </row>
    <row r="3708" spans="1:10" x14ac:dyDescent="0.25">
      <c r="A3708" s="20">
        <v>45657</v>
      </c>
      <c r="B3708" t="str">
        <f>IFERROR(IF(VLOOKUP(C3708,Hoja1!$B$1:$C$6191,2,0)="",_xlfn.XLOOKUP(C3708,Hoja1!$B$2:$B$6191,Hoja1!$A$2:$A$6191),VLOOKUP(C3708,Hoja1!$B$1:$C$6191,2,0)),"No esta en Infor")</f>
        <v>CAN0025</v>
      </c>
      <c r="C3708" s="56" t="s">
        <v>26</v>
      </c>
      <c r="D3708" s="57">
        <v>42642.25</v>
      </c>
      <c r="F3708" s="56">
        <v>0</v>
      </c>
      <c r="G3708" s="57">
        <v>1352</v>
      </c>
      <c r="H3708" s="57">
        <v>2405.41</v>
      </c>
      <c r="I3708" s="56">
        <v>161.44999999999999</v>
      </c>
      <c r="J3708" s="57">
        <f t="shared" si="18"/>
        <v>3918.8599999999997</v>
      </c>
    </row>
    <row r="3709" spans="1:10" x14ac:dyDescent="0.25">
      <c r="A3709" s="20">
        <v>45657</v>
      </c>
      <c r="B3709" t="str">
        <f>IFERROR(IF(VLOOKUP(C3709,Hoja1!$B$1:$C$6191,2,0)="",_xlfn.XLOOKUP(C3709,Hoja1!$B$2:$B$6191,Hoja1!$A$2:$A$6191),VLOOKUP(C3709,Hoja1!$B$1:$C$6191,2,0)),"No esta en Infor")</f>
        <v>NAC0924</v>
      </c>
      <c r="C3709" s="56" t="s">
        <v>205</v>
      </c>
      <c r="D3709" s="57">
        <v>245003.75</v>
      </c>
      <c r="F3709" s="56">
        <v>0</v>
      </c>
      <c r="G3709" s="56">
        <v>336.28</v>
      </c>
      <c r="H3709" s="56">
        <v>0</v>
      </c>
      <c r="I3709" s="56">
        <v>0</v>
      </c>
      <c r="J3709" s="57">
        <f t="shared" si="18"/>
        <v>336.28</v>
      </c>
    </row>
    <row r="3710" spans="1:10" x14ac:dyDescent="0.25">
      <c r="A3710" s="20">
        <v>45657</v>
      </c>
      <c r="B3710" t="str">
        <f>IFERROR(IF(VLOOKUP(C3710,Hoja1!$B$1:$C$6191,2,0)="",_xlfn.XLOOKUP(C3710,Hoja1!$B$2:$B$6191,Hoja1!$A$2:$A$6191),VLOOKUP(C3710,Hoja1!$B$1:$C$6191,2,0)),"No esta en Infor")</f>
        <v>CAN0030</v>
      </c>
      <c r="C3710" s="56" t="s">
        <v>210</v>
      </c>
      <c r="D3710" s="56">
        <v>376.29</v>
      </c>
      <c r="F3710" s="56">
        <v>0</v>
      </c>
      <c r="G3710" s="57">
        <v>8855.2800000000007</v>
      </c>
      <c r="H3710" s="56">
        <v>0</v>
      </c>
      <c r="I3710" s="56">
        <v>0</v>
      </c>
      <c r="J3710" s="57">
        <f t="shared" si="18"/>
        <v>8855.2800000000007</v>
      </c>
    </row>
    <row r="3711" spans="1:10" x14ac:dyDescent="0.25">
      <c r="A3711" s="20">
        <v>45657</v>
      </c>
      <c r="B3711" t="str">
        <f>IFERROR(IF(VLOOKUP(C3711,Hoja1!$B$1:$C$6191,2,0)="",_xlfn.XLOOKUP(C3711,Hoja1!$B$2:$B$6191,Hoja1!$A$2:$A$6191),VLOOKUP(C3711,Hoja1!$B$1:$C$6191,2,0)),"No esta en Infor")</f>
        <v>NAC0972</v>
      </c>
      <c r="C3711" s="56" t="s">
        <v>221</v>
      </c>
      <c r="D3711" s="57">
        <v>2277.15</v>
      </c>
      <c r="F3711" s="56">
        <v>0</v>
      </c>
      <c r="G3711" s="56">
        <v>0</v>
      </c>
      <c r="H3711" s="56">
        <v>0</v>
      </c>
      <c r="I3711" s="56">
        <v>217.86</v>
      </c>
      <c r="J3711" s="57">
        <f t="shared" si="18"/>
        <v>217.86</v>
      </c>
    </row>
    <row r="3712" spans="1:10" x14ac:dyDescent="0.25">
      <c r="A3712" s="20">
        <v>45657</v>
      </c>
      <c r="B3712" t="str">
        <f>IFERROR(IF(VLOOKUP(C3712,Hoja1!$B$1:$C$6191,2,0)="",_xlfn.XLOOKUP(C3712,Hoja1!$B$2:$B$6191,Hoja1!$A$2:$A$6191),VLOOKUP(C3712,Hoja1!$B$1:$C$6191,2,0)),"No esta en Infor")</f>
        <v>NAC0988</v>
      </c>
      <c r="C3712" s="56" t="s">
        <v>29</v>
      </c>
      <c r="D3712" s="57">
        <v>87451.15</v>
      </c>
      <c r="F3712" s="56">
        <v>0</v>
      </c>
      <c r="G3712" s="56">
        <v>106</v>
      </c>
      <c r="H3712" s="56">
        <v>0</v>
      </c>
      <c r="I3712" s="57">
        <v>8840</v>
      </c>
      <c r="J3712" s="57">
        <f t="shared" si="18"/>
        <v>8946</v>
      </c>
    </row>
    <row r="3713" spans="1:10" x14ac:dyDescent="0.25">
      <c r="A3713" s="20">
        <v>45657</v>
      </c>
      <c r="B3713" t="str">
        <f>IFERROR(IF(VLOOKUP(C3713,Hoja1!$B$1:$C$6191,2,0)="",_xlfn.XLOOKUP(C3713,Hoja1!$B$2:$B$6191,Hoja1!$A$2:$A$6191),VLOOKUP(C3713,Hoja1!$B$1:$C$6191,2,0)),"No esta en Infor")</f>
        <v>NAC1040</v>
      </c>
      <c r="C3713" s="56" t="s">
        <v>30</v>
      </c>
      <c r="D3713" s="57">
        <v>368449.33</v>
      </c>
      <c r="F3713" s="57">
        <v>1472.69</v>
      </c>
      <c r="G3713" s="57">
        <v>25803.17</v>
      </c>
      <c r="H3713" s="57">
        <v>-18888.14</v>
      </c>
      <c r="I3713" s="56">
        <v>-650.04999999999995</v>
      </c>
      <c r="J3713" s="57">
        <f t="shared" si="18"/>
        <v>7737.6699999999973</v>
      </c>
    </row>
    <row r="3714" spans="1:10" x14ac:dyDescent="0.25">
      <c r="A3714" s="20">
        <v>45657</v>
      </c>
      <c r="B3714" t="str">
        <f>IFERROR(IF(VLOOKUP(C3714,Hoja1!$B$1:$C$6191,2,0)="",_xlfn.XLOOKUP(C3714,Hoja1!$B$2:$B$6191,Hoja1!$A$2:$A$6191),VLOOKUP(C3714,Hoja1!$B$1:$C$6191,2,0)),"No esta en Infor")</f>
        <v>CAN0035</v>
      </c>
      <c r="C3714" s="56" t="s">
        <v>31</v>
      </c>
      <c r="D3714" s="57">
        <v>6309.7</v>
      </c>
      <c r="F3714" s="56">
        <v>0</v>
      </c>
      <c r="G3714" s="56">
        <v>0</v>
      </c>
      <c r="H3714" s="56">
        <v>0</v>
      </c>
      <c r="I3714" s="56">
        <v>374.36</v>
      </c>
      <c r="J3714" s="57">
        <f t="shared" si="18"/>
        <v>374.36</v>
      </c>
    </row>
    <row r="3715" spans="1:10" x14ac:dyDescent="0.25">
      <c r="A3715" s="20">
        <v>45657</v>
      </c>
      <c r="B3715" t="str">
        <f>IFERROR(IF(VLOOKUP(C3715,Hoja1!$B$1:$C$6191,2,0)="",_xlfn.XLOOKUP(C3715,Hoja1!$B$2:$B$6191,Hoja1!$A$2:$A$6191),VLOOKUP(C3715,Hoja1!$B$1:$C$6191,2,0)),"No esta en Infor")</f>
        <v>NAC1087</v>
      </c>
      <c r="C3715" s="56" t="s">
        <v>631</v>
      </c>
      <c r="D3715" s="56">
        <v>0</v>
      </c>
      <c r="F3715" s="56">
        <v>908</v>
      </c>
      <c r="G3715" s="56">
        <v>0</v>
      </c>
      <c r="H3715" s="56">
        <v>0</v>
      </c>
      <c r="I3715" s="56">
        <v>0</v>
      </c>
      <c r="J3715" s="57">
        <f t="shared" si="18"/>
        <v>908</v>
      </c>
    </row>
    <row r="3716" spans="1:10" x14ac:dyDescent="0.25">
      <c r="A3716" s="20">
        <v>45657</v>
      </c>
      <c r="B3716" t="str">
        <f>IFERROR(IF(VLOOKUP(C3716,Hoja1!$B$1:$C$6191,2,0)="",_xlfn.XLOOKUP(C3716,Hoja1!$B$2:$B$6191,Hoja1!$A$2:$A$6191),VLOOKUP(C3716,Hoja1!$B$1:$C$6191,2,0)),"No esta en Infor")</f>
        <v>NAC1105</v>
      </c>
      <c r="C3716" s="56" t="s">
        <v>32</v>
      </c>
      <c r="D3716" s="57">
        <v>1818.09</v>
      </c>
      <c r="F3716" s="56">
        <v>-155.25</v>
      </c>
      <c r="G3716" s="56">
        <v>0</v>
      </c>
      <c r="H3716" s="56">
        <v>0.02</v>
      </c>
      <c r="I3716" s="57">
        <v>2890.48</v>
      </c>
      <c r="J3716" s="57">
        <f t="shared" si="18"/>
        <v>2735.25</v>
      </c>
    </row>
    <row r="3717" spans="1:10" x14ac:dyDescent="0.25">
      <c r="A3717" s="20">
        <v>45657</v>
      </c>
      <c r="B3717" t="str">
        <f>IFERROR(IF(VLOOKUP(C3717,Hoja1!$B$1:$C$6191,2,0)="",_xlfn.XLOOKUP(C3717,Hoja1!$B$2:$B$6191,Hoja1!$A$2:$A$6191),VLOOKUP(C3717,Hoja1!$B$1:$C$6191,2,0)),"No esta en Infor")</f>
        <v>NAC1108</v>
      </c>
      <c r="C3717" s="56" t="s">
        <v>468</v>
      </c>
      <c r="D3717" s="56">
        <v>104.63</v>
      </c>
      <c r="F3717" s="56">
        <v>0</v>
      </c>
      <c r="G3717" s="56">
        <v>194.84</v>
      </c>
      <c r="H3717" s="56">
        <v>0</v>
      </c>
      <c r="I3717" s="56">
        <v>0</v>
      </c>
      <c r="J3717" s="57">
        <f t="shared" si="18"/>
        <v>194.84</v>
      </c>
    </row>
    <row r="3718" spans="1:10" x14ac:dyDescent="0.25">
      <c r="A3718" s="20">
        <v>45657</v>
      </c>
      <c r="B3718" t="str">
        <f>IFERROR(IF(VLOOKUP(C3718,Hoja1!$B$1:$C$6191,2,0)="",_xlfn.XLOOKUP(C3718,Hoja1!$B$2:$B$6191,Hoja1!$A$2:$A$6191),VLOOKUP(C3718,Hoja1!$B$1:$C$6191,2,0)),"No esta en Infor")</f>
        <v>NAC1133</v>
      </c>
      <c r="C3718" s="56" t="s">
        <v>633</v>
      </c>
      <c r="D3718" s="57">
        <v>1101.79</v>
      </c>
      <c r="F3718" s="57">
        <v>3962.07</v>
      </c>
      <c r="G3718" s="56">
        <v>0</v>
      </c>
      <c r="H3718" s="56">
        <v>0</v>
      </c>
      <c r="I3718" s="56">
        <v>0</v>
      </c>
      <c r="J3718" s="57">
        <f t="shared" si="18"/>
        <v>3962.07</v>
      </c>
    </row>
    <row r="3719" spans="1:10" x14ac:dyDescent="0.25">
      <c r="A3719" s="20">
        <v>45657</v>
      </c>
      <c r="B3719" t="str">
        <f>IFERROR(IF(VLOOKUP(C3719,Hoja1!$B$1:$C$6191,2,0)="",_xlfn.XLOOKUP(C3719,Hoja1!$B$2:$B$6191,Hoja1!$A$2:$A$6191),VLOOKUP(C3719,Hoja1!$B$1:$C$6191,2,0)),"No esta en Infor")</f>
        <v>NAC1611</v>
      </c>
      <c r="C3719" s="56" t="s">
        <v>565</v>
      </c>
      <c r="D3719" s="56">
        <v>351.8</v>
      </c>
      <c r="F3719" s="57">
        <v>23078.04</v>
      </c>
      <c r="G3719" s="57">
        <v>-3501.02</v>
      </c>
      <c r="H3719" s="57">
        <v>18557.72</v>
      </c>
      <c r="I3719" s="56">
        <v>-184</v>
      </c>
      <c r="J3719" s="57">
        <f t="shared" si="18"/>
        <v>37950.740000000005</v>
      </c>
    </row>
    <row r="3720" spans="1:10" x14ac:dyDescent="0.25">
      <c r="A3720" s="20">
        <v>45657</v>
      </c>
      <c r="B3720" t="str">
        <f>IFERROR(IF(VLOOKUP(C3720,Hoja1!$B$1:$C$6191,2,0)="",_xlfn.XLOOKUP(C3720,Hoja1!$B$2:$B$6191,Hoja1!$A$2:$A$6191),VLOOKUP(C3720,Hoja1!$B$1:$C$6191,2,0)),"No esta en Infor")</f>
        <v>NAC1144</v>
      </c>
      <c r="C3720" s="56" t="s">
        <v>411</v>
      </c>
      <c r="D3720" s="56">
        <v>0</v>
      </c>
      <c r="F3720" s="56">
        <v>0</v>
      </c>
      <c r="G3720" s="56">
        <v>0</v>
      </c>
      <c r="H3720" s="56">
        <v>29.71</v>
      </c>
      <c r="I3720" s="56">
        <v>0</v>
      </c>
      <c r="J3720" s="57">
        <f t="shared" si="18"/>
        <v>29.71</v>
      </c>
    </row>
    <row r="3721" spans="1:10" x14ac:dyDescent="0.25">
      <c r="A3721" s="20">
        <v>45657</v>
      </c>
      <c r="B3721" t="str">
        <f>IFERROR(IF(VLOOKUP(C3721,Hoja1!$B$1:$C$6191,2,0)="",_xlfn.XLOOKUP(C3721,Hoja1!$B$2:$B$6191,Hoja1!$A$2:$A$6191),VLOOKUP(C3721,Hoja1!$B$1:$C$6191,2,0)),"No esta en Infor")</f>
        <v>NAC1146</v>
      </c>
      <c r="C3721" s="56" t="s">
        <v>33</v>
      </c>
      <c r="D3721" s="57">
        <v>26457.040000000001</v>
      </c>
      <c r="F3721" s="57">
        <v>1382.53</v>
      </c>
      <c r="G3721" s="56">
        <v>0</v>
      </c>
      <c r="H3721" s="56">
        <v>0</v>
      </c>
      <c r="I3721" s="57">
        <v>1638.58</v>
      </c>
      <c r="J3721" s="57">
        <f t="shared" si="18"/>
        <v>3021.1099999999997</v>
      </c>
    </row>
    <row r="3722" spans="1:10" x14ac:dyDescent="0.25">
      <c r="A3722" s="20">
        <v>45657</v>
      </c>
      <c r="B3722" t="str">
        <f>IFERROR(IF(VLOOKUP(C3722,Hoja1!$B$1:$C$6191,2,0)="",_xlfn.XLOOKUP(C3722,Hoja1!$B$2:$B$6191,Hoja1!$A$2:$A$6191),VLOOKUP(C3722,Hoja1!$B$1:$C$6191,2,0)),"No esta en Infor")</f>
        <v>NAC1187</v>
      </c>
      <c r="C3722" s="56" t="s">
        <v>471</v>
      </c>
      <c r="D3722" s="56">
        <v>0</v>
      </c>
      <c r="F3722" s="56">
        <v>0</v>
      </c>
      <c r="G3722" s="56">
        <v>882</v>
      </c>
      <c r="H3722" s="56">
        <v>0</v>
      </c>
      <c r="I3722" s="56">
        <v>0</v>
      </c>
      <c r="J3722" s="57">
        <f t="shared" si="18"/>
        <v>882</v>
      </c>
    </row>
    <row r="3723" spans="1:10" x14ac:dyDescent="0.25">
      <c r="A3723" s="20">
        <v>45657</v>
      </c>
      <c r="B3723" t="str">
        <f>IFERROR(IF(VLOOKUP(C3723,Hoja1!$B$1:$C$6191,2,0)="",_xlfn.XLOOKUP(C3723,Hoja1!$B$2:$B$6191,Hoja1!$A$2:$A$6191),VLOOKUP(C3723,Hoja1!$B$1:$C$6191,2,0)),"No esta en Infor")</f>
        <v>NAC1190</v>
      </c>
      <c r="C3723" s="56" t="s">
        <v>636</v>
      </c>
      <c r="D3723" s="57">
        <v>28828.799999999999</v>
      </c>
      <c r="F3723" s="56">
        <v>985</v>
      </c>
      <c r="G3723" s="56">
        <v>0</v>
      </c>
      <c r="H3723" s="56">
        <v>0</v>
      </c>
      <c r="I3723" s="56">
        <v>0</v>
      </c>
      <c r="J3723" s="57">
        <f t="shared" si="18"/>
        <v>985</v>
      </c>
    </row>
    <row r="3724" spans="1:10" x14ac:dyDescent="0.25">
      <c r="A3724" s="20">
        <v>45657</v>
      </c>
      <c r="B3724" t="str">
        <f>IFERROR(IF(VLOOKUP(C3724,Hoja1!$B$1:$C$6191,2,0)="",_xlfn.XLOOKUP(C3724,Hoja1!$B$2:$B$6191,Hoja1!$A$2:$A$6191),VLOOKUP(C3724,Hoja1!$B$1:$C$6191,2,0)),"No esta en Infor")</f>
        <v>CAN0044</v>
      </c>
      <c r="C3724" s="56" t="s">
        <v>35</v>
      </c>
      <c r="D3724" s="57">
        <v>180369.7</v>
      </c>
      <c r="F3724" s="56">
        <v>0</v>
      </c>
      <c r="G3724" s="56">
        <v>-752</v>
      </c>
      <c r="H3724" s="56">
        <v>833.36</v>
      </c>
      <c r="I3724" s="56">
        <v>673.68</v>
      </c>
      <c r="J3724" s="57">
        <f t="shared" si="18"/>
        <v>755.04</v>
      </c>
    </row>
    <row r="3725" spans="1:10" x14ac:dyDescent="0.25">
      <c r="A3725" s="20">
        <v>45657</v>
      </c>
      <c r="B3725" t="str">
        <f>IFERROR(IF(VLOOKUP(C3725,Hoja1!$B$1:$C$6191,2,0)="",_xlfn.XLOOKUP(C3725,Hoja1!$B$2:$B$6191,Hoja1!$A$2:$A$6191),VLOOKUP(C3725,Hoja1!$B$1:$C$6191,2,0)),"No esta en Infor")</f>
        <v>NAC1200</v>
      </c>
      <c r="C3725" s="56" t="s">
        <v>473</v>
      </c>
      <c r="D3725" s="56">
        <v>397.36</v>
      </c>
      <c r="F3725" s="56">
        <v>0</v>
      </c>
      <c r="G3725" s="56">
        <v>24.37</v>
      </c>
      <c r="H3725" s="56">
        <v>0</v>
      </c>
      <c r="I3725" s="56">
        <v>0</v>
      </c>
      <c r="J3725" s="57">
        <f t="shared" si="18"/>
        <v>24.37</v>
      </c>
    </row>
    <row r="3726" spans="1:10" x14ac:dyDescent="0.25">
      <c r="A3726" s="20">
        <v>45657</v>
      </c>
      <c r="B3726" t="str">
        <f>IFERROR(IF(VLOOKUP(C3726,Hoja1!$B$1:$C$6191,2,0)="",_xlfn.XLOOKUP(C3726,Hoja1!$B$2:$B$6191,Hoja1!$A$2:$A$6191),VLOOKUP(C3726,Hoja1!$B$1:$C$6191,2,0)),"No esta en Infor")</f>
        <v>NAC1207</v>
      </c>
      <c r="C3726" s="56" t="s">
        <v>417</v>
      </c>
      <c r="D3726" s="56">
        <v>0</v>
      </c>
      <c r="F3726" s="57">
        <v>1505.05</v>
      </c>
      <c r="G3726" s="56">
        <v>0</v>
      </c>
      <c r="H3726" s="56">
        <v>0</v>
      </c>
      <c r="I3726" s="56">
        <v>0</v>
      </c>
      <c r="J3726" s="57">
        <f t="shared" si="18"/>
        <v>1505.05</v>
      </c>
    </row>
    <row r="3727" spans="1:10" x14ac:dyDescent="0.25">
      <c r="A3727" s="20">
        <v>45657</v>
      </c>
      <c r="B3727" t="str">
        <f>IFERROR(IF(VLOOKUP(C3727,Hoja1!$B$1:$C$6191,2,0)="",_xlfn.XLOOKUP(C3727,Hoja1!$B$2:$B$6191,Hoja1!$A$2:$A$6191),VLOOKUP(C3727,Hoja1!$B$1:$C$6191,2,0)),"No esta en Infor")</f>
        <v>NAC1216</v>
      </c>
      <c r="C3727" s="56" t="s">
        <v>287</v>
      </c>
      <c r="D3727" s="56">
        <v>0</v>
      </c>
      <c r="F3727" s="56">
        <v>0</v>
      </c>
      <c r="G3727" s="56">
        <v>32.979999999999997</v>
      </c>
      <c r="H3727" s="56">
        <v>0</v>
      </c>
      <c r="I3727" s="56">
        <v>0</v>
      </c>
      <c r="J3727" s="57">
        <f t="shared" si="18"/>
        <v>32.979999999999997</v>
      </c>
    </row>
    <row r="3728" spans="1:10" x14ac:dyDescent="0.25">
      <c r="A3728" s="20">
        <v>45657</v>
      </c>
      <c r="B3728" t="str">
        <f>IFERROR(IF(VLOOKUP(C3728,Hoja1!$B$1:$C$6191,2,0)="",_xlfn.XLOOKUP(C3728,Hoja1!$B$2:$B$6191,Hoja1!$A$2:$A$6191),VLOOKUP(C3728,Hoja1!$B$1:$C$6191,2,0)),"No esta en Infor")</f>
        <v>NAC1228</v>
      </c>
      <c r="C3728" s="56" t="s">
        <v>569</v>
      </c>
      <c r="D3728" s="56">
        <v>435.74</v>
      </c>
      <c r="F3728" s="57">
        <v>11254.59</v>
      </c>
      <c r="G3728" s="56">
        <v>0</v>
      </c>
      <c r="H3728" s="56">
        <v>0</v>
      </c>
      <c r="I3728" s="56">
        <v>0</v>
      </c>
      <c r="J3728" s="57">
        <f t="shared" si="18"/>
        <v>11254.59</v>
      </c>
    </row>
    <row r="3729" spans="1:10" x14ac:dyDescent="0.25">
      <c r="A3729" s="20">
        <v>45657</v>
      </c>
      <c r="B3729" t="str">
        <f>IFERROR(IF(VLOOKUP(C3729,Hoja1!$B$1:$C$6191,2,0)="",_xlfn.XLOOKUP(C3729,Hoja1!$B$2:$B$6191,Hoja1!$A$2:$A$6191),VLOOKUP(C3729,Hoja1!$B$1:$C$6191,2,0)),"No esta en Infor")</f>
        <v>NAC1252</v>
      </c>
      <c r="C3729" s="56" t="s">
        <v>301</v>
      </c>
      <c r="D3729" s="57">
        <v>17143.32</v>
      </c>
      <c r="F3729" s="57">
        <v>10928.6</v>
      </c>
      <c r="G3729" s="56">
        <v>0</v>
      </c>
      <c r="H3729" s="56">
        <v>0</v>
      </c>
      <c r="I3729" s="56">
        <v>0</v>
      </c>
      <c r="J3729" s="57">
        <f t="shared" si="18"/>
        <v>10928.6</v>
      </c>
    </row>
    <row r="3730" spans="1:10" x14ac:dyDescent="0.25">
      <c r="A3730" s="20">
        <v>45657</v>
      </c>
      <c r="B3730" t="str">
        <f>IFERROR(IF(VLOOKUP(C3730,Hoja1!$B$1:$C$6191,2,0)="",_xlfn.XLOOKUP(C3730,Hoja1!$B$2:$B$6191,Hoja1!$A$2:$A$6191),VLOOKUP(C3730,Hoja1!$B$1:$C$6191,2,0)),"No esta en Infor")</f>
        <v>CAN0054</v>
      </c>
      <c r="C3730" s="56" t="s">
        <v>36</v>
      </c>
      <c r="D3730" s="57">
        <v>-10723.33</v>
      </c>
      <c r="F3730" s="56">
        <v>0</v>
      </c>
      <c r="G3730" s="56">
        <v>0</v>
      </c>
      <c r="H3730" s="56">
        <v>428.39</v>
      </c>
      <c r="I3730" s="56">
        <v>641.14</v>
      </c>
      <c r="J3730" s="57">
        <f t="shared" si="18"/>
        <v>1069.53</v>
      </c>
    </row>
    <row r="3731" spans="1:10" x14ac:dyDescent="0.25">
      <c r="A3731" s="20">
        <v>45657</v>
      </c>
      <c r="B3731" t="str">
        <f>IFERROR(IF(VLOOKUP(C3731,Hoja1!$B$1:$C$6191,2,0)="",_xlfn.XLOOKUP(C3731,Hoja1!$B$2:$B$6191,Hoja1!$A$2:$A$6191),VLOOKUP(C3731,Hoja1!$B$1:$C$6191,2,0)),"No esta en Infor")</f>
        <v>NAC1281</v>
      </c>
      <c r="C3731" s="56" t="s">
        <v>37</v>
      </c>
      <c r="D3731" s="57">
        <v>7540.07</v>
      </c>
      <c r="F3731" s="56">
        <v>509.24</v>
      </c>
      <c r="G3731" s="57">
        <v>1334.51</v>
      </c>
      <c r="H3731" s="57">
        <v>2389.9</v>
      </c>
      <c r="I3731" s="57">
        <v>7582.73</v>
      </c>
      <c r="J3731" s="57">
        <f t="shared" si="18"/>
        <v>11816.38</v>
      </c>
    </row>
    <row r="3732" spans="1:10" x14ac:dyDescent="0.25">
      <c r="A3732" s="20">
        <v>45657</v>
      </c>
      <c r="B3732" t="str">
        <f>IFERROR(IF(VLOOKUP(C3732,Hoja1!$B$1:$C$6191,2,0)="",_xlfn.XLOOKUP(C3732,Hoja1!$B$2:$B$6191,Hoja1!$A$2:$A$6191),VLOOKUP(C3732,Hoja1!$B$1:$C$6191,2,0)),"No esta en Infor")</f>
        <v>NAC1283</v>
      </c>
      <c r="C3732" s="56" t="s">
        <v>308</v>
      </c>
      <c r="D3732" s="56">
        <v>270</v>
      </c>
      <c r="F3732" s="56">
        <v>490</v>
      </c>
      <c r="G3732" s="56">
        <v>0</v>
      </c>
      <c r="H3732" s="56">
        <v>-118</v>
      </c>
      <c r="I3732" s="56">
        <v>0</v>
      </c>
      <c r="J3732" s="57">
        <f t="shared" si="18"/>
        <v>372</v>
      </c>
    </row>
    <row r="3733" spans="1:10" x14ac:dyDescent="0.25">
      <c r="A3733" s="20">
        <v>45657</v>
      </c>
      <c r="B3733" t="str">
        <f>IFERROR(IF(VLOOKUP(C3733,Hoja1!$B$1:$C$6191,2,0)="",_xlfn.XLOOKUP(C3733,Hoja1!$B$2:$B$6191,Hoja1!$A$2:$A$6191),VLOOKUP(C3733,Hoja1!$B$1:$C$6191,2,0)),"No esta en Infor")</f>
        <v>NAC1323</v>
      </c>
      <c r="C3733" s="56" t="s">
        <v>49</v>
      </c>
      <c r="D3733" s="57">
        <v>740066.1</v>
      </c>
      <c r="F3733" s="57">
        <v>3520.1</v>
      </c>
      <c r="G3733" s="57">
        <v>23658.68</v>
      </c>
      <c r="H3733" s="57">
        <v>18690.64</v>
      </c>
      <c r="I3733" s="56">
        <v>0</v>
      </c>
      <c r="J3733" s="57">
        <f t="shared" si="18"/>
        <v>45869.42</v>
      </c>
    </row>
    <row r="3734" spans="1:10" x14ac:dyDescent="0.25">
      <c r="A3734" s="20">
        <v>45657</v>
      </c>
      <c r="B3734" t="str">
        <f>IFERROR(IF(VLOOKUP(C3734,Hoja1!$B$1:$C$6191,2,0)="",_xlfn.XLOOKUP(C3734,Hoja1!$B$2:$B$6191,Hoja1!$A$2:$A$6191),VLOOKUP(C3734,Hoja1!$B$1:$C$6191,2,0)),"No esta en Infor")</f>
        <v>NAC1327</v>
      </c>
      <c r="C3734" s="56" t="s">
        <v>50</v>
      </c>
      <c r="D3734" s="57">
        <v>68071.56</v>
      </c>
      <c r="F3734" s="56">
        <v>-150.75</v>
      </c>
      <c r="G3734" s="57">
        <v>3667.44</v>
      </c>
      <c r="H3734" s="56">
        <v>-77.7</v>
      </c>
      <c r="I3734" s="56">
        <v>0</v>
      </c>
      <c r="J3734" s="57">
        <f t="shared" si="18"/>
        <v>3438.9900000000002</v>
      </c>
    </row>
    <row r="3735" spans="1:10" x14ac:dyDescent="0.25">
      <c r="A3735" s="20">
        <v>45657</v>
      </c>
      <c r="B3735" t="str">
        <f>IFERROR(IF(VLOOKUP(C3735,Hoja1!$B$1:$C$6191,2,0)="",_xlfn.XLOOKUP(C3735,Hoja1!$B$2:$B$6191,Hoja1!$A$2:$A$6191),VLOOKUP(C3735,Hoja1!$B$1:$C$6191,2,0)),"No esta en Infor")</f>
        <v>CAN0059</v>
      </c>
      <c r="C3735" s="56" t="s">
        <v>51</v>
      </c>
      <c r="D3735" s="57">
        <v>8707.2000000000007</v>
      </c>
      <c r="F3735" s="56">
        <v>0</v>
      </c>
      <c r="G3735" s="56">
        <v>49.14</v>
      </c>
      <c r="H3735" s="56">
        <v>0</v>
      </c>
      <c r="I3735" s="56">
        <v>0</v>
      </c>
      <c r="J3735" s="57">
        <f t="shared" si="18"/>
        <v>49.14</v>
      </c>
    </row>
    <row r="3736" spans="1:10" x14ac:dyDescent="0.25">
      <c r="A3736" s="20">
        <v>45657</v>
      </c>
      <c r="B3736" t="str">
        <f>IFERROR(IF(VLOOKUP(C3736,Hoja1!$B$1:$C$6191,2,0)="",_xlfn.XLOOKUP(C3736,Hoja1!$B$2:$B$6191,Hoja1!$A$2:$A$6191),VLOOKUP(C3736,Hoja1!$B$1:$C$6191,2,0)),"No esta en Infor")</f>
        <v>NAC1333</v>
      </c>
      <c r="C3736" s="56" t="s">
        <v>318</v>
      </c>
      <c r="D3736" s="57">
        <v>8296</v>
      </c>
      <c r="F3736" s="57">
        <v>7299.9</v>
      </c>
      <c r="G3736" s="57">
        <v>3284</v>
      </c>
      <c r="H3736" s="56">
        <v>0</v>
      </c>
      <c r="I3736" s="56">
        <v>0</v>
      </c>
      <c r="J3736" s="57">
        <f t="shared" si="18"/>
        <v>10583.9</v>
      </c>
    </row>
    <row r="3737" spans="1:10" x14ac:dyDescent="0.25">
      <c r="A3737" s="20">
        <v>45657</v>
      </c>
      <c r="B3737" t="str">
        <f>IFERROR(IF(VLOOKUP(C3737,Hoja1!$B$1:$C$6191,2,0)="",_xlfn.XLOOKUP(C3737,Hoja1!$B$2:$B$6191,Hoja1!$A$2:$A$6191),VLOOKUP(C3737,Hoja1!$B$1:$C$6191,2,0)),"No esta en Infor")</f>
        <v>NAC1348</v>
      </c>
      <c r="C3737" s="56" t="s">
        <v>323</v>
      </c>
      <c r="D3737" s="56">
        <v>0</v>
      </c>
      <c r="F3737" s="56">
        <v>197.25</v>
      </c>
      <c r="G3737" s="56">
        <v>0</v>
      </c>
      <c r="H3737" s="56">
        <v>0</v>
      </c>
      <c r="I3737" s="56">
        <v>0</v>
      </c>
      <c r="J3737" s="57">
        <f t="shared" si="18"/>
        <v>197.25</v>
      </c>
    </row>
    <row r="3738" spans="1:10" x14ac:dyDescent="0.25">
      <c r="A3738" s="20">
        <v>45657</v>
      </c>
      <c r="B3738" t="str">
        <f>IFERROR(IF(VLOOKUP(C3738,Hoja1!$B$1:$C$6191,2,0)="",_xlfn.XLOOKUP(C3738,Hoja1!$B$2:$B$6191,Hoja1!$A$2:$A$6191),VLOOKUP(C3738,Hoja1!$B$1:$C$6191,2,0)),"No esta en Infor")</f>
        <v>CAN0069</v>
      </c>
      <c r="C3738" s="56" t="s">
        <v>340</v>
      </c>
      <c r="D3738" s="56">
        <v>264.31</v>
      </c>
      <c r="F3738" s="56">
        <v>0</v>
      </c>
      <c r="G3738" s="56">
        <v>0</v>
      </c>
      <c r="H3738" s="56">
        <v>0</v>
      </c>
      <c r="I3738" s="56">
        <v>540.15</v>
      </c>
      <c r="J3738" s="57">
        <f t="shared" si="18"/>
        <v>540.15</v>
      </c>
    </row>
    <row r="3739" spans="1:10" x14ac:dyDescent="0.25">
      <c r="A3739" s="20">
        <v>45657</v>
      </c>
      <c r="B3739" t="str">
        <f>IFERROR(IF(VLOOKUP(C3739,Hoja1!$B$1:$C$6191,2,0)="",_xlfn.XLOOKUP(C3739,Hoja1!$B$2:$B$6191,Hoja1!$A$2:$A$6191),VLOOKUP(C3739,Hoja1!$B$1:$C$6191,2,0)),"No esta en Infor")</f>
        <v>NAC1448</v>
      </c>
      <c r="C3739" s="56" t="s">
        <v>9</v>
      </c>
      <c r="D3739" s="57">
        <v>28861.62</v>
      </c>
      <c r="F3739" s="57">
        <v>3500</v>
      </c>
      <c r="G3739" s="57">
        <v>5270</v>
      </c>
      <c r="H3739" s="56">
        <v>300</v>
      </c>
      <c r="I3739" s="56">
        <v>0</v>
      </c>
      <c r="J3739" s="57">
        <f t="shared" si="18"/>
        <v>9070</v>
      </c>
    </row>
    <row r="3740" spans="1:10" x14ac:dyDescent="0.25">
      <c r="A3740" s="20">
        <v>45657</v>
      </c>
      <c r="B3740" t="str">
        <f>IFERROR(IF(VLOOKUP(C3740,Hoja1!$B$1:$C$6191,2,0)="",_xlfn.XLOOKUP(C3740,Hoja1!$B$2:$B$6191,Hoja1!$A$2:$A$6191),VLOOKUP(C3740,Hoja1!$B$1:$C$6191,2,0)),"No esta en Infor")</f>
        <v>CAN0073</v>
      </c>
      <c r="C3740" s="56" t="s">
        <v>349</v>
      </c>
      <c r="D3740" s="57">
        <v>4905.2</v>
      </c>
      <c r="F3740" s="56">
        <v>421.68</v>
      </c>
      <c r="G3740" s="57">
        <v>1091.8900000000001</v>
      </c>
      <c r="H3740" s="56">
        <v>240.07</v>
      </c>
      <c r="I3740" s="56">
        <v>0</v>
      </c>
      <c r="J3740" s="57">
        <f t="shared" si="18"/>
        <v>1753.64</v>
      </c>
    </row>
    <row r="3741" spans="1:10" x14ac:dyDescent="0.25">
      <c r="A3741" s="20">
        <v>45657</v>
      </c>
      <c r="B3741" t="str">
        <f>IFERROR(IF(VLOOKUP(C3741,Hoja1!$B$1:$C$6191,2,0)="",_xlfn.XLOOKUP(C3741,Hoja1!$B$2:$B$6191,Hoja1!$A$2:$A$6191),VLOOKUP(C3741,Hoja1!$B$1:$C$6191,2,0)),"No esta en Infor")</f>
        <v>NAC1449</v>
      </c>
      <c r="C3741" s="56" t="s">
        <v>706</v>
      </c>
      <c r="D3741" s="56">
        <v>0</v>
      </c>
      <c r="F3741" s="57">
        <v>14911.15</v>
      </c>
      <c r="G3741" s="56">
        <v>0</v>
      </c>
      <c r="H3741" s="56">
        <v>0</v>
      </c>
      <c r="I3741" s="56">
        <v>0</v>
      </c>
      <c r="J3741" s="57">
        <f t="shared" si="18"/>
        <v>14911.15</v>
      </c>
    </row>
    <row r="3742" spans="1:10" x14ac:dyDescent="0.25">
      <c r="A3742" s="20">
        <v>45657</v>
      </c>
      <c r="B3742" t="str">
        <f>IFERROR(IF(VLOOKUP(C3742,Hoja1!$B$1:$C$6191,2,0)="",_xlfn.XLOOKUP(C3742,Hoja1!$B$2:$B$6191,Hoja1!$A$2:$A$6191),VLOOKUP(C3742,Hoja1!$B$1:$C$6191,2,0)),"No esta en Infor")</f>
        <v>NAC1450</v>
      </c>
      <c r="C3742" s="56" t="s">
        <v>54</v>
      </c>
      <c r="D3742" s="56">
        <v>709.5</v>
      </c>
      <c r="F3742" s="56">
        <v>314.52999999999997</v>
      </c>
      <c r="G3742" s="56">
        <v>0</v>
      </c>
      <c r="H3742" s="56">
        <v>12</v>
      </c>
      <c r="I3742" s="56">
        <v>-112.66</v>
      </c>
      <c r="J3742" s="57">
        <f t="shared" si="18"/>
        <v>213.86999999999998</v>
      </c>
    </row>
    <row r="3743" spans="1:10" x14ac:dyDescent="0.25">
      <c r="A3743" s="20">
        <v>45657</v>
      </c>
      <c r="B3743" t="str">
        <f>IFERROR(IF(VLOOKUP(C3743,Hoja1!$B$1:$C$6191,2,0)="",_xlfn.XLOOKUP(C3743,Hoja1!$B$2:$B$6191,Hoja1!$A$2:$A$6191),VLOOKUP(C3743,Hoja1!$B$1:$C$6191,2,0)),"No esta en Infor")</f>
        <v>NAC1500</v>
      </c>
      <c r="C3743" s="56" t="s">
        <v>432</v>
      </c>
      <c r="D3743" s="56">
        <v>-0.06</v>
      </c>
      <c r="F3743" s="56">
        <v>0</v>
      </c>
      <c r="G3743" s="56">
        <v>0</v>
      </c>
      <c r="H3743" s="56">
        <v>51.8</v>
      </c>
      <c r="I3743" s="56">
        <v>0</v>
      </c>
      <c r="J3743" s="57">
        <f t="shared" si="18"/>
        <v>51.8</v>
      </c>
    </row>
    <row r="3744" spans="1:10" x14ac:dyDescent="0.25">
      <c r="A3744" s="20">
        <v>45657</v>
      </c>
      <c r="B3744" t="str">
        <f>IFERROR(IF(VLOOKUP(C3744,Hoja1!$B$1:$C$6191,2,0)="",_xlfn.XLOOKUP(C3744,Hoja1!$B$2:$B$6191,Hoja1!$A$2:$A$6191),VLOOKUP(C3744,Hoja1!$B$1:$C$6191,2,0)),"No esta en Infor")</f>
        <v>NAC1512</v>
      </c>
      <c r="C3744" s="56" t="s">
        <v>56</v>
      </c>
      <c r="D3744" s="56">
        <v>0</v>
      </c>
      <c r="F3744" s="56">
        <v>0</v>
      </c>
      <c r="G3744" s="56">
        <v>0</v>
      </c>
      <c r="H3744" s="56">
        <v>0</v>
      </c>
      <c r="I3744" s="57">
        <v>12490</v>
      </c>
      <c r="J3744" s="57">
        <f t="shared" si="18"/>
        <v>12490</v>
      </c>
    </row>
    <row r="3745" spans="1:10" x14ac:dyDescent="0.25">
      <c r="A3745" s="20">
        <v>45657</v>
      </c>
      <c r="B3745" t="str">
        <f>IFERROR(IF(VLOOKUP(C3745,Hoja1!$B$1:$C$6191,2,0)="",_xlfn.XLOOKUP(C3745,Hoja1!$B$2:$B$6191,Hoja1!$A$2:$A$6191),VLOOKUP(C3745,Hoja1!$B$1:$C$6191,2,0)),"No esta en Infor")</f>
        <v>NAC1517</v>
      </c>
      <c r="C3745" s="56" t="s">
        <v>365</v>
      </c>
      <c r="D3745" s="57">
        <v>47746.25</v>
      </c>
      <c r="F3745" s="57">
        <v>1323.4</v>
      </c>
      <c r="G3745" s="56">
        <v>-623.13</v>
      </c>
      <c r="H3745" s="56">
        <v>-69</v>
      </c>
      <c r="I3745" s="56">
        <v>-194.5</v>
      </c>
      <c r="J3745" s="57">
        <f t="shared" si="18"/>
        <v>436.7700000000001</v>
      </c>
    </row>
    <row r="3746" spans="1:10" ht="15.75" x14ac:dyDescent="0.25">
      <c r="A3746" s="20">
        <v>45657</v>
      </c>
      <c r="B3746" t="str">
        <f>IFERROR(IF(VLOOKUP(C3746,Hoja1!$B$1:$C$6191,2,0)="",_xlfn.XLOOKUP(C3746,Hoja1!$B$2:$B$6191,Hoja1!$A$2:$A$6191),VLOOKUP(C3746,Hoja1!$B$1:$C$6191,2,0)),"No esta en Infor")</f>
        <v>CAN0087</v>
      </c>
      <c r="C3746" s="19" t="s">
        <v>1091</v>
      </c>
      <c r="D3746" s="56">
        <v>0</v>
      </c>
      <c r="F3746" s="57">
        <v>3483.79</v>
      </c>
      <c r="G3746" s="57">
        <v>-1160.8900000000001</v>
      </c>
      <c r="H3746" s="56">
        <v>0</v>
      </c>
      <c r="I3746" s="56">
        <v>0</v>
      </c>
      <c r="J3746" s="57">
        <f t="shared" si="18"/>
        <v>2322.8999999999996</v>
      </c>
    </row>
    <row r="3747" spans="1:10" x14ac:dyDescent="0.25">
      <c r="A3747" s="20">
        <v>45657</v>
      </c>
      <c r="B3747" t="str">
        <f>IFERROR(IF(VLOOKUP(C3747,Hoja1!$B$1:$C$6191,2,0)="",_xlfn.XLOOKUP(C3747,Hoja1!$B$2:$B$6191,Hoja1!$A$2:$A$6191),VLOOKUP(C3747,Hoja1!$B$1:$C$6191,2,0)),"No esta en Infor")</f>
        <v>SH03278</v>
      </c>
      <c r="C3747" t="s">
        <v>857</v>
      </c>
      <c r="D3747">
        <v>11.3</v>
      </c>
      <c r="F3747">
        <v>0</v>
      </c>
      <c r="G3747">
        <v>0</v>
      </c>
      <c r="H3747">
        <v>0</v>
      </c>
      <c r="I3747">
        <v>0</v>
      </c>
      <c r="J3747" s="58">
        <f t="shared" si="18"/>
        <v>0</v>
      </c>
    </row>
    <row r="3748" spans="1:10" x14ac:dyDescent="0.25">
      <c r="A3748" s="20">
        <v>45657</v>
      </c>
      <c r="B3748" t="str">
        <f>IFERROR(IF(VLOOKUP(C3748,Hoja1!$B$1:$C$6191,2,0)="",_xlfn.XLOOKUP(C3748,Hoja1!$B$2:$B$6191,Hoja1!$A$2:$A$6191),VLOOKUP(C3748,Hoja1!$B$1:$C$6191,2,0)),"No esta en Infor")</f>
        <v>NAC0456</v>
      </c>
      <c r="C3748" t="s">
        <v>10</v>
      </c>
      <c r="D3748" s="58">
        <v>12808.32</v>
      </c>
      <c r="F3748">
        <v>-51.08</v>
      </c>
      <c r="G3748">
        <v>0</v>
      </c>
      <c r="H3748">
        <v>-42.12</v>
      </c>
      <c r="I3748">
        <v>0</v>
      </c>
      <c r="J3748" s="58">
        <f t="shared" si="18"/>
        <v>-93.199999999999989</v>
      </c>
    </row>
    <row r="3749" spans="1:10" x14ac:dyDescent="0.25">
      <c r="A3749" s="20">
        <v>45657</v>
      </c>
      <c r="B3749" t="str">
        <f>IFERROR(IF(VLOOKUP(C3749,Hoja1!$B$1:$C$6191,2,0)="",_xlfn.XLOOKUP(C3749,Hoja1!$B$2:$B$6191,Hoja1!$A$2:$A$6191),VLOOKUP(C3749,Hoja1!$B$1:$C$6191,2,0)),"No esta en Infor")</f>
        <v>NAC0461</v>
      </c>
      <c r="C3749" t="s">
        <v>59</v>
      </c>
      <c r="D3749">
        <v>203.66</v>
      </c>
      <c r="F3749">
        <v>0</v>
      </c>
      <c r="G3749">
        <v>0</v>
      </c>
      <c r="H3749">
        <v>0</v>
      </c>
      <c r="I3749">
        <v>0</v>
      </c>
      <c r="J3749" s="58">
        <f t="shared" si="18"/>
        <v>0</v>
      </c>
    </row>
    <row r="3750" spans="1:10" x14ac:dyDescent="0.25">
      <c r="A3750" s="20">
        <v>45657</v>
      </c>
      <c r="B3750" t="str">
        <f>IFERROR(IF(VLOOKUP(C3750,Hoja1!$B$1:$C$6191,2,0)="",_xlfn.XLOOKUP(C3750,Hoja1!$B$2:$B$6191,Hoja1!$A$2:$A$6191),VLOOKUP(C3750,Hoja1!$B$1:$C$6191,2,0)),"No esta en Infor")</f>
        <v>NAC0470</v>
      </c>
      <c r="C3750" t="s">
        <v>62</v>
      </c>
      <c r="D3750">
        <v>181.42</v>
      </c>
      <c r="F3750">
        <v>0</v>
      </c>
      <c r="G3750">
        <v>0</v>
      </c>
      <c r="H3750">
        <v>0</v>
      </c>
      <c r="I3750">
        <v>0</v>
      </c>
      <c r="J3750" s="58">
        <f t="shared" si="18"/>
        <v>0</v>
      </c>
    </row>
    <row r="3751" spans="1:10" x14ac:dyDescent="0.25">
      <c r="A3751" s="20">
        <v>45657</v>
      </c>
      <c r="B3751" t="str">
        <f>IFERROR(IF(VLOOKUP(C3751,Hoja1!$B$1:$C$6191,2,0)="",_xlfn.XLOOKUP(C3751,Hoja1!$B$2:$B$6191,Hoja1!$A$2:$A$6191),VLOOKUP(C3751,Hoja1!$B$1:$C$6191,2,0)),"No esta en Infor")</f>
        <v>NAC0474</v>
      </c>
      <c r="C3751" t="s">
        <v>375</v>
      </c>
      <c r="D3751">
        <v>0</v>
      </c>
      <c r="F3751">
        <v>-3</v>
      </c>
      <c r="G3751">
        <v>0</v>
      </c>
      <c r="H3751">
        <v>0</v>
      </c>
      <c r="I3751">
        <v>0</v>
      </c>
      <c r="J3751" s="58">
        <f t="shared" si="18"/>
        <v>-3</v>
      </c>
    </row>
    <row r="3752" spans="1:10" x14ac:dyDescent="0.25">
      <c r="A3752" s="20">
        <v>45657</v>
      </c>
      <c r="B3752" t="str">
        <f>IFERROR(IF(VLOOKUP(C3752,Hoja1!$B$1:$C$6191,2,0)="",_xlfn.XLOOKUP(C3752,Hoja1!$B$2:$B$6191,Hoja1!$A$2:$A$6191),VLOOKUP(C3752,Hoja1!$B$1:$C$6191,2,0)),"No esta en Infor")</f>
        <v>NAC0475</v>
      </c>
      <c r="C3752" t="s">
        <v>63</v>
      </c>
      <c r="D3752">
        <v>117.92</v>
      </c>
      <c r="F3752">
        <v>0</v>
      </c>
      <c r="G3752">
        <v>0</v>
      </c>
      <c r="H3752">
        <v>0</v>
      </c>
      <c r="I3752">
        <v>0</v>
      </c>
      <c r="J3752" s="58">
        <f t="shared" si="18"/>
        <v>0</v>
      </c>
    </row>
    <row r="3753" spans="1:10" x14ac:dyDescent="0.25">
      <c r="A3753" s="20">
        <v>45657</v>
      </c>
      <c r="B3753" t="str">
        <f>IFERROR(IF(VLOOKUP(C3753,Hoja1!$B$1:$C$6191,2,0)="",_xlfn.XLOOKUP(C3753,Hoja1!$B$2:$B$6191,Hoja1!$A$2:$A$6191),VLOOKUP(C3753,Hoja1!$B$1:$C$6191,2,0)),"No esta en Infor")</f>
        <v>SH03121</v>
      </c>
      <c r="C3753" t="s">
        <v>797</v>
      </c>
      <c r="D3753">
        <v>-57.86</v>
      </c>
      <c r="F3753">
        <v>0</v>
      </c>
      <c r="G3753">
        <v>0</v>
      </c>
      <c r="H3753">
        <v>0</v>
      </c>
      <c r="I3753">
        <v>0</v>
      </c>
      <c r="J3753" s="58">
        <f t="shared" ref="J3753:J3816" si="19">SUM(E3753:I3753)</f>
        <v>0</v>
      </c>
    </row>
    <row r="3754" spans="1:10" x14ac:dyDescent="0.25">
      <c r="A3754" s="20">
        <v>45657</v>
      </c>
      <c r="B3754" t="str">
        <f>IFERROR(IF(VLOOKUP(C3754,Hoja1!$B$1:$C$6191,2,0)="",_xlfn.XLOOKUP(C3754,Hoja1!$B$2:$B$6191,Hoja1!$A$2:$A$6191),VLOOKUP(C3754,Hoja1!$B$1:$C$6191,2,0)),"No esta en Infor")</f>
        <v>NAC0996</v>
      </c>
      <c r="C3754" t="s">
        <v>864</v>
      </c>
      <c r="D3754" s="58">
        <v>-8178.1</v>
      </c>
      <c r="F3754">
        <v>0</v>
      </c>
      <c r="G3754">
        <v>0</v>
      </c>
      <c r="H3754">
        <v>0</v>
      </c>
      <c r="I3754">
        <v>0</v>
      </c>
      <c r="J3754" s="58">
        <f t="shared" si="19"/>
        <v>0</v>
      </c>
    </row>
    <row r="3755" spans="1:10" x14ac:dyDescent="0.25">
      <c r="A3755" s="20">
        <v>45657</v>
      </c>
      <c r="B3755" t="str">
        <f>IFERROR(IF(VLOOKUP(C3755,Hoja1!$B$1:$C$6191,2,0)="",_xlfn.XLOOKUP(C3755,Hoja1!$B$2:$B$6191,Hoja1!$A$2:$A$6191),VLOOKUP(C3755,Hoja1!$B$1:$C$6191,2,0)),"No esta en Infor")</f>
        <v>NAC0513</v>
      </c>
      <c r="C3755" t="s">
        <v>377</v>
      </c>
      <c r="D3755">
        <v>0</v>
      </c>
      <c r="F3755">
        <v>0</v>
      </c>
      <c r="G3755">
        <v>0</v>
      </c>
      <c r="H3755">
        <v>-220.24</v>
      </c>
      <c r="I3755">
        <v>0</v>
      </c>
      <c r="J3755" s="58">
        <f t="shared" si="19"/>
        <v>-220.24</v>
      </c>
    </row>
    <row r="3756" spans="1:10" x14ac:dyDescent="0.25">
      <c r="A3756" s="20">
        <v>45657</v>
      </c>
      <c r="B3756" t="str">
        <f>IFERROR(IF(VLOOKUP(C3756,Hoja1!$B$1:$C$6191,2,0)="",_xlfn.XLOOKUP(C3756,Hoja1!$B$2:$B$6191,Hoja1!$A$2:$A$6191),VLOOKUP(C3756,Hoja1!$B$1:$C$6191,2,0)),"No esta en Infor")</f>
        <v>SH03564</v>
      </c>
      <c r="C3756" t="s">
        <v>865</v>
      </c>
      <c r="D3756">
        <v>46.87</v>
      </c>
      <c r="F3756">
        <v>0</v>
      </c>
      <c r="G3756">
        <v>0</v>
      </c>
      <c r="H3756">
        <v>0</v>
      </c>
      <c r="I3756">
        <v>0</v>
      </c>
      <c r="J3756" s="58">
        <f t="shared" si="19"/>
        <v>0</v>
      </c>
    </row>
    <row r="3757" spans="1:10" x14ac:dyDescent="0.25">
      <c r="A3757" s="20">
        <v>45657</v>
      </c>
      <c r="B3757" t="str">
        <f>IFERROR(IF(VLOOKUP(C3757,Hoja1!$B$1:$C$6191,2,0)="",_xlfn.XLOOKUP(C3757,Hoja1!$B$2:$B$6191,Hoja1!$A$2:$A$6191),VLOOKUP(C3757,Hoja1!$B$1:$C$6191,2,0)),"No esta en Infor")</f>
        <v>NAC0520</v>
      </c>
      <c r="C3757" t="s">
        <v>68</v>
      </c>
      <c r="D3757" s="58">
        <v>21378</v>
      </c>
      <c r="F3757">
        <v>0</v>
      </c>
      <c r="G3757">
        <v>0</v>
      </c>
      <c r="H3757">
        <v>-13.6</v>
      </c>
      <c r="I3757">
        <v>-458.33</v>
      </c>
      <c r="J3757" s="58">
        <f t="shared" si="19"/>
        <v>-471.93</v>
      </c>
    </row>
    <row r="3758" spans="1:10" x14ac:dyDescent="0.25">
      <c r="A3758" s="20">
        <v>45657</v>
      </c>
      <c r="B3758" t="str">
        <f>IFERROR(IF(VLOOKUP(C3758,Hoja1!$B$1:$C$6191,2,0)="",_xlfn.XLOOKUP(C3758,Hoja1!$B$2:$B$6191,Hoja1!$A$2:$A$6191),VLOOKUP(C3758,Hoja1!$B$1:$C$6191,2,0)),"No esta en Infor")</f>
        <v>NAC1650</v>
      </c>
      <c r="C3758" t="s">
        <v>866</v>
      </c>
      <c r="D3758">
        <v>229.11</v>
      </c>
      <c r="F3758">
        <v>0</v>
      </c>
      <c r="G3758">
        <v>0</v>
      </c>
      <c r="H3758">
        <v>0</v>
      </c>
      <c r="I3758">
        <v>0</v>
      </c>
      <c r="J3758" s="58">
        <f t="shared" si="19"/>
        <v>0</v>
      </c>
    </row>
    <row r="3759" spans="1:10" x14ac:dyDescent="0.25">
      <c r="A3759" s="20">
        <v>45657</v>
      </c>
      <c r="B3759" t="str">
        <f>IFERROR(IF(VLOOKUP(C3759,Hoja1!$B$1:$C$6191,2,0)="",_xlfn.XLOOKUP(C3759,Hoja1!$B$2:$B$6191,Hoja1!$A$2:$A$6191),VLOOKUP(C3759,Hoja1!$B$1:$C$6191,2,0)),"No esta en Infor")</f>
        <v>SH03568</v>
      </c>
      <c r="C3759" t="s">
        <v>867</v>
      </c>
      <c r="D3759">
        <v>65.89</v>
      </c>
      <c r="F3759">
        <v>0</v>
      </c>
      <c r="G3759">
        <v>0</v>
      </c>
      <c r="H3759">
        <v>0</v>
      </c>
      <c r="I3759">
        <v>0</v>
      </c>
      <c r="J3759" s="58">
        <f t="shared" si="19"/>
        <v>0</v>
      </c>
    </row>
    <row r="3760" spans="1:10" x14ac:dyDescent="0.25">
      <c r="A3760" s="20">
        <v>45657</v>
      </c>
      <c r="B3760" t="str">
        <f>IFERROR(IF(VLOOKUP(C3760,Hoja1!$B$1:$C$6191,2,0)="",_xlfn.XLOOKUP(C3760,Hoja1!$B$2:$B$6191,Hoja1!$A$2:$A$6191),VLOOKUP(C3760,Hoja1!$B$1:$C$6191,2,0)),"No esta en Infor")</f>
        <v>NAC0525</v>
      </c>
      <c r="C3760" t="s">
        <v>71</v>
      </c>
      <c r="D3760" s="58">
        <v>39360.85</v>
      </c>
      <c r="F3760">
        <v>0</v>
      </c>
      <c r="G3760">
        <v>0</v>
      </c>
      <c r="H3760">
        <v>0</v>
      </c>
      <c r="I3760">
        <v>0</v>
      </c>
      <c r="J3760" s="58">
        <f t="shared" si="19"/>
        <v>0</v>
      </c>
    </row>
    <row r="3761" spans="1:10" x14ac:dyDescent="0.25">
      <c r="A3761" s="20">
        <v>45657</v>
      </c>
      <c r="B3761" t="str">
        <f>IFERROR(IF(VLOOKUP(C3761,Hoja1!$B$1:$C$6191,2,0)="",_xlfn.XLOOKUP(C3761,Hoja1!$B$2:$B$6191,Hoja1!$A$2:$A$6191),VLOOKUP(C3761,Hoja1!$B$1:$C$6191,2,0)),"No esta en Infor")</f>
        <v>SH00093</v>
      </c>
      <c r="C3761" t="s">
        <v>708</v>
      </c>
      <c r="D3761">
        <v>6.05</v>
      </c>
      <c r="F3761">
        <v>0</v>
      </c>
      <c r="G3761">
        <v>0</v>
      </c>
      <c r="H3761">
        <v>0</v>
      </c>
      <c r="I3761">
        <v>0</v>
      </c>
      <c r="J3761" s="58">
        <f t="shared" si="19"/>
        <v>0</v>
      </c>
    </row>
    <row r="3762" spans="1:10" x14ac:dyDescent="0.25">
      <c r="A3762" s="20">
        <v>45657</v>
      </c>
      <c r="B3762" t="str">
        <f>IFERROR(IF(VLOOKUP(C3762,Hoja1!$B$1:$C$6191,2,0)="",_xlfn.XLOOKUP(C3762,Hoja1!$B$2:$B$6191,Hoja1!$A$2:$A$6191),VLOOKUP(C3762,Hoja1!$B$1:$C$6191,2,0)),"No esta en Infor")</f>
        <v>SH03259</v>
      </c>
      <c r="C3762" t="s">
        <v>805</v>
      </c>
      <c r="D3762">
        <v>5.63</v>
      </c>
      <c r="F3762">
        <v>0</v>
      </c>
      <c r="G3762">
        <v>0</v>
      </c>
      <c r="H3762">
        <v>0</v>
      </c>
      <c r="I3762">
        <v>0</v>
      </c>
      <c r="J3762" s="58">
        <f t="shared" si="19"/>
        <v>0</v>
      </c>
    </row>
    <row r="3763" spans="1:10" x14ac:dyDescent="0.25">
      <c r="A3763" s="20">
        <v>45657</v>
      </c>
      <c r="B3763" t="str">
        <f>IFERROR(IF(VLOOKUP(C3763,Hoja1!$B$1:$C$6191,2,0)="",_xlfn.XLOOKUP(C3763,Hoja1!$B$2:$B$6191,Hoja1!$A$2:$A$6191),VLOOKUP(C3763,Hoja1!$B$1:$C$6191,2,0)),"No esta en Infor")</f>
        <v>NAC0528</v>
      </c>
      <c r="C3763" t="s">
        <v>76</v>
      </c>
      <c r="D3763" s="58">
        <v>38560.6</v>
      </c>
      <c r="F3763">
        <v>0</v>
      </c>
      <c r="G3763">
        <v>0</v>
      </c>
      <c r="H3763">
        <v>0</v>
      </c>
      <c r="I3763">
        <v>0</v>
      </c>
      <c r="J3763" s="58">
        <f t="shared" si="19"/>
        <v>0</v>
      </c>
    </row>
    <row r="3764" spans="1:10" x14ac:dyDescent="0.25">
      <c r="A3764" s="20">
        <v>45657</v>
      </c>
      <c r="B3764" t="str">
        <f>IFERROR(IF(VLOOKUP(C3764,Hoja1!$B$1:$C$6191,2,0)="",_xlfn.XLOOKUP(C3764,Hoja1!$B$2:$B$6191,Hoja1!$A$2:$A$6191),VLOOKUP(C3764,Hoja1!$B$1:$C$6191,2,0)),"No esta en Infor")</f>
        <v>SH03365</v>
      </c>
      <c r="C3764" t="s">
        <v>825</v>
      </c>
      <c r="D3764">
        <v>5.81</v>
      </c>
      <c r="F3764">
        <v>0</v>
      </c>
      <c r="G3764">
        <v>0</v>
      </c>
      <c r="H3764">
        <v>0</v>
      </c>
      <c r="I3764">
        <v>0</v>
      </c>
      <c r="J3764" s="58">
        <f t="shared" si="19"/>
        <v>0</v>
      </c>
    </row>
    <row r="3765" spans="1:10" x14ac:dyDescent="0.25">
      <c r="A3765" s="20">
        <v>45657</v>
      </c>
      <c r="B3765" t="str">
        <f>IFERROR(IF(VLOOKUP(C3765,Hoja1!$B$1:$C$6191,2,0)="",_xlfn.XLOOKUP(C3765,Hoja1!$B$2:$B$6191,Hoja1!$A$2:$A$6191),VLOOKUP(C3765,Hoja1!$B$1:$C$6191,2,0)),"No esta en Infor")</f>
        <v>SH03563</v>
      </c>
      <c r="C3765" t="s">
        <v>868</v>
      </c>
      <c r="D3765">
        <v>-234.74</v>
      </c>
      <c r="F3765">
        <v>0</v>
      </c>
      <c r="G3765">
        <v>0</v>
      </c>
      <c r="H3765">
        <v>0</v>
      </c>
      <c r="I3765">
        <v>0</v>
      </c>
      <c r="J3765" s="58">
        <f t="shared" si="19"/>
        <v>0</v>
      </c>
    </row>
    <row r="3766" spans="1:10" x14ac:dyDescent="0.25">
      <c r="A3766" s="20">
        <v>45657</v>
      </c>
      <c r="B3766" t="str">
        <f>IFERROR(IF(VLOOKUP(C3766,Hoja1!$B$1:$C$6191,2,0)="",_xlfn.XLOOKUP(C3766,Hoja1!$B$2:$B$6191,Hoja1!$A$2:$A$6191),VLOOKUP(C3766,Hoja1!$B$1:$C$6191,2,0)),"No esta en Infor")</f>
        <v>NAC0532</v>
      </c>
      <c r="C3766" t="s">
        <v>612</v>
      </c>
      <c r="D3766">
        <v>663.05</v>
      </c>
      <c r="F3766">
        <v>-92.32</v>
      </c>
      <c r="G3766">
        <v>0</v>
      </c>
      <c r="H3766">
        <v>0</v>
      </c>
      <c r="I3766">
        <v>0</v>
      </c>
      <c r="J3766" s="58">
        <f t="shared" si="19"/>
        <v>-92.32</v>
      </c>
    </row>
    <row r="3767" spans="1:10" x14ac:dyDescent="0.25">
      <c r="A3767" s="20">
        <v>45657</v>
      </c>
      <c r="B3767" t="str">
        <f>IFERROR(IF(VLOOKUP(C3767,Hoja1!$B$1:$C$6191,2,0)="",_xlfn.XLOOKUP(C3767,Hoja1!$B$2:$B$6191,Hoja1!$A$2:$A$6191),VLOOKUP(C3767,Hoja1!$B$1:$C$6191,2,0)),"No esta en Infor")</f>
        <v>NAC0534</v>
      </c>
      <c r="C3767" t="s">
        <v>78</v>
      </c>
      <c r="D3767" s="58">
        <v>12972</v>
      </c>
      <c r="F3767">
        <v>0</v>
      </c>
      <c r="G3767">
        <v>0</v>
      </c>
      <c r="H3767">
        <v>0</v>
      </c>
      <c r="I3767">
        <v>0</v>
      </c>
      <c r="J3767" s="58">
        <f t="shared" si="19"/>
        <v>0</v>
      </c>
    </row>
    <row r="3768" spans="1:10" x14ac:dyDescent="0.25">
      <c r="A3768" s="20">
        <v>45657</v>
      </c>
      <c r="B3768" t="str">
        <f>IFERROR(IF(VLOOKUP(C3768,Hoja1!$B$1:$C$6191,2,0)="",_xlfn.XLOOKUP(C3768,Hoja1!$B$2:$B$6191,Hoja1!$A$2:$A$6191),VLOOKUP(C3768,Hoja1!$B$1:$C$6191,2,0)),"No esta en Infor")</f>
        <v>NAC0539</v>
      </c>
      <c r="C3768" t="s">
        <v>80</v>
      </c>
      <c r="D3768" s="58">
        <v>4014</v>
      </c>
      <c r="F3768">
        <v>0</v>
      </c>
      <c r="G3768">
        <v>0</v>
      </c>
      <c r="H3768">
        <v>0</v>
      </c>
      <c r="I3768">
        <v>0</v>
      </c>
      <c r="J3768" s="58">
        <f t="shared" si="19"/>
        <v>0</v>
      </c>
    </row>
    <row r="3769" spans="1:10" x14ac:dyDescent="0.25">
      <c r="A3769" s="20">
        <v>45657</v>
      </c>
      <c r="B3769" t="str">
        <f>IFERROR(IF(VLOOKUP(C3769,Hoja1!$B$1:$C$6191,2,0)="",_xlfn.XLOOKUP(C3769,Hoja1!$B$2:$B$6191,Hoja1!$A$2:$A$6191),VLOOKUP(C3769,Hoja1!$B$1:$C$6191,2,0)),"No esta en Infor")</f>
        <v>NAC0544</v>
      </c>
      <c r="C3769" t="s">
        <v>82</v>
      </c>
      <c r="D3769">
        <v>80</v>
      </c>
      <c r="F3769">
        <v>0</v>
      </c>
      <c r="G3769">
        <v>0</v>
      </c>
      <c r="H3769">
        <v>0</v>
      </c>
      <c r="I3769">
        <v>0</v>
      </c>
      <c r="J3769" s="58">
        <f t="shared" si="19"/>
        <v>0</v>
      </c>
    </row>
    <row r="3770" spans="1:10" x14ac:dyDescent="0.25">
      <c r="A3770" s="20">
        <v>45657</v>
      </c>
      <c r="B3770" t="str">
        <f>IFERROR(IF(VLOOKUP(C3770,Hoja1!$B$1:$C$6191,2,0)="",_xlfn.XLOOKUP(C3770,Hoja1!$B$2:$B$6191,Hoja1!$A$2:$A$6191),VLOOKUP(C3770,Hoja1!$B$1:$C$6191,2,0)),"No esta en Infor")</f>
        <v>NAC0546</v>
      </c>
      <c r="C3770" t="s">
        <v>83</v>
      </c>
      <c r="D3770" s="58">
        <v>3085</v>
      </c>
      <c r="F3770">
        <v>0</v>
      </c>
      <c r="G3770">
        <v>0</v>
      </c>
      <c r="H3770">
        <v>0</v>
      </c>
      <c r="I3770">
        <v>0</v>
      </c>
      <c r="J3770" s="58">
        <f t="shared" si="19"/>
        <v>0</v>
      </c>
    </row>
    <row r="3771" spans="1:10" x14ac:dyDescent="0.25">
      <c r="A3771" s="20">
        <v>45657</v>
      </c>
      <c r="B3771" t="str">
        <f>IFERROR(IF(VLOOKUP(C3771,Hoja1!$B$1:$C$6191,2,0)="",_xlfn.XLOOKUP(C3771,Hoja1!$B$2:$B$6191,Hoja1!$A$2:$A$6191),VLOOKUP(C3771,Hoja1!$B$1:$C$6191,2,0)),"No esta en Infor")</f>
        <v>NAC0550</v>
      </c>
      <c r="C3771" t="s">
        <v>84</v>
      </c>
      <c r="D3771" s="58">
        <v>46630</v>
      </c>
      <c r="F3771">
        <v>0</v>
      </c>
      <c r="G3771">
        <v>0</v>
      </c>
      <c r="H3771">
        <v>0</v>
      </c>
      <c r="I3771">
        <v>0</v>
      </c>
      <c r="J3771" s="58">
        <f t="shared" si="19"/>
        <v>0</v>
      </c>
    </row>
    <row r="3772" spans="1:10" x14ac:dyDescent="0.25">
      <c r="A3772" s="20">
        <v>45657</v>
      </c>
      <c r="B3772" t="str">
        <f>IFERROR(IF(VLOOKUP(C3772,Hoja1!$B$1:$C$6191,2,0)="",_xlfn.XLOOKUP(C3772,Hoja1!$B$2:$B$6191,Hoja1!$A$2:$A$6191),VLOOKUP(C3772,Hoja1!$B$1:$C$6191,2,0)),"No esta en Infor")</f>
        <v>NAC0556</v>
      </c>
      <c r="C3772" t="s">
        <v>14</v>
      </c>
      <c r="D3772" s="58">
        <v>2739.13</v>
      </c>
      <c r="F3772">
        <v>0</v>
      </c>
      <c r="G3772">
        <v>0</v>
      </c>
      <c r="H3772">
        <v>0</v>
      </c>
      <c r="I3772">
        <v>0</v>
      </c>
      <c r="J3772" s="58">
        <f t="shared" si="19"/>
        <v>0</v>
      </c>
    </row>
    <row r="3773" spans="1:10" x14ac:dyDescent="0.25">
      <c r="A3773" s="20">
        <v>45657</v>
      </c>
      <c r="B3773" t="str">
        <f>IFERROR(IF(VLOOKUP(C3773,Hoja1!$B$1:$C$6191,2,0)="",_xlfn.XLOOKUP(C3773,Hoja1!$B$2:$B$6191,Hoja1!$A$2:$A$6191),VLOOKUP(C3773,Hoja1!$B$1:$C$6191,2,0)),"No esta en Infor")</f>
        <v>NAC0558</v>
      </c>
      <c r="C3773" t="s">
        <v>86</v>
      </c>
      <c r="D3773" s="58">
        <v>8182</v>
      </c>
      <c r="F3773">
        <v>0</v>
      </c>
      <c r="G3773">
        <v>0</v>
      </c>
      <c r="H3773">
        <v>0</v>
      </c>
      <c r="I3773">
        <v>0</v>
      </c>
      <c r="J3773" s="58">
        <f t="shared" si="19"/>
        <v>0</v>
      </c>
    </row>
    <row r="3774" spans="1:10" x14ac:dyDescent="0.25">
      <c r="A3774" s="20">
        <v>45657</v>
      </c>
      <c r="B3774" t="str">
        <f>IFERROR(IF(VLOOKUP(C3774,Hoja1!$B$1:$C$6191,2,0)="",_xlfn.XLOOKUP(C3774,Hoja1!$B$2:$B$6191,Hoja1!$A$2:$A$6191),VLOOKUP(C3774,Hoja1!$B$1:$C$6191,2,0)),"No esta en Infor")</f>
        <v>NAC0567</v>
      </c>
      <c r="C3774" t="s">
        <v>541</v>
      </c>
      <c r="D3774">
        <v>0</v>
      </c>
      <c r="F3774">
        <v>-608.84</v>
      </c>
      <c r="G3774">
        <v>0</v>
      </c>
      <c r="H3774">
        <v>0</v>
      </c>
      <c r="I3774">
        <v>0</v>
      </c>
      <c r="J3774" s="58">
        <f t="shared" si="19"/>
        <v>-608.84</v>
      </c>
    </row>
    <row r="3775" spans="1:10" x14ac:dyDescent="0.25">
      <c r="A3775" s="20">
        <v>45657</v>
      </c>
      <c r="B3775" t="str">
        <f>IFERROR(IF(VLOOKUP(C3775,Hoja1!$B$1:$C$6191,2,0)="",_xlfn.XLOOKUP(C3775,Hoja1!$B$2:$B$6191,Hoja1!$A$2:$A$6191),VLOOKUP(C3775,Hoja1!$B$1:$C$6191,2,0)),"No esta en Infor")</f>
        <v>SH02874</v>
      </c>
      <c r="C3775" t="s">
        <v>650</v>
      </c>
      <c r="D3775">
        <v>13.83</v>
      </c>
      <c r="F3775">
        <v>13.83</v>
      </c>
      <c r="G3775">
        <v>0</v>
      </c>
      <c r="H3775">
        <v>0</v>
      </c>
      <c r="I3775">
        <v>0</v>
      </c>
      <c r="J3775" s="58">
        <f t="shared" si="19"/>
        <v>13.83</v>
      </c>
    </row>
    <row r="3776" spans="1:10" x14ac:dyDescent="0.25">
      <c r="A3776" s="20">
        <v>45657</v>
      </c>
      <c r="B3776" t="str">
        <f>IFERROR(IF(VLOOKUP(C3776,Hoja1!$B$1:$C$6191,2,0)="",_xlfn.XLOOKUP(C3776,Hoja1!$B$2:$B$6191,Hoja1!$A$2:$A$6191),VLOOKUP(C3776,Hoja1!$B$1:$C$6191,2,0)),"No esta en Infor")</f>
        <v>CAN0003</v>
      </c>
      <c r="C3776" t="s">
        <v>441</v>
      </c>
      <c r="D3776" s="58">
        <v>13860</v>
      </c>
      <c r="F3776">
        <v>0</v>
      </c>
      <c r="G3776">
        <v>0</v>
      </c>
      <c r="H3776">
        <v>0</v>
      </c>
      <c r="I3776">
        <v>0</v>
      </c>
      <c r="J3776" s="58">
        <f t="shared" si="19"/>
        <v>0</v>
      </c>
    </row>
    <row r="3777" spans="1:10" x14ac:dyDescent="0.25">
      <c r="A3777" s="20">
        <v>45657</v>
      </c>
      <c r="B3777" t="str">
        <f>IFERROR(IF(VLOOKUP(C3777,Hoja1!$B$1:$C$6191,2,0)="",_xlfn.XLOOKUP(C3777,Hoja1!$B$2:$B$6191,Hoja1!$A$2:$A$6191),VLOOKUP(C3777,Hoja1!$B$1:$C$6191,2,0)),"No esta en Infor")</f>
        <v>CAN0005</v>
      </c>
      <c r="C3777" t="s">
        <v>90</v>
      </c>
      <c r="D3777" s="58">
        <v>123359.5</v>
      </c>
      <c r="F3777" s="58">
        <v>-1868.1</v>
      </c>
      <c r="G3777">
        <v>0</v>
      </c>
      <c r="H3777">
        <v>0</v>
      </c>
      <c r="I3777">
        <v>0</v>
      </c>
      <c r="J3777" s="58">
        <f t="shared" si="19"/>
        <v>-1868.1</v>
      </c>
    </row>
    <row r="3778" spans="1:10" x14ac:dyDescent="0.25">
      <c r="A3778" s="20">
        <v>45657</v>
      </c>
      <c r="B3778" t="str">
        <f>IFERROR(IF(VLOOKUP(C3778,Hoja1!$B$1:$C$6191,2,0)="",_xlfn.XLOOKUP(C3778,Hoja1!$B$2:$B$6191,Hoja1!$A$2:$A$6191),VLOOKUP(C3778,Hoja1!$B$1:$C$6191,2,0)),"No esta en Infor")</f>
        <v>NAC0583</v>
      </c>
      <c r="C3778" t="s">
        <v>385</v>
      </c>
      <c r="D3778">
        <v>-188.56</v>
      </c>
      <c r="F3778">
        <v>0</v>
      </c>
      <c r="G3778">
        <v>0</v>
      </c>
      <c r="H3778">
        <v>0</v>
      </c>
      <c r="I3778">
        <v>0</v>
      </c>
      <c r="J3778" s="58">
        <f t="shared" si="19"/>
        <v>0</v>
      </c>
    </row>
    <row r="3779" spans="1:10" x14ac:dyDescent="0.25">
      <c r="A3779" s="20">
        <v>45657</v>
      </c>
      <c r="B3779" t="str">
        <f>IFERROR(IF(VLOOKUP(C3779,Hoja1!$B$1:$C$6191,2,0)="",_xlfn.XLOOKUP(C3779,Hoja1!$B$2:$B$6191,Hoja1!$A$2:$A$6191),VLOOKUP(C3779,Hoja1!$B$1:$C$6191,2,0)),"No esta en Infor")</f>
        <v>NAC0594</v>
      </c>
      <c r="C3779" t="s">
        <v>94</v>
      </c>
      <c r="D3779" s="58">
        <v>143163</v>
      </c>
      <c r="F3779">
        <v>0</v>
      </c>
      <c r="G3779">
        <v>0</v>
      </c>
      <c r="H3779">
        <v>0</v>
      </c>
      <c r="I3779">
        <v>0</v>
      </c>
      <c r="J3779" s="58">
        <f t="shared" si="19"/>
        <v>0</v>
      </c>
    </row>
    <row r="3780" spans="1:10" x14ac:dyDescent="0.25">
      <c r="A3780" s="20">
        <v>45657</v>
      </c>
      <c r="B3780" t="str">
        <f>IFERROR(IF(VLOOKUP(C3780,Hoja1!$B$1:$C$6191,2,0)="",_xlfn.XLOOKUP(C3780,Hoja1!$B$2:$B$6191,Hoja1!$A$2:$A$6191),VLOOKUP(C3780,Hoja1!$B$1:$C$6191,2,0)),"No esta en Infor")</f>
        <v>SH03413</v>
      </c>
      <c r="C3780" t="s">
        <v>869</v>
      </c>
      <c r="D3780">
        <v>32.64</v>
      </c>
      <c r="F3780">
        <v>0</v>
      </c>
      <c r="G3780">
        <v>0</v>
      </c>
      <c r="H3780">
        <v>0</v>
      </c>
      <c r="I3780">
        <v>0</v>
      </c>
      <c r="J3780" s="58">
        <f t="shared" si="19"/>
        <v>0</v>
      </c>
    </row>
    <row r="3781" spans="1:10" x14ac:dyDescent="0.25">
      <c r="A3781" s="20">
        <v>45657</v>
      </c>
      <c r="B3781" t="str">
        <f>IFERROR(IF(VLOOKUP(C3781,Hoja1!$B$1:$C$6191,2,0)="",_xlfn.XLOOKUP(C3781,Hoja1!$B$2:$B$6191,Hoja1!$A$2:$A$6191),VLOOKUP(C3781,Hoja1!$B$1:$C$6191,2,0)),"No esta en Infor")</f>
        <v>SH03341</v>
      </c>
      <c r="C3781" t="s">
        <v>820</v>
      </c>
      <c r="D3781">
        <v>2.4500000000000002</v>
      </c>
      <c r="F3781">
        <v>0</v>
      </c>
      <c r="G3781">
        <v>0</v>
      </c>
      <c r="H3781">
        <v>0</v>
      </c>
      <c r="I3781">
        <v>0</v>
      </c>
      <c r="J3781" s="58">
        <f t="shared" si="19"/>
        <v>0</v>
      </c>
    </row>
    <row r="3782" spans="1:10" x14ac:dyDescent="0.25">
      <c r="A3782" s="20">
        <v>45657</v>
      </c>
      <c r="B3782" t="str">
        <f>IFERROR(IF(VLOOKUP(C3782,Hoja1!$B$1:$C$6191,2,0)="",_xlfn.XLOOKUP(C3782,Hoja1!$B$2:$B$6191,Hoja1!$A$2:$A$6191),VLOOKUP(C3782,Hoja1!$B$1:$C$6191,2,0)),"No esta en Infor")</f>
        <v>NAC0600</v>
      </c>
      <c r="C3782" t="s">
        <v>96</v>
      </c>
      <c r="D3782" s="58">
        <v>5534.48</v>
      </c>
      <c r="F3782">
        <v>0</v>
      </c>
      <c r="G3782">
        <v>0</v>
      </c>
      <c r="H3782">
        <v>0</v>
      </c>
      <c r="I3782">
        <v>0</v>
      </c>
      <c r="J3782" s="58">
        <f t="shared" si="19"/>
        <v>0</v>
      </c>
    </row>
    <row r="3783" spans="1:10" x14ac:dyDescent="0.25">
      <c r="A3783" s="20">
        <v>45657</v>
      </c>
      <c r="B3783" t="str">
        <f>IFERROR(IF(VLOOKUP(C3783,Hoja1!$B$1:$C$6191,2,0)="",_xlfn.XLOOKUP(C3783,Hoja1!$B$2:$B$6191,Hoja1!$A$2:$A$6191),VLOOKUP(C3783,Hoja1!$B$1:$C$6191,2,0)),"No esta en Infor")</f>
        <v>NAC0604</v>
      </c>
      <c r="C3783" t="s">
        <v>97</v>
      </c>
      <c r="D3783" s="58">
        <v>12630.44</v>
      </c>
      <c r="F3783">
        <v>0</v>
      </c>
      <c r="G3783">
        <v>0</v>
      </c>
      <c r="H3783">
        <v>0</v>
      </c>
      <c r="I3783">
        <v>0</v>
      </c>
      <c r="J3783" s="58">
        <f t="shared" si="19"/>
        <v>0</v>
      </c>
    </row>
    <row r="3784" spans="1:10" x14ac:dyDescent="0.25">
      <c r="A3784" s="20">
        <v>45657</v>
      </c>
      <c r="B3784" t="str">
        <f>IFERROR(IF(VLOOKUP(C3784,Hoja1!$B$1:$C$6191,2,0)="",_xlfn.XLOOKUP(C3784,Hoja1!$B$2:$B$6191,Hoja1!$A$2:$A$6191),VLOOKUP(C3784,Hoja1!$B$1:$C$6191,2,0)),"No esta en Infor")</f>
        <v>NAC0610</v>
      </c>
      <c r="C3784" t="s">
        <v>16</v>
      </c>
      <c r="D3784" s="58">
        <v>73012.5</v>
      </c>
      <c r="F3784">
        <v>0</v>
      </c>
      <c r="G3784">
        <v>0</v>
      </c>
      <c r="H3784">
        <v>0</v>
      </c>
      <c r="I3784">
        <v>0</v>
      </c>
      <c r="J3784" s="58">
        <f t="shared" si="19"/>
        <v>0</v>
      </c>
    </row>
    <row r="3785" spans="1:10" x14ac:dyDescent="0.25">
      <c r="A3785" s="20">
        <v>45657</v>
      </c>
      <c r="B3785" t="str">
        <f>IFERROR(IF(VLOOKUP(C3785,Hoja1!$B$1:$C$6191,2,0)="",_xlfn.XLOOKUP(C3785,Hoja1!$B$2:$B$6191,Hoja1!$A$2:$A$6191),VLOOKUP(C3785,Hoja1!$B$1:$C$6191,2,0)),"No esta en Infor")</f>
        <v>NAC0612</v>
      </c>
      <c r="C3785" t="s">
        <v>100</v>
      </c>
      <c r="D3785">
        <v>780</v>
      </c>
      <c r="F3785">
        <v>0</v>
      </c>
      <c r="G3785">
        <v>0</v>
      </c>
      <c r="H3785">
        <v>0</v>
      </c>
      <c r="I3785">
        <v>0</v>
      </c>
      <c r="J3785" s="58">
        <f t="shared" si="19"/>
        <v>0</v>
      </c>
    </row>
    <row r="3786" spans="1:10" x14ac:dyDescent="0.25">
      <c r="A3786" s="20">
        <v>45657</v>
      </c>
      <c r="B3786" t="str">
        <f>IFERROR(IF(VLOOKUP(C3786,Hoja1!$B$1:$C$6191,2,0)="",_xlfn.XLOOKUP(C3786,Hoja1!$B$2:$B$6191,Hoja1!$A$2:$A$6191),VLOOKUP(C3786,Hoja1!$B$1:$C$6191,2,0)),"No esta en Infor")</f>
        <v>NAC0613</v>
      </c>
      <c r="C3786" t="s">
        <v>101</v>
      </c>
      <c r="D3786" s="58">
        <v>1502.27</v>
      </c>
      <c r="F3786">
        <v>0</v>
      </c>
      <c r="G3786">
        <v>0</v>
      </c>
      <c r="H3786">
        <v>0</v>
      </c>
      <c r="I3786">
        <v>-81.599999999999994</v>
      </c>
      <c r="J3786" s="58">
        <f t="shared" si="19"/>
        <v>-81.599999999999994</v>
      </c>
    </row>
    <row r="3787" spans="1:10" x14ac:dyDescent="0.25">
      <c r="A3787" s="20">
        <v>45657</v>
      </c>
      <c r="B3787" t="str">
        <f>IFERROR(IF(VLOOKUP(C3787,Hoja1!$B$1:$C$6191,2,0)="",_xlfn.XLOOKUP(C3787,Hoja1!$B$2:$B$6191,Hoja1!$A$2:$A$6191),VLOOKUP(C3787,Hoja1!$B$1:$C$6191,2,0)),"No esta en Infor")</f>
        <v>SH03085</v>
      </c>
      <c r="C3787" t="s">
        <v>714</v>
      </c>
      <c r="D3787">
        <v>2.54</v>
      </c>
      <c r="F3787">
        <v>0</v>
      </c>
      <c r="G3787">
        <v>0</v>
      </c>
      <c r="H3787">
        <v>0</v>
      </c>
      <c r="I3787">
        <v>0</v>
      </c>
      <c r="J3787" s="58">
        <f t="shared" si="19"/>
        <v>0</v>
      </c>
    </row>
    <row r="3788" spans="1:10" x14ac:dyDescent="0.25">
      <c r="A3788" s="20">
        <v>45657</v>
      </c>
      <c r="B3788" t="str">
        <f>IFERROR(IF(VLOOKUP(C3788,Hoja1!$B$1:$C$6191,2,0)="",_xlfn.XLOOKUP(C3788,Hoja1!$B$2:$B$6191,Hoja1!$A$2:$A$6191),VLOOKUP(C3788,Hoja1!$B$1:$C$6191,2,0)),"No esta en Infor")</f>
        <v>NAC0624</v>
      </c>
      <c r="C3788" t="s">
        <v>105</v>
      </c>
      <c r="D3788">
        <v>261.51</v>
      </c>
      <c r="F3788">
        <v>0</v>
      </c>
      <c r="G3788">
        <v>0</v>
      </c>
      <c r="H3788">
        <v>-231</v>
      </c>
      <c r="I3788">
        <v>0</v>
      </c>
      <c r="J3788" s="58">
        <f t="shared" si="19"/>
        <v>-231</v>
      </c>
    </row>
    <row r="3789" spans="1:10" x14ac:dyDescent="0.25">
      <c r="A3789" s="20">
        <v>45657</v>
      </c>
      <c r="B3789" t="str">
        <f>IFERROR(IF(VLOOKUP(C3789,Hoja1!$B$1:$C$6191,2,0)="",_xlfn.XLOOKUP(C3789,Hoja1!$B$2:$B$6191,Hoja1!$A$2:$A$6191),VLOOKUP(C3789,Hoja1!$B$1:$C$6191,2,0)),"No esta en Infor")</f>
        <v>SH03449</v>
      </c>
      <c r="C3789" t="s">
        <v>870</v>
      </c>
      <c r="D3789">
        <v>-69.7</v>
      </c>
      <c r="F3789">
        <v>0</v>
      </c>
      <c r="G3789">
        <v>0</v>
      </c>
      <c r="H3789">
        <v>0</v>
      </c>
      <c r="I3789">
        <v>0</v>
      </c>
      <c r="J3789" s="58">
        <f t="shared" si="19"/>
        <v>0</v>
      </c>
    </row>
    <row r="3790" spans="1:10" x14ac:dyDescent="0.25">
      <c r="A3790" s="20">
        <v>45657</v>
      </c>
      <c r="B3790" t="str">
        <f>IFERROR(IF(VLOOKUP(C3790,Hoja1!$B$1:$C$6191,2,0)="",_xlfn.XLOOKUP(C3790,Hoja1!$B$2:$B$6191,Hoja1!$A$2:$A$6191),VLOOKUP(C3790,Hoja1!$B$1:$C$6191,2,0)),"No esta en Infor")</f>
        <v>SH03469</v>
      </c>
      <c r="C3790" t="s">
        <v>871</v>
      </c>
      <c r="D3790">
        <v>-83.97</v>
      </c>
      <c r="F3790">
        <v>0</v>
      </c>
      <c r="G3790">
        <v>0</v>
      </c>
      <c r="H3790">
        <v>0</v>
      </c>
      <c r="I3790">
        <v>0</v>
      </c>
      <c r="J3790" s="58">
        <f t="shared" si="19"/>
        <v>0</v>
      </c>
    </row>
    <row r="3791" spans="1:10" x14ac:dyDescent="0.25">
      <c r="A3791" s="20">
        <v>45657</v>
      </c>
      <c r="B3791" t="str">
        <f>IFERROR(IF(VLOOKUP(C3791,Hoja1!$B$1:$C$6191,2,0)="",_xlfn.XLOOKUP(C3791,Hoja1!$B$2:$B$6191,Hoja1!$A$2:$A$6191),VLOOKUP(C3791,Hoja1!$B$1:$C$6191,2,0)),"No esta en Infor")</f>
        <v>NAC0632</v>
      </c>
      <c r="C3791" t="s">
        <v>108</v>
      </c>
      <c r="D3791" s="58">
        <v>1233.6300000000001</v>
      </c>
      <c r="F3791">
        <v>0</v>
      </c>
      <c r="G3791">
        <v>0</v>
      </c>
      <c r="H3791">
        <v>0</v>
      </c>
      <c r="I3791">
        <v>0</v>
      </c>
      <c r="J3791" s="58">
        <f t="shared" si="19"/>
        <v>0</v>
      </c>
    </row>
    <row r="3792" spans="1:10" x14ac:dyDescent="0.25">
      <c r="A3792" s="20">
        <v>45657</v>
      </c>
      <c r="B3792" t="str">
        <f>IFERROR(IF(VLOOKUP(C3792,Hoja1!$B$1:$C$6191,2,0)="",_xlfn.XLOOKUP(C3792,Hoja1!$B$2:$B$6191,Hoja1!$A$2:$A$6191),VLOOKUP(C3792,Hoja1!$B$1:$C$6191,2,0)),"No esta en Infor")</f>
        <v>NAC0641</v>
      </c>
      <c r="C3792" t="s">
        <v>18</v>
      </c>
      <c r="D3792" s="58">
        <v>2092.4</v>
      </c>
      <c r="F3792">
        <v>-10</v>
      </c>
      <c r="G3792">
        <v>0</v>
      </c>
      <c r="H3792">
        <v>0</v>
      </c>
      <c r="I3792">
        <v>0</v>
      </c>
      <c r="J3792" s="58">
        <f t="shared" si="19"/>
        <v>-10</v>
      </c>
    </row>
    <row r="3793" spans="1:10" x14ac:dyDescent="0.25">
      <c r="A3793" s="20">
        <v>45657</v>
      </c>
      <c r="B3793" t="str">
        <f>IFERROR(IF(VLOOKUP(C3793,Hoja1!$B$1:$C$6191,2,0)="",_xlfn.XLOOKUP(C3793,Hoja1!$B$2:$B$6191,Hoja1!$A$2:$A$6191),VLOOKUP(C3793,Hoja1!$B$1:$C$6191,2,0)),"No esta en Infor")</f>
        <v>NAC0645</v>
      </c>
      <c r="C3793" t="s">
        <v>110</v>
      </c>
      <c r="D3793">
        <v>310.64999999999998</v>
      </c>
      <c r="F3793">
        <v>0</v>
      </c>
      <c r="G3793">
        <v>0</v>
      </c>
      <c r="H3793">
        <v>0</v>
      </c>
      <c r="I3793">
        <v>0</v>
      </c>
      <c r="J3793" s="58">
        <f t="shared" si="19"/>
        <v>0</v>
      </c>
    </row>
    <row r="3794" spans="1:10" x14ac:dyDescent="0.25">
      <c r="A3794" s="20">
        <v>45657</v>
      </c>
      <c r="B3794" t="str">
        <f>IFERROR(IF(VLOOKUP(C3794,Hoja1!$B$1:$C$6191,2,0)="",_xlfn.XLOOKUP(C3794,Hoja1!$B$2:$B$6191,Hoja1!$A$2:$A$6191),VLOOKUP(C3794,Hoja1!$B$1:$C$6191,2,0)),"No esta en Infor")</f>
        <v>SH03277</v>
      </c>
      <c r="C3794" t="s">
        <v>806</v>
      </c>
      <c r="D3794">
        <v>15.52</v>
      </c>
      <c r="F3794">
        <v>0</v>
      </c>
      <c r="G3794">
        <v>0</v>
      </c>
      <c r="H3794">
        <v>0</v>
      </c>
      <c r="I3794">
        <v>0</v>
      </c>
      <c r="J3794" s="58">
        <f t="shared" si="19"/>
        <v>0</v>
      </c>
    </row>
    <row r="3795" spans="1:10" x14ac:dyDescent="0.25">
      <c r="A3795" s="20">
        <v>45657</v>
      </c>
      <c r="B3795" t="str">
        <f>IFERROR(IF(VLOOKUP(C3795,Hoja1!$B$1:$C$6191,2,0)="",_xlfn.XLOOKUP(C3795,Hoja1!$B$2:$B$6191,Hoja1!$A$2:$A$6191),VLOOKUP(C3795,Hoja1!$B$1:$C$6191,2,0)),"No esta en Infor")</f>
        <v>CAN0008</v>
      </c>
      <c r="C3795" t="s">
        <v>115</v>
      </c>
      <c r="D3795" s="58">
        <v>2592.12</v>
      </c>
      <c r="F3795" s="58">
        <v>-1815.87</v>
      </c>
      <c r="G3795">
        <v>0</v>
      </c>
      <c r="H3795">
        <v>0</v>
      </c>
      <c r="I3795">
        <v>0</v>
      </c>
      <c r="J3795" s="58">
        <f t="shared" si="19"/>
        <v>-1815.87</v>
      </c>
    </row>
    <row r="3796" spans="1:10" x14ac:dyDescent="0.25">
      <c r="A3796" s="20">
        <v>45657</v>
      </c>
      <c r="B3796" t="str">
        <f>IFERROR(IF(VLOOKUP(C3796,Hoja1!$B$1:$C$6191,2,0)="",_xlfn.XLOOKUP(C3796,Hoja1!$B$2:$B$6191,Hoja1!$A$2:$A$6191),VLOOKUP(C3796,Hoja1!$B$1:$C$6191,2,0)),"No esta en Infor")</f>
        <v>NAC0666</v>
      </c>
      <c r="C3796" t="s">
        <v>118</v>
      </c>
      <c r="D3796" s="58">
        <v>19482.88</v>
      </c>
      <c r="F3796">
        <v>0</v>
      </c>
      <c r="G3796">
        <v>0</v>
      </c>
      <c r="H3796">
        <v>0</v>
      </c>
      <c r="I3796">
        <v>0</v>
      </c>
      <c r="J3796" s="58">
        <f t="shared" si="19"/>
        <v>0</v>
      </c>
    </row>
    <row r="3797" spans="1:10" x14ac:dyDescent="0.25">
      <c r="A3797" s="20">
        <v>45657</v>
      </c>
      <c r="B3797" t="str">
        <f>IFERROR(IF(VLOOKUP(C3797,Hoja1!$B$1:$C$6191,2,0)="",_xlfn.XLOOKUP(C3797,Hoja1!$B$2:$B$6191,Hoja1!$A$2:$A$6191),VLOOKUP(C3797,Hoja1!$B$1:$C$6191,2,0)),"No esta en Infor")</f>
        <v>NAC0669</v>
      </c>
      <c r="C3797" t="s">
        <v>119</v>
      </c>
      <c r="D3797" s="58">
        <v>48831.42</v>
      </c>
      <c r="F3797">
        <v>0</v>
      </c>
      <c r="G3797">
        <v>0</v>
      </c>
      <c r="H3797">
        <v>0</v>
      </c>
      <c r="I3797">
        <v>0</v>
      </c>
      <c r="J3797" s="58">
        <f t="shared" si="19"/>
        <v>0</v>
      </c>
    </row>
    <row r="3798" spans="1:10" x14ac:dyDescent="0.25">
      <c r="A3798" s="20">
        <v>45657</v>
      </c>
      <c r="B3798" t="str">
        <f>IFERROR(IF(VLOOKUP(C3798,Hoja1!$B$1:$C$6191,2,0)="",_xlfn.XLOOKUP(C3798,Hoja1!$B$2:$B$6191,Hoja1!$A$2:$A$6191),VLOOKUP(C3798,Hoja1!$B$1:$C$6191,2,0)),"No esta en Infor")</f>
        <v>NAC0675</v>
      </c>
      <c r="C3798" t="s">
        <v>124</v>
      </c>
      <c r="D3798" s="58">
        <v>2512</v>
      </c>
      <c r="F3798">
        <v>0</v>
      </c>
      <c r="G3798">
        <v>0</v>
      </c>
      <c r="H3798">
        <v>0</v>
      </c>
      <c r="I3798">
        <v>-787.89</v>
      </c>
      <c r="J3798" s="58">
        <f t="shared" si="19"/>
        <v>-787.89</v>
      </c>
    </row>
    <row r="3799" spans="1:10" x14ac:dyDescent="0.25">
      <c r="A3799" s="20">
        <v>45657</v>
      </c>
      <c r="B3799" t="str">
        <f>IFERROR(IF(VLOOKUP(C3799,Hoja1!$B$1:$C$6191,2,0)="",_xlfn.XLOOKUP(C3799,Hoja1!$B$2:$B$6191,Hoja1!$A$2:$A$6191),VLOOKUP(C3799,Hoja1!$B$1:$C$6191,2,0)),"No esta en Infor")</f>
        <v>SH03562</v>
      </c>
      <c r="C3799" t="s">
        <v>872</v>
      </c>
      <c r="D3799">
        <v>-85.15</v>
      </c>
      <c r="F3799">
        <v>0</v>
      </c>
      <c r="G3799">
        <v>0</v>
      </c>
      <c r="H3799">
        <v>0</v>
      </c>
      <c r="I3799">
        <v>0</v>
      </c>
      <c r="J3799" s="58">
        <f t="shared" si="19"/>
        <v>0</v>
      </c>
    </row>
    <row r="3800" spans="1:10" x14ac:dyDescent="0.25">
      <c r="A3800" s="20">
        <v>45657</v>
      </c>
      <c r="B3800" t="str">
        <f>IFERROR(IF(VLOOKUP(C3800,Hoja1!$B$1:$C$6191,2,0)="",_xlfn.XLOOKUP(C3800,Hoja1!$B$2:$B$6191,Hoja1!$A$2:$A$6191),VLOOKUP(C3800,Hoja1!$B$1:$C$6191,2,0)),"No esta en Infor")</f>
        <v>SH00610</v>
      </c>
      <c r="C3800" t="s">
        <v>129</v>
      </c>
      <c r="D3800">
        <v>0</v>
      </c>
      <c r="F3800">
        <v>-15</v>
      </c>
      <c r="G3800">
        <v>0</v>
      </c>
      <c r="H3800">
        <v>0</v>
      </c>
      <c r="I3800">
        <v>0</v>
      </c>
      <c r="J3800" s="58">
        <f t="shared" si="19"/>
        <v>-15</v>
      </c>
    </row>
    <row r="3801" spans="1:10" x14ac:dyDescent="0.25">
      <c r="A3801" s="20">
        <v>45657</v>
      </c>
      <c r="B3801" t="str">
        <f>IFERROR(IF(VLOOKUP(C3801,Hoja1!$B$1:$C$6191,2,0)="",_xlfn.XLOOKUP(C3801,Hoja1!$B$2:$B$6191,Hoja1!$A$2:$A$6191),VLOOKUP(C3801,Hoja1!$B$1:$C$6191,2,0)),"No esta en Infor")</f>
        <v>INT0052</v>
      </c>
      <c r="C3801" t="s">
        <v>130</v>
      </c>
      <c r="D3801">
        <v>179.36</v>
      </c>
      <c r="F3801" s="58">
        <v>12841.8</v>
      </c>
      <c r="G3801">
        <v>250.92</v>
      </c>
      <c r="H3801" s="58">
        <v>10696.68</v>
      </c>
      <c r="I3801" s="58">
        <v>14855.86</v>
      </c>
      <c r="J3801" s="58">
        <f t="shared" si="19"/>
        <v>38645.26</v>
      </c>
    </row>
    <row r="3802" spans="1:10" x14ac:dyDescent="0.25">
      <c r="A3802" s="20">
        <v>45657</v>
      </c>
      <c r="B3802" t="str">
        <f>IFERROR(IF(VLOOKUP(C3802,Hoja1!$B$1:$C$6191,2,0)="",_xlfn.XLOOKUP(C3802,Hoja1!$B$2:$B$6191,Hoja1!$A$2:$A$6191),VLOOKUP(C3802,Hoja1!$B$1:$C$6191,2,0)),"No esta en Infor")</f>
        <v>INT0007</v>
      </c>
      <c r="C3802" t="s">
        <v>131</v>
      </c>
      <c r="D3802" s="58">
        <v>1427333.23</v>
      </c>
      <c r="F3802" s="58">
        <v>896956.71</v>
      </c>
      <c r="G3802" s="58">
        <v>121191.52</v>
      </c>
      <c r="H3802" s="58">
        <v>9683.09</v>
      </c>
      <c r="I3802" s="58">
        <v>-11277.87</v>
      </c>
      <c r="J3802" s="58">
        <f t="shared" si="19"/>
        <v>1016553.45</v>
      </c>
    </row>
    <row r="3803" spans="1:10" x14ac:dyDescent="0.25">
      <c r="A3803" s="20">
        <v>45657</v>
      </c>
      <c r="B3803" t="str">
        <f>IFERROR(IF(VLOOKUP(C3803,Hoja1!$B$1:$C$6191,2,0)="",_xlfn.XLOOKUP(C3803,Hoja1!$B$2:$B$6191,Hoja1!$A$2:$A$6191),VLOOKUP(C3803,Hoja1!$B$1:$C$6191,2,0)),"No esta en Infor")</f>
        <v>INT0006</v>
      </c>
      <c r="C3803" t="s">
        <v>132</v>
      </c>
      <c r="D3803" s="58">
        <v>80274.48</v>
      </c>
      <c r="F3803" s="58">
        <v>129011.18</v>
      </c>
      <c r="G3803" s="58">
        <v>14955.74</v>
      </c>
      <c r="H3803" s="58">
        <v>90661.32</v>
      </c>
      <c r="I3803" s="58">
        <v>20763.86</v>
      </c>
      <c r="J3803" s="58">
        <f t="shared" si="19"/>
        <v>255392.09999999998</v>
      </c>
    </row>
    <row r="3804" spans="1:10" x14ac:dyDescent="0.25">
      <c r="A3804" s="20">
        <v>45657</v>
      </c>
      <c r="B3804" t="str">
        <f>IFERROR(IF(VLOOKUP(C3804,Hoja1!$B$1:$C$6191,2,0)="",_xlfn.XLOOKUP(C3804,Hoja1!$B$2:$B$6191,Hoja1!$A$2:$A$6191),VLOOKUP(C3804,Hoja1!$B$1:$C$6191,2,0)),"No esta en Infor")</f>
        <v>INT0002</v>
      </c>
      <c r="C3804" t="s">
        <v>133</v>
      </c>
      <c r="D3804" s="58">
        <v>160618.25</v>
      </c>
      <c r="F3804" s="58">
        <v>-3500</v>
      </c>
      <c r="G3804">
        <v>0</v>
      </c>
      <c r="H3804">
        <v>0</v>
      </c>
      <c r="I3804">
        <v>0</v>
      </c>
      <c r="J3804" s="58">
        <f t="shared" si="19"/>
        <v>-3500</v>
      </c>
    </row>
    <row r="3805" spans="1:10" x14ac:dyDescent="0.25">
      <c r="A3805" s="20">
        <v>45657</v>
      </c>
      <c r="B3805" t="str">
        <f>IFERROR(IF(VLOOKUP(C3805,Hoja1!$B$1:$C$6191,2,0)="",_xlfn.XLOOKUP(C3805,Hoja1!$B$2:$B$6191,Hoja1!$A$2:$A$6191),VLOOKUP(C3805,Hoja1!$B$1:$C$6191,2,0)),"No esta en Infor")</f>
        <v>INT0001</v>
      </c>
      <c r="C3805" t="s">
        <v>134</v>
      </c>
      <c r="D3805" s="58">
        <v>271503.83</v>
      </c>
      <c r="F3805">
        <v>716.87</v>
      </c>
      <c r="G3805">
        <v>0</v>
      </c>
      <c r="H3805">
        <v>0</v>
      </c>
      <c r="I3805">
        <v>-531.94000000000005</v>
      </c>
      <c r="J3805" s="58">
        <f t="shared" si="19"/>
        <v>184.92999999999995</v>
      </c>
    </row>
    <row r="3806" spans="1:10" x14ac:dyDescent="0.25">
      <c r="A3806" s="20">
        <v>45657</v>
      </c>
      <c r="B3806" t="str">
        <f>IFERROR(IF(VLOOKUP(C3806,Hoja1!$B$1:$C$6191,2,0)="",_xlfn.XLOOKUP(C3806,Hoja1!$B$2:$B$6191,Hoja1!$A$2:$A$6191),VLOOKUP(C3806,Hoja1!$B$1:$C$6191,2,0)),"No esta en Infor")</f>
        <v>INT0065</v>
      </c>
      <c r="C3806" t="s">
        <v>135</v>
      </c>
      <c r="D3806" s="58">
        <v>43124.34</v>
      </c>
      <c r="F3806" s="58">
        <v>17969.419999999998</v>
      </c>
      <c r="G3806" s="58">
        <v>7187.39</v>
      </c>
      <c r="H3806">
        <v>0</v>
      </c>
      <c r="I3806" s="58">
        <v>-17969.419999999998</v>
      </c>
      <c r="J3806" s="58">
        <f t="shared" si="19"/>
        <v>7187.3899999999994</v>
      </c>
    </row>
    <row r="3807" spans="1:10" x14ac:dyDescent="0.25">
      <c r="A3807" s="20">
        <v>45657</v>
      </c>
      <c r="B3807" t="str">
        <f>IFERROR(IF(VLOOKUP(C3807,Hoja1!$B$1:$C$6191,2,0)="",_xlfn.XLOOKUP(C3807,Hoja1!$B$2:$B$6191,Hoja1!$A$2:$A$6191),VLOOKUP(C3807,Hoja1!$B$1:$C$6191,2,0)),"No esta en Infor")</f>
        <v>INT0009</v>
      </c>
      <c r="C3807" t="s">
        <v>658</v>
      </c>
      <c r="D3807" s="58">
        <v>16723.34</v>
      </c>
      <c r="F3807">
        <v>0</v>
      </c>
      <c r="G3807">
        <v>0</v>
      </c>
      <c r="H3807">
        <v>0</v>
      </c>
      <c r="I3807" s="58">
        <v>-14950</v>
      </c>
      <c r="J3807" s="58">
        <f t="shared" si="19"/>
        <v>-14950</v>
      </c>
    </row>
    <row r="3808" spans="1:10" x14ac:dyDescent="0.25">
      <c r="A3808" s="20">
        <v>45657</v>
      </c>
      <c r="B3808" t="str">
        <f>IFERROR(IF(VLOOKUP(C3808,Hoja1!$B$1:$C$6191,2,0)="",_xlfn.XLOOKUP(C3808,Hoja1!$B$2:$B$6191,Hoja1!$A$2:$A$6191),VLOOKUP(C3808,Hoja1!$B$1:$C$6191,2,0)),"No esta en Infor")</f>
        <v>INT0060</v>
      </c>
      <c r="C3808" t="s">
        <v>136</v>
      </c>
      <c r="D3808">
        <v>49</v>
      </c>
      <c r="F3808" s="58">
        <v>3780</v>
      </c>
      <c r="G3808" s="58">
        <v>12236.74</v>
      </c>
      <c r="H3808" s="58">
        <v>5219.18</v>
      </c>
      <c r="I3808" s="58">
        <v>21574.51</v>
      </c>
      <c r="J3808" s="58">
        <f t="shared" si="19"/>
        <v>42810.429999999993</v>
      </c>
    </row>
    <row r="3809" spans="1:10" x14ac:dyDescent="0.25">
      <c r="A3809" s="20">
        <v>45657</v>
      </c>
      <c r="B3809" t="str">
        <f>IFERROR(IF(VLOOKUP(C3809,Hoja1!$B$1:$C$6191,2,0)="",_xlfn.XLOOKUP(C3809,Hoja1!$B$2:$B$6191,Hoja1!$A$2:$A$6191),VLOOKUP(C3809,Hoja1!$B$1:$C$6191,2,0)),"No esta en Infor")</f>
        <v>INT0064</v>
      </c>
      <c r="C3809" t="s">
        <v>659</v>
      </c>
      <c r="D3809">
        <v>309.24</v>
      </c>
      <c r="F3809">
        <v>29.54</v>
      </c>
      <c r="G3809">
        <v>0</v>
      </c>
      <c r="H3809">
        <v>0</v>
      </c>
      <c r="I3809">
        <v>0</v>
      </c>
      <c r="J3809" s="58">
        <f t="shared" si="19"/>
        <v>29.54</v>
      </c>
    </row>
    <row r="3810" spans="1:10" x14ac:dyDescent="0.25">
      <c r="A3810" s="20">
        <v>45657</v>
      </c>
      <c r="B3810" t="str">
        <f>IFERROR(IF(VLOOKUP(C3810,Hoja1!$B$1:$C$6191,2,0)="",_xlfn.XLOOKUP(C3810,Hoja1!$B$2:$B$6191,Hoja1!$A$2:$A$6191),VLOOKUP(C3810,Hoja1!$B$1:$C$6191,2,0)),"No esta en Infor")</f>
        <v>NAC0700</v>
      </c>
      <c r="C3810" t="s">
        <v>137</v>
      </c>
      <c r="D3810" s="58">
        <v>8071.5</v>
      </c>
      <c r="F3810">
        <v>0</v>
      </c>
      <c r="G3810">
        <v>0</v>
      </c>
      <c r="H3810">
        <v>0</v>
      </c>
      <c r="I3810">
        <v>0</v>
      </c>
      <c r="J3810" s="58">
        <f t="shared" si="19"/>
        <v>0</v>
      </c>
    </row>
    <row r="3811" spans="1:10" x14ac:dyDescent="0.25">
      <c r="A3811" s="20">
        <v>45657</v>
      </c>
      <c r="B3811" t="str">
        <f>IFERROR(IF(VLOOKUP(C3811,Hoja1!$B$1:$C$6191,2,0)="",_xlfn.XLOOKUP(C3811,Hoja1!$B$2:$B$6191,Hoja1!$A$2:$A$6191),VLOOKUP(C3811,Hoja1!$B$1:$C$6191,2,0)),"No esta en Infor")</f>
        <v>NAC0710</v>
      </c>
      <c r="C3811" t="s">
        <v>140</v>
      </c>
      <c r="D3811" s="58">
        <v>3104</v>
      </c>
      <c r="F3811">
        <v>0</v>
      </c>
      <c r="G3811">
        <v>0</v>
      </c>
      <c r="H3811">
        <v>0</v>
      </c>
      <c r="I3811">
        <v>0</v>
      </c>
      <c r="J3811" s="58">
        <f t="shared" si="19"/>
        <v>0</v>
      </c>
    </row>
    <row r="3812" spans="1:10" x14ac:dyDescent="0.25">
      <c r="A3812" s="20">
        <v>45657</v>
      </c>
      <c r="B3812" t="str">
        <f>IFERROR(IF(VLOOKUP(C3812,Hoja1!$B$1:$C$6191,2,0)="",_xlfn.XLOOKUP(C3812,Hoja1!$B$2:$B$6191,Hoja1!$A$2:$A$6191),VLOOKUP(C3812,Hoja1!$B$1:$C$6191,2,0)),"No esta en Infor")</f>
        <v>SH00642</v>
      </c>
      <c r="C3812" t="s">
        <v>144</v>
      </c>
      <c r="D3812">
        <v>0</v>
      </c>
      <c r="F3812">
        <v>0</v>
      </c>
      <c r="G3812">
        <v>0</v>
      </c>
      <c r="H3812">
        <v>0</v>
      </c>
      <c r="I3812">
        <v>-290.49</v>
      </c>
      <c r="J3812" s="58">
        <f t="shared" si="19"/>
        <v>-290.49</v>
      </c>
    </row>
    <row r="3813" spans="1:10" x14ac:dyDescent="0.25">
      <c r="A3813" s="20">
        <v>45657</v>
      </c>
      <c r="B3813" t="str">
        <f>IFERROR(IF(VLOOKUP(C3813,Hoja1!$B$1:$C$6191,2,0)="",_xlfn.XLOOKUP(C3813,Hoja1!$B$2:$B$6191,Hoja1!$A$2:$A$6191),VLOOKUP(C3813,Hoja1!$B$1:$C$6191,2,0)),"No esta en Infor")</f>
        <v>SH03294</v>
      </c>
      <c r="C3813" t="s">
        <v>813</v>
      </c>
      <c r="D3813">
        <v>1.51</v>
      </c>
      <c r="F3813">
        <v>0</v>
      </c>
      <c r="G3813">
        <v>0</v>
      </c>
      <c r="H3813">
        <v>0</v>
      </c>
      <c r="I3813">
        <v>0</v>
      </c>
      <c r="J3813" s="58">
        <f t="shared" si="19"/>
        <v>0</v>
      </c>
    </row>
    <row r="3814" spans="1:10" x14ac:dyDescent="0.25">
      <c r="A3814" s="20">
        <v>45657</v>
      </c>
      <c r="B3814" t="str">
        <f>IFERROR(IF(VLOOKUP(C3814,Hoja1!$B$1:$C$6191,2,0)="",_xlfn.XLOOKUP(C3814,Hoja1!$B$2:$B$6191,Hoja1!$A$2:$A$6191),VLOOKUP(C3814,Hoja1!$B$1:$C$6191,2,0)),"No esta en Infor")</f>
        <v>NAC0726</v>
      </c>
      <c r="C3814" t="s">
        <v>147</v>
      </c>
      <c r="D3814" s="58">
        <v>20240</v>
      </c>
      <c r="F3814">
        <v>0</v>
      </c>
      <c r="G3814">
        <v>0</v>
      </c>
      <c r="H3814">
        <v>0</v>
      </c>
      <c r="I3814">
        <v>0</v>
      </c>
      <c r="J3814" s="58">
        <f t="shared" si="19"/>
        <v>0</v>
      </c>
    </row>
    <row r="3815" spans="1:10" x14ac:dyDescent="0.25">
      <c r="A3815" s="20">
        <v>45657</v>
      </c>
      <c r="B3815" t="str">
        <f>IFERROR(IF(VLOOKUP(C3815,Hoja1!$B$1:$C$6191,2,0)="",_xlfn.XLOOKUP(C3815,Hoja1!$B$2:$B$6191,Hoja1!$A$2:$A$6191),VLOOKUP(C3815,Hoja1!$B$1:$C$6191,2,0)),"No esta en Infor")</f>
        <v>NAC0733</v>
      </c>
      <c r="C3815" t="s">
        <v>660</v>
      </c>
      <c r="D3815" s="58">
        <v>6357</v>
      </c>
      <c r="F3815">
        <v>0</v>
      </c>
      <c r="G3815">
        <v>0</v>
      </c>
      <c r="H3815">
        <v>0</v>
      </c>
      <c r="I3815">
        <v>0</v>
      </c>
      <c r="J3815" s="58">
        <f t="shared" si="19"/>
        <v>0</v>
      </c>
    </row>
    <row r="3816" spans="1:10" x14ac:dyDescent="0.25">
      <c r="A3816" s="20">
        <v>45657</v>
      </c>
      <c r="B3816" t="str">
        <f>IFERROR(IF(VLOOKUP(C3816,Hoja1!$B$1:$C$6191,2,0)="",_xlfn.XLOOKUP(C3816,Hoja1!$B$2:$B$6191,Hoja1!$A$2:$A$6191),VLOOKUP(C3816,Hoja1!$B$1:$C$6191,2,0)),"No esta en Infor")</f>
        <v>NAC0740</v>
      </c>
      <c r="C3816" t="s">
        <v>151</v>
      </c>
      <c r="D3816">
        <v>0</v>
      </c>
      <c r="F3816">
        <v>0</v>
      </c>
      <c r="G3816">
        <v>60</v>
      </c>
      <c r="H3816">
        <v>0</v>
      </c>
      <c r="I3816">
        <v>96.38</v>
      </c>
      <c r="J3816" s="58">
        <f t="shared" si="19"/>
        <v>156.38</v>
      </c>
    </row>
    <row r="3817" spans="1:10" x14ac:dyDescent="0.25">
      <c r="A3817" s="20">
        <v>45657</v>
      </c>
      <c r="B3817" t="str">
        <f>IFERROR(IF(VLOOKUP(C3817,Hoja1!$B$1:$C$6191,2,0)="",_xlfn.XLOOKUP(C3817,Hoja1!$B$2:$B$6191,Hoja1!$A$2:$A$6191),VLOOKUP(C3817,Hoja1!$B$1:$C$6191,2,0)),"No esta en Infor")</f>
        <v>NAC1608</v>
      </c>
      <c r="C3817" t="s">
        <v>538</v>
      </c>
      <c r="D3817" s="58">
        <v>1596.92</v>
      </c>
      <c r="F3817">
        <v>0</v>
      </c>
      <c r="G3817">
        <v>-62.57</v>
      </c>
      <c r="H3817">
        <v>0</v>
      </c>
      <c r="I3817">
        <v>-308</v>
      </c>
      <c r="J3817" s="58">
        <f t="shared" ref="J3817:J3880" si="20">SUM(E3817:I3817)</f>
        <v>-370.57</v>
      </c>
    </row>
    <row r="3818" spans="1:10" x14ac:dyDescent="0.25">
      <c r="A3818" s="20">
        <v>45657</v>
      </c>
      <c r="B3818" t="str">
        <f>IFERROR(IF(VLOOKUP(C3818,Hoja1!$B$1:$C$6191,2,0)="",_xlfn.XLOOKUP(C3818,Hoja1!$B$2:$B$6191,Hoja1!$A$2:$A$6191),VLOOKUP(C3818,Hoja1!$B$1:$C$6191,2,0)),"No esta en Infor")</f>
        <v>NAC0759</v>
      </c>
      <c r="C3818" t="s">
        <v>581</v>
      </c>
      <c r="D3818">
        <v>0</v>
      </c>
      <c r="F3818">
        <v>-16.100000000000001</v>
      </c>
      <c r="G3818">
        <v>0</v>
      </c>
      <c r="H3818">
        <v>0</v>
      </c>
      <c r="I3818">
        <v>0</v>
      </c>
      <c r="J3818" s="58">
        <f t="shared" si="20"/>
        <v>-16.100000000000001</v>
      </c>
    </row>
    <row r="3819" spans="1:10" x14ac:dyDescent="0.25">
      <c r="A3819" s="20">
        <v>45657</v>
      </c>
      <c r="B3819" t="str">
        <f>IFERROR(IF(VLOOKUP(C3819,Hoja1!$B$1:$C$6191,2,0)="",_xlfn.XLOOKUP(C3819,Hoja1!$B$2:$B$6191,Hoja1!$A$2:$A$6191),VLOOKUP(C3819,Hoja1!$B$1:$C$6191,2,0)),"No esta en Infor")</f>
        <v>NAC0756</v>
      </c>
      <c r="C3819" t="s">
        <v>154</v>
      </c>
      <c r="D3819">
        <v>0</v>
      </c>
      <c r="F3819">
        <v>0</v>
      </c>
      <c r="G3819">
        <v>0</v>
      </c>
      <c r="H3819">
        <v>0</v>
      </c>
      <c r="I3819">
        <v>-3.79</v>
      </c>
      <c r="J3819" s="58">
        <f t="shared" si="20"/>
        <v>-3.79</v>
      </c>
    </row>
    <row r="3820" spans="1:10" x14ac:dyDescent="0.25">
      <c r="A3820" s="20">
        <v>45657</v>
      </c>
      <c r="B3820" t="str">
        <f>IFERROR(IF(VLOOKUP(C3820,Hoja1!$B$1:$C$6191,2,0)="",_xlfn.XLOOKUP(C3820,Hoja1!$B$2:$B$6191,Hoja1!$A$2:$A$6191),VLOOKUP(C3820,Hoja1!$B$1:$C$6191,2,0)),"No esta en Infor")</f>
        <v>NAC0767</v>
      </c>
      <c r="C3820" t="s">
        <v>155</v>
      </c>
      <c r="D3820">
        <v>105.93</v>
      </c>
      <c r="F3820">
        <v>0</v>
      </c>
      <c r="G3820" s="58">
        <v>-10757</v>
      </c>
      <c r="H3820">
        <v>0</v>
      </c>
      <c r="I3820" s="58">
        <v>-20987.9</v>
      </c>
      <c r="J3820" s="58">
        <f t="shared" si="20"/>
        <v>-31744.9</v>
      </c>
    </row>
    <row r="3821" spans="1:10" x14ac:dyDescent="0.25">
      <c r="A3821" s="20">
        <v>45657</v>
      </c>
      <c r="B3821" t="str">
        <f>IFERROR(IF(VLOOKUP(C3821,Hoja1!$B$1:$C$6191,2,0)="",_xlfn.XLOOKUP(C3821,Hoja1!$B$2:$B$6191,Hoja1!$A$2:$A$6191),VLOOKUP(C3821,Hoja1!$B$1:$C$6191,2,0)),"No esta en Infor")</f>
        <v>NAC0769</v>
      </c>
      <c r="C3821" t="s">
        <v>156</v>
      </c>
      <c r="D3821" s="58">
        <v>1137</v>
      </c>
      <c r="F3821">
        <v>0</v>
      </c>
      <c r="G3821">
        <v>0</v>
      </c>
      <c r="H3821">
        <v>-297.89</v>
      </c>
      <c r="I3821">
        <v>0</v>
      </c>
      <c r="J3821" s="58">
        <f t="shared" si="20"/>
        <v>-297.89</v>
      </c>
    </row>
    <row r="3822" spans="1:10" x14ac:dyDescent="0.25">
      <c r="A3822" s="20">
        <v>45657</v>
      </c>
      <c r="B3822" t="str">
        <f>IFERROR(IF(VLOOKUP(C3822,Hoja1!$B$1:$C$6191,2,0)="",_xlfn.XLOOKUP(C3822,Hoja1!$B$2:$B$6191,Hoja1!$A$2:$A$6191),VLOOKUP(C3822,Hoja1!$B$1:$C$6191,2,0)),"No esta en Infor")</f>
        <v>SH03288</v>
      </c>
      <c r="C3822" t="s">
        <v>809</v>
      </c>
      <c r="D3822">
        <v>3.46</v>
      </c>
      <c r="F3822">
        <v>0</v>
      </c>
      <c r="G3822">
        <v>0</v>
      </c>
      <c r="H3822">
        <v>0</v>
      </c>
      <c r="I3822">
        <v>0</v>
      </c>
      <c r="J3822" s="58">
        <f t="shared" si="20"/>
        <v>0</v>
      </c>
    </row>
    <row r="3823" spans="1:10" x14ac:dyDescent="0.25">
      <c r="A3823" s="20">
        <v>45657</v>
      </c>
      <c r="B3823" t="str">
        <f>IFERROR(IF(VLOOKUP(C3823,Hoja1!$B$1:$C$6191,2,0)="",_xlfn.XLOOKUP(C3823,Hoja1!$B$2:$B$6191,Hoja1!$A$2:$A$6191),VLOOKUP(C3823,Hoja1!$B$1:$C$6191,2,0)),"No esta en Infor")</f>
        <v>SH03463</v>
      </c>
      <c r="C3823" t="s">
        <v>873</v>
      </c>
      <c r="D3823">
        <v>1.77</v>
      </c>
      <c r="F3823">
        <v>0</v>
      </c>
      <c r="G3823">
        <v>0</v>
      </c>
      <c r="H3823">
        <v>0</v>
      </c>
      <c r="I3823">
        <v>0</v>
      </c>
      <c r="J3823" s="58">
        <f t="shared" si="20"/>
        <v>0</v>
      </c>
    </row>
    <row r="3824" spans="1:10" x14ac:dyDescent="0.25">
      <c r="A3824" s="20">
        <v>45657</v>
      </c>
      <c r="B3824" t="str">
        <f>IFERROR(IF(VLOOKUP(C3824,Hoja1!$B$1:$C$6191,2,0)="",_xlfn.XLOOKUP(C3824,Hoja1!$B$2:$B$6191,Hoja1!$A$2:$A$6191),VLOOKUP(C3824,Hoja1!$B$1:$C$6191,2,0)),"No esta en Infor")</f>
        <v>SH03290</v>
      </c>
      <c r="C3824" t="s">
        <v>810</v>
      </c>
      <c r="D3824">
        <v>2.88</v>
      </c>
      <c r="F3824">
        <v>0</v>
      </c>
      <c r="G3824">
        <v>0</v>
      </c>
      <c r="H3824">
        <v>0</v>
      </c>
      <c r="I3824">
        <v>0</v>
      </c>
      <c r="J3824" s="58">
        <f t="shared" si="20"/>
        <v>0</v>
      </c>
    </row>
    <row r="3825" spans="1:10" x14ac:dyDescent="0.25">
      <c r="A3825" s="20">
        <v>45657</v>
      </c>
      <c r="B3825" t="str">
        <f>IFERROR(IF(VLOOKUP(C3825,Hoja1!$B$1:$C$6191,2,0)="",_xlfn.XLOOKUP(C3825,Hoja1!$B$2:$B$6191,Hoja1!$A$2:$A$6191),VLOOKUP(C3825,Hoja1!$B$1:$C$6191,2,0)),"No esta en Infor")</f>
        <v>NAC0778</v>
      </c>
      <c r="C3825" t="s">
        <v>159</v>
      </c>
      <c r="D3825">
        <v>0</v>
      </c>
      <c r="F3825">
        <v>0</v>
      </c>
      <c r="G3825">
        <v>0</v>
      </c>
      <c r="H3825">
        <v>0</v>
      </c>
      <c r="I3825">
        <v>-781.38</v>
      </c>
      <c r="J3825" s="58">
        <f t="shared" si="20"/>
        <v>-781.38</v>
      </c>
    </row>
    <row r="3826" spans="1:10" x14ac:dyDescent="0.25">
      <c r="A3826" s="20">
        <v>45657</v>
      </c>
      <c r="B3826" t="str">
        <f>IFERROR(IF(VLOOKUP(C3826,Hoja1!$B$1:$C$6191,2,0)="",_xlfn.XLOOKUP(C3826,Hoja1!$B$2:$B$6191,Hoja1!$A$2:$A$6191),VLOOKUP(C3826,Hoja1!$B$1:$C$6191,2,0)),"No esta en Infor")</f>
        <v>NAC0780</v>
      </c>
      <c r="C3826" t="s">
        <v>161</v>
      </c>
      <c r="D3826" s="58">
        <v>3756</v>
      </c>
      <c r="F3826">
        <v>0</v>
      </c>
      <c r="G3826">
        <v>0</v>
      </c>
      <c r="H3826">
        <v>0</v>
      </c>
      <c r="I3826">
        <v>0</v>
      </c>
      <c r="J3826" s="58">
        <f t="shared" si="20"/>
        <v>0</v>
      </c>
    </row>
    <row r="3827" spans="1:10" x14ac:dyDescent="0.25">
      <c r="A3827" s="20">
        <v>45657</v>
      </c>
      <c r="B3827" t="str">
        <f>IFERROR(IF(VLOOKUP(C3827,Hoja1!$B$1:$C$6191,2,0)="",_xlfn.XLOOKUP(C3827,Hoja1!$B$2:$B$6191,Hoja1!$A$2:$A$6191),VLOOKUP(C3827,Hoja1!$B$1:$C$6191,2,0)),"No esta en Infor")</f>
        <v>NAC0781</v>
      </c>
      <c r="C3827" t="s">
        <v>162</v>
      </c>
      <c r="D3827">
        <v>156</v>
      </c>
      <c r="F3827">
        <v>0</v>
      </c>
      <c r="G3827">
        <v>0</v>
      </c>
      <c r="H3827">
        <v>0</v>
      </c>
      <c r="I3827">
        <v>-730</v>
      </c>
      <c r="J3827" s="58">
        <f t="shared" si="20"/>
        <v>-730</v>
      </c>
    </row>
    <row r="3828" spans="1:10" x14ac:dyDescent="0.25">
      <c r="A3828" s="20">
        <v>45657</v>
      </c>
      <c r="B3828" t="str">
        <f>IFERROR(IF(VLOOKUP(C3828,Hoja1!$B$1:$C$6191,2,0)="",_xlfn.XLOOKUP(C3828,Hoja1!$B$2:$B$6191,Hoja1!$A$2:$A$6191),VLOOKUP(C3828,Hoja1!$B$1:$C$6191,2,0)),"No esta en Infor")</f>
        <v>NAC0791</v>
      </c>
      <c r="C3828" t="s">
        <v>874</v>
      </c>
      <c r="D3828" s="58">
        <v>-1548.46</v>
      </c>
      <c r="F3828">
        <v>0</v>
      </c>
      <c r="G3828">
        <v>0</v>
      </c>
      <c r="H3828">
        <v>0</v>
      </c>
      <c r="I3828">
        <v>0</v>
      </c>
      <c r="J3828" s="58">
        <f t="shared" si="20"/>
        <v>0</v>
      </c>
    </row>
    <row r="3829" spans="1:10" x14ac:dyDescent="0.25">
      <c r="A3829" s="20">
        <v>45657</v>
      </c>
      <c r="B3829" t="str">
        <f>IFERROR(IF(VLOOKUP(C3829,Hoja1!$B$1:$C$6191,2,0)="",_xlfn.XLOOKUP(C3829,Hoja1!$B$2:$B$6191,Hoja1!$A$2:$A$6191),VLOOKUP(C3829,Hoja1!$B$1:$C$6191,2,0)),"No esta en Infor")</f>
        <v>NAC0792</v>
      </c>
      <c r="C3829" t="s">
        <v>164</v>
      </c>
      <c r="D3829" s="58">
        <v>49484.3</v>
      </c>
      <c r="F3829">
        <v>0</v>
      </c>
      <c r="G3829">
        <v>0</v>
      </c>
      <c r="H3829">
        <v>0</v>
      </c>
      <c r="I3829">
        <v>0</v>
      </c>
      <c r="J3829" s="58">
        <f t="shared" si="20"/>
        <v>0</v>
      </c>
    </row>
    <row r="3830" spans="1:10" x14ac:dyDescent="0.25">
      <c r="A3830" s="20">
        <v>45657</v>
      </c>
      <c r="B3830" t="str">
        <f>IFERROR(IF(VLOOKUP(C3830,Hoja1!$B$1:$C$6191,2,0)="",_xlfn.XLOOKUP(C3830,Hoja1!$B$2:$B$6191,Hoja1!$A$2:$A$6191),VLOOKUP(C3830,Hoja1!$B$1:$C$6191,2,0)),"No esta en Infor")</f>
        <v>NAC1612</v>
      </c>
      <c r="C3830" t="s">
        <v>663</v>
      </c>
      <c r="D3830">
        <v>0</v>
      </c>
      <c r="F3830">
        <v>0</v>
      </c>
      <c r="G3830">
        <v>0</v>
      </c>
      <c r="H3830">
        <v>-0.02</v>
      </c>
      <c r="I3830">
        <v>0</v>
      </c>
      <c r="J3830" s="58">
        <f t="shared" si="20"/>
        <v>-0.02</v>
      </c>
    </row>
    <row r="3831" spans="1:10" x14ac:dyDescent="0.25">
      <c r="A3831" s="20">
        <v>45657</v>
      </c>
      <c r="B3831" t="str">
        <f>IFERROR(IF(VLOOKUP(C3831,Hoja1!$B$1:$C$6191,2,0)="",_xlfn.XLOOKUP(C3831,Hoja1!$B$2:$B$6191,Hoja1!$A$2:$A$6191),VLOOKUP(C3831,Hoja1!$B$1:$C$6191,2,0)),"No esta en Infor")</f>
        <v>NAC0800</v>
      </c>
      <c r="C3831" t="s">
        <v>617</v>
      </c>
      <c r="D3831">
        <v>0</v>
      </c>
      <c r="F3831" s="58">
        <v>-1500</v>
      </c>
      <c r="G3831">
        <v>0</v>
      </c>
      <c r="H3831">
        <v>0</v>
      </c>
      <c r="I3831">
        <v>0</v>
      </c>
      <c r="J3831" s="58">
        <f t="shared" si="20"/>
        <v>-1500</v>
      </c>
    </row>
    <row r="3832" spans="1:10" x14ac:dyDescent="0.25">
      <c r="A3832" s="20">
        <v>45657</v>
      </c>
      <c r="B3832" t="str">
        <f>IFERROR(IF(VLOOKUP(C3832,Hoja1!$B$1:$C$6191,2,0)="",_xlfn.XLOOKUP(C3832,Hoja1!$B$2:$B$6191,Hoja1!$A$2:$A$6191),VLOOKUP(C3832,Hoja1!$B$1:$C$6191,2,0)),"No esta en Infor")</f>
        <v>NAC0804</v>
      </c>
      <c r="C3832" t="s">
        <v>169</v>
      </c>
      <c r="D3832" s="58">
        <v>2932.74</v>
      </c>
      <c r="F3832">
        <v>0</v>
      </c>
      <c r="G3832">
        <v>0</v>
      </c>
      <c r="H3832">
        <v>0</v>
      </c>
      <c r="I3832">
        <v>0</v>
      </c>
      <c r="J3832" s="58">
        <f t="shared" si="20"/>
        <v>0</v>
      </c>
    </row>
    <row r="3833" spans="1:10" x14ac:dyDescent="0.25">
      <c r="A3833" s="20">
        <v>45657</v>
      </c>
      <c r="B3833" t="str">
        <f>IFERROR(IF(VLOOKUP(C3833,Hoja1!$B$1:$C$6191,2,0)="",_xlfn.XLOOKUP(C3833,Hoja1!$B$2:$B$6191,Hoja1!$A$2:$A$6191),VLOOKUP(C3833,Hoja1!$B$1:$C$6191,2,0)),"No esta en Infor")</f>
        <v>NAC0807</v>
      </c>
      <c r="C3833" t="s">
        <v>875</v>
      </c>
      <c r="D3833" s="58">
        <v>2800.68</v>
      </c>
      <c r="F3833">
        <v>0</v>
      </c>
      <c r="G3833">
        <v>0</v>
      </c>
      <c r="H3833">
        <v>0</v>
      </c>
      <c r="I3833">
        <v>0</v>
      </c>
      <c r="J3833" s="58">
        <f t="shared" si="20"/>
        <v>0</v>
      </c>
    </row>
    <row r="3834" spans="1:10" x14ac:dyDescent="0.25">
      <c r="A3834" s="20">
        <v>45657</v>
      </c>
      <c r="B3834" t="str">
        <f>IFERROR(IF(VLOOKUP(C3834,Hoja1!$B$1:$C$6191,2,0)="",_xlfn.XLOOKUP(C3834,Hoja1!$B$2:$B$6191,Hoja1!$A$2:$A$6191),VLOOKUP(C3834,Hoja1!$B$1:$C$6191,2,0)),"No esta en Infor")</f>
        <v>CAN0019</v>
      </c>
      <c r="C3834" t="s">
        <v>172</v>
      </c>
      <c r="D3834" s="58">
        <v>19142.599999999999</v>
      </c>
      <c r="F3834">
        <v>0</v>
      </c>
      <c r="G3834">
        <v>0</v>
      </c>
      <c r="H3834">
        <v>0</v>
      </c>
      <c r="I3834">
        <v>0</v>
      </c>
      <c r="J3834" s="58">
        <f t="shared" si="20"/>
        <v>0</v>
      </c>
    </row>
    <row r="3835" spans="1:10" x14ac:dyDescent="0.25">
      <c r="A3835" s="20">
        <v>45657</v>
      </c>
      <c r="B3835" t="str">
        <f>IFERROR(IF(VLOOKUP(C3835,Hoja1!$B$1:$C$6191,2,0)="",_xlfn.XLOOKUP(C3835,Hoja1!$B$2:$B$6191,Hoja1!$A$2:$A$6191),VLOOKUP(C3835,Hoja1!$B$1:$C$6191,2,0)),"No esta en Infor")</f>
        <v>NAC0811</v>
      </c>
      <c r="C3835" t="s">
        <v>173</v>
      </c>
      <c r="D3835" s="58">
        <v>7237.29</v>
      </c>
      <c r="F3835">
        <v>0</v>
      </c>
      <c r="G3835">
        <v>0</v>
      </c>
      <c r="H3835">
        <v>0</v>
      </c>
      <c r="I3835">
        <v>0</v>
      </c>
      <c r="J3835" s="58">
        <f t="shared" si="20"/>
        <v>0</v>
      </c>
    </row>
    <row r="3836" spans="1:10" x14ac:dyDescent="0.25">
      <c r="A3836" s="20">
        <v>45657</v>
      </c>
      <c r="B3836" t="str">
        <f>IFERROR(IF(VLOOKUP(C3836,Hoja1!$B$1:$C$6191,2,0)="",_xlfn.XLOOKUP(C3836,Hoja1!$B$2:$B$6191,Hoja1!$A$2:$A$6191),VLOOKUP(C3836,Hoja1!$B$1:$C$6191,2,0)),"No esta en Infor")</f>
        <v>No esta en Infor</v>
      </c>
      <c r="C3836" t="s">
        <v>552</v>
      </c>
      <c r="D3836">
        <v>0</v>
      </c>
      <c r="F3836">
        <v>0</v>
      </c>
      <c r="G3836">
        <v>-6.34</v>
      </c>
      <c r="H3836">
        <v>0</v>
      </c>
      <c r="I3836">
        <v>0</v>
      </c>
      <c r="J3836" s="58">
        <f t="shared" si="20"/>
        <v>-6.34</v>
      </c>
    </row>
    <row r="3837" spans="1:10" x14ac:dyDescent="0.25">
      <c r="A3837" s="20">
        <v>45657</v>
      </c>
      <c r="B3837" t="str">
        <f>IFERROR(IF(VLOOKUP(C3837,Hoja1!$B$1:$C$6191,2,0)="",_xlfn.XLOOKUP(C3837,Hoja1!$B$2:$B$6191,Hoja1!$A$2:$A$6191),VLOOKUP(C3837,Hoja1!$B$1:$C$6191,2,0)),"No esta en Infor")</f>
        <v>CAN0020</v>
      </c>
      <c r="C3837" t="s">
        <v>174</v>
      </c>
      <c r="D3837">
        <v>554.39</v>
      </c>
      <c r="F3837">
        <v>-896.09</v>
      </c>
      <c r="G3837">
        <v>0</v>
      </c>
      <c r="H3837">
        <v>0</v>
      </c>
      <c r="I3837">
        <v>0</v>
      </c>
      <c r="J3837" s="58">
        <f t="shared" si="20"/>
        <v>-896.09</v>
      </c>
    </row>
    <row r="3838" spans="1:10" x14ac:dyDescent="0.25">
      <c r="A3838" s="20">
        <v>45657</v>
      </c>
      <c r="B3838" t="str">
        <f>IFERROR(IF(VLOOKUP(C3838,Hoja1!$B$1:$C$6191,2,0)="",_xlfn.XLOOKUP(C3838,Hoja1!$B$2:$B$6191,Hoja1!$A$2:$A$6191),VLOOKUP(C3838,Hoja1!$B$1:$C$6191,2,0)),"No esta en Infor")</f>
        <v>NAC0814</v>
      </c>
      <c r="C3838" t="s">
        <v>175</v>
      </c>
      <c r="D3838" s="58">
        <v>10440</v>
      </c>
      <c r="F3838">
        <v>0</v>
      </c>
      <c r="G3838">
        <v>0</v>
      </c>
      <c r="H3838">
        <v>0</v>
      </c>
      <c r="I3838">
        <v>0</v>
      </c>
      <c r="J3838" s="58">
        <f t="shared" si="20"/>
        <v>0</v>
      </c>
    </row>
    <row r="3839" spans="1:10" x14ac:dyDescent="0.25">
      <c r="A3839" s="20">
        <v>45657</v>
      </c>
      <c r="B3839" t="str">
        <f>IFERROR(IF(VLOOKUP(C3839,Hoja1!$B$1:$C$6191,2,0)="",_xlfn.XLOOKUP(C3839,Hoja1!$B$2:$B$6191,Hoja1!$A$2:$A$6191),VLOOKUP(C3839,Hoja1!$B$1:$C$6191,2,0)),"No esta en Infor")</f>
        <v>NAC0816</v>
      </c>
      <c r="C3839" t="s">
        <v>176</v>
      </c>
      <c r="D3839">
        <v>0</v>
      </c>
      <c r="F3839">
        <v>-31.9</v>
      </c>
      <c r="G3839">
        <v>0</v>
      </c>
      <c r="H3839">
        <v>0</v>
      </c>
      <c r="I3839">
        <v>0</v>
      </c>
      <c r="J3839" s="58">
        <f t="shared" si="20"/>
        <v>-31.9</v>
      </c>
    </row>
    <row r="3840" spans="1:10" x14ac:dyDescent="0.25">
      <c r="A3840" s="20">
        <v>45657</v>
      </c>
      <c r="B3840" t="str">
        <f>IFERROR(IF(VLOOKUP(C3840,Hoja1!$B$1:$C$6191,2,0)="",_xlfn.XLOOKUP(C3840,Hoja1!$B$2:$B$6191,Hoja1!$A$2:$A$6191),VLOOKUP(C3840,Hoja1!$B$1:$C$6191,2,0)),"No esta en Infor")</f>
        <v>NAC0825</v>
      </c>
      <c r="C3840" t="s">
        <v>179</v>
      </c>
      <c r="D3840" s="58">
        <v>18290.16</v>
      </c>
      <c r="F3840">
        <v>0</v>
      </c>
      <c r="G3840">
        <v>0</v>
      </c>
      <c r="H3840">
        <v>0</v>
      </c>
      <c r="I3840">
        <v>0</v>
      </c>
      <c r="J3840" s="58">
        <f t="shared" si="20"/>
        <v>0</v>
      </c>
    </row>
    <row r="3841" spans="1:10" x14ac:dyDescent="0.25">
      <c r="A3841" s="20">
        <v>45657</v>
      </c>
      <c r="B3841" t="str">
        <f>IFERROR(IF(VLOOKUP(C3841,Hoja1!$B$1:$C$6191,2,0)="",_xlfn.XLOOKUP(C3841,Hoja1!$B$2:$B$6191,Hoja1!$A$2:$A$6191),VLOOKUP(C3841,Hoja1!$B$1:$C$6191,2,0)),"No esta en Infor")</f>
        <v>NAC0847</v>
      </c>
      <c r="C3841" t="s">
        <v>184</v>
      </c>
      <c r="D3841">
        <v>0</v>
      </c>
      <c r="F3841">
        <v>0</v>
      </c>
      <c r="G3841">
        <v>0</v>
      </c>
      <c r="H3841">
        <v>0</v>
      </c>
      <c r="I3841">
        <v>-1</v>
      </c>
      <c r="J3841" s="58">
        <f t="shared" si="20"/>
        <v>-1</v>
      </c>
    </row>
    <row r="3842" spans="1:10" x14ac:dyDescent="0.25">
      <c r="A3842" s="20">
        <v>45657</v>
      </c>
      <c r="B3842" t="str">
        <f>IFERROR(IF(VLOOKUP(C3842,Hoja1!$B$1:$C$6191,2,0)="",_xlfn.XLOOKUP(C3842,Hoja1!$B$2:$B$6191,Hoja1!$A$2:$A$6191),VLOOKUP(C3842,Hoja1!$B$1:$C$6191,2,0)),"No esta en Infor")</f>
        <v>SH03084</v>
      </c>
      <c r="C3842" t="s">
        <v>721</v>
      </c>
      <c r="D3842">
        <v>2.84</v>
      </c>
      <c r="F3842">
        <v>0</v>
      </c>
      <c r="G3842">
        <v>0</v>
      </c>
      <c r="H3842">
        <v>0</v>
      </c>
      <c r="I3842">
        <v>0</v>
      </c>
      <c r="J3842" s="58">
        <f t="shared" si="20"/>
        <v>0</v>
      </c>
    </row>
    <row r="3843" spans="1:10" x14ac:dyDescent="0.25">
      <c r="A3843" s="20">
        <v>45657</v>
      </c>
      <c r="B3843" t="str">
        <f>IFERROR(IF(VLOOKUP(C3843,Hoja1!$B$1:$C$6191,2,0)="",_xlfn.XLOOKUP(C3843,Hoja1!$B$2:$B$6191,Hoja1!$A$2:$A$6191),VLOOKUP(C3843,Hoja1!$B$1:$C$6191,2,0)),"No esta en Infor")</f>
        <v>NAC0851</v>
      </c>
      <c r="C3843" t="s">
        <v>185</v>
      </c>
      <c r="D3843">
        <v>0</v>
      </c>
      <c r="F3843">
        <v>0</v>
      </c>
      <c r="G3843">
        <v>0</v>
      </c>
      <c r="H3843">
        <v>-151.19999999999999</v>
      </c>
      <c r="I3843">
        <v>-680.4</v>
      </c>
      <c r="J3843" s="58">
        <f t="shared" si="20"/>
        <v>-831.59999999999991</v>
      </c>
    </row>
    <row r="3844" spans="1:10" x14ac:dyDescent="0.25">
      <c r="A3844" s="20">
        <v>45657</v>
      </c>
      <c r="B3844" t="str">
        <f>IFERROR(IF(VLOOKUP(C3844,Hoja1!$B$1:$C$6191,2,0)="",_xlfn.XLOOKUP(C3844,Hoja1!$B$2:$B$6191,Hoja1!$A$2:$A$6191),VLOOKUP(C3844,Hoja1!$B$1:$C$6191,2,0)),"No esta en Infor")</f>
        <v>NAC0858</v>
      </c>
      <c r="C3844" t="s">
        <v>188</v>
      </c>
      <c r="D3844" s="58">
        <v>3087</v>
      </c>
      <c r="F3844">
        <v>0</v>
      </c>
      <c r="G3844">
        <v>0</v>
      </c>
      <c r="H3844">
        <v>0</v>
      </c>
      <c r="I3844">
        <v>0</v>
      </c>
      <c r="J3844" s="58">
        <f t="shared" si="20"/>
        <v>0</v>
      </c>
    </row>
    <row r="3845" spans="1:10" x14ac:dyDescent="0.25">
      <c r="A3845" s="20">
        <v>45657</v>
      </c>
      <c r="B3845" t="str">
        <f>IFERROR(IF(VLOOKUP(C3845,Hoja1!$B$1:$C$6191,2,0)="",_xlfn.XLOOKUP(C3845,Hoja1!$B$2:$B$6191,Hoja1!$A$2:$A$6191),VLOOKUP(C3845,Hoja1!$B$1:$C$6191,2,0)),"No esta en Infor")</f>
        <v>NAC0861</v>
      </c>
      <c r="C3845" t="s">
        <v>189</v>
      </c>
      <c r="D3845">
        <v>-258</v>
      </c>
      <c r="F3845">
        <v>0</v>
      </c>
      <c r="G3845">
        <v>0</v>
      </c>
      <c r="H3845">
        <v>0</v>
      </c>
      <c r="I3845">
        <v>0</v>
      </c>
      <c r="J3845" s="58">
        <f t="shared" si="20"/>
        <v>0</v>
      </c>
    </row>
    <row r="3846" spans="1:10" x14ac:dyDescent="0.25">
      <c r="A3846" s="20">
        <v>45657</v>
      </c>
      <c r="B3846" t="str">
        <f>IFERROR(IF(VLOOKUP(C3846,Hoja1!$B$1:$C$6191,2,0)="",_xlfn.XLOOKUP(C3846,Hoja1!$B$2:$B$6191,Hoja1!$A$2:$A$6191),VLOOKUP(C3846,Hoja1!$B$1:$C$6191,2,0)),"No esta en Infor")</f>
        <v>NAC0863</v>
      </c>
      <c r="C3846" t="s">
        <v>398</v>
      </c>
      <c r="D3846">
        <v>0</v>
      </c>
      <c r="F3846">
        <v>0</v>
      </c>
      <c r="G3846">
        <v>0</v>
      </c>
      <c r="H3846">
        <v>-49.92</v>
      </c>
      <c r="I3846">
        <v>0</v>
      </c>
      <c r="J3846" s="58">
        <f t="shared" si="20"/>
        <v>-49.92</v>
      </c>
    </row>
    <row r="3847" spans="1:10" x14ac:dyDescent="0.25">
      <c r="A3847" s="20">
        <v>45657</v>
      </c>
      <c r="B3847" t="str">
        <f>IFERROR(IF(VLOOKUP(C3847,Hoja1!$B$1:$C$6191,2,0)="",_xlfn.XLOOKUP(C3847,Hoja1!$B$2:$B$6191,Hoja1!$A$2:$A$6191),VLOOKUP(C3847,Hoja1!$B$1:$C$6191,2,0)),"No esta en Infor")</f>
        <v>NAC0871</v>
      </c>
      <c r="C3847" t="s">
        <v>193</v>
      </c>
      <c r="D3847" s="58">
        <v>20730.099999999999</v>
      </c>
      <c r="F3847">
        <v>0</v>
      </c>
      <c r="G3847">
        <v>0</v>
      </c>
      <c r="H3847">
        <v>0</v>
      </c>
      <c r="I3847">
        <v>0</v>
      </c>
      <c r="J3847" s="58">
        <f t="shared" si="20"/>
        <v>0</v>
      </c>
    </row>
    <row r="3848" spans="1:10" x14ac:dyDescent="0.25">
      <c r="A3848" s="20">
        <v>45657</v>
      </c>
      <c r="B3848" t="str">
        <f>IFERROR(IF(VLOOKUP(C3848,Hoja1!$B$1:$C$6191,2,0)="",_xlfn.XLOOKUP(C3848,Hoja1!$B$2:$B$6191,Hoja1!$A$2:$A$6191),VLOOKUP(C3848,Hoja1!$B$1:$C$6191,2,0)),"No esta en Infor")</f>
        <v>NAC0879</v>
      </c>
      <c r="C3848" t="s">
        <v>194</v>
      </c>
      <c r="D3848">
        <v>0</v>
      </c>
      <c r="F3848">
        <v>0</v>
      </c>
      <c r="G3848">
        <v>0</v>
      </c>
      <c r="H3848">
        <v>-117.9</v>
      </c>
      <c r="I3848">
        <v>0</v>
      </c>
      <c r="J3848" s="58">
        <f t="shared" si="20"/>
        <v>-117.9</v>
      </c>
    </row>
    <row r="3849" spans="1:10" x14ac:dyDescent="0.25">
      <c r="A3849" s="20">
        <v>45657</v>
      </c>
      <c r="B3849" t="str">
        <f>IFERROR(IF(VLOOKUP(C3849,Hoja1!$B$1:$C$6191,2,0)="",_xlfn.XLOOKUP(C3849,Hoja1!$B$2:$B$6191,Hoja1!$A$2:$A$6191),VLOOKUP(C3849,Hoja1!$B$1:$C$6191,2,0)),"No esta en Infor")</f>
        <v>SH03372</v>
      </c>
      <c r="C3849" t="s">
        <v>827</v>
      </c>
      <c r="D3849">
        <v>3.35</v>
      </c>
      <c r="F3849">
        <v>0</v>
      </c>
      <c r="G3849">
        <v>0</v>
      </c>
      <c r="H3849">
        <v>0</v>
      </c>
      <c r="I3849">
        <v>0</v>
      </c>
      <c r="J3849" s="58">
        <f t="shared" si="20"/>
        <v>0</v>
      </c>
    </row>
    <row r="3850" spans="1:10" x14ac:dyDescent="0.25">
      <c r="A3850" s="20">
        <v>45657</v>
      </c>
      <c r="B3850" t="str">
        <f>IFERROR(IF(VLOOKUP(C3850,Hoja1!$B$1:$C$6191,2,0)="",_xlfn.XLOOKUP(C3850,Hoja1!$B$2:$B$6191,Hoja1!$A$2:$A$6191),VLOOKUP(C3850,Hoja1!$B$1:$C$6191,2,0)),"No esta en Infor")</f>
        <v>NAC0880</v>
      </c>
      <c r="C3850" t="s">
        <v>24</v>
      </c>
      <c r="D3850" s="58">
        <v>7440.67</v>
      </c>
      <c r="F3850">
        <v>-142.84</v>
      </c>
      <c r="G3850">
        <v>0</v>
      </c>
      <c r="H3850">
        <v>0</v>
      </c>
      <c r="I3850">
        <v>-0.3</v>
      </c>
      <c r="J3850" s="58">
        <f t="shared" si="20"/>
        <v>-143.14000000000001</v>
      </c>
    </row>
    <row r="3851" spans="1:10" x14ac:dyDescent="0.25">
      <c r="A3851" s="20">
        <v>45657</v>
      </c>
      <c r="B3851" t="str">
        <f>IFERROR(IF(VLOOKUP(C3851,Hoja1!$B$1:$C$6191,2,0)="",_xlfn.XLOOKUP(C3851,Hoja1!$B$2:$B$6191,Hoja1!$A$2:$A$6191),VLOOKUP(C3851,Hoja1!$B$1:$C$6191,2,0)),"No esta en Infor")</f>
        <v>NAC0881</v>
      </c>
      <c r="C3851" t="s">
        <v>195</v>
      </c>
      <c r="D3851" s="58">
        <v>6844.06</v>
      </c>
      <c r="F3851">
        <v>0</v>
      </c>
      <c r="G3851">
        <v>0</v>
      </c>
      <c r="H3851">
        <v>0</v>
      </c>
      <c r="I3851">
        <v>0</v>
      </c>
      <c r="J3851" s="58">
        <f t="shared" si="20"/>
        <v>0</v>
      </c>
    </row>
    <row r="3852" spans="1:10" x14ac:dyDescent="0.25">
      <c r="A3852" s="20">
        <v>45657</v>
      </c>
      <c r="B3852" t="str">
        <f>IFERROR(IF(VLOOKUP(C3852,Hoja1!$B$1:$C$6191,2,0)="",_xlfn.XLOOKUP(C3852,Hoja1!$B$2:$B$6191,Hoja1!$A$2:$A$6191),VLOOKUP(C3852,Hoja1!$B$1:$C$6191,2,0)),"No esta en Infor")</f>
        <v>NAC0888</v>
      </c>
      <c r="C3852" t="s">
        <v>198</v>
      </c>
      <c r="D3852" s="58">
        <v>1000</v>
      </c>
      <c r="F3852">
        <v>0</v>
      </c>
      <c r="G3852">
        <v>0</v>
      </c>
      <c r="H3852">
        <v>0</v>
      </c>
      <c r="I3852">
        <v>0</v>
      </c>
      <c r="J3852" s="58">
        <f t="shared" si="20"/>
        <v>0</v>
      </c>
    </row>
    <row r="3853" spans="1:10" x14ac:dyDescent="0.25">
      <c r="A3853" s="20">
        <v>45657</v>
      </c>
      <c r="B3853" t="str">
        <f>IFERROR(IF(VLOOKUP(C3853,Hoja1!$B$1:$C$6191,2,0)="",_xlfn.XLOOKUP(C3853,Hoja1!$B$2:$B$6191,Hoja1!$A$2:$A$6191),VLOOKUP(C3853,Hoja1!$B$1:$C$6191,2,0)),"No esta en Infor")</f>
        <v>NAC1628</v>
      </c>
      <c r="C3853" t="s">
        <v>500</v>
      </c>
      <c r="D3853">
        <v>711.06</v>
      </c>
      <c r="F3853">
        <v>0</v>
      </c>
      <c r="G3853">
        <v>0</v>
      </c>
      <c r="H3853">
        <v>0</v>
      </c>
      <c r="I3853">
        <v>0</v>
      </c>
      <c r="J3853" s="58">
        <f t="shared" si="20"/>
        <v>0</v>
      </c>
    </row>
    <row r="3854" spans="1:10" x14ac:dyDescent="0.25">
      <c r="A3854" s="20">
        <v>45657</v>
      </c>
      <c r="B3854" t="str">
        <f>IFERROR(IF(VLOOKUP(C3854,Hoja1!$B$1:$C$6191,2,0)="",_xlfn.XLOOKUP(C3854,Hoja1!$B$2:$B$6191,Hoja1!$A$2:$A$6191),VLOOKUP(C3854,Hoja1!$B$1:$C$6191,2,0)),"No esta en Infor")</f>
        <v>NAC0893</v>
      </c>
      <c r="C3854" t="s">
        <v>876</v>
      </c>
      <c r="D3854" s="58">
        <v>1400</v>
      </c>
      <c r="F3854">
        <v>0</v>
      </c>
      <c r="G3854">
        <v>0</v>
      </c>
      <c r="H3854">
        <v>0</v>
      </c>
      <c r="I3854">
        <v>0</v>
      </c>
      <c r="J3854" s="58">
        <f t="shared" si="20"/>
        <v>0</v>
      </c>
    </row>
    <row r="3855" spans="1:10" x14ac:dyDescent="0.25">
      <c r="A3855" s="20">
        <v>45657</v>
      </c>
      <c r="B3855" t="str">
        <f>IFERROR(IF(VLOOKUP(C3855,Hoja1!$B$1:$C$6191,2,0)="",_xlfn.XLOOKUP(C3855,Hoja1!$B$2:$B$6191,Hoja1!$A$2:$A$6191),VLOOKUP(C3855,Hoja1!$B$1:$C$6191,2,0)),"No esta en Infor")</f>
        <v>NAC0894</v>
      </c>
      <c r="C3855" t="s">
        <v>199</v>
      </c>
      <c r="D3855" s="58">
        <v>3450</v>
      </c>
      <c r="F3855" s="58">
        <v>-2280</v>
      </c>
      <c r="G3855">
        <v>0</v>
      </c>
      <c r="H3855">
        <v>0</v>
      </c>
      <c r="I3855">
        <v>0</v>
      </c>
      <c r="J3855" s="58">
        <f t="shared" si="20"/>
        <v>-2280</v>
      </c>
    </row>
    <row r="3856" spans="1:10" x14ac:dyDescent="0.25">
      <c r="A3856" s="20">
        <v>45657</v>
      </c>
      <c r="B3856" t="str">
        <f>IFERROR(IF(VLOOKUP(C3856,Hoja1!$B$1:$C$6191,2,0)="",_xlfn.XLOOKUP(C3856,Hoja1!$B$2:$B$6191,Hoja1!$A$2:$A$6191),VLOOKUP(C3856,Hoja1!$B$1:$C$6191,2,0)),"No esta en Infor")</f>
        <v>NAC0897</v>
      </c>
      <c r="C3856" t="s">
        <v>25</v>
      </c>
      <c r="D3856">
        <v>459.25</v>
      </c>
      <c r="F3856">
        <v>0</v>
      </c>
      <c r="G3856">
        <v>0</v>
      </c>
      <c r="H3856">
        <v>-303.5</v>
      </c>
      <c r="I3856">
        <v>0</v>
      </c>
      <c r="J3856" s="58">
        <f t="shared" si="20"/>
        <v>-303.5</v>
      </c>
    </row>
    <row r="3857" spans="1:10" x14ac:dyDescent="0.25">
      <c r="A3857" s="20">
        <v>45657</v>
      </c>
      <c r="B3857" t="str">
        <f>IFERROR(IF(VLOOKUP(C3857,Hoja1!$B$1:$C$6191,2,0)="",_xlfn.XLOOKUP(C3857,Hoja1!$B$2:$B$6191,Hoja1!$A$2:$A$6191),VLOOKUP(C3857,Hoja1!$B$1:$C$6191,2,0)),"No esta en Infor")</f>
        <v>NAC0898</v>
      </c>
      <c r="C3857" t="s">
        <v>200</v>
      </c>
      <c r="D3857">
        <v>471.11</v>
      </c>
      <c r="F3857">
        <v>0</v>
      </c>
      <c r="G3857">
        <v>0</v>
      </c>
      <c r="H3857">
        <v>0</v>
      </c>
      <c r="I3857">
        <v>0</v>
      </c>
      <c r="J3857" s="58">
        <f t="shared" si="20"/>
        <v>0</v>
      </c>
    </row>
    <row r="3858" spans="1:10" x14ac:dyDescent="0.25">
      <c r="A3858" s="20">
        <v>45657</v>
      </c>
      <c r="B3858" t="str">
        <f>IFERROR(IF(VLOOKUP(C3858,Hoja1!$B$1:$C$6191,2,0)="",_xlfn.XLOOKUP(C3858,Hoja1!$B$2:$B$6191,Hoja1!$A$2:$A$6191),VLOOKUP(C3858,Hoja1!$B$1:$C$6191,2,0)),"No esta en Infor")</f>
        <v>NAC0906</v>
      </c>
      <c r="C3858" t="s">
        <v>456</v>
      </c>
      <c r="D3858">
        <v>0</v>
      </c>
      <c r="F3858">
        <v>0</v>
      </c>
      <c r="G3858">
        <v>0</v>
      </c>
      <c r="H3858">
        <v>-8.93</v>
      </c>
      <c r="I3858">
        <v>0</v>
      </c>
      <c r="J3858" s="58">
        <f t="shared" si="20"/>
        <v>-8.93</v>
      </c>
    </row>
    <row r="3859" spans="1:10" x14ac:dyDescent="0.25">
      <c r="A3859" s="20">
        <v>45657</v>
      </c>
      <c r="B3859" t="str">
        <f>IFERROR(IF(VLOOKUP(C3859,Hoja1!$B$1:$C$6191,2,0)="",_xlfn.XLOOKUP(C3859,Hoja1!$B$2:$B$6191,Hoja1!$A$2:$A$6191),VLOOKUP(C3859,Hoja1!$B$1:$C$6191,2,0)),"No esta en Infor")</f>
        <v>CAN0023</v>
      </c>
      <c r="C3859" t="s">
        <v>554</v>
      </c>
      <c r="D3859">
        <v>0</v>
      </c>
      <c r="F3859">
        <v>0</v>
      </c>
      <c r="G3859">
        <v>508.5</v>
      </c>
      <c r="H3859">
        <v>0</v>
      </c>
      <c r="I3859">
        <v>0</v>
      </c>
      <c r="J3859" s="58">
        <f t="shared" si="20"/>
        <v>508.5</v>
      </c>
    </row>
    <row r="3860" spans="1:10" x14ac:dyDescent="0.25">
      <c r="A3860" s="20">
        <v>45657</v>
      </c>
      <c r="B3860" t="str">
        <f>IFERROR(IF(VLOOKUP(C3860,Hoja1!$B$1:$C$6191,2,0)="",_xlfn.XLOOKUP(C3860,Hoja1!$B$2:$B$6191,Hoja1!$A$2:$A$6191),VLOOKUP(C3860,Hoja1!$B$1:$C$6191,2,0)),"No esta en Infor")</f>
        <v>CAN0092</v>
      </c>
      <c r="C3860" t="s">
        <v>555</v>
      </c>
      <c r="D3860">
        <v>0</v>
      </c>
      <c r="F3860">
        <v>0</v>
      </c>
      <c r="G3860">
        <v>-508.5</v>
      </c>
      <c r="H3860">
        <v>0</v>
      </c>
      <c r="I3860">
        <v>0</v>
      </c>
      <c r="J3860" s="58">
        <f t="shared" si="20"/>
        <v>-508.5</v>
      </c>
    </row>
    <row r="3861" spans="1:10" x14ac:dyDescent="0.25">
      <c r="A3861" s="20">
        <v>45657</v>
      </c>
      <c r="B3861" t="str">
        <f>IFERROR(IF(VLOOKUP(C3861,Hoja1!$B$1:$C$6191,2,0)="",_xlfn.XLOOKUP(C3861,Hoja1!$B$2:$B$6191,Hoja1!$A$2:$A$6191),VLOOKUP(C3861,Hoja1!$B$1:$C$6191,2,0)),"No esta en Infor")</f>
        <v>SH03140</v>
      </c>
      <c r="C3861" t="s">
        <v>799</v>
      </c>
      <c r="D3861">
        <v>36.590000000000003</v>
      </c>
      <c r="F3861">
        <v>0</v>
      </c>
      <c r="G3861">
        <v>0</v>
      </c>
      <c r="H3861">
        <v>0</v>
      </c>
      <c r="I3861">
        <v>0</v>
      </c>
      <c r="J3861" s="58">
        <f t="shared" si="20"/>
        <v>0</v>
      </c>
    </row>
    <row r="3862" spans="1:10" x14ac:dyDescent="0.25">
      <c r="A3862" s="20">
        <v>45657</v>
      </c>
      <c r="B3862" t="str">
        <f>IFERROR(IF(VLOOKUP(C3862,Hoja1!$B$1:$C$6191,2,0)="",_xlfn.XLOOKUP(C3862,Hoja1!$B$2:$B$6191,Hoja1!$A$2:$A$6191),VLOOKUP(C3862,Hoja1!$B$1:$C$6191,2,0)),"No esta en Infor")</f>
        <v>NAC0929</v>
      </c>
      <c r="C3862" t="s">
        <v>207</v>
      </c>
      <c r="D3862" s="58">
        <v>2583.7199999999998</v>
      </c>
      <c r="F3862">
        <v>0</v>
      </c>
      <c r="G3862">
        <v>0</v>
      </c>
      <c r="H3862">
        <v>0</v>
      </c>
      <c r="I3862">
        <v>0</v>
      </c>
      <c r="J3862" s="58">
        <f t="shared" si="20"/>
        <v>0</v>
      </c>
    </row>
    <row r="3863" spans="1:10" x14ac:dyDescent="0.25">
      <c r="A3863" s="20">
        <v>45657</v>
      </c>
      <c r="B3863" t="str">
        <f>IFERROR(IF(VLOOKUP(C3863,Hoja1!$B$1:$C$6191,2,0)="",_xlfn.XLOOKUP(C3863,Hoja1!$B$2:$B$6191,Hoja1!$A$2:$A$6191),VLOOKUP(C3863,Hoja1!$B$1:$C$6191,2,0)),"No esta en Infor")</f>
        <v>NAC0933</v>
      </c>
      <c r="C3863" t="s">
        <v>728</v>
      </c>
      <c r="D3863" s="58">
        <v>2226.5</v>
      </c>
      <c r="F3863">
        <v>0</v>
      </c>
      <c r="G3863">
        <v>0</v>
      </c>
      <c r="H3863">
        <v>0</v>
      </c>
      <c r="I3863">
        <v>0</v>
      </c>
      <c r="J3863" s="58">
        <f t="shared" si="20"/>
        <v>0</v>
      </c>
    </row>
    <row r="3864" spans="1:10" x14ac:dyDescent="0.25">
      <c r="A3864" s="20">
        <v>45657</v>
      </c>
      <c r="B3864" t="str">
        <f>IFERROR(IF(VLOOKUP(C3864,Hoja1!$B$1:$C$6191,2,0)="",_xlfn.XLOOKUP(C3864,Hoja1!$B$2:$B$6191,Hoja1!$A$2:$A$6191),VLOOKUP(C3864,Hoja1!$B$1:$C$6191,2,0)),"No esta en Infor")</f>
        <v>NAC1607</v>
      </c>
      <c r="C3864" t="s">
        <v>668</v>
      </c>
      <c r="D3864">
        <v>292.23</v>
      </c>
      <c r="F3864">
        <v>-24.18</v>
      </c>
      <c r="G3864">
        <v>0</v>
      </c>
      <c r="H3864">
        <v>0</v>
      </c>
      <c r="I3864">
        <v>0</v>
      </c>
      <c r="J3864" s="58">
        <f t="shared" si="20"/>
        <v>-24.18</v>
      </c>
    </row>
    <row r="3865" spans="1:10" x14ac:dyDescent="0.25">
      <c r="A3865" s="20">
        <v>45657</v>
      </c>
      <c r="B3865" t="str">
        <f>IFERROR(IF(VLOOKUP(C3865,Hoja1!$B$1:$C$6191,2,0)="",_xlfn.XLOOKUP(C3865,Hoja1!$B$2:$B$6191,Hoja1!$A$2:$A$6191),VLOOKUP(C3865,Hoja1!$B$1:$C$6191,2,0)),"No esta en Infor")</f>
        <v>NAC0953</v>
      </c>
      <c r="C3865" t="s">
        <v>28</v>
      </c>
      <c r="D3865">
        <v>0</v>
      </c>
      <c r="F3865">
        <v>0</v>
      </c>
      <c r="G3865">
        <v>-161.36000000000001</v>
      </c>
      <c r="H3865">
        <v>-527.44000000000005</v>
      </c>
      <c r="I3865">
        <v>-47.79</v>
      </c>
      <c r="J3865" s="58">
        <f t="shared" si="20"/>
        <v>-736.59</v>
      </c>
    </row>
    <row r="3866" spans="1:10" x14ac:dyDescent="0.25">
      <c r="A3866" s="20">
        <v>45657</v>
      </c>
      <c r="B3866" t="str">
        <f>IFERROR(IF(VLOOKUP(C3866,Hoja1!$B$1:$C$6191,2,0)="",_xlfn.XLOOKUP(C3866,Hoja1!$B$2:$B$6191,Hoja1!$A$2:$A$6191),VLOOKUP(C3866,Hoja1!$B$1:$C$6191,2,0)),"No esta en Infor")</f>
        <v>NAC0960</v>
      </c>
      <c r="C3866" t="s">
        <v>216</v>
      </c>
      <c r="D3866" s="58">
        <v>2649.96</v>
      </c>
      <c r="F3866">
        <v>0</v>
      </c>
      <c r="G3866">
        <v>0</v>
      </c>
      <c r="H3866">
        <v>0</v>
      </c>
      <c r="I3866">
        <v>0</v>
      </c>
      <c r="J3866" s="58">
        <f t="shared" si="20"/>
        <v>0</v>
      </c>
    </row>
    <row r="3867" spans="1:10" x14ac:dyDescent="0.25">
      <c r="A3867" s="20">
        <v>45657</v>
      </c>
      <c r="B3867" t="str">
        <f>IFERROR(IF(VLOOKUP(C3867,Hoja1!$B$1:$C$6191,2,0)="",_xlfn.XLOOKUP(C3867,Hoja1!$B$2:$B$6191,Hoja1!$A$2:$A$6191),VLOOKUP(C3867,Hoja1!$B$1:$C$6191,2,0)),"No esta en Infor")</f>
        <v>SH03292</v>
      </c>
      <c r="C3867" t="s">
        <v>812</v>
      </c>
      <c r="D3867">
        <v>2.89</v>
      </c>
      <c r="F3867">
        <v>0</v>
      </c>
      <c r="G3867">
        <v>0</v>
      </c>
      <c r="H3867">
        <v>0</v>
      </c>
      <c r="I3867">
        <v>0</v>
      </c>
      <c r="J3867" s="58">
        <f t="shared" si="20"/>
        <v>0</v>
      </c>
    </row>
    <row r="3868" spans="1:10" x14ac:dyDescent="0.25">
      <c r="A3868" s="20">
        <v>45657</v>
      </c>
      <c r="B3868" t="str">
        <f>IFERROR(IF(VLOOKUP(C3868,Hoja1!$B$1:$C$6191,2,0)="",_xlfn.XLOOKUP(C3868,Hoja1!$B$2:$B$6191,Hoja1!$A$2:$A$6191),VLOOKUP(C3868,Hoja1!$B$1:$C$6191,2,0)),"No esta en Infor")</f>
        <v>NAC0967</v>
      </c>
      <c r="C3868" t="s">
        <v>780</v>
      </c>
      <c r="D3868">
        <v>16.059999999999999</v>
      </c>
      <c r="F3868">
        <v>0</v>
      </c>
      <c r="G3868">
        <v>0</v>
      </c>
      <c r="H3868">
        <v>0</v>
      </c>
      <c r="I3868">
        <v>0</v>
      </c>
      <c r="J3868" s="58">
        <f t="shared" si="20"/>
        <v>0</v>
      </c>
    </row>
    <row r="3869" spans="1:10" x14ac:dyDescent="0.25">
      <c r="A3869" s="20">
        <v>45657</v>
      </c>
      <c r="B3869" t="str">
        <f>IFERROR(IF(VLOOKUP(C3869,Hoja1!$B$1:$C$6191,2,0)="",_xlfn.XLOOKUP(C3869,Hoja1!$B$2:$B$6191,Hoja1!$A$2:$A$6191),VLOOKUP(C3869,Hoja1!$B$1:$C$6191,2,0)),"No esta en Infor")</f>
        <v>NAC0971</v>
      </c>
      <c r="C3869" t="s">
        <v>219</v>
      </c>
      <c r="D3869">
        <v>-159.91</v>
      </c>
      <c r="F3869">
        <v>-23.66</v>
      </c>
      <c r="G3869">
        <v>0</v>
      </c>
      <c r="H3869">
        <v>0</v>
      </c>
      <c r="I3869">
        <v>0</v>
      </c>
      <c r="J3869" s="58">
        <f t="shared" si="20"/>
        <v>-23.66</v>
      </c>
    </row>
    <row r="3870" spans="1:10" x14ac:dyDescent="0.25">
      <c r="A3870" s="20">
        <v>45657</v>
      </c>
      <c r="B3870" t="str">
        <f>IFERROR(IF(VLOOKUP(C3870,Hoja1!$B$1:$C$6191,2,0)="",_xlfn.XLOOKUP(C3870,Hoja1!$B$2:$B$6191,Hoja1!$A$2:$A$6191),VLOOKUP(C3870,Hoja1!$B$1:$C$6191,2,0)),"No esta en Infor")</f>
        <v>NAC0978</v>
      </c>
      <c r="C3870" t="s">
        <v>502</v>
      </c>
      <c r="D3870">
        <v>0</v>
      </c>
      <c r="F3870">
        <v>-9.48</v>
      </c>
      <c r="G3870">
        <v>0</v>
      </c>
      <c r="H3870">
        <v>0</v>
      </c>
      <c r="I3870">
        <v>0</v>
      </c>
      <c r="J3870" s="58">
        <f t="shared" si="20"/>
        <v>-9.48</v>
      </c>
    </row>
    <row r="3871" spans="1:10" x14ac:dyDescent="0.25">
      <c r="A3871" s="20">
        <v>45657</v>
      </c>
      <c r="B3871" t="str">
        <f>IFERROR(IF(VLOOKUP(C3871,Hoja1!$B$1:$C$6191,2,0)="",_xlfn.XLOOKUP(C3871,Hoja1!$B$2:$B$6191,Hoja1!$A$2:$A$6191),VLOOKUP(C3871,Hoja1!$B$1:$C$6191,2,0)),"No esta en Infor")</f>
        <v>SH02931</v>
      </c>
      <c r="C3871" t="s">
        <v>671</v>
      </c>
      <c r="D3871">
        <v>0</v>
      </c>
      <c r="F3871">
        <v>-11.13</v>
      </c>
      <c r="G3871">
        <v>0</v>
      </c>
      <c r="H3871">
        <v>0</v>
      </c>
      <c r="I3871">
        <v>0</v>
      </c>
      <c r="J3871" s="58">
        <f t="shared" si="20"/>
        <v>-11.13</v>
      </c>
    </row>
    <row r="3872" spans="1:10" x14ac:dyDescent="0.25">
      <c r="A3872" s="20">
        <v>45657</v>
      </c>
      <c r="B3872" t="str">
        <f>IFERROR(IF(VLOOKUP(C3872,Hoja1!$B$1:$C$6191,2,0)="",_xlfn.XLOOKUP(C3872,Hoja1!$B$2:$B$6191,Hoja1!$A$2:$A$6191),VLOOKUP(C3872,Hoja1!$B$1:$C$6191,2,0)),"No esta en Infor")</f>
        <v>SH03314</v>
      </c>
      <c r="C3872" t="s">
        <v>815</v>
      </c>
      <c r="D3872">
        <v>-120.33</v>
      </c>
      <c r="F3872">
        <v>0</v>
      </c>
      <c r="G3872">
        <v>0</v>
      </c>
      <c r="H3872">
        <v>0</v>
      </c>
      <c r="I3872">
        <v>0</v>
      </c>
      <c r="J3872" s="58">
        <f t="shared" si="20"/>
        <v>0</v>
      </c>
    </row>
    <row r="3873" spans="1:10" x14ac:dyDescent="0.25">
      <c r="A3873" s="20">
        <v>45657</v>
      </c>
      <c r="B3873" t="str">
        <f>IFERROR(IF(VLOOKUP(C3873,Hoja1!$B$1:$C$6191,2,0)="",_xlfn.XLOOKUP(C3873,Hoja1!$B$2:$B$6191,Hoja1!$A$2:$A$6191),VLOOKUP(C3873,Hoja1!$B$1:$C$6191,2,0)),"No esta en Infor")</f>
        <v>SH03291</v>
      </c>
      <c r="C3873" t="s">
        <v>811</v>
      </c>
      <c r="D3873">
        <v>6.48</v>
      </c>
      <c r="F3873">
        <v>0</v>
      </c>
      <c r="G3873">
        <v>0</v>
      </c>
      <c r="H3873">
        <v>0</v>
      </c>
      <c r="I3873">
        <v>0</v>
      </c>
      <c r="J3873" s="58">
        <f t="shared" si="20"/>
        <v>0</v>
      </c>
    </row>
    <row r="3874" spans="1:10" x14ac:dyDescent="0.25">
      <c r="A3874" s="20">
        <v>45657</v>
      </c>
      <c r="B3874" t="str">
        <f>IFERROR(IF(VLOOKUP(C3874,Hoja1!$B$1:$C$6191,2,0)="",_xlfn.XLOOKUP(C3874,Hoja1!$B$2:$B$6191,Hoja1!$A$2:$A$6191),VLOOKUP(C3874,Hoja1!$B$1:$C$6191,2,0)),"No esta en Infor")</f>
        <v>SH03078</v>
      </c>
      <c r="C3874" t="s">
        <v>732</v>
      </c>
      <c r="D3874">
        <v>63.25</v>
      </c>
      <c r="F3874">
        <v>0</v>
      </c>
      <c r="G3874">
        <v>0</v>
      </c>
      <c r="H3874">
        <v>0</v>
      </c>
      <c r="I3874">
        <v>0</v>
      </c>
      <c r="J3874" s="58">
        <f t="shared" si="20"/>
        <v>0</v>
      </c>
    </row>
    <row r="3875" spans="1:10" x14ac:dyDescent="0.25">
      <c r="A3875" s="20">
        <v>45657</v>
      </c>
      <c r="B3875" t="str">
        <f>IFERROR(IF(VLOOKUP(C3875,Hoja1!$B$1:$C$6191,2,0)="",_xlfn.XLOOKUP(C3875,Hoja1!$B$2:$B$6191,Hoja1!$A$2:$A$6191),VLOOKUP(C3875,Hoja1!$B$1:$C$6191,2,0)),"No esta en Infor")</f>
        <v>SH03552</v>
      </c>
      <c r="C3875" t="s">
        <v>877</v>
      </c>
      <c r="D3875">
        <v>6.79</v>
      </c>
      <c r="F3875">
        <v>0</v>
      </c>
      <c r="G3875">
        <v>0</v>
      </c>
      <c r="H3875">
        <v>0</v>
      </c>
      <c r="I3875">
        <v>0</v>
      </c>
      <c r="J3875" s="58">
        <f t="shared" si="20"/>
        <v>0</v>
      </c>
    </row>
    <row r="3876" spans="1:10" x14ac:dyDescent="0.25">
      <c r="A3876" s="20">
        <v>45657</v>
      </c>
      <c r="B3876" t="str">
        <f>IFERROR(IF(VLOOKUP(C3876,Hoja1!$B$1:$C$6191,2,0)="",_xlfn.XLOOKUP(C3876,Hoja1!$B$2:$B$6191,Hoja1!$A$2:$A$6191),VLOOKUP(C3876,Hoja1!$B$1:$C$6191,2,0)),"No esta en Infor")</f>
        <v>SH03241</v>
      </c>
      <c r="C3876" t="s">
        <v>804</v>
      </c>
      <c r="D3876">
        <v>1.28</v>
      </c>
      <c r="F3876">
        <v>0</v>
      </c>
      <c r="G3876">
        <v>0</v>
      </c>
      <c r="H3876">
        <v>0</v>
      </c>
      <c r="I3876">
        <v>0</v>
      </c>
      <c r="J3876" s="58">
        <f t="shared" si="20"/>
        <v>0</v>
      </c>
    </row>
    <row r="3877" spans="1:10" x14ac:dyDescent="0.25">
      <c r="A3877" s="20">
        <v>45657</v>
      </c>
      <c r="B3877" t="str">
        <f>IFERROR(IF(VLOOKUP(C3877,Hoja1!$B$1:$C$6191,2,0)="",_xlfn.XLOOKUP(C3877,Hoja1!$B$2:$B$6191,Hoja1!$A$2:$A$6191),VLOOKUP(C3877,Hoja1!$B$1:$C$6191,2,0)),"No esta en Infor")</f>
        <v>NAC0986</v>
      </c>
      <c r="C3877" t="s">
        <v>224</v>
      </c>
      <c r="D3877">
        <v>0</v>
      </c>
      <c r="F3877">
        <v>82.42</v>
      </c>
      <c r="G3877" s="58">
        <v>1199.77</v>
      </c>
      <c r="H3877" s="58">
        <v>1300.71</v>
      </c>
      <c r="I3877">
        <v>269.14</v>
      </c>
      <c r="J3877" s="58">
        <f t="shared" si="20"/>
        <v>2852.04</v>
      </c>
    </row>
    <row r="3878" spans="1:10" x14ac:dyDescent="0.25">
      <c r="A3878" s="20">
        <v>45657</v>
      </c>
      <c r="B3878" t="str">
        <f>IFERROR(IF(VLOOKUP(C3878,Hoja1!$B$1:$C$6191,2,0)="",_xlfn.XLOOKUP(C3878,Hoja1!$B$2:$B$6191,Hoja1!$A$2:$A$6191),VLOOKUP(C3878,Hoja1!$B$1:$C$6191,2,0)),"No esta en Infor")</f>
        <v>NAC0987</v>
      </c>
      <c r="C3878" t="s">
        <v>225</v>
      </c>
      <c r="D3878">
        <v>0</v>
      </c>
      <c r="F3878">
        <v>0</v>
      </c>
      <c r="G3878">
        <v>0</v>
      </c>
      <c r="H3878">
        <v>0</v>
      </c>
      <c r="I3878" s="58">
        <v>2040.5</v>
      </c>
      <c r="J3878" s="58">
        <f t="shared" si="20"/>
        <v>2040.5</v>
      </c>
    </row>
    <row r="3879" spans="1:10" x14ac:dyDescent="0.25">
      <c r="A3879" s="20">
        <v>45657</v>
      </c>
      <c r="B3879" t="str">
        <f>IFERROR(IF(VLOOKUP(C3879,Hoja1!$B$1:$C$6191,2,0)="",_xlfn.XLOOKUP(C3879,Hoja1!$B$2:$B$6191,Hoja1!$A$2:$A$6191),VLOOKUP(C3879,Hoja1!$B$1:$C$6191,2,0)),"No esta en Infor")</f>
        <v>SH03083</v>
      </c>
      <c r="C3879" t="s">
        <v>734</v>
      </c>
      <c r="D3879">
        <v>-53.36</v>
      </c>
      <c r="F3879">
        <v>0</v>
      </c>
      <c r="G3879">
        <v>0</v>
      </c>
      <c r="H3879">
        <v>0</v>
      </c>
      <c r="I3879">
        <v>0</v>
      </c>
      <c r="J3879" s="58">
        <f t="shared" si="20"/>
        <v>0</v>
      </c>
    </row>
    <row r="3880" spans="1:10" x14ac:dyDescent="0.25">
      <c r="A3880" s="20">
        <v>45657</v>
      </c>
      <c r="B3880" t="str">
        <f>IFERROR(IF(VLOOKUP(C3880,Hoja1!$B$1:$C$6191,2,0)="",_xlfn.XLOOKUP(C3880,Hoja1!$B$2:$B$6191,Hoja1!$A$2:$A$6191),VLOOKUP(C3880,Hoja1!$B$1:$C$6191,2,0)),"No esta en Infor")</f>
        <v>NAC0994</v>
      </c>
      <c r="C3880" t="s">
        <v>226</v>
      </c>
      <c r="D3880">
        <v>374.5</v>
      </c>
      <c r="F3880">
        <v>0</v>
      </c>
      <c r="G3880">
        <v>0</v>
      </c>
      <c r="H3880">
        <v>0</v>
      </c>
      <c r="I3880">
        <v>0</v>
      </c>
      <c r="J3880" s="58">
        <f t="shared" si="20"/>
        <v>0</v>
      </c>
    </row>
    <row r="3881" spans="1:10" x14ac:dyDescent="0.25">
      <c r="A3881" s="20">
        <v>45657</v>
      </c>
      <c r="B3881" t="str">
        <f>IFERROR(IF(VLOOKUP(C3881,Hoja1!$B$1:$C$6191,2,0)="",_xlfn.XLOOKUP(C3881,Hoja1!$B$2:$B$6191,Hoja1!$A$2:$A$6191),VLOOKUP(C3881,Hoja1!$B$1:$C$6191,2,0)),"No esta en Infor")</f>
        <v>SH03287</v>
      </c>
      <c r="C3881" t="s">
        <v>808</v>
      </c>
      <c r="D3881">
        <v>4.6100000000000003</v>
      </c>
      <c r="F3881">
        <v>0</v>
      </c>
      <c r="G3881">
        <v>0</v>
      </c>
      <c r="H3881">
        <v>0</v>
      </c>
      <c r="I3881">
        <v>0</v>
      </c>
      <c r="J3881" s="58">
        <f t="shared" ref="J3881:J3944" si="21">SUM(E3881:I3881)</f>
        <v>0</v>
      </c>
    </row>
    <row r="3882" spans="1:10" x14ac:dyDescent="0.25">
      <c r="A3882" s="20">
        <v>45657</v>
      </c>
      <c r="B3882" t="str">
        <f>IFERROR(IF(VLOOKUP(C3882,Hoja1!$B$1:$C$6191,2,0)="",_xlfn.XLOOKUP(C3882,Hoja1!$B$2:$B$6191,Hoja1!$A$2:$A$6191),VLOOKUP(C3882,Hoja1!$B$1:$C$6191,2,0)),"No esta en Infor")</f>
        <v>NAC0998</v>
      </c>
      <c r="C3882" t="s">
        <v>229</v>
      </c>
      <c r="D3882">
        <v>422</v>
      </c>
      <c r="F3882">
        <v>0</v>
      </c>
      <c r="G3882">
        <v>0</v>
      </c>
      <c r="H3882">
        <v>0</v>
      </c>
      <c r="I3882">
        <v>0</v>
      </c>
      <c r="J3882" s="58">
        <f t="shared" si="21"/>
        <v>0</v>
      </c>
    </row>
    <row r="3883" spans="1:10" x14ac:dyDescent="0.25">
      <c r="A3883" s="20">
        <v>45657</v>
      </c>
      <c r="B3883" t="str">
        <f>IFERROR(IF(VLOOKUP(C3883,Hoja1!$B$1:$C$6191,2,0)="",_xlfn.XLOOKUP(C3883,Hoja1!$B$2:$B$6191,Hoja1!$A$2:$A$6191),VLOOKUP(C3883,Hoja1!$B$1:$C$6191,2,0)),"No esta en Infor")</f>
        <v>NAC1000</v>
      </c>
      <c r="C3883" t="s">
        <v>405</v>
      </c>
      <c r="D3883">
        <v>10.56</v>
      </c>
      <c r="F3883">
        <v>0</v>
      </c>
      <c r="G3883">
        <v>0</v>
      </c>
      <c r="H3883">
        <v>0</v>
      </c>
      <c r="I3883">
        <v>0</v>
      </c>
      <c r="J3883" s="58">
        <f t="shared" si="21"/>
        <v>0</v>
      </c>
    </row>
    <row r="3884" spans="1:10" x14ac:dyDescent="0.25">
      <c r="A3884" s="20">
        <v>45657</v>
      </c>
      <c r="B3884" t="str">
        <f>IFERROR(IF(VLOOKUP(C3884,Hoja1!$B$1:$C$6191,2,0)="",_xlfn.XLOOKUP(C3884,Hoja1!$B$2:$B$6191,Hoja1!$A$2:$A$6191),VLOOKUP(C3884,Hoja1!$B$1:$C$6191,2,0)),"No esta en Infor")</f>
        <v>SH03240</v>
      </c>
      <c r="C3884" t="s">
        <v>803</v>
      </c>
      <c r="D3884">
        <v>-92.75</v>
      </c>
      <c r="F3884">
        <v>0</v>
      </c>
      <c r="G3884">
        <v>0</v>
      </c>
      <c r="H3884">
        <v>0</v>
      </c>
      <c r="I3884">
        <v>0</v>
      </c>
      <c r="J3884" s="58">
        <f t="shared" si="21"/>
        <v>0</v>
      </c>
    </row>
    <row r="3885" spans="1:10" x14ac:dyDescent="0.25">
      <c r="A3885" s="20">
        <v>45657</v>
      </c>
      <c r="B3885" t="str">
        <f>IFERROR(IF(VLOOKUP(C3885,Hoja1!$B$1:$C$6191,2,0)="",_xlfn.XLOOKUP(C3885,Hoja1!$B$2:$B$6191,Hoja1!$A$2:$A$6191),VLOOKUP(C3885,Hoja1!$B$1:$C$6191,2,0)),"No esta en Infor")</f>
        <v>NAC1007</v>
      </c>
      <c r="C3885" t="s">
        <v>233</v>
      </c>
      <c r="D3885" s="58">
        <v>11780</v>
      </c>
      <c r="F3885">
        <v>0</v>
      </c>
      <c r="G3885">
        <v>0</v>
      </c>
      <c r="H3885" s="58">
        <v>-1440</v>
      </c>
      <c r="I3885">
        <v>0</v>
      </c>
      <c r="J3885" s="58">
        <f t="shared" si="21"/>
        <v>-1440</v>
      </c>
    </row>
    <row r="3886" spans="1:10" x14ac:dyDescent="0.25">
      <c r="A3886" s="20">
        <v>45657</v>
      </c>
      <c r="B3886" t="str">
        <f>IFERROR(IF(VLOOKUP(C3886,Hoja1!$B$1:$C$6191,2,0)="",_xlfn.XLOOKUP(C3886,Hoja1!$B$2:$B$6191,Hoja1!$A$2:$A$6191),VLOOKUP(C3886,Hoja1!$B$1:$C$6191,2,0)),"No esta en Infor")</f>
        <v>SH03474</v>
      </c>
      <c r="C3886" t="s">
        <v>878</v>
      </c>
      <c r="D3886">
        <v>-413.28</v>
      </c>
      <c r="F3886">
        <v>0</v>
      </c>
      <c r="G3886">
        <v>0</v>
      </c>
      <c r="H3886">
        <v>0</v>
      </c>
      <c r="I3886">
        <v>0</v>
      </c>
      <c r="J3886" s="58">
        <f t="shared" si="21"/>
        <v>0</v>
      </c>
    </row>
    <row r="3887" spans="1:10" x14ac:dyDescent="0.25">
      <c r="A3887" s="20">
        <v>45657</v>
      </c>
      <c r="B3887" t="str">
        <f>IFERROR(IF(VLOOKUP(C3887,Hoja1!$B$1:$C$6191,2,0)="",_xlfn.XLOOKUP(C3887,Hoja1!$B$2:$B$6191,Hoja1!$A$2:$A$6191),VLOOKUP(C3887,Hoja1!$B$1:$C$6191,2,0)),"No esta en Infor")</f>
        <v>NAC1013</v>
      </c>
      <c r="C3887" t="s">
        <v>235</v>
      </c>
      <c r="D3887">
        <v>391.55</v>
      </c>
      <c r="F3887">
        <v>0</v>
      </c>
      <c r="G3887">
        <v>0</v>
      </c>
      <c r="H3887">
        <v>0</v>
      </c>
      <c r="I3887">
        <v>0</v>
      </c>
      <c r="J3887" s="58">
        <f t="shared" si="21"/>
        <v>0</v>
      </c>
    </row>
    <row r="3888" spans="1:10" x14ac:dyDescent="0.25">
      <c r="A3888" s="20">
        <v>45657</v>
      </c>
      <c r="B3888" t="str">
        <f>IFERROR(IF(VLOOKUP(C3888,Hoja1!$B$1:$C$6191,2,0)="",_xlfn.XLOOKUP(C3888,Hoja1!$B$2:$B$6191,Hoja1!$A$2:$A$6191),VLOOKUP(C3888,Hoja1!$B$1:$C$6191,2,0)),"No esta en Infor")</f>
        <v>SH03281</v>
      </c>
      <c r="C3888" t="s">
        <v>807</v>
      </c>
      <c r="D3888">
        <v>4.51</v>
      </c>
      <c r="F3888">
        <v>0</v>
      </c>
      <c r="G3888">
        <v>0</v>
      </c>
      <c r="H3888">
        <v>0</v>
      </c>
      <c r="I3888">
        <v>0</v>
      </c>
      <c r="J3888" s="58">
        <f t="shared" si="21"/>
        <v>0</v>
      </c>
    </row>
    <row r="3889" spans="1:10" x14ac:dyDescent="0.25">
      <c r="A3889" s="20">
        <v>45657</v>
      </c>
      <c r="B3889" t="str">
        <f>IFERROR(IF(VLOOKUP(C3889,Hoja1!$B$1:$C$6191,2,0)="",_xlfn.XLOOKUP(C3889,Hoja1!$B$2:$B$6191,Hoja1!$A$2:$A$6191),VLOOKUP(C3889,Hoja1!$B$1:$C$6191,2,0)),"No esta en Infor")</f>
        <v>NAC1606</v>
      </c>
      <c r="C3889" t="s">
        <v>561</v>
      </c>
      <c r="D3889" s="58">
        <v>6530</v>
      </c>
      <c r="F3889">
        <v>0</v>
      </c>
      <c r="G3889">
        <v>0</v>
      </c>
      <c r="H3889">
        <v>0</v>
      </c>
      <c r="I3889">
        <v>0</v>
      </c>
      <c r="J3889" s="58">
        <f t="shared" si="21"/>
        <v>0</v>
      </c>
    </row>
    <row r="3890" spans="1:10" x14ac:dyDescent="0.25">
      <c r="A3890" s="20">
        <v>45657</v>
      </c>
      <c r="B3890" t="str">
        <f>IFERROR(IF(VLOOKUP(C3890,Hoja1!$B$1:$C$6191,2,0)="",_xlfn.XLOOKUP(C3890,Hoja1!$B$2:$B$6191,Hoja1!$A$2:$A$6191),VLOOKUP(C3890,Hoja1!$B$1:$C$6191,2,0)),"No esta en Infor")</f>
        <v>NAC1018</v>
      </c>
      <c r="C3890" t="s">
        <v>463</v>
      </c>
      <c r="D3890">
        <v>223.83</v>
      </c>
      <c r="F3890">
        <v>0</v>
      </c>
      <c r="G3890">
        <v>0</v>
      </c>
      <c r="H3890">
        <v>0</v>
      </c>
      <c r="I3890">
        <v>0</v>
      </c>
      <c r="J3890" s="58">
        <f t="shared" si="21"/>
        <v>0</v>
      </c>
    </row>
    <row r="3891" spans="1:10" x14ac:dyDescent="0.25">
      <c r="A3891" s="20">
        <v>45657</v>
      </c>
      <c r="B3891" t="str">
        <f>IFERROR(IF(VLOOKUP(C3891,Hoja1!$B$1:$C$6191,2,0)="",_xlfn.XLOOKUP(C3891,Hoja1!$B$2:$B$6191,Hoja1!$A$2:$A$6191),VLOOKUP(C3891,Hoja1!$B$1:$C$6191,2,0)),"No esta en Infor")</f>
        <v>NAC1021</v>
      </c>
      <c r="C3891" t="s">
        <v>239</v>
      </c>
      <c r="D3891">
        <v>0</v>
      </c>
      <c r="F3891">
        <v>-5</v>
      </c>
      <c r="G3891">
        <v>0</v>
      </c>
      <c r="H3891">
        <v>0</v>
      </c>
      <c r="I3891">
        <v>0</v>
      </c>
      <c r="J3891" s="58">
        <f t="shared" si="21"/>
        <v>-5</v>
      </c>
    </row>
    <row r="3892" spans="1:10" x14ac:dyDescent="0.25">
      <c r="A3892" s="20">
        <v>45657</v>
      </c>
      <c r="B3892" t="str">
        <f>IFERROR(IF(VLOOKUP(C3892,Hoja1!$B$1:$C$6191,2,0)="",_xlfn.XLOOKUP(C3892,Hoja1!$B$2:$B$6191,Hoja1!$A$2:$A$6191),VLOOKUP(C3892,Hoja1!$B$1:$C$6191,2,0)),"No esta en Infor")</f>
        <v>SH03296</v>
      </c>
      <c r="C3892" t="s">
        <v>814</v>
      </c>
      <c r="D3892">
        <v>2.19</v>
      </c>
      <c r="F3892">
        <v>0</v>
      </c>
      <c r="G3892">
        <v>0</v>
      </c>
      <c r="H3892">
        <v>0</v>
      </c>
      <c r="I3892">
        <v>0</v>
      </c>
      <c r="J3892" s="58">
        <f t="shared" si="21"/>
        <v>0</v>
      </c>
    </row>
    <row r="3893" spans="1:10" x14ac:dyDescent="0.25">
      <c r="A3893" s="20">
        <v>45657</v>
      </c>
      <c r="B3893" t="str">
        <f>IFERROR(IF(VLOOKUP(C3893,Hoja1!$B$1:$C$6191,2,0)="",_xlfn.XLOOKUP(C3893,Hoja1!$B$2:$B$6191,Hoja1!$A$2:$A$6191),VLOOKUP(C3893,Hoja1!$B$1:$C$6191,2,0)),"No esta en Infor")</f>
        <v>NAC1027</v>
      </c>
      <c r="C3893" t="s">
        <v>243</v>
      </c>
      <c r="D3893">
        <v>0</v>
      </c>
      <c r="F3893">
        <v>0</v>
      </c>
      <c r="G3893">
        <v>0</v>
      </c>
      <c r="H3893">
        <v>0</v>
      </c>
      <c r="I3893" s="58">
        <v>-2408</v>
      </c>
      <c r="J3893" s="58">
        <f t="shared" si="21"/>
        <v>-2408</v>
      </c>
    </row>
    <row r="3894" spans="1:10" x14ac:dyDescent="0.25">
      <c r="A3894" s="20">
        <v>45657</v>
      </c>
      <c r="B3894" t="str">
        <f>IFERROR(IF(VLOOKUP(C3894,Hoja1!$B$1:$C$6191,2,0)="",_xlfn.XLOOKUP(C3894,Hoja1!$B$2:$B$6191,Hoja1!$A$2:$A$6191),VLOOKUP(C3894,Hoja1!$B$1:$C$6191,2,0)),"No esta en Infor")</f>
        <v>NAC1041</v>
      </c>
      <c r="C3894" t="s">
        <v>879</v>
      </c>
      <c r="D3894">
        <v>468.66</v>
      </c>
      <c r="F3894">
        <v>0</v>
      </c>
      <c r="G3894">
        <v>0</v>
      </c>
      <c r="H3894">
        <v>0</v>
      </c>
      <c r="I3894">
        <v>0</v>
      </c>
      <c r="J3894" s="58">
        <f t="shared" si="21"/>
        <v>0</v>
      </c>
    </row>
    <row r="3895" spans="1:10" x14ac:dyDescent="0.25">
      <c r="A3895" s="20">
        <v>45657</v>
      </c>
      <c r="B3895" t="str">
        <f>IFERROR(IF(VLOOKUP(C3895,Hoja1!$B$1:$C$6191,2,0)="",_xlfn.XLOOKUP(C3895,Hoja1!$B$2:$B$6191,Hoja1!$A$2:$A$6191),VLOOKUP(C3895,Hoja1!$B$1:$C$6191,2,0)),"No esta en Infor")</f>
        <v>NAC1042</v>
      </c>
      <c r="C3895" t="s">
        <v>244</v>
      </c>
      <c r="D3895" s="58">
        <v>2814</v>
      </c>
      <c r="F3895">
        <v>0</v>
      </c>
      <c r="G3895">
        <v>0</v>
      </c>
      <c r="H3895">
        <v>0</v>
      </c>
      <c r="I3895">
        <v>0</v>
      </c>
      <c r="J3895" s="58">
        <f t="shared" si="21"/>
        <v>0</v>
      </c>
    </row>
    <row r="3896" spans="1:10" x14ac:dyDescent="0.25">
      <c r="A3896" s="20">
        <v>45657</v>
      </c>
      <c r="B3896" t="str">
        <f>IFERROR(IF(VLOOKUP(C3896,Hoja1!$B$1:$C$6191,2,0)="",_xlfn.XLOOKUP(C3896,Hoja1!$B$2:$B$6191,Hoja1!$A$2:$A$6191),VLOOKUP(C3896,Hoja1!$B$1:$C$6191,2,0)),"No esta en Infor")</f>
        <v>SH03379</v>
      </c>
      <c r="C3896" t="s">
        <v>828</v>
      </c>
      <c r="D3896">
        <v>2.5499999999999998</v>
      </c>
      <c r="F3896">
        <v>0</v>
      </c>
      <c r="G3896">
        <v>0</v>
      </c>
      <c r="H3896">
        <v>0</v>
      </c>
      <c r="I3896">
        <v>0</v>
      </c>
      <c r="J3896" s="58">
        <f t="shared" si="21"/>
        <v>0</v>
      </c>
    </row>
    <row r="3897" spans="1:10" x14ac:dyDescent="0.25">
      <c r="A3897" s="20">
        <v>45657</v>
      </c>
      <c r="B3897" t="str">
        <f>IFERROR(IF(VLOOKUP(C3897,Hoja1!$B$1:$C$6191,2,0)="",_xlfn.XLOOKUP(C3897,Hoja1!$B$2:$B$6191,Hoja1!$A$2:$A$6191),VLOOKUP(C3897,Hoja1!$B$1:$C$6191,2,0)),"No esta en Infor")</f>
        <v>NAC1050</v>
      </c>
      <c r="C3897" t="s">
        <v>880</v>
      </c>
      <c r="D3897" s="58">
        <v>-1101.18</v>
      </c>
      <c r="F3897">
        <v>0</v>
      </c>
      <c r="G3897">
        <v>0</v>
      </c>
      <c r="H3897">
        <v>0</v>
      </c>
      <c r="I3897">
        <v>0</v>
      </c>
      <c r="J3897" s="58">
        <f t="shared" si="21"/>
        <v>0</v>
      </c>
    </row>
    <row r="3898" spans="1:10" x14ac:dyDescent="0.25">
      <c r="A3898" s="20">
        <v>45657</v>
      </c>
      <c r="B3898" t="str">
        <f>IFERROR(IF(VLOOKUP(C3898,Hoja1!$B$1:$C$6191,2,0)="",_xlfn.XLOOKUP(C3898,Hoja1!$B$2:$B$6191,Hoja1!$A$2:$A$6191),VLOOKUP(C3898,Hoja1!$B$1:$C$6191,2,0)),"No esta en Infor")</f>
        <v>NAC1051</v>
      </c>
      <c r="C3898" t="s">
        <v>246</v>
      </c>
      <c r="D3898">
        <v>679.1</v>
      </c>
      <c r="F3898">
        <v>0</v>
      </c>
      <c r="G3898">
        <v>0</v>
      </c>
      <c r="H3898">
        <v>0</v>
      </c>
      <c r="I3898">
        <v>0</v>
      </c>
      <c r="J3898" s="58">
        <f t="shared" si="21"/>
        <v>0</v>
      </c>
    </row>
    <row r="3899" spans="1:10" x14ac:dyDescent="0.25">
      <c r="A3899" s="20">
        <v>45657</v>
      </c>
      <c r="B3899" t="str">
        <f>IFERROR(IF(VLOOKUP(C3899,Hoja1!$B$1:$C$6191,2,0)="",_xlfn.XLOOKUP(C3899,Hoja1!$B$2:$B$6191,Hoja1!$A$2:$A$6191),VLOOKUP(C3899,Hoja1!$B$1:$C$6191,2,0)),"No esta en Infor")</f>
        <v>NAC1054</v>
      </c>
      <c r="C3899" t="s">
        <v>248</v>
      </c>
      <c r="D3899">
        <v>-14.7</v>
      </c>
      <c r="F3899">
        <v>0</v>
      </c>
      <c r="G3899">
        <v>0</v>
      </c>
      <c r="H3899">
        <v>0</v>
      </c>
      <c r="I3899">
        <v>0</v>
      </c>
      <c r="J3899" s="58">
        <f t="shared" si="21"/>
        <v>0</v>
      </c>
    </row>
    <row r="3900" spans="1:10" x14ac:dyDescent="0.25">
      <c r="A3900" s="20">
        <v>45657</v>
      </c>
      <c r="B3900" t="str">
        <f>IFERROR(IF(VLOOKUP(C3900,Hoja1!$B$1:$C$6191,2,0)="",_xlfn.XLOOKUP(C3900,Hoja1!$B$2:$B$6191,Hoja1!$A$2:$A$6191),VLOOKUP(C3900,Hoja1!$B$1:$C$6191,2,0)),"No esta en Infor")</f>
        <v>NAC1056</v>
      </c>
      <c r="C3900" t="s">
        <v>465</v>
      </c>
      <c r="D3900" s="58">
        <v>1163</v>
      </c>
      <c r="F3900">
        <v>0</v>
      </c>
      <c r="G3900">
        <v>0</v>
      </c>
      <c r="H3900">
        <v>0</v>
      </c>
      <c r="I3900">
        <v>0</v>
      </c>
      <c r="J3900" s="58">
        <f t="shared" si="21"/>
        <v>0</v>
      </c>
    </row>
    <row r="3901" spans="1:10" x14ac:dyDescent="0.25">
      <c r="A3901" s="20">
        <v>45657</v>
      </c>
      <c r="B3901" t="str">
        <f>IFERROR(IF(VLOOKUP(C3901,Hoja1!$B$1:$C$6191,2,0)="",_xlfn.XLOOKUP(C3901,Hoja1!$B$2:$B$6191,Hoja1!$A$2:$A$6191),VLOOKUP(C3901,Hoja1!$B$1:$C$6191,2,0)),"No esta en Infor")</f>
        <v>SH02914</v>
      </c>
      <c r="C3901" t="s">
        <v>793</v>
      </c>
      <c r="D3901">
        <v>21.24</v>
      </c>
      <c r="F3901">
        <v>0</v>
      </c>
      <c r="G3901">
        <v>0</v>
      </c>
      <c r="H3901">
        <v>0</v>
      </c>
      <c r="I3901">
        <v>0</v>
      </c>
      <c r="J3901" s="58">
        <f t="shared" si="21"/>
        <v>0</v>
      </c>
    </row>
    <row r="3902" spans="1:10" x14ac:dyDescent="0.25">
      <c r="A3902" s="20">
        <v>45657</v>
      </c>
      <c r="B3902" t="str">
        <f>IFERROR(IF(VLOOKUP(C3902,Hoja1!$B$1:$C$6191,2,0)="",_xlfn.XLOOKUP(C3902,Hoja1!$B$2:$B$6191,Hoja1!$A$2:$A$6191),VLOOKUP(C3902,Hoja1!$B$1:$C$6191,2,0)),"No esta en Infor")</f>
        <v>SH03323</v>
      </c>
      <c r="C3902" t="s">
        <v>816</v>
      </c>
      <c r="D3902">
        <v>2.48</v>
      </c>
      <c r="F3902">
        <v>0</v>
      </c>
      <c r="G3902">
        <v>0</v>
      </c>
      <c r="H3902">
        <v>0</v>
      </c>
      <c r="I3902">
        <v>0</v>
      </c>
      <c r="J3902" s="58">
        <f t="shared" si="21"/>
        <v>0</v>
      </c>
    </row>
    <row r="3903" spans="1:10" x14ac:dyDescent="0.25">
      <c r="A3903" s="20">
        <v>45657</v>
      </c>
      <c r="B3903" t="str">
        <f>IFERROR(IF(VLOOKUP(C3903,Hoja1!$B$1:$C$6191,2,0)="",_xlfn.XLOOKUP(C3903,Hoja1!$B$2:$B$6191,Hoja1!$A$2:$A$6191),VLOOKUP(C3903,Hoja1!$B$1:$C$6191,2,0)),"No esta en Infor")</f>
        <v>NAC1069</v>
      </c>
      <c r="C3903" t="s">
        <v>628</v>
      </c>
      <c r="D3903" s="58">
        <v>1447</v>
      </c>
      <c r="F3903">
        <v>0</v>
      </c>
      <c r="G3903">
        <v>0</v>
      </c>
      <c r="H3903">
        <v>0</v>
      </c>
      <c r="I3903">
        <v>0</v>
      </c>
      <c r="J3903" s="58">
        <f t="shared" si="21"/>
        <v>0</v>
      </c>
    </row>
    <row r="3904" spans="1:10" x14ac:dyDescent="0.25">
      <c r="A3904" s="20">
        <v>45657</v>
      </c>
      <c r="B3904" t="str">
        <f>IFERROR(IF(VLOOKUP(C3904,Hoja1!$B$1:$C$6191,2,0)="",_xlfn.XLOOKUP(C3904,Hoja1!$B$2:$B$6191,Hoja1!$A$2:$A$6191),VLOOKUP(C3904,Hoja1!$B$1:$C$6191,2,0)),"No esta en Infor")</f>
        <v>NAC1074</v>
      </c>
      <c r="C3904" t="s">
        <v>252</v>
      </c>
      <c r="D3904">
        <v>589.33000000000004</v>
      </c>
      <c r="F3904">
        <v>0</v>
      </c>
      <c r="G3904">
        <v>0</v>
      </c>
      <c r="H3904">
        <v>0</v>
      </c>
      <c r="I3904">
        <v>0</v>
      </c>
      <c r="J3904" s="58">
        <f t="shared" si="21"/>
        <v>0</v>
      </c>
    </row>
    <row r="3905" spans="1:10" x14ac:dyDescent="0.25">
      <c r="A3905" s="20">
        <v>45657</v>
      </c>
      <c r="B3905" t="str">
        <f>IFERROR(IF(VLOOKUP(C3905,Hoja1!$B$1:$C$6191,2,0)="",_xlfn.XLOOKUP(C3905,Hoja1!$B$2:$B$6191,Hoja1!$A$2:$A$6191),VLOOKUP(C3905,Hoja1!$B$1:$C$6191,2,0)),"No esta en Infor")</f>
        <v>NAC1077</v>
      </c>
      <c r="C3905" t="s">
        <v>254</v>
      </c>
      <c r="D3905" s="58">
        <v>2182.6999999999998</v>
      </c>
      <c r="F3905">
        <v>0</v>
      </c>
      <c r="G3905">
        <v>0</v>
      </c>
      <c r="H3905">
        <v>0</v>
      </c>
      <c r="I3905">
        <v>0</v>
      </c>
      <c r="J3905" s="58">
        <f t="shared" si="21"/>
        <v>0</v>
      </c>
    </row>
    <row r="3906" spans="1:10" x14ac:dyDescent="0.25">
      <c r="A3906" s="20">
        <v>45657</v>
      </c>
      <c r="B3906" t="str">
        <f>IFERROR(IF(VLOOKUP(C3906,Hoja1!$B$1:$C$6191,2,0)="",_xlfn.XLOOKUP(C3906,Hoja1!$B$2:$B$6191,Hoja1!$A$2:$A$6191),VLOOKUP(C3906,Hoja1!$B$1:$C$6191,2,0)),"No esta en Infor")</f>
        <v>NAC1080</v>
      </c>
      <c r="C3906" t="s">
        <v>684</v>
      </c>
      <c r="D3906">
        <v>0</v>
      </c>
      <c r="F3906">
        <v>-18.45</v>
      </c>
      <c r="G3906">
        <v>0</v>
      </c>
      <c r="H3906">
        <v>0</v>
      </c>
      <c r="I3906">
        <v>0</v>
      </c>
      <c r="J3906" s="58">
        <f t="shared" si="21"/>
        <v>-18.45</v>
      </c>
    </row>
    <row r="3907" spans="1:10" x14ac:dyDescent="0.25">
      <c r="A3907" s="20">
        <v>45657</v>
      </c>
      <c r="B3907" t="str">
        <f>IFERROR(IF(VLOOKUP(C3907,Hoja1!$B$1:$C$6191,2,0)="",_xlfn.XLOOKUP(C3907,Hoja1!$B$2:$B$6191,Hoja1!$A$2:$A$6191),VLOOKUP(C3907,Hoja1!$B$1:$C$6191,2,0)),"No esta en Infor")</f>
        <v>CAN0091</v>
      </c>
      <c r="C3907" t="s">
        <v>586</v>
      </c>
      <c r="D3907">
        <v>0</v>
      </c>
      <c r="F3907">
        <v>0</v>
      </c>
      <c r="G3907">
        <v>-646.09</v>
      </c>
      <c r="H3907">
        <v>0</v>
      </c>
      <c r="I3907">
        <v>0</v>
      </c>
      <c r="J3907" s="58">
        <f t="shared" si="21"/>
        <v>-646.09</v>
      </c>
    </row>
    <row r="3908" spans="1:10" x14ac:dyDescent="0.25">
      <c r="A3908" s="20">
        <v>45657</v>
      </c>
      <c r="B3908" t="str">
        <f>IFERROR(IF(VLOOKUP(C3908,Hoja1!$B$1:$C$6191,2,0)="",_xlfn.XLOOKUP(C3908,Hoja1!$B$2:$B$6191,Hoja1!$A$2:$A$6191),VLOOKUP(C3908,Hoja1!$B$1:$C$6191,2,0)),"No esta en Infor")</f>
        <v>CAN0036</v>
      </c>
      <c r="C3908" t="s">
        <v>256</v>
      </c>
      <c r="D3908">
        <v>446.64</v>
      </c>
      <c r="F3908">
        <v>0</v>
      </c>
      <c r="G3908">
        <v>0</v>
      </c>
      <c r="H3908">
        <v>0</v>
      </c>
      <c r="I3908">
        <v>0</v>
      </c>
      <c r="J3908" s="58">
        <f t="shared" si="21"/>
        <v>0</v>
      </c>
    </row>
    <row r="3909" spans="1:10" x14ac:dyDescent="0.25">
      <c r="A3909" s="20">
        <v>45657</v>
      </c>
      <c r="B3909" t="str">
        <f>IFERROR(IF(VLOOKUP(C3909,Hoja1!$B$1:$C$6191,2,0)="",_xlfn.XLOOKUP(C3909,Hoja1!$B$2:$B$6191,Hoja1!$A$2:$A$6191),VLOOKUP(C3909,Hoja1!$B$1:$C$6191,2,0)),"No esta en Infor")</f>
        <v>NAC1083</v>
      </c>
      <c r="C3909" t="s">
        <v>685</v>
      </c>
      <c r="D3909">
        <v>0</v>
      </c>
      <c r="F3909" s="58">
        <v>-1035</v>
      </c>
      <c r="G3909">
        <v>0</v>
      </c>
      <c r="H3909">
        <v>0</v>
      </c>
      <c r="I3909">
        <v>0</v>
      </c>
      <c r="J3909" s="58">
        <f t="shared" si="21"/>
        <v>-1035</v>
      </c>
    </row>
    <row r="3910" spans="1:10" x14ac:dyDescent="0.25">
      <c r="A3910" s="20">
        <v>45657</v>
      </c>
      <c r="B3910" t="str">
        <f>IFERROR(IF(VLOOKUP(C3910,Hoja1!$B$1:$C$6191,2,0)="",_xlfn.XLOOKUP(C3910,Hoja1!$B$2:$B$6191,Hoja1!$A$2:$A$6191),VLOOKUP(C3910,Hoja1!$B$1:$C$6191,2,0)),"No esta en Infor")</f>
        <v>SH03457</v>
      </c>
      <c r="C3910" t="s">
        <v>881</v>
      </c>
      <c r="D3910">
        <v>-7.43</v>
      </c>
      <c r="F3910">
        <v>0</v>
      </c>
      <c r="G3910">
        <v>0</v>
      </c>
      <c r="H3910">
        <v>0</v>
      </c>
      <c r="I3910">
        <v>0</v>
      </c>
      <c r="J3910" s="58">
        <f t="shared" si="21"/>
        <v>0</v>
      </c>
    </row>
    <row r="3911" spans="1:10" x14ac:dyDescent="0.25">
      <c r="A3911" s="20">
        <v>45657</v>
      </c>
      <c r="B3911" t="str">
        <f>IFERROR(IF(VLOOKUP(C3911,Hoja1!$B$1:$C$6191,2,0)="",_xlfn.XLOOKUP(C3911,Hoja1!$B$2:$B$6191,Hoja1!$A$2:$A$6191),VLOOKUP(C3911,Hoja1!$B$1:$C$6191,2,0)),"No esta en Infor")</f>
        <v>SH03142</v>
      </c>
      <c r="C3911" t="s">
        <v>800</v>
      </c>
      <c r="D3911">
        <v>56.95</v>
      </c>
      <c r="F3911">
        <v>0</v>
      </c>
      <c r="G3911">
        <v>0</v>
      </c>
      <c r="H3911">
        <v>0</v>
      </c>
      <c r="I3911">
        <v>0</v>
      </c>
      <c r="J3911" s="58">
        <f t="shared" si="21"/>
        <v>0</v>
      </c>
    </row>
    <row r="3912" spans="1:10" x14ac:dyDescent="0.25">
      <c r="A3912" s="20">
        <v>45657</v>
      </c>
      <c r="B3912" t="str">
        <f>IFERROR(IF(VLOOKUP(C3912,Hoja1!$B$1:$C$6191,2,0)="",_xlfn.XLOOKUP(C3912,Hoja1!$B$2:$B$6191,Hoja1!$A$2:$A$6191),VLOOKUP(C3912,Hoja1!$B$1:$C$6191,2,0)),"No esta en Infor")</f>
        <v>NAC1084</v>
      </c>
      <c r="C3912" t="s">
        <v>257</v>
      </c>
      <c r="D3912">
        <v>102</v>
      </c>
      <c r="F3912">
        <v>0</v>
      </c>
      <c r="G3912">
        <v>0</v>
      </c>
      <c r="H3912">
        <v>0</v>
      </c>
      <c r="I3912">
        <v>0</v>
      </c>
      <c r="J3912" s="58">
        <f t="shared" si="21"/>
        <v>0</v>
      </c>
    </row>
    <row r="3913" spans="1:10" x14ac:dyDescent="0.25">
      <c r="A3913" s="20">
        <v>45657</v>
      </c>
      <c r="B3913" t="str">
        <f>IFERROR(IF(VLOOKUP(C3913,Hoja1!$B$1:$C$6191,2,0)="",_xlfn.XLOOKUP(C3913,Hoja1!$B$2:$B$6191,Hoja1!$A$2:$A$6191),VLOOKUP(C3913,Hoja1!$B$1:$C$6191,2,0)),"No esta en Infor")</f>
        <v>NAC1594</v>
      </c>
      <c r="C3913" t="s">
        <v>791</v>
      </c>
      <c r="D3913">
        <v>625.33000000000004</v>
      </c>
      <c r="F3913">
        <v>0</v>
      </c>
      <c r="G3913">
        <v>0</v>
      </c>
      <c r="H3913">
        <v>0</v>
      </c>
      <c r="I3913">
        <v>0</v>
      </c>
      <c r="J3913" s="58">
        <f t="shared" si="21"/>
        <v>0</v>
      </c>
    </row>
    <row r="3914" spans="1:10" x14ac:dyDescent="0.25">
      <c r="A3914" s="20">
        <v>45657</v>
      </c>
      <c r="B3914" t="str">
        <f>IFERROR(IF(VLOOKUP(C3914,Hoja1!$B$1:$C$6191,2,0)="",_xlfn.XLOOKUP(C3914,Hoja1!$B$2:$B$6191,Hoja1!$A$2:$A$6191),VLOOKUP(C3914,Hoja1!$B$1:$C$6191,2,0)),"No esta en Infor")</f>
        <v>SH03187</v>
      </c>
      <c r="C3914" t="s">
        <v>802</v>
      </c>
      <c r="D3914">
        <v>37.9</v>
      </c>
      <c r="F3914">
        <v>0</v>
      </c>
      <c r="G3914">
        <v>0</v>
      </c>
      <c r="H3914">
        <v>0</v>
      </c>
      <c r="I3914">
        <v>0</v>
      </c>
      <c r="J3914" s="58">
        <f t="shared" si="21"/>
        <v>0</v>
      </c>
    </row>
    <row r="3915" spans="1:10" x14ac:dyDescent="0.25">
      <c r="A3915" s="20">
        <v>45657</v>
      </c>
      <c r="B3915" t="str">
        <f>IFERROR(IF(VLOOKUP(C3915,Hoja1!$B$1:$C$6191,2,0)="",_xlfn.XLOOKUP(C3915,Hoja1!$B$2:$B$6191,Hoja1!$A$2:$A$6191),VLOOKUP(C3915,Hoja1!$B$1:$C$6191,2,0)),"No esta en Infor")</f>
        <v>NAC1110</v>
      </c>
      <c r="C3915" t="s">
        <v>882</v>
      </c>
      <c r="D3915" s="58">
        <v>1944</v>
      </c>
      <c r="F3915">
        <v>0</v>
      </c>
      <c r="G3915">
        <v>0</v>
      </c>
      <c r="H3915">
        <v>0</v>
      </c>
      <c r="I3915">
        <v>0</v>
      </c>
      <c r="J3915" s="58">
        <f t="shared" si="21"/>
        <v>0</v>
      </c>
    </row>
    <row r="3916" spans="1:10" x14ac:dyDescent="0.25">
      <c r="A3916" s="20">
        <v>45657</v>
      </c>
      <c r="B3916" t="str">
        <f>IFERROR(IF(VLOOKUP(C3916,Hoja1!$B$1:$C$6191,2,0)="",_xlfn.XLOOKUP(C3916,Hoja1!$B$2:$B$6191,Hoja1!$A$2:$A$6191),VLOOKUP(C3916,Hoja1!$B$1:$C$6191,2,0)),"No esta en Infor")</f>
        <v>SH03198</v>
      </c>
      <c r="C3916" t="s">
        <v>883</v>
      </c>
      <c r="D3916">
        <v>63.66</v>
      </c>
      <c r="F3916">
        <v>0</v>
      </c>
      <c r="G3916">
        <v>0</v>
      </c>
      <c r="H3916">
        <v>0</v>
      </c>
      <c r="I3916">
        <v>0</v>
      </c>
      <c r="J3916" s="58">
        <f t="shared" si="21"/>
        <v>0</v>
      </c>
    </row>
    <row r="3917" spans="1:10" x14ac:dyDescent="0.25">
      <c r="A3917" s="20">
        <v>45657</v>
      </c>
      <c r="B3917" t="str">
        <f>IFERROR(IF(VLOOKUP(C3917,Hoja1!$B$1:$C$6191,2,0)="",_xlfn.XLOOKUP(C3917,Hoja1!$B$2:$B$6191,Hoja1!$A$2:$A$6191),VLOOKUP(C3917,Hoja1!$B$1:$C$6191,2,0)),"No esta en Infor")</f>
        <v>NAC1114</v>
      </c>
      <c r="C3917" t="s">
        <v>408</v>
      </c>
      <c r="D3917">
        <v>0</v>
      </c>
      <c r="F3917">
        <v>0</v>
      </c>
      <c r="G3917">
        <v>0</v>
      </c>
      <c r="H3917">
        <v>-196.34</v>
      </c>
      <c r="I3917">
        <v>0</v>
      </c>
      <c r="J3917" s="58">
        <f t="shared" si="21"/>
        <v>-196.34</v>
      </c>
    </row>
    <row r="3918" spans="1:10" x14ac:dyDescent="0.25">
      <c r="A3918" s="20">
        <v>45657</v>
      </c>
      <c r="B3918" t="str">
        <f>IFERROR(IF(VLOOKUP(C3918,Hoja1!$B$1:$C$6191,2,0)="",_xlfn.XLOOKUP(C3918,Hoja1!$B$2:$B$6191,Hoja1!$A$2:$A$6191),VLOOKUP(C3918,Hoja1!$B$1:$C$6191,2,0)),"No esta en Infor")</f>
        <v>NAC1119</v>
      </c>
      <c r="C3918" t="s">
        <v>514</v>
      </c>
      <c r="D3918">
        <v>667.73</v>
      </c>
      <c r="F3918">
        <v>0</v>
      </c>
      <c r="G3918">
        <v>0</v>
      </c>
      <c r="H3918">
        <v>0</v>
      </c>
      <c r="I3918">
        <v>0</v>
      </c>
      <c r="J3918" s="58">
        <f t="shared" si="21"/>
        <v>0</v>
      </c>
    </row>
    <row r="3919" spans="1:10" x14ac:dyDescent="0.25">
      <c r="A3919" s="20">
        <v>45657</v>
      </c>
      <c r="B3919" t="str">
        <f>IFERROR(IF(VLOOKUP(C3919,Hoja1!$B$1:$C$6191,2,0)="",_xlfn.XLOOKUP(C3919,Hoja1!$B$2:$B$6191,Hoja1!$A$2:$A$6191),VLOOKUP(C3919,Hoja1!$B$1:$C$6191,2,0)),"No esta en Infor")</f>
        <v>NAC1120</v>
      </c>
      <c r="C3919" t="s">
        <v>884</v>
      </c>
      <c r="D3919">
        <v>380.28</v>
      </c>
      <c r="F3919">
        <v>0</v>
      </c>
      <c r="G3919">
        <v>0</v>
      </c>
      <c r="H3919">
        <v>0</v>
      </c>
      <c r="I3919">
        <v>0</v>
      </c>
      <c r="J3919" s="58">
        <f t="shared" si="21"/>
        <v>0</v>
      </c>
    </row>
    <row r="3920" spans="1:10" x14ac:dyDescent="0.25">
      <c r="A3920" s="20">
        <v>45657</v>
      </c>
      <c r="B3920" t="str">
        <f>IFERROR(IF(VLOOKUP(C3920,Hoja1!$B$1:$C$6191,2,0)="",_xlfn.XLOOKUP(C3920,Hoja1!$B$2:$B$6191,Hoja1!$A$2:$A$6191),VLOOKUP(C3920,Hoja1!$B$1:$C$6191,2,0)),"No esta en Infor")</f>
        <v>NAC1122</v>
      </c>
      <c r="C3920" t="s">
        <v>515</v>
      </c>
      <c r="D3920" s="58">
        <v>26574.240000000002</v>
      </c>
      <c r="F3920">
        <v>-1</v>
      </c>
      <c r="G3920">
        <v>0</v>
      </c>
      <c r="H3920">
        <v>0</v>
      </c>
      <c r="I3920">
        <v>0</v>
      </c>
      <c r="J3920" s="58">
        <f t="shared" si="21"/>
        <v>-1</v>
      </c>
    </row>
    <row r="3921" spans="1:10" x14ac:dyDescent="0.25">
      <c r="A3921" s="20">
        <v>45657</v>
      </c>
      <c r="B3921" t="str">
        <f>IFERROR(IF(VLOOKUP(C3921,Hoja1!$B$1:$C$6191,2,0)="",_xlfn.XLOOKUP(C3921,Hoja1!$B$2:$B$6191,Hoja1!$A$2:$A$6191),VLOOKUP(C3921,Hoja1!$B$1:$C$6191,2,0)),"No esta en Infor")</f>
        <v>NAC1614</v>
      </c>
      <c r="C3921" t="s">
        <v>563</v>
      </c>
      <c r="D3921">
        <v>0</v>
      </c>
      <c r="F3921">
        <v>45.88</v>
      </c>
      <c r="G3921">
        <v>84.15</v>
      </c>
      <c r="H3921">
        <v>0</v>
      </c>
      <c r="I3921">
        <v>0</v>
      </c>
      <c r="J3921" s="58">
        <f t="shared" si="21"/>
        <v>130.03</v>
      </c>
    </row>
    <row r="3922" spans="1:10" x14ac:dyDescent="0.25">
      <c r="A3922" s="20">
        <v>45657</v>
      </c>
      <c r="B3922" t="str">
        <f>IFERROR(IF(VLOOKUP(C3922,Hoja1!$B$1:$C$6191,2,0)="",_xlfn.XLOOKUP(C3922,Hoja1!$B$2:$B$6191,Hoja1!$A$2:$A$6191),VLOOKUP(C3922,Hoja1!$B$1:$C$6191,2,0)),"No esta en Infor")</f>
        <v>CAN0037</v>
      </c>
      <c r="C3922" t="s">
        <v>687</v>
      </c>
      <c r="D3922">
        <v>232</v>
      </c>
      <c r="F3922">
        <v>-240.46</v>
      </c>
      <c r="G3922">
        <v>0</v>
      </c>
      <c r="H3922" s="58">
        <v>-4056.13</v>
      </c>
      <c r="I3922">
        <v>0</v>
      </c>
      <c r="J3922" s="58">
        <f t="shared" si="21"/>
        <v>-4296.59</v>
      </c>
    </row>
    <row r="3923" spans="1:10" x14ac:dyDescent="0.25">
      <c r="A3923" s="20">
        <v>45657</v>
      </c>
      <c r="B3923" t="str">
        <f>IFERROR(IF(VLOOKUP(C3923,Hoja1!$B$1:$C$6191,2,0)="",_xlfn.XLOOKUP(C3923,Hoja1!$B$2:$B$6191,Hoja1!$A$2:$A$6191),VLOOKUP(C3923,Hoja1!$B$1:$C$6191,2,0)),"No esta en Infor")</f>
        <v>NAC1128</v>
      </c>
      <c r="C3923" t="s">
        <v>263</v>
      </c>
      <c r="D3923" s="58">
        <v>10571.63</v>
      </c>
      <c r="F3923">
        <v>0</v>
      </c>
      <c r="G3923">
        <v>0</v>
      </c>
      <c r="H3923">
        <v>0</v>
      </c>
      <c r="I3923">
        <v>0</v>
      </c>
      <c r="J3923" s="58">
        <f t="shared" si="21"/>
        <v>0</v>
      </c>
    </row>
    <row r="3924" spans="1:10" x14ac:dyDescent="0.25">
      <c r="A3924" s="20">
        <v>45657</v>
      </c>
      <c r="B3924" t="str">
        <f>IFERROR(IF(VLOOKUP(C3924,Hoja1!$B$1:$C$6191,2,0)="",_xlfn.XLOOKUP(C3924,Hoja1!$B$2:$B$6191,Hoja1!$A$2:$A$6191),VLOOKUP(C3924,Hoja1!$B$1:$C$6191,2,0)),"No esta en Infor")</f>
        <v>CAN0038</v>
      </c>
      <c r="C3924" t="s">
        <v>264</v>
      </c>
      <c r="D3924" s="58">
        <v>1640.76</v>
      </c>
      <c r="F3924" s="58">
        <v>-3834.29</v>
      </c>
      <c r="G3924">
        <v>0</v>
      </c>
      <c r="H3924">
        <v>0</v>
      </c>
      <c r="I3924">
        <v>0</v>
      </c>
      <c r="J3924" s="58">
        <f t="shared" si="21"/>
        <v>-3834.29</v>
      </c>
    </row>
    <row r="3925" spans="1:10" x14ac:dyDescent="0.25">
      <c r="A3925" s="20">
        <v>45657</v>
      </c>
      <c r="B3925" t="str">
        <f>IFERROR(IF(VLOOKUP(C3925,Hoja1!$B$1:$C$6191,2,0)="",_xlfn.XLOOKUP(C3925,Hoja1!$B$2:$B$6191,Hoja1!$A$2:$A$6191),VLOOKUP(C3925,Hoja1!$B$1:$C$6191,2,0)),"No esta en Infor")</f>
        <v>NAC1135</v>
      </c>
      <c r="C3925" t="s">
        <v>689</v>
      </c>
      <c r="D3925" s="58">
        <v>-2038.7</v>
      </c>
      <c r="F3925">
        <v>0</v>
      </c>
      <c r="G3925">
        <v>0</v>
      </c>
      <c r="H3925">
        <v>0</v>
      </c>
      <c r="I3925">
        <v>0</v>
      </c>
      <c r="J3925" s="58">
        <f t="shared" si="21"/>
        <v>0</v>
      </c>
    </row>
    <row r="3926" spans="1:10" x14ac:dyDescent="0.25">
      <c r="A3926" s="20">
        <v>45657</v>
      </c>
      <c r="B3926" t="str">
        <f>IFERROR(IF(VLOOKUP(C3926,Hoja1!$B$1:$C$6191,2,0)="",_xlfn.XLOOKUP(C3926,Hoja1!$B$2:$B$6191,Hoja1!$A$2:$A$6191),VLOOKUP(C3926,Hoja1!$B$1:$C$6191,2,0)),"No esta en Infor")</f>
        <v>SH03069</v>
      </c>
      <c r="C3926" t="s">
        <v>747</v>
      </c>
      <c r="D3926">
        <v>-135.74</v>
      </c>
      <c r="F3926">
        <v>0</v>
      </c>
      <c r="G3926">
        <v>0</v>
      </c>
      <c r="H3926">
        <v>0</v>
      </c>
      <c r="I3926">
        <v>0</v>
      </c>
      <c r="J3926" s="58">
        <f t="shared" si="21"/>
        <v>0</v>
      </c>
    </row>
    <row r="3927" spans="1:10" x14ac:dyDescent="0.25">
      <c r="A3927" s="20">
        <v>45657</v>
      </c>
      <c r="B3927" t="str">
        <f>IFERROR(IF(VLOOKUP(C3927,Hoja1!$B$1:$C$6191,2,0)="",_xlfn.XLOOKUP(C3927,Hoja1!$B$2:$B$6191,Hoja1!$A$2:$A$6191),VLOOKUP(C3927,Hoja1!$B$1:$C$6191,2,0)),"No esta en Infor")</f>
        <v>NAC1143</v>
      </c>
      <c r="C3927" t="s">
        <v>268</v>
      </c>
      <c r="D3927" s="58">
        <v>4866.22</v>
      </c>
      <c r="F3927">
        <v>0</v>
      </c>
      <c r="G3927">
        <v>0</v>
      </c>
      <c r="H3927">
        <v>0</v>
      </c>
      <c r="I3927">
        <v>0</v>
      </c>
      <c r="J3927" s="58">
        <f t="shared" si="21"/>
        <v>0</v>
      </c>
    </row>
    <row r="3928" spans="1:10" x14ac:dyDescent="0.25">
      <c r="A3928" s="20">
        <v>45657</v>
      </c>
      <c r="B3928" t="str">
        <f>IFERROR(IF(VLOOKUP(C3928,Hoja1!$B$1:$C$6191,2,0)="",_xlfn.XLOOKUP(C3928,Hoja1!$B$2:$B$6191,Hoja1!$A$2:$A$6191),VLOOKUP(C3928,Hoja1!$B$1:$C$6191,2,0)),"No esta en Infor")</f>
        <v>SH02869</v>
      </c>
      <c r="C3928" t="s">
        <v>691</v>
      </c>
      <c r="D3928">
        <v>6.66</v>
      </c>
      <c r="F3928">
        <v>6.66</v>
      </c>
      <c r="G3928">
        <v>0</v>
      </c>
      <c r="H3928">
        <v>0</v>
      </c>
      <c r="I3928">
        <v>0</v>
      </c>
      <c r="J3928" s="58">
        <f t="shared" si="21"/>
        <v>6.66</v>
      </c>
    </row>
    <row r="3929" spans="1:10" x14ac:dyDescent="0.25">
      <c r="A3929" s="20">
        <v>45657</v>
      </c>
      <c r="B3929" t="str">
        <f>IFERROR(IF(VLOOKUP(C3929,Hoja1!$B$1:$C$6191,2,0)="",_xlfn.XLOOKUP(C3929,Hoja1!$B$2:$B$6191,Hoja1!$A$2:$A$6191),VLOOKUP(C3929,Hoja1!$B$1:$C$6191,2,0)),"No esta en Infor")</f>
        <v>NAC1148</v>
      </c>
      <c r="C3929" t="s">
        <v>270</v>
      </c>
      <c r="D3929" s="58">
        <v>16525</v>
      </c>
      <c r="F3929">
        <v>0</v>
      </c>
      <c r="G3929">
        <v>0</v>
      </c>
      <c r="H3929">
        <v>0</v>
      </c>
      <c r="I3929">
        <v>0</v>
      </c>
      <c r="J3929" s="58">
        <f t="shared" si="21"/>
        <v>0</v>
      </c>
    </row>
    <row r="3930" spans="1:10" x14ac:dyDescent="0.25">
      <c r="A3930" s="20">
        <v>45657</v>
      </c>
      <c r="B3930" t="str">
        <f>IFERROR(IF(VLOOKUP(C3930,Hoja1!$B$1:$C$6191,2,0)="",_xlfn.XLOOKUP(C3930,Hoja1!$B$2:$B$6191,Hoja1!$A$2:$A$6191),VLOOKUP(C3930,Hoja1!$B$1:$C$6191,2,0)),"No esta en Infor")</f>
        <v>NAC1151</v>
      </c>
      <c r="C3930" t="s">
        <v>271</v>
      </c>
      <c r="D3930" s="58">
        <v>10124.4</v>
      </c>
      <c r="F3930">
        <v>0</v>
      </c>
      <c r="G3930" s="58">
        <v>-1172</v>
      </c>
      <c r="H3930">
        <v>0</v>
      </c>
      <c r="I3930">
        <v>0</v>
      </c>
      <c r="J3930" s="58">
        <f t="shared" si="21"/>
        <v>-1172</v>
      </c>
    </row>
    <row r="3931" spans="1:10" x14ac:dyDescent="0.25">
      <c r="A3931" s="20">
        <v>45657</v>
      </c>
      <c r="B3931" t="str">
        <f>IFERROR(IF(VLOOKUP(C3931,Hoja1!$B$1:$C$6191,2,0)="",_xlfn.XLOOKUP(C3931,Hoja1!$B$2:$B$6191,Hoja1!$A$2:$A$6191),VLOOKUP(C3931,Hoja1!$B$1:$C$6191,2,0)),"No esta en Infor")</f>
        <v>NAC1152</v>
      </c>
      <c r="C3931" t="s">
        <v>470</v>
      </c>
      <c r="D3931">
        <v>440</v>
      </c>
      <c r="F3931">
        <v>-0.13</v>
      </c>
      <c r="G3931">
        <v>0</v>
      </c>
      <c r="H3931">
        <v>0</v>
      </c>
      <c r="I3931">
        <v>0</v>
      </c>
      <c r="J3931" s="58">
        <f t="shared" si="21"/>
        <v>-0.13</v>
      </c>
    </row>
    <row r="3932" spans="1:10" x14ac:dyDescent="0.25">
      <c r="A3932" s="20">
        <v>45657</v>
      </c>
      <c r="B3932" t="str">
        <f>IFERROR(IF(VLOOKUP(C3932,Hoja1!$B$1:$C$6191,2,0)="",_xlfn.XLOOKUP(C3932,Hoja1!$B$2:$B$6191,Hoja1!$A$2:$A$6191),VLOOKUP(C3932,Hoja1!$B$1:$C$6191,2,0)),"No esta en Infor")</f>
        <v>NAC1154</v>
      </c>
      <c r="C3932" t="s">
        <v>783</v>
      </c>
      <c r="D3932">
        <v>-32.340000000000003</v>
      </c>
      <c r="F3932">
        <v>0</v>
      </c>
      <c r="G3932">
        <v>0</v>
      </c>
      <c r="H3932">
        <v>0</v>
      </c>
      <c r="I3932">
        <v>0</v>
      </c>
      <c r="J3932" s="58">
        <f t="shared" si="21"/>
        <v>0</v>
      </c>
    </row>
    <row r="3933" spans="1:10" x14ac:dyDescent="0.25">
      <c r="A3933" s="20">
        <v>45657</v>
      </c>
      <c r="B3933" t="str">
        <f>IFERROR(IF(VLOOKUP(C3933,Hoja1!$B$1:$C$6191,2,0)="",_xlfn.XLOOKUP(C3933,Hoja1!$B$2:$B$6191,Hoja1!$A$2:$A$6191),VLOOKUP(C3933,Hoja1!$B$1:$C$6191,2,0)),"No esta en Infor")</f>
        <v>NAC1158</v>
      </c>
      <c r="C3933" t="s">
        <v>272</v>
      </c>
      <c r="D3933" s="58">
        <v>15645.9</v>
      </c>
      <c r="F3933">
        <v>0</v>
      </c>
      <c r="G3933">
        <v>0</v>
      </c>
      <c r="H3933">
        <v>0</v>
      </c>
      <c r="I3933">
        <v>0</v>
      </c>
      <c r="J3933" s="58">
        <f t="shared" si="21"/>
        <v>0</v>
      </c>
    </row>
    <row r="3934" spans="1:10" x14ac:dyDescent="0.25">
      <c r="A3934" s="20">
        <v>45657</v>
      </c>
      <c r="B3934" t="str">
        <f>IFERROR(IF(VLOOKUP(C3934,Hoja1!$B$1:$C$6191,2,0)="",_xlfn.XLOOKUP(C3934,Hoja1!$B$2:$B$6191,Hoja1!$A$2:$A$6191),VLOOKUP(C3934,Hoja1!$B$1:$C$6191,2,0)),"No esta en Infor")</f>
        <v>NAC1604</v>
      </c>
      <c r="C3934" t="s">
        <v>693</v>
      </c>
      <c r="D3934" s="58">
        <v>18412.919999999998</v>
      </c>
      <c r="F3934">
        <v>0</v>
      </c>
      <c r="G3934">
        <v>0</v>
      </c>
      <c r="H3934">
        <v>0</v>
      </c>
      <c r="I3934">
        <v>0</v>
      </c>
      <c r="J3934" s="58">
        <f t="shared" si="21"/>
        <v>0</v>
      </c>
    </row>
    <row r="3935" spans="1:10" x14ac:dyDescent="0.25">
      <c r="A3935" s="20">
        <v>45657</v>
      </c>
      <c r="B3935" t="str">
        <f>IFERROR(IF(VLOOKUP(C3935,Hoja1!$B$1:$C$6191,2,0)="",_xlfn.XLOOKUP(C3935,Hoja1!$B$2:$B$6191,Hoja1!$A$2:$A$6191),VLOOKUP(C3935,Hoja1!$B$1:$C$6191,2,0)),"No esta en Infor")</f>
        <v>NAC1167</v>
      </c>
      <c r="C3935" t="s">
        <v>34</v>
      </c>
      <c r="D3935" s="58">
        <v>5027.5</v>
      </c>
      <c r="F3935">
        <v>0</v>
      </c>
      <c r="G3935">
        <v>0</v>
      </c>
      <c r="H3935">
        <v>0</v>
      </c>
      <c r="I3935">
        <v>0</v>
      </c>
      <c r="J3935" s="58">
        <f t="shared" si="21"/>
        <v>0</v>
      </c>
    </row>
    <row r="3936" spans="1:10" x14ac:dyDescent="0.25">
      <c r="A3936" s="20">
        <v>45657</v>
      </c>
      <c r="B3936" t="str">
        <f>IFERROR(IF(VLOOKUP(C3936,Hoja1!$B$1:$C$6191,2,0)="",_xlfn.XLOOKUP(C3936,Hoja1!$B$2:$B$6191,Hoja1!$A$2:$A$6191),VLOOKUP(C3936,Hoja1!$B$1:$C$6191,2,0)),"No esta en Infor")</f>
        <v>NAC1168</v>
      </c>
      <c r="C3936" t="s">
        <v>277</v>
      </c>
      <c r="D3936">
        <v>303.60000000000002</v>
      </c>
      <c r="F3936">
        <v>0</v>
      </c>
      <c r="G3936">
        <v>0</v>
      </c>
      <c r="H3936">
        <v>0</v>
      </c>
      <c r="I3936">
        <v>0</v>
      </c>
      <c r="J3936" s="58">
        <f t="shared" si="21"/>
        <v>0</v>
      </c>
    </row>
    <row r="3937" spans="1:10" x14ac:dyDescent="0.25">
      <c r="A3937" s="20">
        <v>45657</v>
      </c>
      <c r="B3937" t="str">
        <f>IFERROR(IF(VLOOKUP(C3937,Hoja1!$B$1:$C$6191,2,0)="",_xlfn.XLOOKUP(C3937,Hoja1!$B$2:$B$6191,Hoja1!$A$2:$A$6191),VLOOKUP(C3937,Hoja1!$B$1:$C$6191,2,0)),"No esta en Infor")</f>
        <v>NAC1170</v>
      </c>
      <c r="C3937" t="s">
        <v>278</v>
      </c>
      <c r="D3937" s="58">
        <v>239837.56</v>
      </c>
      <c r="F3937">
        <v>0</v>
      </c>
      <c r="G3937">
        <v>0</v>
      </c>
      <c r="H3937">
        <v>0</v>
      </c>
      <c r="I3937">
        <v>0</v>
      </c>
      <c r="J3937" s="58">
        <f t="shared" si="21"/>
        <v>0</v>
      </c>
    </row>
    <row r="3938" spans="1:10" x14ac:dyDescent="0.25">
      <c r="A3938" s="20">
        <v>45657</v>
      </c>
      <c r="B3938" t="str">
        <f>IFERROR(IF(VLOOKUP(C3938,Hoja1!$B$1:$C$6191,2,0)="",_xlfn.XLOOKUP(C3938,Hoja1!$B$2:$B$6191,Hoja1!$A$2:$A$6191),VLOOKUP(C3938,Hoja1!$B$1:$C$6191,2,0)),"No esta en Infor")</f>
        <v>NAC1174</v>
      </c>
      <c r="C3938" t="s">
        <v>279</v>
      </c>
      <c r="D3938">
        <v>198.99</v>
      </c>
      <c r="F3938">
        <v>0</v>
      </c>
      <c r="G3938">
        <v>0</v>
      </c>
      <c r="H3938">
        <v>0</v>
      </c>
      <c r="I3938">
        <v>0</v>
      </c>
      <c r="J3938" s="58">
        <f t="shared" si="21"/>
        <v>0</v>
      </c>
    </row>
    <row r="3939" spans="1:10" x14ac:dyDescent="0.25">
      <c r="A3939" s="20">
        <v>45657</v>
      </c>
      <c r="B3939" t="str">
        <f>IFERROR(IF(VLOOKUP(C3939,Hoja1!$B$1:$C$6191,2,0)="",_xlfn.XLOOKUP(C3939,Hoja1!$B$2:$B$6191,Hoja1!$A$2:$A$6191),VLOOKUP(C3939,Hoja1!$B$1:$C$6191,2,0)),"No esta en Infor")</f>
        <v>SH03112</v>
      </c>
      <c r="C3939" t="s">
        <v>796</v>
      </c>
      <c r="D3939">
        <v>-39.4</v>
      </c>
      <c r="F3939">
        <v>0</v>
      </c>
      <c r="G3939">
        <v>0</v>
      </c>
      <c r="H3939">
        <v>0</v>
      </c>
      <c r="I3939">
        <v>0</v>
      </c>
      <c r="J3939" s="58">
        <f t="shared" si="21"/>
        <v>0</v>
      </c>
    </row>
    <row r="3940" spans="1:10" x14ac:dyDescent="0.25">
      <c r="A3940" s="20">
        <v>45657</v>
      </c>
      <c r="B3940" t="str">
        <f>IFERROR(IF(VLOOKUP(C3940,Hoja1!$B$1:$C$6191,2,0)="",_xlfn.XLOOKUP(C3940,Hoja1!$B$2:$B$6191,Hoja1!$A$2:$A$6191),VLOOKUP(C3940,Hoja1!$B$1:$C$6191,2,0)),"No esta en Infor")</f>
        <v>NAC1177</v>
      </c>
      <c r="C3940" t="s">
        <v>566</v>
      </c>
      <c r="D3940">
        <v>0</v>
      </c>
      <c r="F3940">
        <v>0</v>
      </c>
      <c r="G3940">
        <v>-14.41</v>
      </c>
      <c r="H3940">
        <v>0</v>
      </c>
      <c r="I3940">
        <v>0</v>
      </c>
      <c r="J3940" s="58">
        <f t="shared" si="21"/>
        <v>-14.41</v>
      </c>
    </row>
    <row r="3941" spans="1:10" x14ac:dyDescent="0.25">
      <c r="A3941" s="20">
        <v>45657</v>
      </c>
      <c r="B3941" t="str">
        <f>IFERROR(IF(VLOOKUP(C3941,Hoja1!$B$1:$C$6191,2,0)="",_xlfn.XLOOKUP(C3941,Hoja1!$B$2:$B$6191,Hoja1!$A$2:$A$6191),VLOOKUP(C3941,Hoja1!$B$1:$C$6191,2,0)),"No esta en Infor")</f>
        <v>CAN0043</v>
      </c>
      <c r="C3941" t="s">
        <v>280</v>
      </c>
      <c r="D3941">
        <v>550.30999999999995</v>
      </c>
      <c r="F3941">
        <v>0</v>
      </c>
      <c r="G3941">
        <v>0</v>
      </c>
      <c r="H3941">
        <v>0</v>
      </c>
      <c r="I3941">
        <v>0</v>
      </c>
      <c r="J3941" s="58">
        <f t="shared" si="21"/>
        <v>0</v>
      </c>
    </row>
    <row r="3942" spans="1:10" x14ac:dyDescent="0.25">
      <c r="A3942" s="20">
        <v>45657</v>
      </c>
      <c r="B3942" t="str">
        <f>IFERROR(IF(VLOOKUP(C3942,Hoja1!$B$1:$C$6191,2,0)="",_xlfn.XLOOKUP(C3942,Hoja1!$B$2:$B$6191,Hoja1!$A$2:$A$6191),VLOOKUP(C3942,Hoja1!$B$1:$C$6191,2,0)),"No esta en Infor")</f>
        <v>NAC1184</v>
      </c>
      <c r="C3942" t="s">
        <v>784</v>
      </c>
      <c r="D3942">
        <v>-214.83</v>
      </c>
      <c r="F3942">
        <v>0</v>
      </c>
      <c r="G3942">
        <v>0</v>
      </c>
      <c r="H3942">
        <v>0</v>
      </c>
      <c r="I3942">
        <v>0</v>
      </c>
      <c r="J3942" s="58">
        <f t="shared" si="21"/>
        <v>0</v>
      </c>
    </row>
    <row r="3943" spans="1:10" x14ac:dyDescent="0.25">
      <c r="A3943" s="20">
        <v>45657</v>
      </c>
      <c r="B3943" t="str">
        <f>IFERROR(IF(VLOOKUP(C3943,Hoja1!$B$1:$C$6191,2,0)="",_xlfn.XLOOKUP(C3943,Hoja1!$B$2:$B$6191,Hoja1!$A$2:$A$6191),VLOOKUP(C3943,Hoja1!$B$1:$C$6191,2,0)),"No esta en Infor")</f>
        <v>CAN0046</v>
      </c>
      <c r="C3943" t="s">
        <v>283</v>
      </c>
      <c r="D3943">
        <v>609.07000000000005</v>
      </c>
      <c r="F3943">
        <v>0</v>
      </c>
      <c r="G3943">
        <v>0</v>
      </c>
      <c r="H3943">
        <v>0</v>
      </c>
      <c r="I3943">
        <v>0</v>
      </c>
      <c r="J3943" s="58">
        <f t="shared" si="21"/>
        <v>0</v>
      </c>
    </row>
    <row r="3944" spans="1:10" x14ac:dyDescent="0.25">
      <c r="A3944" s="20">
        <v>45657</v>
      </c>
      <c r="B3944" t="str">
        <f>IFERROR(IF(VLOOKUP(C3944,Hoja1!$B$1:$C$6191,2,0)="",_xlfn.XLOOKUP(C3944,Hoja1!$B$2:$B$6191,Hoja1!$A$2:$A$6191),VLOOKUP(C3944,Hoja1!$B$1:$C$6191,2,0)),"No esta en Infor")</f>
        <v>CAN0048</v>
      </c>
      <c r="C3944" t="s">
        <v>567</v>
      </c>
      <c r="D3944">
        <v>0</v>
      </c>
      <c r="F3944">
        <v>0</v>
      </c>
      <c r="G3944" s="58">
        <v>-12463.9</v>
      </c>
      <c r="H3944">
        <v>0</v>
      </c>
      <c r="I3944">
        <v>0</v>
      </c>
      <c r="J3944" s="58">
        <f t="shared" si="21"/>
        <v>-12463.9</v>
      </c>
    </row>
    <row r="3945" spans="1:10" x14ac:dyDescent="0.25">
      <c r="A3945" s="20">
        <v>45657</v>
      </c>
      <c r="B3945" t="str">
        <f>IFERROR(IF(VLOOKUP(C3945,Hoja1!$B$1:$C$6191,2,0)="",_xlfn.XLOOKUP(C3945,Hoja1!$B$2:$B$6191,Hoja1!$A$2:$A$6191),VLOOKUP(C3945,Hoja1!$B$1:$C$6191,2,0)),"No esta en Infor")</f>
        <v>NAC1205</v>
      </c>
      <c r="C3945" t="s">
        <v>568</v>
      </c>
      <c r="D3945">
        <v>0</v>
      </c>
      <c r="F3945">
        <v>-316.68</v>
      </c>
      <c r="G3945">
        <v>0</v>
      </c>
      <c r="H3945">
        <v>0</v>
      </c>
      <c r="I3945">
        <v>0</v>
      </c>
      <c r="J3945" s="58">
        <f t="shared" ref="J3945:J4008" si="22">SUM(E3945:I3945)</f>
        <v>-316.68</v>
      </c>
    </row>
    <row r="3946" spans="1:10" x14ac:dyDescent="0.25">
      <c r="A3946" s="20">
        <v>45657</v>
      </c>
      <c r="B3946" t="str">
        <f>IFERROR(IF(VLOOKUP(C3946,Hoja1!$B$1:$C$6191,2,0)="",_xlfn.XLOOKUP(C3946,Hoja1!$B$2:$B$6191,Hoja1!$A$2:$A$6191),VLOOKUP(C3946,Hoja1!$B$1:$C$6191,2,0)),"No esta en Infor")</f>
        <v>NAC1208</v>
      </c>
      <c r="C3946" t="s">
        <v>695</v>
      </c>
      <c r="D3946" s="58">
        <v>14784.4</v>
      </c>
      <c r="F3946">
        <v>0</v>
      </c>
      <c r="G3946">
        <v>0</v>
      </c>
      <c r="H3946">
        <v>0</v>
      </c>
      <c r="I3946">
        <v>0</v>
      </c>
      <c r="J3946" s="58">
        <f t="shared" si="22"/>
        <v>0</v>
      </c>
    </row>
    <row r="3947" spans="1:10" x14ac:dyDescent="0.25">
      <c r="A3947" s="20">
        <v>45657</v>
      </c>
      <c r="B3947" t="str">
        <f>IFERROR(IF(VLOOKUP(C3947,Hoja1!$B$1:$C$6191,2,0)="",_xlfn.XLOOKUP(C3947,Hoja1!$B$2:$B$6191,Hoja1!$A$2:$A$6191),VLOOKUP(C3947,Hoja1!$B$1:$C$6191,2,0)),"No esta en Infor")</f>
        <v>NAC1209</v>
      </c>
      <c r="C3947" t="s">
        <v>753</v>
      </c>
      <c r="D3947">
        <v>137.5</v>
      </c>
      <c r="F3947">
        <v>0</v>
      </c>
      <c r="G3947">
        <v>0</v>
      </c>
      <c r="H3947">
        <v>0</v>
      </c>
      <c r="I3947">
        <v>0</v>
      </c>
      <c r="J3947" s="58">
        <f t="shared" si="22"/>
        <v>0</v>
      </c>
    </row>
    <row r="3948" spans="1:10" x14ac:dyDescent="0.25">
      <c r="A3948" s="20">
        <v>45657</v>
      </c>
      <c r="B3948" t="str">
        <f>IFERROR(IF(VLOOKUP(C3948,Hoja1!$B$1:$C$6191,2,0)="",_xlfn.XLOOKUP(C3948,Hoja1!$B$2:$B$6191,Hoja1!$A$2:$A$6191),VLOOKUP(C3948,Hoja1!$B$1:$C$6191,2,0)),"No esta en Infor")</f>
        <v>NAC1211</v>
      </c>
      <c r="C3948" t="s">
        <v>284</v>
      </c>
      <c r="D3948" s="58">
        <v>72992.19</v>
      </c>
      <c r="F3948">
        <v>0</v>
      </c>
      <c r="G3948">
        <v>0</v>
      </c>
      <c r="H3948">
        <v>0</v>
      </c>
      <c r="I3948">
        <v>0</v>
      </c>
      <c r="J3948" s="58">
        <f t="shared" si="22"/>
        <v>0</v>
      </c>
    </row>
    <row r="3949" spans="1:10" x14ac:dyDescent="0.25">
      <c r="A3949" s="20">
        <v>45657</v>
      </c>
      <c r="B3949" t="str">
        <f>IFERROR(IF(VLOOKUP(C3949,Hoja1!$B$1:$C$6191,2,0)="",_xlfn.XLOOKUP(C3949,Hoja1!$B$2:$B$6191,Hoja1!$A$2:$A$6191),VLOOKUP(C3949,Hoja1!$B$1:$C$6191,2,0)),"No esta en Infor")</f>
        <v>NAC1212</v>
      </c>
      <c r="C3949" t="s">
        <v>285</v>
      </c>
      <c r="D3949" s="58">
        <v>7103.82</v>
      </c>
      <c r="F3949">
        <v>-0.1</v>
      </c>
      <c r="G3949">
        <v>0</v>
      </c>
      <c r="H3949">
        <v>0</v>
      </c>
      <c r="I3949">
        <v>0</v>
      </c>
      <c r="J3949" s="58">
        <f t="shared" si="22"/>
        <v>-0.1</v>
      </c>
    </row>
    <row r="3950" spans="1:10" x14ac:dyDescent="0.25">
      <c r="A3950" s="20">
        <v>45657</v>
      </c>
      <c r="B3950" t="str">
        <f>IFERROR(IF(VLOOKUP(C3950,Hoja1!$B$1:$C$6191,2,0)="",_xlfn.XLOOKUP(C3950,Hoja1!$B$2:$B$6191,Hoja1!$A$2:$A$6191),VLOOKUP(C3950,Hoja1!$B$1:$C$6191,2,0)),"No esta en Infor")</f>
        <v>SH02013</v>
      </c>
      <c r="C3950" t="s">
        <v>754</v>
      </c>
      <c r="D3950">
        <v>-366.73</v>
      </c>
      <c r="F3950">
        <v>0</v>
      </c>
      <c r="G3950">
        <v>0</v>
      </c>
      <c r="H3950">
        <v>0</v>
      </c>
      <c r="I3950">
        <v>0</v>
      </c>
      <c r="J3950" s="58">
        <f t="shared" si="22"/>
        <v>0</v>
      </c>
    </row>
    <row r="3951" spans="1:10" x14ac:dyDescent="0.25">
      <c r="A3951" s="20">
        <v>45657</v>
      </c>
      <c r="B3951" t="str">
        <f>IFERROR(IF(VLOOKUP(C3951,Hoja1!$B$1:$C$6191,2,0)="",_xlfn.XLOOKUP(C3951,Hoja1!$B$2:$B$6191,Hoja1!$A$2:$A$6191),VLOOKUP(C3951,Hoja1!$B$1:$C$6191,2,0)),"No esta en Infor")</f>
        <v>NAC1218</v>
      </c>
      <c r="C3951" t="s">
        <v>474</v>
      </c>
      <c r="D3951" s="58">
        <v>2264.9</v>
      </c>
      <c r="F3951">
        <v>0</v>
      </c>
      <c r="G3951">
        <v>0</v>
      </c>
      <c r="H3951">
        <v>0</v>
      </c>
      <c r="I3951">
        <v>0</v>
      </c>
      <c r="J3951" s="58">
        <f t="shared" si="22"/>
        <v>0</v>
      </c>
    </row>
    <row r="3952" spans="1:10" x14ac:dyDescent="0.25">
      <c r="A3952" s="20">
        <v>45657</v>
      </c>
      <c r="B3952" t="str">
        <f>IFERROR(IF(VLOOKUP(C3952,Hoja1!$B$1:$C$6191,2,0)="",_xlfn.XLOOKUP(C3952,Hoja1!$B$2:$B$6191,Hoja1!$A$2:$A$6191),VLOOKUP(C3952,Hoja1!$B$1:$C$6191,2,0)),"No esta en Infor")</f>
        <v>NAC1219</v>
      </c>
      <c r="C3952" t="s">
        <v>475</v>
      </c>
      <c r="D3952">
        <v>0</v>
      </c>
      <c r="F3952">
        <v>0</v>
      </c>
      <c r="G3952">
        <v>0</v>
      </c>
      <c r="H3952">
        <v>-299.55</v>
      </c>
      <c r="I3952">
        <v>0</v>
      </c>
      <c r="J3952" s="58">
        <f t="shared" si="22"/>
        <v>-299.55</v>
      </c>
    </row>
    <row r="3953" spans="1:10" x14ac:dyDescent="0.25">
      <c r="A3953" s="20">
        <v>45657</v>
      </c>
      <c r="B3953" t="str">
        <f>IFERROR(IF(VLOOKUP(C3953,Hoja1!$B$1:$C$6191,2,0)="",_xlfn.XLOOKUP(C3953,Hoja1!$B$2:$B$6191,Hoja1!$A$2:$A$6191),VLOOKUP(C3953,Hoja1!$B$1:$C$6191,2,0)),"No esta en Infor")</f>
        <v>SH03526</v>
      </c>
      <c r="C3953" t="s">
        <v>885</v>
      </c>
      <c r="D3953">
        <v>22.55</v>
      </c>
      <c r="F3953">
        <v>0</v>
      </c>
      <c r="G3953">
        <v>0</v>
      </c>
      <c r="H3953">
        <v>0</v>
      </c>
      <c r="I3953">
        <v>0</v>
      </c>
      <c r="J3953" s="58">
        <f t="shared" si="22"/>
        <v>0</v>
      </c>
    </row>
    <row r="3954" spans="1:10" x14ac:dyDescent="0.25">
      <c r="A3954" s="20">
        <v>45657</v>
      </c>
      <c r="B3954" t="str">
        <f>IFERROR(IF(VLOOKUP(C3954,Hoja1!$B$1:$C$6191,2,0)="",_xlfn.XLOOKUP(C3954,Hoja1!$B$2:$B$6191,Hoja1!$A$2:$A$6191),VLOOKUP(C3954,Hoja1!$B$1:$C$6191,2,0)),"No esta en Infor")</f>
        <v>CAN0049</v>
      </c>
      <c r="C3954" t="s">
        <v>289</v>
      </c>
      <c r="D3954" s="58">
        <v>5290</v>
      </c>
      <c r="F3954">
        <v>-660.04</v>
      </c>
      <c r="G3954">
        <v>0</v>
      </c>
      <c r="H3954">
        <v>0</v>
      </c>
      <c r="I3954">
        <v>0</v>
      </c>
      <c r="J3954" s="58">
        <f t="shared" si="22"/>
        <v>-660.04</v>
      </c>
    </row>
    <row r="3955" spans="1:10" x14ac:dyDescent="0.25">
      <c r="A3955" s="20">
        <v>45657</v>
      </c>
      <c r="B3955" t="str">
        <f>IFERROR(IF(VLOOKUP(C3955,Hoja1!$B$1:$C$6191,2,0)="",_xlfn.XLOOKUP(C3955,Hoja1!$B$2:$B$6191,Hoja1!$A$2:$A$6191),VLOOKUP(C3955,Hoja1!$B$1:$C$6191,2,0)),"No esta en Infor")</f>
        <v>NAC1229</v>
      </c>
      <c r="C3955" t="s">
        <v>418</v>
      </c>
      <c r="D3955">
        <v>136.5</v>
      </c>
      <c r="F3955">
        <v>0</v>
      </c>
      <c r="G3955">
        <v>0</v>
      </c>
      <c r="H3955">
        <v>0</v>
      </c>
      <c r="I3955">
        <v>0</v>
      </c>
      <c r="J3955" s="58">
        <f t="shared" si="22"/>
        <v>0</v>
      </c>
    </row>
    <row r="3956" spans="1:10" x14ac:dyDescent="0.25">
      <c r="A3956" s="20">
        <v>45657</v>
      </c>
      <c r="B3956" t="str">
        <f>IFERROR(IF(VLOOKUP(C3956,Hoja1!$B$1:$C$6191,2,0)="",_xlfn.XLOOKUP(C3956,Hoja1!$B$2:$B$6191,Hoja1!$A$2:$A$6191),VLOOKUP(C3956,Hoja1!$B$1:$C$6191,2,0)),"No esta en Infor")</f>
        <v>NAC1231</v>
      </c>
      <c r="C3956" t="s">
        <v>290</v>
      </c>
      <c r="D3956" s="58">
        <v>39335.1</v>
      </c>
      <c r="F3956">
        <v>0</v>
      </c>
      <c r="G3956">
        <v>0</v>
      </c>
      <c r="H3956">
        <v>0</v>
      </c>
      <c r="I3956">
        <v>0</v>
      </c>
      <c r="J3956" s="58">
        <f t="shared" si="22"/>
        <v>0</v>
      </c>
    </row>
    <row r="3957" spans="1:10" x14ac:dyDescent="0.25">
      <c r="A3957" s="20">
        <v>45657</v>
      </c>
      <c r="B3957" t="str">
        <f>IFERROR(IF(VLOOKUP(C3957,Hoja1!$B$1:$C$6191,2,0)="",_xlfn.XLOOKUP(C3957,Hoja1!$B$2:$B$6191,Hoja1!$A$2:$A$6191),VLOOKUP(C3957,Hoja1!$B$1:$C$6191,2,0)),"No esta en Infor")</f>
        <v>CAN0050</v>
      </c>
      <c r="C3957" t="s">
        <v>291</v>
      </c>
      <c r="D3957" s="58">
        <v>62965.54</v>
      </c>
      <c r="F3957">
        <v>-0.1</v>
      </c>
      <c r="G3957">
        <v>0</v>
      </c>
      <c r="H3957">
        <v>0</v>
      </c>
      <c r="I3957">
        <v>0</v>
      </c>
      <c r="J3957" s="58">
        <f t="shared" si="22"/>
        <v>-0.1</v>
      </c>
    </row>
    <row r="3958" spans="1:10" x14ac:dyDescent="0.25">
      <c r="A3958" s="20">
        <v>45657</v>
      </c>
      <c r="B3958" t="str">
        <f>IFERROR(IF(VLOOKUP(C3958,Hoja1!$B$1:$C$6191,2,0)="",_xlfn.XLOOKUP(C3958,Hoja1!$B$2:$B$6191,Hoja1!$A$2:$A$6191),VLOOKUP(C3958,Hoja1!$B$1:$C$6191,2,0)),"No esta en Infor")</f>
        <v>NAC1241</v>
      </c>
      <c r="C3958" t="s">
        <v>295</v>
      </c>
      <c r="D3958" s="58">
        <v>3130</v>
      </c>
      <c r="F3958">
        <v>0</v>
      </c>
      <c r="G3958">
        <v>0</v>
      </c>
      <c r="H3958">
        <v>0</v>
      </c>
      <c r="I3958">
        <v>0</v>
      </c>
      <c r="J3958" s="58">
        <f t="shared" si="22"/>
        <v>0</v>
      </c>
    </row>
    <row r="3959" spans="1:10" x14ac:dyDescent="0.25">
      <c r="A3959" s="20">
        <v>45657</v>
      </c>
      <c r="B3959" t="str">
        <f>IFERROR(IF(VLOOKUP(C3959,Hoja1!$B$1:$C$6191,2,0)="",_xlfn.XLOOKUP(C3959,Hoja1!$B$2:$B$6191,Hoja1!$A$2:$A$6191),VLOOKUP(C3959,Hoja1!$B$1:$C$6191,2,0)),"No esta en Infor")</f>
        <v>NAC1247</v>
      </c>
      <c r="C3959" t="s">
        <v>298</v>
      </c>
      <c r="D3959" s="58">
        <v>3207</v>
      </c>
      <c r="F3959">
        <v>0</v>
      </c>
      <c r="G3959">
        <v>0</v>
      </c>
      <c r="H3959">
        <v>0</v>
      </c>
      <c r="I3959">
        <v>0</v>
      </c>
      <c r="J3959" s="58">
        <f t="shared" si="22"/>
        <v>0</v>
      </c>
    </row>
    <row r="3960" spans="1:10" x14ac:dyDescent="0.25">
      <c r="A3960" s="20">
        <v>45657</v>
      </c>
      <c r="B3960" t="str">
        <f>IFERROR(IF(VLOOKUP(C3960,Hoja1!$B$1:$C$6191,2,0)="",_xlfn.XLOOKUP(C3960,Hoja1!$B$2:$B$6191,Hoja1!$A$2:$A$6191),VLOOKUP(C3960,Hoja1!$B$1:$C$6191,2,0)),"No esta en Infor")</f>
        <v>CAN0051</v>
      </c>
      <c r="C3960" t="s">
        <v>299</v>
      </c>
      <c r="D3960">
        <v>0</v>
      </c>
      <c r="F3960">
        <v>0</v>
      </c>
      <c r="G3960">
        <v>0</v>
      </c>
      <c r="H3960">
        <v>-0.34</v>
      </c>
      <c r="I3960">
        <v>0</v>
      </c>
      <c r="J3960" s="58">
        <f t="shared" si="22"/>
        <v>-0.34</v>
      </c>
    </row>
    <row r="3961" spans="1:10" x14ac:dyDescent="0.25">
      <c r="A3961" s="20">
        <v>45657</v>
      </c>
      <c r="B3961" t="str">
        <f>IFERROR(IF(VLOOKUP(C3961,Hoja1!$B$1:$C$6191,2,0)="",_xlfn.XLOOKUP(C3961,Hoja1!$B$2:$B$6191,Hoja1!$A$2:$A$6191),VLOOKUP(C3961,Hoja1!$B$1:$C$6191,2,0)),"No esta en Infor")</f>
        <v>NAC1249</v>
      </c>
      <c r="C3961" t="s">
        <v>300</v>
      </c>
      <c r="D3961">
        <v>0</v>
      </c>
      <c r="F3961">
        <v>0</v>
      </c>
      <c r="G3961">
        <v>0</v>
      </c>
      <c r="H3961">
        <v>-17.760000000000002</v>
      </c>
      <c r="I3961">
        <v>0</v>
      </c>
      <c r="J3961" s="58">
        <f t="shared" si="22"/>
        <v>-17.760000000000002</v>
      </c>
    </row>
    <row r="3962" spans="1:10" x14ac:dyDescent="0.25">
      <c r="A3962" s="20">
        <v>45657</v>
      </c>
      <c r="B3962" t="str">
        <f>IFERROR(IF(VLOOKUP(C3962,Hoja1!$B$1:$C$6191,2,0)="",_xlfn.XLOOKUP(C3962,Hoja1!$B$2:$B$6191,Hoja1!$A$2:$A$6191),VLOOKUP(C3962,Hoja1!$B$1:$C$6191,2,0)),"No esta en Infor")</f>
        <v>NAC1251</v>
      </c>
      <c r="C3962" t="s">
        <v>519</v>
      </c>
      <c r="D3962" s="58">
        <v>1415.61</v>
      </c>
      <c r="F3962">
        <v>0</v>
      </c>
      <c r="G3962">
        <v>0</v>
      </c>
      <c r="H3962">
        <v>0</v>
      </c>
      <c r="I3962">
        <v>0</v>
      </c>
      <c r="J3962" s="58">
        <f t="shared" si="22"/>
        <v>0</v>
      </c>
    </row>
    <row r="3963" spans="1:10" x14ac:dyDescent="0.25">
      <c r="A3963" s="20">
        <v>45657</v>
      </c>
      <c r="B3963" t="str">
        <f>IFERROR(IF(VLOOKUP(C3963,Hoja1!$B$1:$C$6191,2,0)="",_xlfn.XLOOKUP(C3963,Hoja1!$B$2:$B$6191,Hoja1!$A$2:$A$6191),VLOOKUP(C3963,Hoja1!$B$1:$C$6191,2,0)),"No esta en Infor")</f>
        <v>NAC1615</v>
      </c>
      <c r="C3963" t="s">
        <v>520</v>
      </c>
      <c r="D3963">
        <v>0</v>
      </c>
      <c r="F3963">
        <v>0</v>
      </c>
      <c r="G3963">
        <v>-252</v>
      </c>
      <c r="H3963">
        <v>0</v>
      </c>
      <c r="I3963">
        <v>0</v>
      </c>
      <c r="J3963" s="58">
        <f t="shared" si="22"/>
        <v>-252</v>
      </c>
    </row>
    <row r="3964" spans="1:10" x14ac:dyDescent="0.25">
      <c r="A3964" s="20">
        <v>45657</v>
      </c>
      <c r="B3964" t="str">
        <f>IFERROR(IF(VLOOKUP(C3964,Hoja1!$B$1:$C$6191,2,0)="",_xlfn.XLOOKUP(C3964,Hoja1!$B$2:$B$6191,Hoja1!$A$2:$A$6191),VLOOKUP(C3964,Hoja1!$B$1:$C$6191,2,0)),"No esta en Infor")</f>
        <v>CAN0053</v>
      </c>
      <c r="C3964" t="s">
        <v>302</v>
      </c>
      <c r="D3964" s="58">
        <v>105786.47</v>
      </c>
      <c r="F3964">
        <v>0</v>
      </c>
      <c r="G3964">
        <v>0</v>
      </c>
      <c r="H3964">
        <v>0</v>
      </c>
      <c r="I3964">
        <v>0</v>
      </c>
      <c r="J3964" s="58">
        <f t="shared" si="22"/>
        <v>0</v>
      </c>
    </row>
    <row r="3965" spans="1:10" x14ac:dyDescent="0.25">
      <c r="A3965" s="20">
        <v>45657</v>
      </c>
      <c r="B3965" t="str">
        <f>IFERROR(IF(VLOOKUP(C3965,Hoja1!$B$1:$C$6191,2,0)="",_xlfn.XLOOKUP(C3965,Hoja1!$B$2:$B$6191,Hoja1!$A$2:$A$6191),VLOOKUP(C3965,Hoja1!$B$1:$C$6191,2,0)),"No esta en Infor")</f>
        <v>SH03383</v>
      </c>
      <c r="C3965" t="s">
        <v>829</v>
      </c>
      <c r="D3965">
        <v>2.0699999999999998</v>
      </c>
      <c r="F3965">
        <v>0</v>
      </c>
      <c r="G3965">
        <v>0</v>
      </c>
      <c r="H3965">
        <v>0</v>
      </c>
      <c r="I3965">
        <v>0</v>
      </c>
      <c r="J3965" s="58">
        <f t="shared" si="22"/>
        <v>0</v>
      </c>
    </row>
    <row r="3966" spans="1:10" x14ac:dyDescent="0.25">
      <c r="A3966" s="20">
        <v>45657</v>
      </c>
      <c r="B3966" t="str">
        <f>IFERROR(IF(VLOOKUP(C3966,Hoja1!$B$1:$C$6191,2,0)="",_xlfn.XLOOKUP(C3966,Hoja1!$B$2:$B$6191,Hoja1!$A$2:$A$6191),VLOOKUP(C3966,Hoja1!$B$1:$C$6191,2,0)),"No esta en Infor")</f>
        <v>NAC1260</v>
      </c>
      <c r="C3966" t="s">
        <v>571</v>
      </c>
      <c r="D3966">
        <v>0</v>
      </c>
      <c r="F3966">
        <v>0</v>
      </c>
      <c r="G3966" s="58">
        <v>-19694.63</v>
      </c>
      <c r="H3966">
        <v>0</v>
      </c>
      <c r="I3966">
        <v>0</v>
      </c>
      <c r="J3966" s="58">
        <f t="shared" si="22"/>
        <v>-19694.63</v>
      </c>
    </row>
    <row r="3967" spans="1:10" x14ac:dyDescent="0.25">
      <c r="A3967" s="20">
        <v>45657</v>
      </c>
      <c r="B3967" t="str">
        <f>IFERROR(IF(VLOOKUP(C3967,Hoja1!$B$1:$C$6191,2,0)="",_xlfn.XLOOKUP(C3967,Hoja1!$B$2:$B$6191,Hoja1!$A$2:$A$6191),VLOOKUP(C3967,Hoja1!$B$1:$C$6191,2,0)),"No esta en Infor")</f>
        <v>NAC1261</v>
      </c>
      <c r="C3967" t="s">
        <v>303</v>
      </c>
      <c r="D3967" s="58">
        <v>1323</v>
      </c>
      <c r="F3967">
        <v>0</v>
      </c>
      <c r="G3967">
        <v>0</v>
      </c>
      <c r="H3967">
        <v>0</v>
      </c>
      <c r="I3967">
        <v>0</v>
      </c>
      <c r="J3967" s="58">
        <f t="shared" si="22"/>
        <v>0</v>
      </c>
    </row>
    <row r="3968" spans="1:10" x14ac:dyDescent="0.25">
      <c r="A3968" s="20">
        <v>45657</v>
      </c>
      <c r="B3968" t="str">
        <f>IFERROR(IF(VLOOKUP(C3968,Hoja1!$B$1:$C$6191,2,0)="",_xlfn.XLOOKUP(C3968,Hoja1!$B$2:$B$6191,Hoja1!$A$2:$A$6191),VLOOKUP(C3968,Hoja1!$B$1:$C$6191,2,0)),"No esta en Infor")</f>
        <v>SH03164</v>
      </c>
      <c r="C3968" t="s">
        <v>801</v>
      </c>
      <c r="D3968">
        <v>13.34</v>
      </c>
      <c r="F3968">
        <v>0</v>
      </c>
      <c r="G3968">
        <v>0</v>
      </c>
      <c r="H3968">
        <v>0</v>
      </c>
      <c r="I3968">
        <v>0</v>
      </c>
      <c r="J3968" s="58">
        <f t="shared" si="22"/>
        <v>0</v>
      </c>
    </row>
    <row r="3969" spans="1:10" x14ac:dyDescent="0.25">
      <c r="A3969" s="20">
        <v>45657</v>
      </c>
      <c r="B3969" t="str">
        <f>IFERROR(IF(VLOOKUP(C3969,Hoja1!$B$1:$C$6191,2,0)="",_xlfn.XLOOKUP(C3969,Hoja1!$B$2:$B$6191,Hoja1!$A$2:$A$6191),VLOOKUP(C3969,Hoja1!$B$1:$C$6191,2,0)),"No esta en Infor")</f>
        <v>SH03367</v>
      </c>
      <c r="C3969" t="s">
        <v>826</v>
      </c>
      <c r="D3969">
        <v>12.09</v>
      </c>
      <c r="F3969">
        <v>0</v>
      </c>
      <c r="G3969">
        <v>0</v>
      </c>
      <c r="H3969">
        <v>0</v>
      </c>
      <c r="I3969">
        <v>0</v>
      </c>
      <c r="J3969" s="58">
        <f t="shared" si="22"/>
        <v>0</v>
      </c>
    </row>
    <row r="3970" spans="1:10" x14ac:dyDescent="0.25">
      <c r="A3970" s="20">
        <v>45657</v>
      </c>
      <c r="B3970" t="str">
        <f>IFERROR(IF(VLOOKUP(C3970,Hoja1!$B$1:$C$6191,2,0)="",_xlfn.XLOOKUP(C3970,Hoja1!$B$2:$B$6191,Hoja1!$A$2:$A$6191),VLOOKUP(C3970,Hoja1!$B$1:$C$6191,2,0)),"No esta en Infor")</f>
        <v>SH03124</v>
      </c>
      <c r="C3970" t="s">
        <v>798</v>
      </c>
      <c r="D3970">
        <v>228.83</v>
      </c>
      <c r="F3970">
        <v>0</v>
      </c>
      <c r="G3970">
        <v>0</v>
      </c>
      <c r="H3970">
        <v>0</v>
      </c>
      <c r="I3970">
        <v>0</v>
      </c>
      <c r="J3970" s="58">
        <f t="shared" si="22"/>
        <v>0</v>
      </c>
    </row>
    <row r="3971" spans="1:10" x14ac:dyDescent="0.25">
      <c r="A3971" s="20">
        <v>45657</v>
      </c>
      <c r="B3971" t="str">
        <f>IFERROR(IF(VLOOKUP(C3971,Hoja1!$B$1:$C$6191,2,0)="",_xlfn.XLOOKUP(C3971,Hoja1!$B$2:$B$6191,Hoja1!$A$2:$A$6191),VLOOKUP(C3971,Hoja1!$B$1:$C$6191,2,0)),"No esta en Infor")</f>
        <v>NAC1288</v>
      </c>
      <c r="C3971" t="s">
        <v>787</v>
      </c>
      <c r="D3971">
        <v>154.08000000000001</v>
      </c>
      <c r="F3971">
        <v>0</v>
      </c>
      <c r="G3971">
        <v>0</v>
      </c>
      <c r="H3971">
        <v>0</v>
      </c>
      <c r="I3971">
        <v>0</v>
      </c>
      <c r="J3971" s="58">
        <f t="shared" si="22"/>
        <v>0</v>
      </c>
    </row>
    <row r="3972" spans="1:10" x14ac:dyDescent="0.25">
      <c r="A3972" s="20">
        <v>45657</v>
      </c>
      <c r="B3972" t="str">
        <f>IFERROR(IF(VLOOKUP(C3972,Hoja1!$B$1:$C$6191,2,0)="",_xlfn.XLOOKUP(C3972,Hoja1!$B$2:$B$6191,Hoja1!$A$2:$A$6191),VLOOKUP(C3972,Hoja1!$B$1:$C$6191,2,0)),"No esta en Infor")</f>
        <v>NAC1292</v>
      </c>
      <c r="C3972" t="s">
        <v>46</v>
      </c>
      <c r="D3972" s="58">
        <v>12500</v>
      </c>
      <c r="F3972">
        <v>0</v>
      </c>
      <c r="G3972">
        <v>0</v>
      </c>
      <c r="H3972">
        <v>0</v>
      </c>
      <c r="I3972">
        <v>0</v>
      </c>
      <c r="J3972" s="58">
        <f t="shared" si="22"/>
        <v>0</v>
      </c>
    </row>
    <row r="3973" spans="1:10" x14ac:dyDescent="0.25">
      <c r="A3973" s="20">
        <v>45657</v>
      </c>
      <c r="B3973" t="str">
        <f>IFERROR(IF(VLOOKUP(C3973,Hoja1!$B$1:$C$6191,2,0)="",_xlfn.XLOOKUP(C3973,Hoja1!$B$2:$B$6191,Hoja1!$A$2:$A$6191),VLOOKUP(C3973,Hoja1!$B$1:$C$6191,2,0)),"No esta en Infor")</f>
        <v>CAN0056</v>
      </c>
      <c r="C3973" t="s">
        <v>590</v>
      </c>
      <c r="D3973" s="58">
        <v>13492.2</v>
      </c>
      <c r="F3973">
        <v>0</v>
      </c>
      <c r="G3973">
        <v>0</v>
      </c>
      <c r="H3973">
        <v>0</v>
      </c>
      <c r="I3973">
        <v>0</v>
      </c>
      <c r="J3973" s="58">
        <f t="shared" si="22"/>
        <v>0</v>
      </c>
    </row>
    <row r="3974" spans="1:10" x14ac:dyDescent="0.25">
      <c r="A3974" s="20">
        <v>45657</v>
      </c>
      <c r="B3974" t="str">
        <f>IFERROR(IF(VLOOKUP(C3974,Hoja1!$B$1:$C$6191,2,0)="",_xlfn.XLOOKUP(C3974,Hoja1!$B$2:$B$6191,Hoja1!$A$2:$A$6191),VLOOKUP(C3974,Hoja1!$B$1:$C$6191,2,0)),"No esta en Infor")</f>
        <v>SH02984</v>
      </c>
      <c r="C3974" t="s">
        <v>794</v>
      </c>
      <c r="D3974">
        <v>2.25</v>
      </c>
      <c r="F3974">
        <v>0</v>
      </c>
      <c r="G3974">
        <v>0</v>
      </c>
      <c r="H3974">
        <v>0</v>
      </c>
      <c r="I3974">
        <v>0</v>
      </c>
      <c r="J3974" s="58">
        <f t="shared" si="22"/>
        <v>0</v>
      </c>
    </row>
    <row r="3975" spans="1:10" x14ac:dyDescent="0.25">
      <c r="A3975" s="20">
        <v>45657</v>
      </c>
      <c r="B3975" t="str">
        <f>IFERROR(IF(VLOOKUP(C3975,Hoja1!$B$1:$C$6191,2,0)="",_xlfn.XLOOKUP(C3975,Hoja1!$B$2:$B$6191,Hoja1!$A$2:$A$6191),VLOOKUP(C3975,Hoja1!$B$1:$C$6191,2,0)),"No esta en Infor")</f>
        <v>NAC1303</v>
      </c>
      <c r="C3975" t="s">
        <v>697</v>
      </c>
      <c r="D3975">
        <v>224</v>
      </c>
      <c r="F3975">
        <v>0</v>
      </c>
      <c r="G3975">
        <v>0</v>
      </c>
      <c r="H3975">
        <v>0</v>
      </c>
      <c r="I3975">
        <v>0</v>
      </c>
      <c r="J3975" s="58">
        <f t="shared" si="22"/>
        <v>0</v>
      </c>
    </row>
    <row r="3976" spans="1:10" x14ac:dyDescent="0.25">
      <c r="A3976" s="20">
        <v>45657</v>
      </c>
      <c r="B3976" t="str">
        <f>IFERROR(IF(VLOOKUP(C3976,Hoja1!$B$1:$C$6191,2,0)="",_xlfn.XLOOKUP(C3976,Hoja1!$B$2:$B$6191,Hoja1!$A$2:$A$6191),VLOOKUP(C3976,Hoja1!$B$1:$C$6191,2,0)),"No esta en Infor")</f>
        <v>NAC1312</v>
      </c>
      <c r="C3976" t="s">
        <v>314</v>
      </c>
      <c r="D3976" s="58">
        <v>48102.559999999998</v>
      </c>
      <c r="F3976" s="58">
        <v>43289.91</v>
      </c>
      <c r="G3976" s="58">
        <v>210964.39</v>
      </c>
      <c r="H3976" s="58">
        <v>25233.55</v>
      </c>
      <c r="I3976" s="58">
        <v>6392.93</v>
      </c>
      <c r="J3976" s="58">
        <f t="shared" si="22"/>
        <v>285880.78000000003</v>
      </c>
    </row>
    <row r="3977" spans="1:10" x14ac:dyDescent="0.25">
      <c r="A3977" s="20">
        <v>45657</v>
      </c>
      <c r="B3977" t="str">
        <f>IFERROR(IF(VLOOKUP(C3977,Hoja1!$B$1:$C$6191,2,0)="",_xlfn.XLOOKUP(C3977,Hoja1!$B$2:$B$6191,Hoja1!$A$2:$A$6191),VLOOKUP(C3977,Hoja1!$B$1:$C$6191,2,0)),"No esta en Infor")</f>
        <v>NAC1313</v>
      </c>
      <c r="C3977" t="s">
        <v>315</v>
      </c>
      <c r="D3977" s="58">
        <v>2089.0300000000002</v>
      </c>
      <c r="F3977">
        <v>0</v>
      </c>
      <c r="G3977">
        <v>0</v>
      </c>
      <c r="H3977">
        <v>0</v>
      </c>
      <c r="I3977">
        <v>0</v>
      </c>
      <c r="J3977" s="58">
        <f t="shared" si="22"/>
        <v>0</v>
      </c>
    </row>
    <row r="3978" spans="1:10" x14ac:dyDescent="0.25">
      <c r="A3978" s="20">
        <v>45657</v>
      </c>
      <c r="B3978" t="str">
        <f>IFERROR(IF(VLOOKUP(C3978,Hoja1!$B$1:$C$6191,2,0)="",_xlfn.XLOOKUP(C3978,Hoja1!$B$2:$B$6191,Hoja1!$A$2:$A$6191),VLOOKUP(C3978,Hoja1!$B$1:$C$6191,2,0)),"No esta en Infor")</f>
        <v>NAC1326</v>
      </c>
      <c r="C3978" t="s">
        <v>763</v>
      </c>
      <c r="D3978">
        <v>994.63</v>
      </c>
      <c r="F3978">
        <v>0</v>
      </c>
      <c r="G3978">
        <v>0</v>
      </c>
      <c r="H3978">
        <v>0</v>
      </c>
      <c r="I3978">
        <v>0</v>
      </c>
      <c r="J3978" s="58">
        <f t="shared" si="22"/>
        <v>0</v>
      </c>
    </row>
    <row r="3979" spans="1:10" x14ac:dyDescent="0.25">
      <c r="A3979" s="20">
        <v>45657</v>
      </c>
      <c r="B3979" t="str">
        <f>IFERROR(IF(VLOOKUP(C3979,Hoja1!$B$1:$C$6191,2,0)="",_xlfn.XLOOKUP(C3979,Hoja1!$B$2:$B$6191,Hoja1!$A$2:$A$6191),VLOOKUP(C3979,Hoja1!$B$1:$C$6191,2,0)),"No esta en Infor")</f>
        <v>CAN0060</v>
      </c>
      <c r="C3979" t="s">
        <v>422</v>
      </c>
      <c r="D3979" s="58">
        <v>2081.46</v>
      </c>
      <c r="F3979">
        <v>0</v>
      </c>
      <c r="G3979">
        <v>-28.5</v>
      </c>
      <c r="H3979">
        <v>0</v>
      </c>
      <c r="I3979">
        <v>0</v>
      </c>
      <c r="J3979" s="58">
        <f t="shared" si="22"/>
        <v>-28.5</v>
      </c>
    </row>
    <row r="3980" spans="1:10" x14ac:dyDescent="0.25">
      <c r="A3980" s="20">
        <v>45657</v>
      </c>
      <c r="B3980" t="str">
        <f>IFERROR(IF(VLOOKUP(C3980,Hoja1!$B$1:$C$6191,2,0)="",_xlfn.XLOOKUP(C3980,Hoja1!$B$2:$B$6191,Hoja1!$A$2:$A$6191),VLOOKUP(C3980,Hoja1!$B$1:$C$6191,2,0)),"No esta en Infor")</f>
        <v>NAC1332</v>
      </c>
      <c r="C3980" t="s">
        <v>317</v>
      </c>
      <c r="D3980">
        <v>362</v>
      </c>
      <c r="F3980">
        <v>0</v>
      </c>
      <c r="G3980">
        <v>0</v>
      </c>
      <c r="H3980">
        <v>0</v>
      </c>
      <c r="I3980">
        <v>0</v>
      </c>
      <c r="J3980" s="58">
        <f t="shared" si="22"/>
        <v>0</v>
      </c>
    </row>
    <row r="3981" spans="1:10" x14ac:dyDescent="0.25">
      <c r="A3981" s="20">
        <v>45657</v>
      </c>
      <c r="B3981" t="str">
        <f>IFERROR(IF(VLOOKUP(C3981,Hoja1!$B$1:$C$6191,2,0)="",_xlfn.XLOOKUP(C3981,Hoja1!$B$2:$B$6191,Hoja1!$A$2:$A$6191),VLOOKUP(C3981,Hoja1!$B$1:$C$6191,2,0)),"No esta en Infor")</f>
        <v>SH02288</v>
      </c>
      <c r="C3981" t="s">
        <v>698</v>
      </c>
      <c r="D3981">
        <v>0</v>
      </c>
      <c r="F3981">
        <v>0</v>
      </c>
      <c r="G3981">
        <v>0</v>
      </c>
      <c r="H3981">
        <v>0</v>
      </c>
      <c r="I3981">
        <v>48.29</v>
      </c>
      <c r="J3981" s="58">
        <f t="shared" si="22"/>
        <v>48.29</v>
      </c>
    </row>
    <row r="3982" spans="1:10" x14ac:dyDescent="0.25">
      <c r="A3982" s="20">
        <v>45657</v>
      </c>
      <c r="B3982" t="str">
        <f>IFERROR(IF(VLOOKUP(C3982,Hoja1!$B$1:$C$6191,2,0)="",_xlfn.XLOOKUP(C3982,Hoja1!$B$2:$B$6191,Hoja1!$A$2:$A$6191),VLOOKUP(C3982,Hoja1!$B$1:$C$6191,2,0)),"No esta en Infor")</f>
        <v>SH02293</v>
      </c>
      <c r="C3982" t="s">
        <v>699</v>
      </c>
      <c r="D3982">
        <v>0</v>
      </c>
      <c r="F3982">
        <v>7.3</v>
      </c>
      <c r="G3982">
        <v>0</v>
      </c>
      <c r="H3982">
        <v>0</v>
      </c>
      <c r="I3982">
        <v>0</v>
      </c>
      <c r="J3982" s="58">
        <f t="shared" si="22"/>
        <v>7.3</v>
      </c>
    </row>
    <row r="3983" spans="1:10" x14ac:dyDescent="0.25">
      <c r="A3983" s="20">
        <v>45657</v>
      </c>
      <c r="B3983" t="str">
        <f>IFERROR(IF(VLOOKUP(C3983,Hoja1!$B$1:$C$6191,2,0)="",_xlfn.XLOOKUP(C3983,Hoja1!$B$2:$B$6191,Hoja1!$A$2:$A$6191),VLOOKUP(C3983,Hoja1!$B$1:$C$6191,2,0)),"No esta en Infor")</f>
        <v>SH03338</v>
      </c>
      <c r="C3983" t="s">
        <v>886</v>
      </c>
      <c r="D3983">
        <v>35.880000000000003</v>
      </c>
      <c r="F3983">
        <v>0</v>
      </c>
      <c r="G3983">
        <v>0</v>
      </c>
      <c r="H3983">
        <v>0</v>
      </c>
      <c r="I3983">
        <v>0</v>
      </c>
      <c r="J3983" s="58">
        <f t="shared" si="22"/>
        <v>0</v>
      </c>
    </row>
    <row r="3984" spans="1:10" x14ac:dyDescent="0.25">
      <c r="A3984" s="20">
        <v>45657</v>
      </c>
      <c r="B3984" t="str">
        <f>IFERROR(IF(VLOOKUP(C3984,Hoja1!$B$1:$C$6191,2,0)="",_xlfn.XLOOKUP(C3984,Hoja1!$B$2:$B$6191,Hoja1!$A$2:$A$6191),VLOOKUP(C3984,Hoja1!$B$1:$C$6191,2,0)),"No esta en Infor")</f>
        <v>NAC1346</v>
      </c>
      <c r="C3984" t="s">
        <v>321</v>
      </c>
      <c r="D3984">
        <v>0</v>
      </c>
      <c r="F3984">
        <v>-47.94</v>
      </c>
      <c r="G3984">
        <v>0</v>
      </c>
      <c r="H3984">
        <v>0</v>
      </c>
      <c r="I3984">
        <v>0</v>
      </c>
      <c r="J3984" s="58">
        <f t="shared" si="22"/>
        <v>-47.94</v>
      </c>
    </row>
    <row r="3985" spans="1:10" x14ac:dyDescent="0.25">
      <c r="A3985" s="20">
        <v>45657</v>
      </c>
      <c r="B3985" t="str">
        <f>IFERROR(IF(VLOOKUP(C3985,Hoja1!$B$1:$C$6191,2,0)="",_xlfn.XLOOKUP(C3985,Hoja1!$B$2:$B$6191,Hoja1!$A$2:$A$6191),VLOOKUP(C3985,Hoja1!$B$1:$C$6191,2,0)),"No esta en Infor")</f>
        <v>NAC1349</v>
      </c>
      <c r="C3985" t="s">
        <v>322</v>
      </c>
      <c r="D3985">
        <v>0</v>
      </c>
      <c r="F3985">
        <v>0</v>
      </c>
      <c r="G3985">
        <v>0</v>
      </c>
      <c r="H3985">
        <v>-178.85</v>
      </c>
      <c r="I3985">
        <v>-169.96</v>
      </c>
      <c r="J3985" s="58">
        <f t="shared" si="22"/>
        <v>-348.81</v>
      </c>
    </row>
    <row r="3986" spans="1:10" x14ac:dyDescent="0.25">
      <c r="A3986" s="20">
        <v>45657</v>
      </c>
      <c r="B3986" t="str">
        <f>IFERROR(IF(VLOOKUP(C3986,Hoja1!$B$1:$C$6191,2,0)="",_xlfn.XLOOKUP(C3986,Hoja1!$B$2:$B$6191,Hoja1!$A$2:$A$6191),VLOOKUP(C3986,Hoja1!$B$1:$C$6191,2,0)),"No esta en Infor")</f>
        <v>NAC1356</v>
      </c>
      <c r="C3986" t="s">
        <v>325</v>
      </c>
      <c r="D3986">
        <v>0</v>
      </c>
      <c r="F3986">
        <v>0</v>
      </c>
      <c r="G3986">
        <v>0</v>
      </c>
      <c r="H3986">
        <v>0</v>
      </c>
      <c r="I3986">
        <v>-421.28</v>
      </c>
      <c r="J3986" s="58">
        <f t="shared" si="22"/>
        <v>-421.28</v>
      </c>
    </row>
    <row r="3987" spans="1:10" x14ac:dyDescent="0.25">
      <c r="A3987" s="20">
        <v>45657</v>
      </c>
      <c r="B3987" t="str">
        <f>IFERROR(IF(VLOOKUP(C3987,Hoja1!$B$1:$C$6191,2,0)="",_xlfn.XLOOKUP(C3987,Hoja1!$B$2:$B$6191,Hoja1!$A$2:$A$6191),VLOOKUP(C3987,Hoja1!$B$1:$C$6191,2,0)),"No esta en Infor")</f>
        <v>NAC1362</v>
      </c>
      <c r="C3987" t="s">
        <v>701</v>
      </c>
      <c r="D3987" s="58">
        <v>3780</v>
      </c>
      <c r="F3987">
        <v>0</v>
      </c>
      <c r="G3987">
        <v>0</v>
      </c>
      <c r="H3987">
        <v>0</v>
      </c>
      <c r="I3987">
        <v>0</v>
      </c>
      <c r="J3987" s="58">
        <f t="shared" si="22"/>
        <v>0</v>
      </c>
    </row>
    <row r="3988" spans="1:10" x14ac:dyDescent="0.25">
      <c r="A3988" s="20">
        <v>45657</v>
      </c>
      <c r="B3988" t="str">
        <f>IFERROR(IF(VLOOKUP(C3988,Hoja1!$B$1:$C$6191,2,0)="",_xlfn.XLOOKUP(C3988,Hoja1!$B$2:$B$6191,Hoja1!$A$2:$A$6191),VLOOKUP(C3988,Hoja1!$B$1:$C$6191,2,0)),"No esta en Infor")</f>
        <v>NAC1372</v>
      </c>
      <c r="C3988" t="s">
        <v>607</v>
      </c>
      <c r="D3988">
        <v>420.12</v>
      </c>
      <c r="F3988">
        <v>0</v>
      </c>
      <c r="G3988">
        <v>0</v>
      </c>
      <c r="H3988">
        <v>0</v>
      </c>
      <c r="I3988">
        <v>0</v>
      </c>
      <c r="J3988" s="58">
        <f t="shared" si="22"/>
        <v>0</v>
      </c>
    </row>
    <row r="3989" spans="1:10" x14ac:dyDescent="0.25">
      <c r="A3989" s="20">
        <v>45657</v>
      </c>
      <c r="B3989" t="str">
        <f>IFERROR(IF(VLOOKUP(C3989,Hoja1!$B$1:$C$6191,2,0)="",_xlfn.XLOOKUP(C3989,Hoja1!$B$2:$B$6191,Hoja1!$A$2:$A$6191),VLOOKUP(C3989,Hoja1!$B$1:$C$6191,2,0)),"No esta en Infor")</f>
        <v>CAN0066</v>
      </c>
      <c r="C3989" t="s">
        <v>330</v>
      </c>
      <c r="D3989" s="58">
        <v>-3525.48</v>
      </c>
      <c r="F3989">
        <v>0</v>
      </c>
      <c r="G3989">
        <v>0</v>
      </c>
      <c r="H3989">
        <v>0</v>
      </c>
      <c r="I3989">
        <v>0</v>
      </c>
      <c r="J3989" s="58">
        <f t="shared" si="22"/>
        <v>0</v>
      </c>
    </row>
    <row r="3990" spans="1:10" x14ac:dyDescent="0.25">
      <c r="A3990" s="20">
        <v>45657</v>
      </c>
      <c r="B3990" t="str">
        <f>IFERROR(IF(VLOOKUP(C3990,Hoja1!$B$1:$C$6191,2,0)="",_xlfn.XLOOKUP(C3990,Hoja1!$B$2:$B$6191,Hoja1!$A$2:$A$6191),VLOOKUP(C3990,Hoja1!$B$1:$C$6191,2,0)),"No esta en Infor")</f>
        <v>NAC1377</v>
      </c>
      <c r="C3990" t="s">
        <v>525</v>
      </c>
      <c r="D3990">
        <v>356.67</v>
      </c>
      <c r="F3990">
        <v>0</v>
      </c>
      <c r="G3990">
        <v>0</v>
      </c>
      <c r="H3990">
        <v>0</v>
      </c>
      <c r="I3990">
        <v>0</v>
      </c>
      <c r="J3990" s="58">
        <f t="shared" si="22"/>
        <v>0</v>
      </c>
    </row>
    <row r="3991" spans="1:10" x14ac:dyDescent="0.25">
      <c r="A3991" s="20">
        <v>45657</v>
      </c>
      <c r="B3991" t="str">
        <f>IFERROR(IF(VLOOKUP(C3991,Hoja1!$B$1:$C$6191,2,0)="",_xlfn.XLOOKUP(C3991,Hoja1!$B$2:$B$6191,Hoja1!$A$2:$A$6191),VLOOKUP(C3991,Hoja1!$B$1:$C$6191,2,0)),"No esta en Infor")</f>
        <v>NAC1380</v>
      </c>
      <c r="C3991" t="s">
        <v>427</v>
      </c>
      <c r="D3991" s="58">
        <v>5280</v>
      </c>
      <c r="F3991">
        <v>0</v>
      </c>
      <c r="G3991">
        <v>0</v>
      </c>
      <c r="H3991">
        <v>0</v>
      </c>
      <c r="I3991">
        <v>0</v>
      </c>
      <c r="J3991" s="58">
        <f t="shared" si="22"/>
        <v>0</v>
      </c>
    </row>
    <row r="3992" spans="1:10" x14ac:dyDescent="0.25">
      <c r="A3992" s="20">
        <v>45657</v>
      </c>
      <c r="B3992" t="str">
        <f>IFERROR(IF(VLOOKUP(C3992,Hoja1!$B$1:$C$6191,2,0)="",_xlfn.XLOOKUP(C3992,Hoja1!$B$2:$B$6191,Hoja1!$A$2:$A$6191),VLOOKUP(C3992,Hoja1!$B$1:$C$6191,2,0)),"No esta en Infor")</f>
        <v>NAC1381</v>
      </c>
      <c r="C3992" t="s">
        <v>478</v>
      </c>
      <c r="D3992">
        <v>0</v>
      </c>
      <c r="F3992">
        <v>0</v>
      </c>
      <c r="G3992">
        <v>-5.28</v>
      </c>
      <c r="H3992">
        <v>0</v>
      </c>
      <c r="I3992">
        <v>0</v>
      </c>
      <c r="J3992" s="58">
        <f t="shared" si="22"/>
        <v>-5.28</v>
      </c>
    </row>
    <row r="3993" spans="1:10" x14ac:dyDescent="0.25">
      <c r="A3993" s="20">
        <v>45657</v>
      </c>
      <c r="B3993" t="str">
        <f>IFERROR(IF(VLOOKUP(C3993,Hoja1!$B$1:$C$6191,2,0)="",_xlfn.XLOOKUP(C3993,Hoja1!$B$2:$B$6191,Hoja1!$A$2:$A$6191),VLOOKUP(C3993,Hoja1!$B$1:$C$6191,2,0)),"No esta en Infor")</f>
        <v>NAC1382</v>
      </c>
      <c r="C3993" t="s">
        <v>332</v>
      </c>
      <c r="D3993" s="58">
        <v>84544.84</v>
      </c>
      <c r="F3993">
        <v>0</v>
      </c>
      <c r="G3993">
        <v>0</v>
      </c>
      <c r="H3993">
        <v>0</v>
      </c>
      <c r="I3993">
        <v>0</v>
      </c>
      <c r="J3993" s="58">
        <f t="shared" si="22"/>
        <v>0</v>
      </c>
    </row>
    <row r="3994" spans="1:10" x14ac:dyDescent="0.25">
      <c r="A3994" s="20">
        <v>45657</v>
      </c>
      <c r="B3994" t="str">
        <f>IFERROR(IF(VLOOKUP(C3994,Hoja1!$B$1:$C$6191,2,0)="",_xlfn.XLOOKUP(C3994,Hoja1!$B$2:$B$6191,Hoja1!$A$2:$A$6191),VLOOKUP(C3994,Hoja1!$B$1:$C$6191,2,0)),"No esta en Infor")</f>
        <v>NAC1385</v>
      </c>
      <c r="C3994" t="s">
        <v>428</v>
      </c>
      <c r="D3994" s="58">
        <v>1378.3</v>
      </c>
      <c r="F3994">
        <v>0</v>
      </c>
      <c r="G3994">
        <v>0</v>
      </c>
      <c r="H3994">
        <v>0</v>
      </c>
      <c r="I3994">
        <v>0</v>
      </c>
      <c r="J3994" s="58">
        <f t="shared" si="22"/>
        <v>0</v>
      </c>
    </row>
    <row r="3995" spans="1:10" x14ac:dyDescent="0.25">
      <c r="A3995" s="20">
        <v>45657</v>
      </c>
      <c r="B3995" t="str">
        <f>IFERROR(IF(VLOOKUP(C3995,Hoja1!$B$1:$C$6191,2,0)="",_xlfn.XLOOKUP(C3995,Hoja1!$B$2:$B$6191,Hoja1!$A$2:$A$6191),VLOOKUP(C3995,Hoja1!$B$1:$C$6191,2,0)),"No esta en Infor")</f>
        <v>NAC1610</v>
      </c>
      <c r="C3995" t="s">
        <v>540</v>
      </c>
      <c r="D3995">
        <v>187.8</v>
      </c>
      <c r="F3995">
        <v>0</v>
      </c>
      <c r="G3995">
        <v>0</v>
      </c>
      <c r="H3995">
        <v>0</v>
      </c>
      <c r="I3995">
        <v>0</v>
      </c>
      <c r="J3995" s="58">
        <f t="shared" si="22"/>
        <v>0</v>
      </c>
    </row>
    <row r="3996" spans="1:10" x14ac:dyDescent="0.25">
      <c r="A3996" s="20">
        <v>45657</v>
      </c>
      <c r="B3996" t="str">
        <f>IFERROR(IF(VLOOKUP(C3996,Hoja1!$B$1:$C$6191,2,0)="",_xlfn.XLOOKUP(C3996,Hoja1!$B$2:$B$6191,Hoja1!$A$2:$A$6191),VLOOKUP(C3996,Hoja1!$B$1:$C$6191,2,0)),"No esta en Infor")</f>
        <v>NAC1394</v>
      </c>
      <c r="C3996" t="s">
        <v>767</v>
      </c>
      <c r="D3996">
        <v>-126.76</v>
      </c>
      <c r="F3996">
        <v>0</v>
      </c>
      <c r="G3996">
        <v>0</v>
      </c>
      <c r="H3996">
        <v>0</v>
      </c>
      <c r="I3996">
        <v>0</v>
      </c>
      <c r="J3996" s="58">
        <f t="shared" si="22"/>
        <v>0</v>
      </c>
    </row>
    <row r="3997" spans="1:10" x14ac:dyDescent="0.25">
      <c r="A3997" s="20">
        <v>45657</v>
      </c>
      <c r="B3997" t="str">
        <f>IFERROR(IF(VLOOKUP(C3997,Hoja1!$B$1:$C$6191,2,0)="",_xlfn.XLOOKUP(C3997,Hoja1!$B$2:$B$6191,Hoja1!$A$2:$A$6191),VLOOKUP(C3997,Hoja1!$B$1:$C$6191,2,0)),"No esta en Infor")</f>
        <v>NAC1395</v>
      </c>
      <c r="C3997" t="s">
        <v>337</v>
      </c>
      <c r="D3997" s="58">
        <v>43543.34</v>
      </c>
      <c r="F3997">
        <v>0</v>
      </c>
      <c r="G3997">
        <v>0</v>
      </c>
      <c r="H3997">
        <v>0</v>
      </c>
      <c r="I3997">
        <v>0</v>
      </c>
      <c r="J3997" s="58">
        <f t="shared" si="22"/>
        <v>0</v>
      </c>
    </row>
    <row r="3998" spans="1:10" x14ac:dyDescent="0.25">
      <c r="A3998" s="20">
        <v>45657</v>
      </c>
      <c r="B3998" t="str">
        <f>IFERROR(IF(VLOOKUP(C3998,Hoja1!$B$1:$C$6191,2,0)="",_xlfn.XLOOKUP(C3998,Hoja1!$B$2:$B$6191,Hoja1!$A$2:$A$6191),VLOOKUP(C3998,Hoja1!$B$1:$C$6191,2,0)),"No esta en Infor")</f>
        <v>NAC1396</v>
      </c>
      <c r="C3998" t="s">
        <v>788</v>
      </c>
      <c r="D3998">
        <v>-230.95</v>
      </c>
      <c r="F3998">
        <v>0</v>
      </c>
      <c r="G3998">
        <v>0</v>
      </c>
      <c r="H3998">
        <v>0</v>
      </c>
      <c r="I3998">
        <v>0</v>
      </c>
      <c r="J3998" s="58">
        <f t="shared" si="22"/>
        <v>0</v>
      </c>
    </row>
    <row r="3999" spans="1:10" x14ac:dyDescent="0.25">
      <c r="A3999" s="20">
        <v>45657</v>
      </c>
      <c r="B3999" t="str">
        <f>IFERROR(IF(VLOOKUP(C3999,Hoja1!$B$1:$C$6191,2,0)="",_xlfn.XLOOKUP(C3999,Hoja1!$B$2:$B$6191,Hoja1!$A$2:$A$6191),VLOOKUP(C3999,Hoja1!$B$1:$C$6191,2,0)),"No esta en Infor")</f>
        <v>NAC1404</v>
      </c>
      <c r="C3999" t="s">
        <v>592</v>
      </c>
      <c r="D3999">
        <v>0</v>
      </c>
      <c r="F3999">
        <v>0</v>
      </c>
      <c r="G3999">
        <v>-85.32</v>
      </c>
      <c r="H3999">
        <v>0</v>
      </c>
      <c r="I3999">
        <v>0</v>
      </c>
      <c r="J3999" s="58">
        <f t="shared" si="22"/>
        <v>-85.32</v>
      </c>
    </row>
    <row r="4000" spans="1:10" x14ac:dyDescent="0.25">
      <c r="A4000" s="20">
        <v>45657</v>
      </c>
      <c r="B4000" t="str">
        <f>IFERROR(IF(VLOOKUP(C4000,Hoja1!$B$1:$C$6191,2,0)="",_xlfn.XLOOKUP(C4000,Hoja1!$B$2:$B$6191,Hoja1!$A$2:$A$6191),VLOOKUP(C4000,Hoja1!$B$1:$C$6191,2,0)),"No esta en Infor")</f>
        <v>CAN0090</v>
      </c>
      <c r="C4000" t="s">
        <v>574</v>
      </c>
      <c r="D4000" s="58">
        <v>28966.9</v>
      </c>
      <c r="F4000">
        <v>0</v>
      </c>
      <c r="G4000">
        <v>0</v>
      </c>
      <c r="H4000">
        <v>0</v>
      </c>
      <c r="I4000">
        <v>0</v>
      </c>
      <c r="J4000" s="58">
        <f t="shared" si="22"/>
        <v>0</v>
      </c>
    </row>
    <row r="4001" spans="1:10" x14ac:dyDescent="0.25">
      <c r="A4001" s="20">
        <v>45657</v>
      </c>
      <c r="B4001" t="str">
        <f>IFERROR(IF(VLOOKUP(C4001,Hoja1!$B$1:$C$6191,2,0)="",_xlfn.XLOOKUP(C4001,Hoja1!$B$2:$B$6191,Hoja1!$A$2:$A$6191),VLOOKUP(C4001,Hoja1!$B$1:$C$6191,2,0)),"No esta en Infor")</f>
        <v>NAC1419</v>
      </c>
      <c r="C4001" t="s">
        <v>343</v>
      </c>
      <c r="D4001">
        <v>102.5</v>
      </c>
      <c r="F4001">
        <v>0</v>
      </c>
      <c r="G4001">
        <v>0</v>
      </c>
      <c r="H4001">
        <v>0</v>
      </c>
      <c r="I4001">
        <v>0</v>
      </c>
      <c r="J4001" s="58">
        <f t="shared" si="22"/>
        <v>0</v>
      </c>
    </row>
    <row r="4002" spans="1:10" x14ac:dyDescent="0.25">
      <c r="A4002" s="20">
        <v>45657</v>
      </c>
      <c r="B4002" t="str">
        <f>IFERROR(IF(VLOOKUP(C4002,Hoja1!$B$1:$C$6191,2,0)="",_xlfn.XLOOKUP(C4002,Hoja1!$B$2:$B$6191,Hoja1!$A$2:$A$6191),VLOOKUP(C4002,Hoja1!$B$1:$C$6191,2,0)),"No esta en Infor")</f>
        <v>NAC1424</v>
      </c>
      <c r="C4002" t="s">
        <v>345</v>
      </c>
      <c r="D4002" s="58">
        <v>23450.5</v>
      </c>
      <c r="F4002">
        <v>0</v>
      </c>
      <c r="G4002">
        <v>0</v>
      </c>
      <c r="H4002">
        <v>0</v>
      </c>
      <c r="I4002">
        <v>0</v>
      </c>
      <c r="J4002" s="58">
        <f t="shared" si="22"/>
        <v>0</v>
      </c>
    </row>
    <row r="4003" spans="1:10" x14ac:dyDescent="0.25">
      <c r="A4003" s="20">
        <v>45657</v>
      </c>
      <c r="B4003" t="str">
        <f>IFERROR(IF(VLOOKUP(C4003,Hoja1!$B$1:$C$6191,2,0)="",_xlfn.XLOOKUP(C4003,Hoja1!$B$2:$B$6191,Hoja1!$A$2:$A$6191),VLOOKUP(C4003,Hoja1!$B$1:$C$6191,2,0)),"No esta en Infor")</f>
        <v>NAC1545</v>
      </c>
      <c r="C4003" t="s">
        <v>769</v>
      </c>
      <c r="D4003" s="58">
        <v>4230</v>
      </c>
      <c r="F4003">
        <v>0</v>
      </c>
      <c r="G4003">
        <v>0</v>
      </c>
      <c r="H4003">
        <v>0</v>
      </c>
      <c r="I4003">
        <v>0</v>
      </c>
      <c r="J4003" s="58">
        <f t="shared" si="22"/>
        <v>0</v>
      </c>
    </row>
    <row r="4004" spans="1:10" x14ac:dyDescent="0.25">
      <c r="A4004" s="20">
        <v>45657</v>
      </c>
      <c r="B4004" t="str">
        <f>IFERROR(IF(VLOOKUP(C4004,Hoja1!$B$1:$C$6191,2,0)="",_xlfn.XLOOKUP(C4004,Hoja1!$B$2:$B$6191,Hoja1!$A$2:$A$6191),VLOOKUP(C4004,Hoja1!$B$1:$C$6191,2,0)),"No esta en Infor")</f>
        <v>NAC1432</v>
      </c>
      <c r="C4004" t="s">
        <v>575</v>
      </c>
      <c r="D4004">
        <v>0</v>
      </c>
      <c r="F4004">
        <v>0</v>
      </c>
      <c r="G4004">
        <v>-536.64</v>
      </c>
      <c r="H4004">
        <v>0</v>
      </c>
      <c r="I4004">
        <v>0</v>
      </c>
      <c r="J4004" s="58">
        <f t="shared" si="22"/>
        <v>-536.64</v>
      </c>
    </row>
    <row r="4005" spans="1:10" x14ac:dyDescent="0.25">
      <c r="A4005" s="20">
        <v>45657</v>
      </c>
      <c r="B4005" t="str">
        <f>IFERROR(IF(VLOOKUP(C4005,Hoja1!$B$1:$C$6191,2,0)="",_xlfn.XLOOKUP(C4005,Hoja1!$B$2:$B$6191,Hoja1!$A$2:$A$6191),VLOOKUP(C4005,Hoja1!$B$1:$C$6191,2,0)),"No esta en Infor")</f>
        <v>NAC1434</v>
      </c>
      <c r="C4005" t="s">
        <v>348</v>
      </c>
      <c r="D4005" s="58">
        <v>6348</v>
      </c>
      <c r="F4005">
        <v>0</v>
      </c>
      <c r="G4005">
        <v>0</v>
      </c>
      <c r="H4005">
        <v>0</v>
      </c>
      <c r="I4005">
        <v>0</v>
      </c>
      <c r="J4005" s="58">
        <f t="shared" si="22"/>
        <v>0</v>
      </c>
    </row>
    <row r="4006" spans="1:10" x14ac:dyDescent="0.25">
      <c r="A4006" s="20">
        <v>45657</v>
      </c>
      <c r="B4006" t="str">
        <f>IFERROR(IF(VLOOKUP(C4006,Hoja1!$B$1:$C$6191,2,0)="",_xlfn.XLOOKUP(C4006,Hoja1!$B$2:$B$6191,Hoja1!$A$2:$A$6191),VLOOKUP(C4006,Hoja1!$B$1:$C$6191,2,0)),"No esta en Infor")</f>
        <v>CAN0074</v>
      </c>
      <c r="C4006" t="s">
        <v>350</v>
      </c>
      <c r="D4006">
        <v>0</v>
      </c>
      <c r="F4006" s="58">
        <v>-2282.2600000000002</v>
      </c>
      <c r="G4006">
        <v>0</v>
      </c>
      <c r="H4006">
        <v>0</v>
      </c>
      <c r="I4006">
        <v>0</v>
      </c>
      <c r="J4006" s="58">
        <f t="shared" si="22"/>
        <v>-2282.2600000000002</v>
      </c>
    </row>
    <row r="4007" spans="1:10" x14ac:dyDescent="0.25">
      <c r="A4007" s="20">
        <v>45657</v>
      </c>
      <c r="B4007" t="str">
        <f>IFERROR(IF(VLOOKUP(C4007,Hoja1!$B$1:$C$6191,2,0)="",_xlfn.XLOOKUP(C4007,Hoja1!$B$2:$B$6191,Hoja1!$A$2:$A$6191),VLOOKUP(C4007,Hoja1!$B$1:$C$6191,2,0)),"No esta en Infor")</f>
        <v>NAC1471</v>
      </c>
      <c r="C4007" t="s">
        <v>351</v>
      </c>
      <c r="D4007" s="58">
        <v>72018.8</v>
      </c>
      <c r="F4007">
        <v>0</v>
      </c>
      <c r="G4007">
        <v>0</v>
      </c>
      <c r="H4007">
        <v>0</v>
      </c>
      <c r="I4007">
        <v>0</v>
      </c>
      <c r="J4007" s="58">
        <f t="shared" si="22"/>
        <v>0</v>
      </c>
    </row>
    <row r="4008" spans="1:10" x14ac:dyDescent="0.25">
      <c r="A4008" s="20">
        <v>45657</v>
      </c>
      <c r="B4008" t="str">
        <f>IFERROR(IF(VLOOKUP(C4008,Hoja1!$B$1:$C$6191,2,0)="",_xlfn.XLOOKUP(C4008,Hoja1!$B$2:$B$6191,Hoja1!$A$2:$A$6191),VLOOKUP(C4008,Hoja1!$B$1:$C$6191,2,0)),"No esta en Infor")</f>
        <v>CAN0080</v>
      </c>
      <c r="C4008" t="s">
        <v>533</v>
      </c>
      <c r="D4008" s="58">
        <v>6044.29</v>
      </c>
      <c r="F4008">
        <v>0</v>
      </c>
      <c r="G4008">
        <v>-93.6</v>
      </c>
      <c r="H4008">
        <v>0</v>
      </c>
      <c r="I4008">
        <v>0</v>
      </c>
      <c r="J4008" s="58">
        <f t="shared" si="22"/>
        <v>-93.6</v>
      </c>
    </row>
    <row r="4009" spans="1:10" x14ac:dyDescent="0.25">
      <c r="A4009" s="20">
        <v>45657</v>
      </c>
      <c r="B4009" t="str">
        <f>IFERROR(IF(VLOOKUP(C4009,Hoja1!$B$1:$C$6191,2,0)="",_xlfn.XLOOKUP(C4009,Hoja1!$B$2:$B$6191,Hoja1!$A$2:$A$6191),VLOOKUP(C4009,Hoja1!$B$1:$C$6191,2,0)),"No esta en Infor")</f>
        <v>SH03506</v>
      </c>
      <c r="C4009" t="s">
        <v>887</v>
      </c>
      <c r="D4009">
        <v>-100.03</v>
      </c>
      <c r="F4009">
        <v>0</v>
      </c>
      <c r="G4009">
        <v>0</v>
      </c>
      <c r="H4009">
        <v>0</v>
      </c>
      <c r="I4009">
        <v>0</v>
      </c>
      <c r="J4009" s="58">
        <f t="shared" ref="J4009:J4022" si="23">SUM(E4009:I4009)</f>
        <v>0</v>
      </c>
    </row>
    <row r="4010" spans="1:10" x14ac:dyDescent="0.25">
      <c r="A4010" s="20">
        <v>45657</v>
      </c>
      <c r="B4010" t="str">
        <f>IFERROR(IF(VLOOKUP(C4010,Hoja1!$B$1:$C$6191,2,0)="",_xlfn.XLOOKUP(C4010,Hoja1!$B$2:$B$6191,Hoja1!$A$2:$A$6191),VLOOKUP(C4010,Hoja1!$B$1:$C$6191,2,0)),"No esta en Infor")</f>
        <v>SH03339</v>
      </c>
      <c r="C4010" t="s">
        <v>819</v>
      </c>
      <c r="D4010">
        <v>1.5</v>
      </c>
      <c r="F4010">
        <v>0</v>
      </c>
      <c r="G4010">
        <v>0</v>
      </c>
      <c r="H4010">
        <v>0</v>
      </c>
      <c r="I4010">
        <v>0</v>
      </c>
      <c r="J4010" s="58">
        <f t="shared" si="23"/>
        <v>0</v>
      </c>
    </row>
    <row r="4011" spans="1:10" x14ac:dyDescent="0.25">
      <c r="A4011" s="20">
        <v>45657</v>
      </c>
      <c r="B4011" t="str">
        <f>IFERROR(IF(VLOOKUP(C4011,Hoja1!$B$1:$C$6191,2,0)="",_xlfn.XLOOKUP(C4011,Hoja1!$B$2:$B$6191,Hoja1!$A$2:$A$6191),VLOOKUP(C4011,Hoja1!$B$1:$C$6191,2,0)),"No esta en Infor")</f>
        <v>NAC1642</v>
      </c>
      <c r="C4011" t="s">
        <v>772</v>
      </c>
      <c r="D4011" s="58">
        <v>2310</v>
      </c>
      <c r="F4011">
        <v>0</v>
      </c>
      <c r="G4011">
        <v>0</v>
      </c>
      <c r="H4011">
        <v>0</v>
      </c>
      <c r="I4011">
        <v>0</v>
      </c>
      <c r="J4011" s="58">
        <f t="shared" si="23"/>
        <v>0</v>
      </c>
    </row>
    <row r="4012" spans="1:10" x14ac:dyDescent="0.25">
      <c r="A4012" s="20">
        <v>45657</v>
      </c>
      <c r="B4012" t="str">
        <f>IFERROR(IF(VLOOKUP(C4012,Hoja1!$B$1:$C$6191,2,0)="",_xlfn.XLOOKUP(C4012,Hoja1!$B$2:$B$6191,Hoja1!$A$2:$A$6191),VLOOKUP(C4012,Hoja1!$B$1:$C$6191,2,0)),"No esta en Infor")</f>
        <v>CAN0081</v>
      </c>
      <c r="C4012" t="s">
        <v>431</v>
      </c>
      <c r="D4012" s="58">
        <v>6872.79</v>
      </c>
      <c r="F4012">
        <v>0</v>
      </c>
      <c r="G4012">
        <v>-585</v>
      </c>
      <c r="H4012">
        <v>0</v>
      </c>
      <c r="I4012">
        <v>0</v>
      </c>
      <c r="J4012" s="58">
        <f t="shared" si="23"/>
        <v>-585</v>
      </c>
    </row>
    <row r="4013" spans="1:10" x14ac:dyDescent="0.25">
      <c r="A4013" s="20">
        <v>45657</v>
      </c>
      <c r="B4013" t="str">
        <f>IFERROR(IF(VLOOKUP(C4013,Hoja1!$B$1:$C$6191,2,0)="",_xlfn.XLOOKUP(C4013,Hoja1!$B$2:$B$6191,Hoja1!$A$2:$A$6191),VLOOKUP(C4013,Hoja1!$B$1:$C$6191,2,0)),"No esta en Infor")</f>
        <v>NAC1499</v>
      </c>
      <c r="C4013" t="s">
        <v>789</v>
      </c>
      <c r="D4013">
        <v>427.2</v>
      </c>
      <c r="F4013">
        <v>0</v>
      </c>
      <c r="G4013">
        <v>0</v>
      </c>
      <c r="H4013">
        <v>0</v>
      </c>
      <c r="I4013">
        <v>0</v>
      </c>
      <c r="J4013" s="58">
        <f t="shared" si="23"/>
        <v>0</v>
      </c>
    </row>
    <row r="4014" spans="1:10" x14ac:dyDescent="0.25">
      <c r="A4014" s="20">
        <v>45657</v>
      </c>
      <c r="B4014" t="str">
        <f>IFERROR(IF(VLOOKUP(C4014,Hoja1!$B$1:$C$6191,2,0)="",_xlfn.XLOOKUP(C4014,Hoja1!$B$2:$B$6191,Hoja1!$A$2:$A$6191),VLOOKUP(C4014,Hoja1!$B$1:$C$6191,2,0)),"No esta en Infor")</f>
        <v>NAC1504</v>
      </c>
      <c r="C4014" t="s">
        <v>363</v>
      </c>
      <c r="D4014" s="58">
        <v>1591</v>
      </c>
      <c r="F4014">
        <v>-0.1</v>
      </c>
      <c r="G4014">
        <v>0</v>
      </c>
      <c r="H4014">
        <v>0</v>
      </c>
      <c r="I4014">
        <v>0</v>
      </c>
      <c r="J4014" s="58">
        <f t="shared" si="23"/>
        <v>-0.1</v>
      </c>
    </row>
    <row r="4015" spans="1:10" x14ac:dyDescent="0.25">
      <c r="A4015" s="20">
        <v>45657</v>
      </c>
      <c r="B4015" t="str">
        <f>IFERROR(IF(VLOOKUP(C4015,Hoja1!$B$1:$C$6191,2,0)="",_xlfn.XLOOKUP(C4015,Hoja1!$B$2:$B$6191,Hoja1!$A$2:$A$6191),VLOOKUP(C4015,Hoja1!$B$1:$C$6191,2,0)),"No esta en Infor")</f>
        <v>NAC1506</v>
      </c>
      <c r="C4015" t="s">
        <v>364</v>
      </c>
      <c r="D4015">
        <v>459</v>
      </c>
      <c r="F4015">
        <v>0</v>
      </c>
      <c r="G4015">
        <v>0</v>
      </c>
      <c r="H4015">
        <v>0</v>
      </c>
      <c r="I4015">
        <v>0</v>
      </c>
      <c r="J4015" s="58">
        <f t="shared" si="23"/>
        <v>0</v>
      </c>
    </row>
    <row r="4016" spans="1:10" x14ac:dyDescent="0.25">
      <c r="A4016" s="20">
        <v>45657</v>
      </c>
      <c r="B4016" t="str">
        <f>IFERROR(IF(VLOOKUP(C4016,Hoja1!$B$1:$C$6191,2,0)="",_xlfn.XLOOKUP(C4016,Hoja1!$B$2:$B$6191,Hoja1!$A$2:$A$6191),VLOOKUP(C4016,Hoja1!$B$1:$C$6191,2,0)),"No esta en Infor")</f>
        <v>CAN0083</v>
      </c>
      <c r="C4016" t="s">
        <v>433</v>
      </c>
      <c r="D4016" s="58">
        <v>1280.06</v>
      </c>
      <c r="F4016">
        <v>0</v>
      </c>
      <c r="G4016">
        <v>0</v>
      </c>
      <c r="H4016">
        <v>0</v>
      </c>
      <c r="I4016">
        <v>0</v>
      </c>
      <c r="J4016" s="58">
        <f t="shared" si="23"/>
        <v>0</v>
      </c>
    </row>
    <row r="4017" spans="1:10" x14ac:dyDescent="0.25">
      <c r="A4017" s="20">
        <v>45657</v>
      </c>
      <c r="B4017" t="str">
        <f>IFERROR(IF(VLOOKUP(C4017,Hoja1!$B$1:$C$6191,2,0)="",_xlfn.XLOOKUP(C4017,Hoja1!$B$2:$B$6191,Hoja1!$A$2:$A$6191),VLOOKUP(C4017,Hoja1!$B$1:$C$6191,2,0)),"No esta en Infor")</f>
        <v>NAC1514</v>
      </c>
      <c r="C4017" t="s">
        <v>774</v>
      </c>
      <c r="D4017">
        <v>210</v>
      </c>
      <c r="F4017">
        <v>0</v>
      </c>
      <c r="G4017">
        <v>0</v>
      </c>
      <c r="H4017">
        <v>0</v>
      </c>
      <c r="I4017">
        <v>0</v>
      </c>
      <c r="J4017" s="58">
        <f t="shared" si="23"/>
        <v>0</v>
      </c>
    </row>
    <row r="4018" spans="1:10" x14ac:dyDescent="0.25">
      <c r="A4018" s="20">
        <v>45657</v>
      </c>
      <c r="B4018" t="str">
        <f>IFERROR(IF(VLOOKUP(C4018,Hoja1!$B$1:$C$6191,2,0)="",_xlfn.XLOOKUP(C4018,Hoja1!$B$2:$B$6191,Hoja1!$A$2:$A$6191),VLOOKUP(C4018,Hoja1!$B$1:$C$6191,2,0)),"No esta en Infor")</f>
        <v>NAC1521</v>
      </c>
      <c r="C4018" t="s">
        <v>593</v>
      </c>
      <c r="D4018">
        <v>0</v>
      </c>
      <c r="F4018">
        <v>0</v>
      </c>
      <c r="G4018">
        <v>-100</v>
      </c>
      <c r="H4018">
        <v>0</v>
      </c>
      <c r="I4018">
        <v>0</v>
      </c>
      <c r="J4018" s="58">
        <f t="shared" si="23"/>
        <v>-100</v>
      </c>
    </row>
    <row r="4019" spans="1:10" x14ac:dyDescent="0.25">
      <c r="A4019" s="20">
        <v>45657</v>
      </c>
      <c r="B4019" t="str">
        <f>IFERROR(IF(VLOOKUP(C4019,Hoja1!$B$1:$C$6191,2,0)="",_xlfn.XLOOKUP(C4019,Hoja1!$B$2:$B$6191,Hoja1!$A$2:$A$6191),VLOOKUP(C4019,Hoja1!$B$1:$C$6191,2,0)),"No esta en Infor")</f>
        <v>NAC1522</v>
      </c>
      <c r="C4019" t="s">
        <v>366</v>
      </c>
      <c r="D4019">
        <v>502.82</v>
      </c>
      <c r="F4019">
        <v>0</v>
      </c>
      <c r="G4019">
        <v>0</v>
      </c>
      <c r="H4019">
        <v>0</v>
      </c>
      <c r="I4019">
        <v>0</v>
      </c>
      <c r="J4019" s="58">
        <f t="shared" si="23"/>
        <v>0</v>
      </c>
    </row>
    <row r="4020" spans="1:10" x14ac:dyDescent="0.25">
      <c r="A4020" s="20">
        <v>45657</v>
      </c>
      <c r="B4020" t="str">
        <f>IFERROR(IF(VLOOKUP(C4020,Hoja1!$B$1:$C$6191,2,0)="",_xlfn.XLOOKUP(C4020,Hoja1!$B$2:$B$6191,Hoja1!$A$2:$A$6191),VLOOKUP(C4020,Hoja1!$B$1:$C$6191,2,0)),"No esta en Infor")</f>
        <v>NAC1527</v>
      </c>
      <c r="C4020" t="s">
        <v>790</v>
      </c>
      <c r="D4020">
        <v>-103.5</v>
      </c>
      <c r="F4020">
        <v>0</v>
      </c>
      <c r="G4020">
        <v>0</v>
      </c>
      <c r="H4020">
        <v>0</v>
      </c>
      <c r="I4020">
        <v>0</v>
      </c>
      <c r="J4020" s="58">
        <f t="shared" si="23"/>
        <v>0</v>
      </c>
    </row>
    <row r="4021" spans="1:10" x14ac:dyDescent="0.25">
      <c r="A4021" s="20">
        <v>45657</v>
      </c>
      <c r="B4021" t="str">
        <f>IFERROR(IF(VLOOKUP(C4021,Hoja1!$B$1:$C$6191,2,0)="",_xlfn.XLOOKUP(C4021,Hoja1!$B$2:$B$6191,Hoja1!$A$2:$A$6191),VLOOKUP(C4021,Hoja1!$B$1:$C$6191,2,0)),"No esta en Infor")</f>
        <v>CAN0088</v>
      </c>
      <c r="C4021" t="s">
        <v>369</v>
      </c>
      <c r="D4021">
        <v>0</v>
      </c>
      <c r="F4021">
        <v>0</v>
      </c>
      <c r="G4021">
        <v>0</v>
      </c>
      <c r="H4021">
        <v>-891</v>
      </c>
      <c r="I4021">
        <v>0</v>
      </c>
      <c r="J4021" s="58">
        <f t="shared" si="23"/>
        <v>-891</v>
      </c>
    </row>
    <row r="4022" spans="1:10" x14ac:dyDescent="0.25">
      <c r="A4022" s="20">
        <v>45657</v>
      </c>
      <c r="B4022" t="str">
        <f>IFERROR(IF(VLOOKUP(C4022,Hoja1!$B$1:$C$6191,2,0)="",_xlfn.XLOOKUP(C4022,Hoja1!$B$2:$B$6191,Hoja1!$A$2:$A$6191),VLOOKUP(C4022,Hoja1!$B$1:$C$6191,2,0)),"No esta en Infor")</f>
        <v>NAC1530</v>
      </c>
      <c r="C4022" t="s">
        <v>611</v>
      </c>
      <c r="D4022">
        <v>-0.01</v>
      </c>
      <c r="F4022">
        <v>0</v>
      </c>
      <c r="G4022">
        <v>0</v>
      </c>
      <c r="H4022">
        <v>0</v>
      </c>
      <c r="I4022">
        <v>0</v>
      </c>
      <c r="J4022" s="58">
        <f t="shared" si="23"/>
        <v>0</v>
      </c>
    </row>
    <row r="4023" spans="1:10" x14ac:dyDescent="0.25">
      <c r="A4023" s="20">
        <v>45688</v>
      </c>
      <c r="B4023" t="str">
        <f>IFERROR(IF(VLOOKUP(C4023,Hoja1!$B$1:$C$6191,2,0)="",_xlfn.XLOOKUP(C4023,Hoja1!$B$2:$B$6191,Hoja1!$A$2:$A$6191),VLOOKUP(C4023,Hoja1!$B$1:$C$6191,2,0)),"No esta en Infor")</f>
        <v>NAC0476</v>
      </c>
      <c r="C4023" s="56" t="s">
        <v>11</v>
      </c>
      <c r="D4023" s="59">
        <v>346531.66</v>
      </c>
      <c r="F4023" s="59">
        <v>281.73</v>
      </c>
      <c r="G4023" s="59">
        <v>324.08</v>
      </c>
      <c r="H4023" s="59">
        <v>2700</v>
      </c>
      <c r="I4023" s="59">
        <v>-345.39</v>
      </c>
      <c r="J4023" s="60">
        <f t="shared" ref="J4023:J4086" si="24">SUM(D4023:I4023)</f>
        <v>349492.07999999996</v>
      </c>
    </row>
    <row r="4024" spans="1:10" x14ac:dyDescent="0.25">
      <c r="A4024" s="20">
        <v>45688</v>
      </c>
      <c r="B4024" t="str">
        <f>IFERROR(IF(VLOOKUP(C4024,Hoja1!$B$1:$C$6191,2,0)="",_xlfn.XLOOKUP(C4024,Hoja1!$B$2:$B$6191,Hoja1!$A$2:$A$6191),VLOOKUP(C4024,Hoja1!$B$1:$C$6191,2,0)),"No esta en Infor")</f>
        <v>NAC0483</v>
      </c>
      <c r="C4024" s="56" t="s">
        <v>12</v>
      </c>
      <c r="D4024" s="59">
        <v>0</v>
      </c>
      <c r="F4024" s="59">
        <v>-146.83000000000001</v>
      </c>
      <c r="G4024" s="59">
        <v>0</v>
      </c>
      <c r="H4024" s="59">
        <v>0</v>
      </c>
      <c r="I4024" s="59">
        <v>474.11</v>
      </c>
      <c r="J4024" s="60">
        <f t="shared" si="24"/>
        <v>327.27999999999997</v>
      </c>
    </row>
    <row r="4025" spans="1:10" x14ac:dyDescent="0.25">
      <c r="A4025" s="20">
        <v>45688</v>
      </c>
      <c r="B4025" t="str">
        <f>IFERROR(IF(VLOOKUP(C4025,Hoja1!$B$1:$C$6191,2,0)="",_xlfn.XLOOKUP(C4025,Hoja1!$B$2:$B$6191,Hoja1!$A$2:$A$6191),VLOOKUP(C4025,Hoja1!$B$1:$C$6191,2,0)),"No esta en Infor")</f>
        <v>NAC0556</v>
      </c>
      <c r="C4025" s="56" t="s">
        <v>14</v>
      </c>
      <c r="D4025" s="59">
        <v>28360</v>
      </c>
      <c r="F4025" s="59">
        <v>2739.13</v>
      </c>
      <c r="G4025" s="59">
        <v>0</v>
      </c>
      <c r="H4025" s="59">
        <v>0</v>
      </c>
      <c r="I4025" s="59">
        <v>0</v>
      </c>
      <c r="J4025" s="60">
        <f t="shared" si="24"/>
        <v>31099.13</v>
      </c>
    </row>
    <row r="4026" spans="1:10" x14ac:dyDescent="0.25">
      <c r="A4026" s="20">
        <v>45688</v>
      </c>
      <c r="B4026" t="str">
        <f>IFERROR(IF(VLOOKUP(C4026,Hoja1!$B$1:$C$6191,2,0)="",_xlfn.XLOOKUP(C4026,Hoja1!$B$2:$B$6191,Hoja1!$A$2:$A$6191),VLOOKUP(C4026,Hoja1!$B$1:$C$6191,2,0)),"No esta en Infor")</f>
        <v>CAN0002</v>
      </c>
      <c r="C4026" s="56" t="s">
        <v>87</v>
      </c>
      <c r="D4026" s="59">
        <v>14028.39</v>
      </c>
      <c r="F4026" s="59">
        <v>2001.51</v>
      </c>
      <c r="G4026" s="59">
        <v>0</v>
      </c>
      <c r="H4026" s="59">
        <v>-972</v>
      </c>
      <c r="I4026" s="59">
        <v>417.53</v>
      </c>
      <c r="J4026" s="60">
        <f t="shared" si="24"/>
        <v>15475.43</v>
      </c>
    </row>
    <row r="4027" spans="1:10" x14ac:dyDescent="0.25">
      <c r="A4027" s="20">
        <v>45688</v>
      </c>
      <c r="B4027" t="str">
        <f>IFERROR(IF(VLOOKUP(C4027,Hoja1!$B$1:$C$6191,2,0)="",_xlfn.XLOOKUP(C4027,Hoja1!$B$2:$B$6191,Hoja1!$A$2:$A$6191),VLOOKUP(C4027,Hoja1!$B$1:$C$6191,2,0)),"No esta en Infor")</f>
        <v>CAN0003</v>
      </c>
      <c r="C4027" s="56" t="s">
        <v>441</v>
      </c>
      <c r="D4027" s="59">
        <v>3360</v>
      </c>
      <c r="F4027" s="59">
        <v>10500</v>
      </c>
      <c r="G4027" s="59">
        <v>0</v>
      </c>
      <c r="H4027" s="59">
        <v>0</v>
      </c>
      <c r="I4027" s="59">
        <v>0</v>
      </c>
      <c r="J4027" s="60">
        <f t="shared" si="24"/>
        <v>13860</v>
      </c>
    </row>
    <row r="4028" spans="1:10" x14ac:dyDescent="0.25">
      <c r="A4028" s="20">
        <v>45688</v>
      </c>
      <c r="B4028" t="str">
        <f>IFERROR(IF(VLOOKUP(C4028,Hoja1!$B$1:$C$6191,2,0)="",_xlfn.XLOOKUP(C4028,Hoja1!$B$2:$B$6191,Hoja1!$A$2:$A$6191),VLOOKUP(C4028,Hoja1!$B$1:$C$6191,2,0)),"No esta en Infor")</f>
        <v>NAC0573</v>
      </c>
      <c r="C4028" s="56" t="s">
        <v>15</v>
      </c>
      <c r="D4028" s="59">
        <v>6343.7</v>
      </c>
      <c r="F4028" s="59">
        <v>254</v>
      </c>
      <c r="G4028" s="59">
        <v>0</v>
      </c>
      <c r="H4028" s="59">
        <v>0</v>
      </c>
      <c r="I4028" s="59">
        <v>283.5</v>
      </c>
      <c r="J4028" s="60">
        <f t="shared" si="24"/>
        <v>6881.2</v>
      </c>
    </row>
    <row r="4029" spans="1:10" x14ac:dyDescent="0.25">
      <c r="A4029" s="20">
        <v>45688</v>
      </c>
      <c r="B4029" t="str">
        <f>IFERROR(IF(VLOOKUP(C4029,Hoja1!$B$1:$C$6191,2,0)="",_xlfn.XLOOKUP(C4029,Hoja1!$B$2:$B$6191,Hoja1!$A$2:$A$6191),VLOOKUP(C4029,Hoja1!$B$1:$C$6191,2,0)),"No esta en Infor")</f>
        <v>CAN0006</v>
      </c>
      <c r="C4029" s="56" t="s">
        <v>17</v>
      </c>
      <c r="D4029" s="59">
        <v>22942.5</v>
      </c>
      <c r="F4029" s="59">
        <v>735</v>
      </c>
      <c r="G4029" s="59">
        <v>158.02000000000001</v>
      </c>
      <c r="H4029" s="59">
        <v>-1036.68</v>
      </c>
      <c r="I4029" s="59">
        <v>0</v>
      </c>
      <c r="J4029" s="60">
        <f t="shared" si="24"/>
        <v>22798.84</v>
      </c>
    </row>
    <row r="4030" spans="1:10" x14ac:dyDescent="0.25">
      <c r="A4030" s="20">
        <v>45688</v>
      </c>
      <c r="B4030" t="str">
        <f>IFERROR(IF(VLOOKUP(C4030,Hoja1!$B$1:$C$6191,2,0)="",_xlfn.XLOOKUP(C4030,Hoja1!$B$2:$B$6191,Hoja1!$A$2:$A$6191),VLOOKUP(C4030,Hoja1!$B$1:$C$6191,2,0)),"No esta en Infor")</f>
        <v>NAC0614</v>
      </c>
      <c r="C4030" s="56" t="s">
        <v>102</v>
      </c>
      <c r="D4030" s="59">
        <v>8020</v>
      </c>
      <c r="F4030" s="59">
        <v>29.44</v>
      </c>
      <c r="G4030" s="59">
        <v>0</v>
      </c>
      <c r="H4030" s="59">
        <v>0</v>
      </c>
      <c r="I4030" s="59">
        <v>0</v>
      </c>
      <c r="J4030" s="60">
        <f t="shared" si="24"/>
        <v>8049.44</v>
      </c>
    </row>
    <row r="4031" spans="1:10" x14ac:dyDescent="0.25">
      <c r="A4031" s="20">
        <v>45688</v>
      </c>
      <c r="B4031" t="str">
        <f>IFERROR(IF(VLOOKUP(C4031,Hoja1!$B$1:$C$6191,2,0)="",_xlfn.XLOOKUP(C4031,Hoja1!$B$2:$B$6191,Hoja1!$A$2:$A$6191),VLOOKUP(C4031,Hoja1!$B$1:$C$6191,2,0)),"No esta en Infor")</f>
        <v>NAC0618</v>
      </c>
      <c r="C4031" s="56" t="s">
        <v>488</v>
      </c>
      <c r="D4031" s="59">
        <v>0</v>
      </c>
      <c r="F4031" s="59">
        <v>0</v>
      </c>
      <c r="G4031" s="59">
        <v>0</v>
      </c>
      <c r="H4031" s="59">
        <v>120.02</v>
      </c>
      <c r="I4031" s="59">
        <v>0</v>
      </c>
      <c r="J4031" s="60">
        <f t="shared" si="24"/>
        <v>120.02</v>
      </c>
    </row>
    <row r="4032" spans="1:10" x14ac:dyDescent="0.25">
      <c r="A4032" s="20">
        <v>45688</v>
      </c>
      <c r="B4032" t="str">
        <f>IFERROR(IF(VLOOKUP(C4032,Hoja1!$B$1:$C$6191,2,0)="",_xlfn.XLOOKUP(C4032,Hoja1!$B$2:$B$6191,Hoja1!$A$2:$A$6191),VLOOKUP(C4032,Hoja1!$B$1:$C$6191,2,0)),"No esta en Infor")</f>
        <v>NAC0641</v>
      </c>
      <c r="C4032" s="56" t="s">
        <v>18</v>
      </c>
      <c r="D4032" s="59">
        <v>0</v>
      </c>
      <c r="F4032" s="59">
        <v>2082.4</v>
      </c>
      <c r="G4032" s="59">
        <v>0</v>
      </c>
      <c r="H4032" s="59">
        <v>0</v>
      </c>
      <c r="I4032" s="59">
        <v>0</v>
      </c>
      <c r="J4032" s="60">
        <f t="shared" si="24"/>
        <v>2082.4</v>
      </c>
    </row>
    <row r="4033" spans="1:10" x14ac:dyDescent="0.25">
      <c r="A4033" s="20">
        <v>45688</v>
      </c>
      <c r="B4033" t="str">
        <f>IFERROR(IF(VLOOKUP(C4033,Hoja1!$B$1:$C$6191,2,0)="",_xlfn.XLOOKUP(C4033,Hoja1!$B$2:$B$6191,Hoja1!$A$2:$A$6191),VLOOKUP(C4033,Hoja1!$B$1:$C$6191,2,0)),"No esta en Infor")</f>
        <v>CAN0011</v>
      </c>
      <c r="C4033" s="56" t="s">
        <v>121</v>
      </c>
      <c r="D4033" s="59">
        <v>593.42999999999995</v>
      </c>
      <c r="F4033" s="59">
        <v>589.86</v>
      </c>
      <c r="G4033" s="59">
        <v>2709.74</v>
      </c>
      <c r="H4033" s="59">
        <v>0</v>
      </c>
      <c r="I4033" s="59">
        <v>381.94</v>
      </c>
      <c r="J4033" s="60">
        <f t="shared" si="24"/>
        <v>4274.9699999999993</v>
      </c>
    </row>
    <row r="4034" spans="1:10" x14ac:dyDescent="0.25">
      <c r="A4034" s="20">
        <v>45688</v>
      </c>
      <c r="B4034" t="str">
        <f>IFERROR(IF(VLOOKUP(C4034,Hoja1!$B$1:$C$6191,2,0)="",_xlfn.XLOOKUP(C4034,Hoja1!$B$2:$B$6191,Hoja1!$A$2:$A$6191),VLOOKUP(C4034,Hoja1!$B$1:$C$6191,2,0)),"No esta en Infor")</f>
        <v>NAC0672</v>
      </c>
      <c r="C4034" s="56" t="s">
        <v>122</v>
      </c>
      <c r="D4034" s="59">
        <v>9862.34</v>
      </c>
      <c r="F4034" s="59">
        <v>10464</v>
      </c>
      <c r="G4034" s="59">
        <v>0</v>
      </c>
      <c r="H4034" s="59">
        <v>0</v>
      </c>
      <c r="I4034" s="59">
        <v>0</v>
      </c>
      <c r="J4034" s="60">
        <f t="shared" si="24"/>
        <v>20326.34</v>
      </c>
    </row>
    <row r="4035" spans="1:10" x14ac:dyDescent="0.25">
      <c r="A4035" s="20">
        <v>45688</v>
      </c>
      <c r="B4035" t="str">
        <f>IFERROR(IF(VLOOKUP(C4035,Hoja1!$B$1:$C$6191,2,0)="",_xlfn.XLOOKUP(C4035,Hoja1!$B$2:$B$6191,Hoja1!$A$2:$A$6191),VLOOKUP(C4035,Hoja1!$B$1:$C$6191,2,0)),"No esta en Infor")</f>
        <v>NAC0729</v>
      </c>
      <c r="C4035" s="56" t="s">
        <v>148</v>
      </c>
      <c r="D4035" s="59">
        <v>0</v>
      </c>
      <c r="F4035" s="59">
        <v>0</v>
      </c>
      <c r="G4035" s="59">
        <v>0</v>
      </c>
      <c r="H4035" s="59">
        <v>316</v>
      </c>
      <c r="I4035" s="59">
        <v>0</v>
      </c>
      <c r="J4035" s="60">
        <f t="shared" si="24"/>
        <v>316</v>
      </c>
    </row>
    <row r="4036" spans="1:10" x14ac:dyDescent="0.25">
      <c r="A4036" s="20">
        <v>45688</v>
      </c>
      <c r="B4036" t="str">
        <f>IFERROR(IF(VLOOKUP(C4036,Hoja1!$B$1:$C$6191,2,0)="",_xlfn.XLOOKUP(C4036,Hoja1!$B$2:$B$6191,Hoja1!$A$2:$A$6191),VLOOKUP(C4036,Hoja1!$B$1:$C$6191,2,0)),"No esta en Infor")</f>
        <v>NAC0733</v>
      </c>
      <c r="C4036" s="56" t="s">
        <v>660</v>
      </c>
      <c r="D4036" s="59">
        <v>0</v>
      </c>
      <c r="F4036" s="59">
        <v>6357</v>
      </c>
      <c r="G4036" s="59">
        <v>0</v>
      </c>
      <c r="H4036" s="59">
        <v>0</v>
      </c>
      <c r="I4036" s="59">
        <v>0</v>
      </c>
      <c r="J4036" s="60">
        <f t="shared" si="24"/>
        <v>6357</v>
      </c>
    </row>
    <row r="4037" spans="1:10" x14ac:dyDescent="0.25">
      <c r="A4037" s="20">
        <v>45688</v>
      </c>
      <c r="B4037" t="str">
        <f>IFERROR(IF(VLOOKUP(C4037,Hoja1!$B$1:$C$6191,2,0)="",_xlfn.XLOOKUP(C4037,Hoja1!$B$2:$B$6191,Hoja1!$A$2:$A$6191),VLOOKUP(C4037,Hoja1!$B$1:$C$6191,2,0)),"No esta en Infor")</f>
        <v>NAC1608</v>
      </c>
      <c r="C4037" s="56" t="s">
        <v>538</v>
      </c>
      <c r="D4037" s="59">
        <v>2268</v>
      </c>
      <c r="F4037" s="59">
        <v>1596.92</v>
      </c>
      <c r="G4037" s="59">
        <v>0</v>
      </c>
      <c r="H4037" s="59">
        <v>-62.57</v>
      </c>
      <c r="I4037" s="59">
        <v>-308</v>
      </c>
      <c r="J4037" s="60">
        <f t="shared" si="24"/>
        <v>3494.35</v>
      </c>
    </row>
    <row r="4038" spans="1:10" x14ac:dyDescent="0.25">
      <c r="A4038" s="20">
        <v>45688</v>
      </c>
      <c r="B4038" t="str">
        <f>IFERROR(IF(VLOOKUP(C4038,Hoja1!$B$1:$C$6191,2,0)="",_xlfn.XLOOKUP(C4038,Hoja1!$B$2:$B$6191,Hoja1!$A$2:$A$6191),VLOOKUP(C4038,Hoja1!$B$1:$C$6191,2,0)),"No esta en Infor")</f>
        <v>CAN0018</v>
      </c>
      <c r="C4038" s="56" t="s">
        <v>21</v>
      </c>
      <c r="D4038" s="59">
        <v>18557.849999999999</v>
      </c>
      <c r="F4038" s="59">
        <v>20697.52</v>
      </c>
      <c r="G4038" s="59">
        <v>21588.880000000001</v>
      </c>
      <c r="H4038" s="59">
        <v>0</v>
      </c>
      <c r="I4038" s="59">
        <v>0</v>
      </c>
      <c r="J4038" s="60">
        <f t="shared" si="24"/>
        <v>60844.25</v>
      </c>
    </row>
    <row r="4039" spans="1:10" x14ac:dyDescent="0.25">
      <c r="A4039" s="20">
        <v>45688</v>
      </c>
      <c r="B4039" t="str">
        <f>IFERROR(IF(VLOOKUP(C4039,Hoja1!$B$1:$C$6191,2,0)="",_xlfn.XLOOKUP(C4039,Hoja1!$B$2:$B$6191,Hoja1!$A$2:$A$6191),VLOOKUP(C4039,Hoja1!$B$1:$C$6191,2,0)),"No esta en Infor")</f>
        <v>NAC0823</v>
      </c>
      <c r="C4039" s="56" t="s">
        <v>497</v>
      </c>
      <c r="D4039" s="59">
        <v>1014.5</v>
      </c>
      <c r="F4039" s="59">
        <v>0</v>
      </c>
      <c r="G4039" s="59">
        <v>25.01</v>
      </c>
      <c r="H4039" s="59">
        <v>39.479999999999997</v>
      </c>
      <c r="I4039" s="59">
        <v>0</v>
      </c>
      <c r="J4039" s="60">
        <f t="shared" si="24"/>
        <v>1078.99</v>
      </c>
    </row>
    <row r="4040" spans="1:10" x14ac:dyDescent="0.25">
      <c r="A4040" s="20">
        <v>45688</v>
      </c>
      <c r="B4040" t="str">
        <f>IFERROR(IF(VLOOKUP(C4040,Hoja1!$B$1:$C$6191,2,0)="",_xlfn.XLOOKUP(C4040,Hoja1!$B$2:$B$6191,Hoja1!$A$2:$A$6191),VLOOKUP(C4040,Hoja1!$B$1:$C$6191,2,0)),"No esta en Infor")</f>
        <v>NAC0825</v>
      </c>
      <c r="C4040" s="56" t="s">
        <v>179</v>
      </c>
      <c r="D4040" s="59">
        <v>61491.24</v>
      </c>
      <c r="F4040" s="59">
        <v>143.1</v>
      </c>
      <c r="G4040" s="59">
        <v>0</v>
      </c>
      <c r="H4040" s="59">
        <v>0</v>
      </c>
      <c r="I4040" s="59">
        <v>0</v>
      </c>
      <c r="J4040" s="60">
        <f t="shared" si="24"/>
        <v>61634.34</v>
      </c>
    </row>
    <row r="4041" spans="1:10" x14ac:dyDescent="0.25">
      <c r="A4041" s="20">
        <v>45688</v>
      </c>
      <c r="B4041" t="str">
        <f>IFERROR(IF(VLOOKUP(C4041,Hoja1!$B$1:$C$6191,2,0)="",_xlfn.XLOOKUP(C4041,Hoja1!$B$2:$B$6191,Hoja1!$A$2:$A$6191),VLOOKUP(C4041,Hoja1!$B$1:$C$6191,2,0)),"No esta en Infor")</f>
        <v>NAC0838</v>
      </c>
      <c r="C4041" s="56" t="s">
        <v>396</v>
      </c>
      <c r="D4041" s="59">
        <v>548.54999999999995</v>
      </c>
      <c r="F4041" s="59">
        <v>0</v>
      </c>
      <c r="G4041" s="59">
        <v>0</v>
      </c>
      <c r="H4041" s="59">
        <v>54</v>
      </c>
      <c r="I4041" s="59">
        <v>0</v>
      </c>
      <c r="J4041" s="60">
        <f t="shared" si="24"/>
        <v>602.54999999999995</v>
      </c>
    </row>
    <row r="4042" spans="1:10" x14ac:dyDescent="0.25">
      <c r="A4042" s="20">
        <v>45688</v>
      </c>
      <c r="B4042" t="str">
        <f>IFERROR(IF(VLOOKUP(C4042,Hoja1!$B$1:$C$6191,2,0)="",_xlfn.XLOOKUP(C4042,Hoja1!$B$2:$B$6191,Hoja1!$A$2:$A$6191),VLOOKUP(C4042,Hoja1!$B$1:$C$6191,2,0)),"No esta en Infor")</f>
        <v>NAC0848</v>
      </c>
      <c r="C4042" s="56" t="s">
        <v>498</v>
      </c>
      <c r="D4042" s="59">
        <v>0</v>
      </c>
      <c r="F4042" s="59">
        <v>842.34</v>
      </c>
      <c r="G4042" s="59">
        <v>0</v>
      </c>
      <c r="H4042" s="59">
        <v>0</v>
      </c>
      <c r="I4042" s="59">
        <v>0</v>
      </c>
      <c r="J4042" s="60">
        <f t="shared" si="24"/>
        <v>842.34</v>
      </c>
    </row>
    <row r="4043" spans="1:10" x14ac:dyDescent="0.25">
      <c r="A4043" s="20">
        <v>45688</v>
      </c>
      <c r="B4043" t="str">
        <f>IFERROR(IF(VLOOKUP(C4043,Hoja1!$B$1:$C$6191,2,0)="",_xlfn.XLOOKUP(C4043,Hoja1!$B$2:$B$6191,Hoja1!$A$2:$A$6191),VLOOKUP(C4043,Hoja1!$B$1:$C$6191,2,0)),"No esta en Infor")</f>
        <v>NAC0862</v>
      </c>
      <c r="C4043" s="56" t="s">
        <v>190</v>
      </c>
      <c r="D4043" s="59">
        <v>7014.1</v>
      </c>
      <c r="F4043" s="59">
        <v>0</v>
      </c>
      <c r="G4043" s="59">
        <v>96.3</v>
      </c>
      <c r="H4043" s="59">
        <v>0</v>
      </c>
      <c r="I4043" s="59">
        <v>0</v>
      </c>
      <c r="J4043" s="60">
        <f t="shared" si="24"/>
        <v>7110.4000000000005</v>
      </c>
    </row>
    <row r="4044" spans="1:10" x14ac:dyDescent="0.25">
      <c r="A4044" s="20">
        <v>45688</v>
      </c>
      <c r="B4044" t="str">
        <f>IFERROR(IF(VLOOKUP(C4044,Hoja1!$B$1:$C$6191,2,0)="",_xlfn.XLOOKUP(C4044,Hoja1!$B$2:$B$6191,Hoja1!$A$2:$A$6191),VLOOKUP(C4044,Hoja1!$B$1:$C$6191,2,0)),"No esta en Infor")</f>
        <v>NAC0869</v>
      </c>
      <c r="C4044" s="56" t="s">
        <v>192</v>
      </c>
      <c r="D4044" s="59">
        <v>0</v>
      </c>
      <c r="F4044" s="59">
        <v>0</v>
      </c>
      <c r="G4044" s="59">
        <v>133.5</v>
      </c>
      <c r="H4044" s="59">
        <v>399</v>
      </c>
      <c r="I4044" s="59">
        <v>0</v>
      </c>
      <c r="J4044" s="60">
        <f t="shared" si="24"/>
        <v>532.5</v>
      </c>
    </row>
    <row r="4045" spans="1:10" x14ac:dyDescent="0.25">
      <c r="A4045" s="20">
        <v>45688</v>
      </c>
      <c r="B4045" t="str">
        <f>IFERROR(IF(VLOOKUP(C4045,Hoja1!$B$1:$C$6191,2,0)="",_xlfn.XLOOKUP(C4045,Hoja1!$B$2:$B$6191,Hoja1!$A$2:$A$6191),VLOOKUP(C4045,Hoja1!$B$1:$C$6191,2,0)),"No esta en Infor")</f>
        <v>CAN0023</v>
      </c>
      <c r="C4045" s="56" t="s">
        <v>554</v>
      </c>
      <c r="D4045" s="59">
        <v>0</v>
      </c>
      <c r="F4045" s="59">
        <v>0</v>
      </c>
      <c r="G4045" s="59">
        <v>508.5</v>
      </c>
      <c r="H4045" s="59">
        <v>0</v>
      </c>
      <c r="I4045" s="59">
        <v>0</v>
      </c>
      <c r="J4045" s="60">
        <f t="shared" si="24"/>
        <v>508.5</v>
      </c>
    </row>
    <row r="4046" spans="1:10" x14ac:dyDescent="0.25">
      <c r="A4046" s="20">
        <v>45688</v>
      </c>
      <c r="B4046" t="str">
        <f>IFERROR(IF(VLOOKUP(C4046,Hoja1!$B$1:$C$6191,2,0)="",_xlfn.XLOOKUP(C4046,Hoja1!$B$2:$B$6191,Hoja1!$A$2:$A$6191),VLOOKUP(C4046,Hoja1!$B$1:$C$6191,2,0)),"No esta en Infor")</f>
        <v>NAC0914</v>
      </c>
      <c r="C4046" s="56" t="s">
        <v>202</v>
      </c>
      <c r="D4046" s="59">
        <v>2896.3</v>
      </c>
      <c r="F4046" s="59">
        <v>0</v>
      </c>
      <c r="G4046" s="59">
        <v>0</v>
      </c>
      <c r="H4046" s="59">
        <v>354.79</v>
      </c>
      <c r="I4046" s="59">
        <v>0</v>
      </c>
      <c r="J4046" s="60">
        <f t="shared" si="24"/>
        <v>3251.09</v>
      </c>
    </row>
    <row r="4047" spans="1:10" x14ac:dyDescent="0.25">
      <c r="A4047" s="20">
        <v>45688</v>
      </c>
      <c r="B4047" t="str">
        <f>IFERROR(IF(VLOOKUP(C4047,Hoja1!$B$1:$C$6191,2,0)="",_xlfn.XLOOKUP(C4047,Hoja1!$B$2:$B$6191,Hoja1!$A$2:$A$6191),VLOOKUP(C4047,Hoja1!$B$1:$C$6191,2,0)),"No esta en Infor")</f>
        <v>CAN0025</v>
      </c>
      <c r="C4047" s="56" t="s">
        <v>26</v>
      </c>
      <c r="D4047" s="59">
        <v>25895.31</v>
      </c>
      <c r="F4047" s="59">
        <v>0</v>
      </c>
      <c r="G4047" s="59">
        <v>0</v>
      </c>
      <c r="H4047" s="59">
        <v>3757.41</v>
      </c>
      <c r="I4047" s="59">
        <v>161.44999999999999</v>
      </c>
      <c r="J4047" s="60">
        <f t="shared" si="24"/>
        <v>29814.170000000002</v>
      </c>
    </row>
    <row r="4048" spans="1:10" x14ac:dyDescent="0.25">
      <c r="A4048" s="20">
        <v>45688</v>
      </c>
      <c r="B4048" t="str">
        <f>IFERROR(IF(VLOOKUP(C4048,Hoja1!$B$1:$C$6191,2,0)="",_xlfn.XLOOKUP(C4048,Hoja1!$B$2:$B$6191,Hoja1!$A$2:$A$6191),VLOOKUP(C4048,Hoja1!$B$1:$C$6191,2,0)),"No esta en Infor")</f>
        <v>NAC0924</v>
      </c>
      <c r="C4048" s="56" t="s">
        <v>205</v>
      </c>
      <c r="D4048" s="59">
        <v>57340.99</v>
      </c>
      <c r="F4048" s="59">
        <v>0</v>
      </c>
      <c r="G4048" s="59">
        <v>0</v>
      </c>
      <c r="H4048" s="59">
        <v>336.28</v>
      </c>
      <c r="I4048" s="59">
        <v>0</v>
      </c>
      <c r="J4048" s="60">
        <f t="shared" si="24"/>
        <v>57677.27</v>
      </c>
    </row>
    <row r="4049" spans="1:10" x14ac:dyDescent="0.25">
      <c r="A4049" s="20">
        <v>45688</v>
      </c>
      <c r="B4049" t="str">
        <f>IFERROR(IF(VLOOKUP(C4049,Hoja1!$B$1:$C$6191,2,0)="",_xlfn.XLOOKUP(C4049,Hoja1!$B$2:$B$6191,Hoja1!$A$2:$A$6191),VLOOKUP(C4049,Hoja1!$B$1:$C$6191,2,0)),"No esta en Infor")</f>
        <v>CAN0030</v>
      </c>
      <c r="C4049" s="56" t="s">
        <v>210</v>
      </c>
      <c r="D4049" s="59">
        <v>23848.65</v>
      </c>
      <c r="F4049" s="59">
        <v>0</v>
      </c>
      <c r="G4049" s="59">
        <v>0</v>
      </c>
      <c r="H4049" s="59">
        <v>8855.2800000000007</v>
      </c>
      <c r="I4049" s="59">
        <v>0</v>
      </c>
      <c r="J4049" s="60">
        <f t="shared" si="24"/>
        <v>32703.93</v>
      </c>
    </row>
    <row r="4050" spans="1:10" x14ac:dyDescent="0.25">
      <c r="A4050" s="20">
        <v>45688</v>
      </c>
      <c r="B4050" t="str">
        <f>IFERROR(IF(VLOOKUP(C4050,Hoja1!$B$1:$C$6191,2,0)="",_xlfn.XLOOKUP(C4050,Hoja1!$B$2:$B$6191,Hoja1!$A$2:$A$6191),VLOOKUP(C4050,Hoja1!$B$1:$C$6191,2,0)),"No esta en Infor")</f>
        <v>NAC0972</v>
      </c>
      <c r="C4050" s="56" t="s">
        <v>221</v>
      </c>
      <c r="D4050" s="59">
        <v>2277.15</v>
      </c>
      <c r="F4050" s="59">
        <v>0</v>
      </c>
      <c r="G4050" s="59">
        <v>0</v>
      </c>
      <c r="H4050" s="59">
        <v>0</v>
      </c>
      <c r="I4050" s="59">
        <v>217.86</v>
      </c>
      <c r="J4050" s="60">
        <f t="shared" si="24"/>
        <v>2495.0100000000002</v>
      </c>
    </row>
    <row r="4051" spans="1:10" x14ac:dyDescent="0.25">
      <c r="A4051" s="20">
        <v>45688</v>
      </c>
      <c r="B4051" t="str">
        <f>IFERROR(IF(VLOOKUP(C4051,Hoja1!$B$1:$C$6191,2,0)="",_xlfn.XLOOKUP(C4051,Hoja1!$B$2:$B$6191,Hoja1!$A$2:$A$6191),VLOOKUP(C4051,Hoja1!$B$1:$C$6191,2,0)),"No esta en Infor")</f>
        <v>NAC0988</v>
      </c>
      <c r="C4051" s="56" t="s">
        <v>29</v>
      </c>
      <c r="D4051" s="59">
        <v>234715</v>
      </c>
      <c r="F4051" s="59">
        <v>0</v>
      </c>
      <c r="G4051" s="59">
        <v>106</v>
      </c>
      <c r="H4051" s="59">
        <v>0</v>
      </c>
      <c r="I4051" s="59">
        <v>8840</v>
      </c>
      <c r="J4051" s="60">
        <f t="shared" si="24"/>
        <v>243661</v>
      </c>
    </row>
    <row r="4052" spans="1:10" x14ac:dyDescent="0.25">
      <c r="A4052" s="20">
        <v>45688</v>
      </c>
      <c r="B4052" t="str">
        <f>IFERROR(IF(VLOOKUP(C4052,Hoja1!$B$1:$C$6191,2,0)="",_xlfn.XLOOKUP(C4052,Hoja1!$B$2:$B$6191,Hoja1!$A$2:$A$6191),VLOOKUP(C4052,Hoja1!$B$1:$C$6191,2,0)),"No esta en Infor")</f>
        <v>NAC0994</v>
      </c>
      <c r="C4052" s="56" t="s">
        <v>226</v>
      </c>
      <c r="D4052" s="59">
        <v>417.2</v>
      </c>
      <c r="F4052" s="59">
        <v>232</v>
      </c>
      <c r="G4052" s="59">
        <v>0</v>
      </c>
      <c r="H4052" s="59">
        <v>0</v>
      </c>
      <c r="I4052" s="59">
        <v>0</v>
      </c>
      <c r="J4052" s="60">
        <f t="shared" si="24"/>
        <v>649.20000000000005</v>
      </c>
    </row>
    <row r="4053" spans="1:10" x14ac:dyDescent="0.25">
      <c r="A4053" s="20">
        <v>45688</v>
      </c>
      <c r="B4053" t="str">
        <f>IFERROR(IF(VLOOKUP(C4053,Hoja1!$B$1:$C$6191,2,0)="",_xlfn.XLOOKUP(C4053,Hoja1!$B$2:$B$6191,Hoja1!$A$2:$A$6191),VLOOKUP(C4053,Hoja1!$B$1:$C$6191,2,0)),"No esta en Infor")</f>
        <v>NAC1606</v>
      </c>
      <c r="C4053" s="56" t="s">
        <v>561</v>
      </c>
      <c r="D4053" s="59">
        <v>243189.03</v>
      </c>
      <c r="F4053" s="59">
        <v>770</v>
      </c>
      <c r="G4053" s="59">
        <v>0</v>
      </c>
      <c r="H4053" s="59">
        <v>0</v>
      </c>
      <c r="I4053" s="59">
        <v>0</v>
      </c>
      <c r="J4053" s="60">
        <f t="shared" si="24"/>
        <v>243959.03</v>
      </c>
    </row>
    <row r="4054" spans="1:10" x14ac:dyDescent="0.25">
      <c r="A4054" s="20">
        <v>45688</v>
      </c>
      <c r="B4054" t="str">
        <f>IFERROR(IF(VLOOKUP(C4054,Hoja1!$B$1:$C$6191,2,0)="",_xlfn.XLOOKUP(C4054,Hoja1!$B$2:$B$6191,Hoja1!$A$2:$A$6191),VLOOKUP(C4054,Hoja1!$B$1:$C$6191,2,0)),"No esta en Infor")</f>
        <v>NAC1040</v>
      </c>
      <c r="C4054" s="56" t="s">
        <v>30</v>
      </c>
      <c r="D4054" s="59">
        <v>929457.7</v>
      </c>
      <c r="F4054" s="59">
        <v>1391.03</v>
      </c>
      <c r="G4054" s="59">
        <v>-1244.44</v>
      </c>
      <c r="H4054" s="59">
        <v>8556.86</v>
      </c>
      <c r="I4054" s="59">
        <v>-650.04999999999995</v>
      </c>
      <c r="J4054" s="60">
        <f t="shared" si="24"/>
        <v>937511.1</v>
      </c>
    </row>
    <row r="4055" spans="1:10" x14ac:dyDescent="0.25">
      <c r="A4055" s="20">
        <v>45688</v>
      </c>
      <c r="B4055" t="str">
        <f>IFERROR(IF(VLOOKUP(C4055,Hoja1!$B$1:$C$6191,2,0)="",_xlfn.XLOOKUP(C4055,Hoja1!$B$2:$B$6191,Hoja1!$A$2:$A$6191),VLOOKUP(C4055,Hoja1!$B$1:$C$6191,2,0)),"No esta en Infor")</f>
        <v>CAN0035</v>
      </c>
      <c r="C4055" s="56" t="s">
        <v>31</v>
      </c>
      <c r="D4055" s="59">
        <v>8190.56</v>
      </c>
      <c r="F4055" s="59">
        <v>0</v>
      </c>
      <c r="G4055" s="59">
        <v>0</v>
      </c>
      <c r="H4055" s="59">
        <v>0</v>
      </c>
      <c r="I4055" s="59">
        <v>374.36</v>
      </c>
      <c r="J4055" s="60">
        <f t="shared" si="24"/>
        <v>8564.92</v>
      </c>
    </row>
    <row r="4056" spans="1:10" x14ac:dyDescent="0.25">
      <c r="A4056" s="20">
        <v>45688</v>
      </c>
      <c r="B4056" t="str">
        <f>IFERROR(IF(VLOOKUP(C4056,Hoja1!$B$1:$C$6191,2,0)="",_xlfn.XLOOKUP(C4056,Hoja1!$B$2:$B$6191,Hoja1!$A$2:$A$6191),VLOOKUP(C4056,Hoja1!$B$1:$C$6191,2,0)),"No esta en Infor")</f>
        <v>NAC1594</v>
      </c>
      <c r="C4056" s="56" t="s">
        <v>791</v>
      </c>
      <c r="D4056" s="59">
        <v>0</v>
      </c>
      <c r="F4056" s="59">
        <v>625.33000000000004</v>
      </c>
      <c r="G4056" s="59">
        <v>0</v>
      </c>
      <c r="H4056" s="59">
        <v>0</v>
      </c>
      <c r="I4056" s="59">
        <v>0</v>
      </c>
      <c r="J4056" s="60">
        <f t="shared" si="24"/>
        <v>625.33000000000004</v>
      </c>
    </row>
    <row r="4057" spans="1:10" x14ac:dyDescent="0.25">
      <c r="A4057" s="20">
        <v>45688</v>
      </c>
      <c r="B4057" t="str">
        <f>IFERROR(IF(VLOOKUP(C4057,Hoja1!$B$1:$C$6191,2,0)="",_xlfn.XLOOKUP(C4057,Hoja1!$B$2:$B$6191,Hoja1!$A$2:$A$6191),VLOOKUP(C4057,Hoja1!$B$1:$C$6191,2,0)),"No esta en Infor")</f>
        <v>NAC1087</v>
      </c>
      <c r="C4057" s="56" t="s">
        <v>631</v>
      </c>
      <c r="D4057" s="59">
        <v>0</v>
      </c>
      <c r="F4057" s="59">
        <v>908</v>
      </c>
      <c r="G4057" s="59">
        <v>0</v>
      </c>
      <c r="H4057" s="59">
        <v>0</v>
      </c>
      <c r="I4057" s="59">
        <v>0</v>
      </c>
      <c r="J4057" s="60">
        <f t="shared" si="24"/>
        <v>908</v>
      </c>
    </row>
    <row r="4058" spans="1:10" x14ac:dyDescent="0.25">
      <c r="A4058" s="20">
        <v>45688</v>
      </c>
      <c r="B4058" t="str">
        <f>IFERROR(IF(VLOOKUP(C4058,Hoja1!$B$1:$C$6191,2,0)="",_xlfn.XLOOKUP(C4058,Hoja1!$B$2:$B$6191,Hoja1!$A$2:$A$6191),VLOOKUP(C4058,Hoja1!$B$1:$C$6191,2,0)),"No esta en Infor")</f>
        <v>NAC1105</v>
      </c>
      <c r="C4058" s="56" t="s">
        <v>32</v>
      </c>
      <c r="D4058" s="59">
        <v>2444.2600000000002</v>
      </c>
      <c r="F4058" s="59">
        <v>-220.53</v>
      </c>
      <c r="G4058" s="59">
        <v>0</v>
      </c>
      <c r="H4058" s="59">
        <v>0.02</v>
      </c>
      <c r="I4058" s="59">
        <v>2890.48</v>
      </c>
      <c r="J4058" s="60">
        <f t="shared" si="24"/>
        <v>5114.2299999999996</v>
      </c>
    </row>
    <row r="4059" spans="1:10" x14ac:dyDescent="0.25">
      <c r="A4059" s="20">
        <v>45688</v>
      </c>
      <c r="B4059" t="str">
        <f>IFERROR(IF(VLOOKUP(C4059,Hoja1!$B$1:$C$6191,2,0)="",_xlfn.XLOOKUP(C4059,Hoja1!$B$2:$B$6191,Hoja1!$A$2:$A$6191),VLOOKUP(C4059,Hoja1!$B$1:$C$6191,2,0)),"No esta en Infor")</f>
        <v>NAC1108</v>
      </c>
      <c r="C4059" s="56" t="s">
        <v>468</v>
      </c>
      <c r="D4059" s="59">
        <v>104.63</v>
      </c>
      <c r="F4059" s="59">
        <v>0</v>
      </c>
      <c r="G4059" s="59">
        <v>0</v>
      </c>
      <c r="H4059" s="59">
        <v>194.84</v>
      </c>
      <c r="I4059" s="59">
        <v>0</v>
      </c>
      <c r="J4059" s="60">
        <f t="shared" si="24"/>
        <v>299.47000000000003</v>
      </c>
    </row>
    <row r="4060" spans="1:10" x14ac:dyDescent="0.25">
      <c r="A4060" s="20">
        <v>45688</v>
      </c>
      <c r="B4060" t="str">
        <f>IFERROR(IF(VLOOKUP(C4060,Hoja1!$B$1:$C$6191,2,0)="",_xlfn.XLOOKUP(C4060,Hoja1!$B$2:$B$6191,Hoja1!$A$2:$A$6191),VLOOKUP(C4060,Hoja1!$B$1:$C$6191,2,0)),"No esta en Infor")</f>
        <v>NAC1122</v>
      </c>
      <c r="C4060" s="56" t="s">
        <v>515</v>
      </c>
      <c r="D4060" s="59">
        <v>17502.240000000002</v>
      </c>
      <c r="F4060" s="59">
        <v>9071</v>
      </c>
      <c r="G4060" s="59">
        <v>0</v>
      </c>
      <c r="H4060" s="59">
        <v>0</v>
      </c>
      <c r="I4060" s="59">
        <v>0</v>
      </c>
      <c r="J4060" s="60">
        <f t="shared" si="24"/>
        <v>26573.24</v>
      </c>
    </row>
    <row r="4061" spans="1:10" x14ac:dyDescent="0.25">
      <c r="A4061" s="20">
        <v>45688</v>
      </c>
      <c r="B4061" t="str">
        <f>IFERROR(IF(VLOOKUP(C4061,Hoja1!$B$1:$C$6191,2,0)="",_xlfn.XLOOKUP(C4061,Hoja1!$B$2:$B$6191,Hoja1!$A$2:$A$6191),VLOOKUP(C4061,Hoja1!$B$1:$C$6191,2,0)),"No esta en Infor")</f>
        <v>CAN0037</v>
      </c>
      <c r="C4061" s="56" t="s">
        <v>687</v>
      </c>
      <c r="D4061" s="59">
        <v>36158.42</v>
      </c>
      <c r="F4061" s="59">
        <v>24.81</v>
      </c>
      <c r="G4061" s="59">
        <v>-240.46</v>
      </c>
      <c r="H4061" s="59">
        <v>0</v>
      </c>
      <c r="I4061" s="59">
        <v>-4056.13</v>
      </c>
      <c r="J4061" s="60">
        <f t="shared" si="24"/>
        <v>31886.639999999996</v>
      </c>
    </row>
    <row r="4062" spans="1:10" x14ac:dyDescent="0.25">
      <c r="A4062" s="20">
        <v>45688</v>
      </c>
      <c r="B4062" t="str">
        <f>IFERROR(IF(VLOOKUP(C4062,Hoja1!$B$1:$C$6191,2,0)="",_xlfn.XLOOKUP(C4062,Hoja1!$B$2:$B$6191,Hoja1!$A$2:$A$6191),VLOOKUP(C4062,Hoja1!$B$1:$C$6191,2,0)),"No esta en Infor")</f>
        <v>NAC1611</v>
      </c>
      <c r="C4062" s="56" t="s">
        <v>565</v>
      </c>
      <c r="D4062" s="59">
        <v>58999.93</v>
      </c>
      <c r="F4062" s="59">
        <v>21718.34</v>
      </c>
      <c r="G4062" s="59">
        <v>-327.3</v>
      </c>
      <c r="H4062" s="59">
        <v>-3444.22</v>
      </c>
      <c r="I4062" s="59">
        <v>-184</v>
      </c>
      <c r="J4062" s="60">
        <f t="shared" si="24"/>
        <v>76762.75</v>
      </c>
    </row>
    <row r="4063" spans="1:10" x14ac:dyDescent="0.25">
      <c r="A4063" s="20">
        <v>45688</v>
      </c>
      <c r="B4063" t="str">
        <f>IFERROR(IF(VLOOKUP(C4063,Hoja1!$B$1:$C$6191,2,0)="",_xlfn.XLOOKUP(C4063,Hoja1!$B$2:$B$6191,Hoja1!$A$2:$A$6191),VLOOKUP(C4063,Hoja1!$B$1:$C$6191,2,0)),"No esta en Infor")</f>
        <v>NAC1144</v>
      </c>
      <c r="C4063" s="56" t="s">
        <v>411</v>
      </c>
      <c r="D4063" s="59">
        <v>0</v>
      </c>
      <c r="F4063" s="59">
        <v>0</v>
      </c>
      <c r="G4063" s="59">
        <v>0</v>
      </c>
      <c r="H4063" s="59">
        <v>29.71</v>
      </c>
      <c r="I4063" s="59">
        <v>0</v>
      </c>
      <c r="J4063" s="60">
        <f t="shared" si="24"/>
        <v>29.71</v>
      </c>
    </row>
    <row r="4064" spans="1:10" x14ac:dyDescent="0.25">
      <c r="A4064" s="20">
        <v>45688</v>
      </c>
      <c r="B4064" t="str">
        <f>IFERROR(IF(VLOOKUP(C4064,Hoja1!$B$1:$C$6191,2,0)="",_xlfn.XLOOKUP(C4064,Hoja1!$B$2:$B$6191,Hoja1!$A$2:$A$6191),VLOOKUP(C4064,Hoja1!$B$1:$C$6191,2,0)),"No esta en Infor")</f>
        <v>NAC1146</v>
      </c>
      <c r="C4064" s="56" t="s">
        <v>33</v>
      </c>
      <c r="D4064" s="59">
        <v>6144.36</v>
      </c>
      <c r="F4064" s="59">
        <v>0</v>
      </c>
      <c r="G4064" s="59">
        <v>0</v>
      </c>
      <c r="H4064" s="59">
        <v>0</v>
      </c>
      <c r="I4064" s="59">
        <v>1638.58</v>
      </c>
      <c r="J4064" s="60">
        <f t="shared" si="24"/>
        <v>7782.94</v>
      </c>
    </row>
    <row r="4065" spans="1:10" x14ac:dyDescent="0.25">
      <c r="A4065" s="20">
        <v>45688</v>
      </c>
      <c r="B4065" t="str">
        <f>IFERROR(IF(VLOOKUP(C4065,Hoja1!$B$1:$C$6191,2,0)="",_xlfn.XLOOKUP(C4065,Hoja1!$B$2:$B$6191,Hoja1!$A$2:$A$6191),VLOOKUP(C4065,Hoja1!$B$1:$C$6191,2,0)),"No esta en Infor")</f>
        <v>NAC1167</v>
      </c>
      <c r="C4065" s="56" t="s">
        <v>34</v>
      </c>
      <c r="D4065" s="59">
        <v>3461.5</v>
      </c>
      <c r="F4065" s="59">
        <v>1566</v>
      </c>
      <c r="G4065" s="59">
        <v>0</v>
      </c>
      <c r="H4065" s="59">
        <v>0</v>
      </c>
      <c r="I4065" s="59">
        <v>0</v>
      </c>
      <c r="J4065" s="60">
        <f t="shared" si="24"/>
        <v>5027.5</v>
      </c>
    </row>
    <row r="4066" spans="1:10" x14ac:dyDescent="0.25">
      <c r="A4066" s="20">
        <v>45688</v>
      </c>
      <c r="B4066" t="str">
        <f>IFERROR(IF(VLOOKUP(C4066,Hoja1!$B$1:$C$6191,2,0)="",_xlfn.XLOOKUP(C4066,Hoja1!$B$2:$B$6191,Hoja1!$A$2:$A$6191),VLOOKUP(C4066,Hoja1!$B$1:$C$6191,2,0)),"No esta en Infor")</f>
        <v>NAC1170</v>
      </c>
      <c r="C4066" s="56" t="s">
        <v>278</v>
      </c>
      <c r="D4066" s="59">
        <v>-1802.85</v>
      </c>
      <c r="F4066" s="59">
        <v>2126.4699999999998</v>
      </c>
      <c r="G4066" s="59">
        <v>0</v>
      </c>
      <c r="H4066" s="59">
        <v>0</v>
      </c>
      <c r="I4066" s="59">
        <v>0</v>
      </c>
      <c r="J4066" s="60">
        <f t="shared" si="24"/>
        <v>323.61999999999989</v>
      </c>
    </row>
    <row r="4067" spans="1:10" x14ac:dyDescent="0.25">
      <c r="A4067" s="20">
        <v>45688</v>
      </c>
      <c r="B4067" t="str">
        <f>IFERROR(IF(VLOOKUP(C4067,Hoja1!$B$1:$C$6191,2,0)="",_xlfn.XLOOKUP(C4067,Hoja1!$B$2:$B$6191,Hoja1!$A$2:$A$6191),VLOOKUP(C4067,Hoja1!$B$1:$C$6191,2,0)),"No esta en Infor")</f>
        <v>CAN0043</v>
      </c>
      <c r="C4067" s="56" t="s">
        <v>280</v>
      </c>
      <c r="D4067" s="59">
        <v>213.57</v>
      </c>
      <c r="F4067" s="59">
        <v>336.74</v>
      </c>
      <c r="G4067" s="59">
        <v>0</v>
      </c>
      <c r="H4067" s="59">
        <v>0</v>
      </c>
      <c r="I4067" s="59">
        <v>0</v>
      </c>
      <c r="J4067" s="60">
        <f t="shared" si="24"/>
        <v>550.30999999999995</v>
      </c>
    </row>
    <row r="4068" spans="1:10" x14ac:dyDescent="0.25">
      <c r="A4068" s="20">
        <v>45688</v>
      </c>
      <c r="B4068" t="str">
        <f>IFERROR(IF(VLOOKUP(C4068,Hoja1!$B$1:$C$6191,2,0)="",_xlfn.XLOOKUP(C4068,Hoja1!$B$2:$B$6191,Hoja1!$A$2:$A$6191),VLOOKUP(C4068,Hoja1!$B$1:$C$6191,2,0)),"No esta en Infor")</f>
        <v>NAC1187</v>
      </c>
      <c r="C4068" s="56" t="s">
        <v>471</v>
      </c>
      <c r="D4068" s="59">
        <v>0</v>
      </c>
      <c r="F4068" s="59">
        <v>0</v>
      </c>
      <c r="G4068" s="59">
        <v>0</v>
      </c>
      <c r="H4068" s="59">
        <v>882</v>
      </c>
      <c r="I4068" s="59">
        <v>0</v>
      </c>
      <c r="J4068" s="60">
        <f t="shared" si="24"/>
        <v>882</v>
      </c>
    </row>
    <row r="4069" spans="1:10" x14ac:dyDescent="0.25">
      <c r="A4069" s="20">
        <v>45688</v>
      </c>
      <c r="B4069" t="str">
        <f>IFERROR(IF(VLOOKUP(C4069,Hoja1!$B$1:$C$6191,2,0)="",_xlfn.XLOOKUP(C4069,Hoja1!$B$2:$B$6191,Hoja1!$A$2:$A$6191),VLOOKUP(C4069,Hoja1!$B$1:$C$6191,2,0)),"No esta en Infor")</f>
        <v>NAC1190</v>
      </c>
      <c r="C4069" s="56" t="s">
        <v>636</v>
      </c>
      <c r="D4069" s="59">
        <v>28828.799999999999</v>
      </c>
      <c r="F4069" s="59">
        <v>985</v>
      </c>
      <c r="G4069" s="59">
        <v>0</v>
      </c>
      <c r="H4069" s="59">
        <v>0</v>
      </c>
      <c r="I4069" s="59">
        <v>0</v>
      </c>
      <c r="J4069" s="60">
        <f t="shared" si="24"/>
        <v>29813.8</v>
      </c>
    </row>
    <row r="4070" spans="1:10" x14ac:dyDescent="0.25">
      <c r="A4070" s="20">
        <v>45688</v>
      </c>
      <c r="B4070" t="str">
        <f>IFERROR(IF(VLOOKUP(C4070,Hoja1!$B$1:$C$6191,2,0)="",_xlfn.XLOOKUP(C4070,Hoja1!$B$2:$B$6191,Hoja1!$A$2:$A$6191),VLOOKUP(C4070,Hoja1!$B$1:$C$6191,2,0)),"No esta en Infor")</f>
        <v>CAN0044</v>
      </c>
      <c r="C4070" s="56" t="s">
        <v>35</v>
      </c>
      <c r="D4070" s="59">
        <v>228484.29</v>
      </c>
      <c r="F4070" s="59">
        <v>0</v>
      </c>
      <c r="G4070" s="59">
        <v>0</v>
      </c>
      <c r="H4070" s="59">
        <v>0</v>
      </c>
      <c r="I4070" s="59">
        <v>755.04</v>
      </c>
      <c r="J4070" s="60">
        <f t="shared" si="24"/>
        <v>229239.33000000002</v>
      </c>
    </row>
    <row r="4071" spans="1:10" x14ac:dyDescent="0.25">
      <c r="A4071" s="20">
        <v>45688</v>
      </c>
      <c r="B4071" t="str">
        <f>IFERROR(IF(VLOOKUP(C4071,Hoja1!$B$1:$C$6191,2,0)="",_xlfn.XLOOKUP(C4071,Hoja1!$B$2:$B$6191,Hoja1!$A$2:$A$6191),VLOOKUP(C4071,Hoja1!$B$1:$C$6191,2,0)),"No esta en Infor")</f>
        <v>NAC1200</v>
      </c>
      <c r="C4071" s="56" t="s">
        <v>473</v>
      </c>
      <c r="D4071" s="59">
        <v>397.36</v>
      </c>
      <c r="F4071" s="59">
        <v>0</v>
      </c>
      <c r="G4071" s="59">
        <v>0</v>
      </c>
      <c r="H4071" s="59">
        <v>24.37</v>
      </c>
      <c r="I4071" s="59">
        <v>0</v>
      </c>
      <c r="J4071" s="60">
        <f t="shared" si="24"/>
        <v>421.73</v>
      </c>
    </row>
    <row r="4072" spans="1:10" x14ac:dyDescent="0.25">
      <c r="A4072" s="20">
        <v>45688</v>
      </c>
      <c r="B4072" t="str">
        <f>IFERROR(IF(VLOOKUP(C4072,Hoja1!$B$1:$C$6191,2,0)="",_xlfn.XLOOKUP(C4072,Hoja1!$B$2:$B$6191,Hoja1!$A$2:$A$6191),VLOOKUP(C4072,Hoja1!$B$1:$C$6191,2,0)),"No esta en Infor")</f>
        <v>NAC1207</v>
      </c>
      <c r="C4072" s="56" t="s">
        <v>417</v>
      </c>
      <c r="D4072" s="59">
        <v>0</v>
      </c>
      <c r="F4072" s="59">
        <v>1505.05</v>
      </c>
      <c r="G4072" s="59">
        <v>0</v>
      </c>
      <c r="H4072" s="59">
        <v>0</v>
      </c>
      <c r="I4072" s="59">
        <v>0</v>
      </c>
      <c r="J4072" s="60">
        <f t="shared" si="24"/>
        <v>1505.05</v>
      </c>
    </row>
    <row r="4073" spans="1:10" x14ac:dyDescent="0.25">
      <c r="A4073" s="20">
        <v>45688</v>
      </c>
      <c r="B4073" t="str">
        <f>IFERROR(IF(VLOOKUP(C4073,Hoja1!$B$1:$C$6191,2,0)="",_xlfn.XLOOKUP(C4073,Hoja1!$B$2:$B$6191,Hoja1!$A$2:$A$6191),VLOOKUP(C4073,Hoja1!$B$1:$C$6191,2,0)),"No esta en Infor")</f>
        <v>NAC1209</v>
      </c>
      <c r="C4073" s="56" t="s">
        <v>753</v>
      </c>
      <c r="D4073" s="59">
        <v>0</v>
      </c>
      <c r="F4073" s="59">
        <v>137.5</v>
      </c>
      <c r="G4073" s="59">
        <v>0</v>
      </c>
      <c r="H4073" s="59">
        <v>0</v>
      </c>
      <c r="I4073" s="59">
        <v>0</v>
      </c>
      <c r="J4073" s="60">
        <f t="shared" si="24"/>
        <v>137.5</v>
      </c>
    </row>
    <row r="4074" spans="1:10" x14ac:dyDescent="0.25">
      <c r="A4074" s="20">
        <v>45688</v>
      </c>
      <c r="B4074" t="str">
        <f>IFERROR(IF(VLOOKUP(C4074,Hoja1!$B$1:$C$6191,2,0)="",_xlfn.XLOOKUP(C4074,Hoja1!$B$2:$B$6191,Hoja1!$A$2:$A$6191),VLOOKUP(C4074,Hoja1!$B$1:$C$6191,2,0)),"No esta en Infor")</f>
        <v>NAC1216</v>
      </c>
      <c r="C4074" s="56" t="s">
        <v>287</v>
      </c>
      <c r="D4074" s="59">
        <v>527.41999999999996</v>
      </c>
      <c r="F4074" s="59">
        <v>0</v>
      </c>
      <c r="G4074" s="59">
        <v>32.979999999999997</v>
      </c>
      <c r="H4074" s="59">
        <v>0</v>
      </c>
      <c r="I4074" s="59">
        <v>0</v>
      </c>
      <c r="J4074" s="60">
        <f t="shared" si="24"/>
        <v>560.4</v>
      </c>
    </row>
    <row r="4075" spans="1:10" x14ac:dyDescent="0.25">
      <c r="A4075" s="20">
        <v>45688</v>
      </c>
      <c r="B4075" t="str">
        <f>IFERROR(IF(VLOOKUP(C4075,Hoja1!$B$1:$C$6191,2,0)="",_xlfn.XLOOKUP(C4075,Hoja1!$B$2:$B$6191,Hoja1!$A$2:$A$6191),VLOOKUP(C4075,Hoja1!$B$1:$C$6191,2,0)),"No esta en Infor")</f>
        <v>NAC1228</v>
      </c>
      <c r="C4075" s="56" t="s">
        <v>569</v>
      </c>
      <c r="D4075" s="59">
        <v>49937.3</v>
      </c>
      <c r="F4075" s="59">
        <v>426.11</v>
      </c>
      <c r="G4075" s="59">
        <v>0</v>
      </c>
      <c r="H4075" s="59">
        <v>0</v>
      </c>
      <c r="I4075" s="59">
        <v>0</v>
      </c>
      <c r="J4075" s="60">
        <f t="shared" si="24"/>
        <v>50363.41</v>
      </c>
    </row>
    <row r="4076" spans="1:10" x14ac:dyDescent="0.25">
      <c r="A4076" s="20">
        <v>45688</v>
      </c>
      <c r="B4076" t="str">
        <f>IFERROR(IF(VLOOKUP(C4076,Hoja1!$B$1:$C$6191,2,0)="",_xlfn.XLOOKUP(C4076,Hoja1!$B$2:$B$6191,Hoja1!$A$2:$A$6191),VLOOKUP(C4076,Hoja1!$B$1:$C$6191,2,0)),"No esta en Infor")</f>
        <v>NAC1252</v>
      </c>
      <c r="C4076" s="56" t="s">
        <v>301</v>
      </c>
      <c r="D4076" s="59">
        <v>46843.77</v>
      </c>
      <c r="F4076" s="59">
        <v>10928.6</v>
      </c>
      <c r="G4076" s="59">
        <v>0</v>
      </c>
      <c r="H4076" s="59">
        <v>0</v>
      </c>
      <c r="I4076" s="59">
        <v>0</v>
      </c>
      <c r="J4076" s="60">
        <f t="shared" si="24"/>
        <v>57772.369999999995</v>
      </c>
    </row>
    <row r="4077" spans="1:10" x14ac:dyDescent="0.25">
      <c r="A4077" s="20">
        <v>45688</v>
      </c>
      <c r="B4077" t="str">
        <f>IFERROR(IF(VLOOKUP(C4077,Hoja1!$B$1:$C$6191,2,0)="",_xlfn.XLOOKUP(C4077,Hoja1!$B$2:$B$6191,Hoja1!$A$2:$A$6191),VLOOKUP(C4077,Hoja1!$B$1:$C$6191,2,0)),"No esta en Infor")</f>
        <v>CAN0054</v>
      </c>
      <c r="C4077" s="56" t="s">
        <v>36</v>
      </c>
      <c r="D4077" s="59">
        <v>0</v>
      </c>
      <c r="F4077" s="59">
        <v>-10723.33</v>
      </c>
      <c r="G4077" s="59">
        <v>0</v>
      </c>
      <c r="H4077" s="59">
        <v>645.78</v>
      </c>
      <c r="I4077" s="59">
        <v>423.75</v>
      </c>
      <c r="J4077" s="60">
        <f t="shared" si="24"/>
        <v>-9653.7999999999993</v>
      </c>
    </row>
    <row r="4078" spans="1:10" x14ac:dyDescent="0.25">
      <c r="A4078" s="20">
        <v>45688</v>
      </c>
      <c r="B4078" t="str">
        <f>IFERROR(IF(VLOOKUP(C4078,Hoja1!$B$1:$C$6191,2,0)="",_xlfn.XLOOKUP(C4078,Hoja1!$B$2:$B$6191,Hoja1!$A$2:$A$6191),VLOOKUP(C4078,Hoja1!$B$1:$C$6191,2,0)),"No esta en Infor")</f>
        <v>NAC1281</v>
      </c>
      <c r="C4078" s="56" t="s">
        <v>37</v>
      </c>
      <c r="D4078" s="59">
        <v>16875.11</v>
      </c>
      <c r="F4078" s="59">
        <v>1394.73</v>
      </c>
      <c r="G4078" s="59">
        <v>933.35</v>
      </c>
      <c r="H4078" s="59">
        <v>2291.8200000000002</v>
      </c>
      <c r="I4078" s="59">
        <v>8081.97</v>
      </c>
      <c r="J4078" s="60">
        <f t="shared" si="24"/>
        <v>29576.98</v>
      </c>
    </row>
    <row r="4079" spans="1:10" x14ac:dyDescent="0.25">
      <c r="A4079" s="20">
        <v>45688</v>
      </c>
      <c r="B4079" t="str">
        <f>IFERROR(IF(VLOOKUP(C4079,Hoja1!$B$1:$C$6191,2,0)="",_xlfn.XLOOKUP(C4079,Hoja1!$B$2:$B$6191,Hoja1!$A$2:$A$6191),VLOOKUP(C4079,Hoja1!$B$1:$C$6191,2,0)),"No esta en Infor")</f>
        <v>NAC1283</v>
      </c>
      <c r="C4079" s="56" t="s">
        <v>308</v>
      </c>
      <c r="D4079" s="59">
        <v>5761.92</v>
      </c>
      <c r="F4079" s="59">
        <v>760</v>
      </c>
      <c r="G4079" s="59">
        <v>0</v>
      </c>
      <c r="H4079" s="59">
        <v>-118</v>
      </c>
      <c r="I4079" s="59">
        <v>0</v>
      </c>
      <c r="J4079" s="60">
        <f t="shared" si="24"/>
        <v>6403.92</v>
      </c>
    </row>
    <row r="4080" spans="1:10" x14ac:dyDescent="0.25">
      <c r="A4080" s="20">
        <v>45688</v>
      </c>
      <c r="B4080" t="str">
        <f>IFERROR(IF(VLOOKUP(C4080,Hoja1!$B$1:$C$6191,2,0)="",_xlfn.XLOOKUP(C4080,Hoja1!$B$2:$B$6191,Hoja1!$A$2:$A$6191),VLOOKUP(C4080,Hoja1!$B$1:$C$6191,2,0)),"No esta en Infor")</f>
        <v>NAC1303</v>
      </c>
      <c r="C4080" s="56" t="s">
        <v>697</v>
      </c>
      <c r="D4080" s="59">
        <v>0</v>
      </c>
      <c r="F4080" s="59">
        <v>224</v>
      </c>
      <c r="G4080" s="59">
        <v>0</v>
      </c>
      <c r="H4080" s="59">
        <v>0</v>
      </c>
      <c r="I4080" s="59">
        <v>0</v>
      </c>
      <c r="J4080" s="60">
        <f t="shared" si="24"/>
        <v>224</v>
      </c>
    </row>
    <row r="4081" spans="1:10" x14ac:dyDescent="0.25">
      <c r="A4081" s="20">
        <v>45688</v>
      </c>
      <c r="B4081" t="str">
        <f>IFERROR(IF(VLOOKUP(C4081,Hoja1!$B$1:$C$6191,2,0)="",_xlfn.XLOOKUP(C4081,Hoja1!$B$2:$B$6191,Hoja1!$A$2:$A$6191),VLOOKUP(C4081,Hoja1!$B$1:$C$6191,2,0)),"No esta en Infor")</f>
        <v>NAC1323</v>
      </c>
      <c r="C4081" s="56" t="s">
        <v>49</v>
      </c>
      <c r="D4081" s="59">
        <v>718372.07</v>
      </c>
      <c r="F4081" s="59">
        <v>5304.72</v>
      </c>
      <c r="G4081" s="59">
        <v>450</v>
      </c>
      <c r="H4081" s="59">
        <v>37093.699999999997</v>
      </c>
      <c r="I4081" s="59">
        <v>5255.62</v>
      </c>
      <c r="J4081" s="60">
        <f t="shared" si="24"/>
        <v>766476.10999999987</v>
      </c>
    </row>
    <row r="4082" spans="1:10" x14ac:dyDescent="0.25">
      <c r="A4082" s="20">
        <v>45688</v>
      </c>
      <c r="B4082" t="str">
        <f>IFERROR(IF(VLOOKUP(C4082,Hoja1!$B$1:$C$6191,2,0)="",_xlfn.XLOOKUP(C4082,Hoja1!$B$2:$B$6191,Hoja1!$A$2:$A$6191),VLOOKUP(C4082,Hoja1!$B$1:$C$6191,2,0)),"No esta en Infor")</f>
        <v>NAC1327</v>
      </c>
      <c r="C4082" s="56" t="s">
        <v>50</v>
      </c>
      <c r="D4082" s="59">
        <v>382557.09</v>
      </c>
      <c r="F4082" s="59">
        <v>-155.4</v>
      </c>
      <c r="G4082" s="59">
        <v>3568.6</v>
      </c>
      <c r="H4082" s="59">
        <v>-77.7</v>
      </c>
      <c r="I4082" s="59">
        <v>0</v>
      </c>
      <c r="J4082" s="60">
        <f t="shared" si="24"/>
        <v>385892.58999999997</v>
      </c>
    </row>
    <row r="4083" spans="1:10" x14ac:dyDescent="0.25">
      <c r="A4083" s="20">
        <v>45688</v>
      </c>
      <c r="B4083" t="str">
        <f>IFERROR(IF(VLOOKUP(C4083,Hoja1!$B$1:$C$6191,2,0)="",_xlfn.XLOOKUP(C4083,Hoja1!$B$2:$B$6191,Hoja1!$A$2:$A$6191),VLOOKUP(C4083,Hoja1!$B$1:$C$6191,2,0)),"No esta en Infor")</f>
        <v>CAN0059</v>
      </c>
      <c r="C4083" s="56" t="s">
        <v>51</v>
      </c>
      <c r="D4083" s="59">
        <v>11872.04</v>
      </c>
      <c r="F4083" s="59">
        <v>0</v>
      </c>
      <c r="G4083" s="59">
        <v>0</v>
      </c>
      <c r="H4083" s="59">
        <v>49.14</v>
      </c>
      <c r="I4083" s="59">
        <v>0</v>
      </c>
      <c r="J4083" s="60">
        <f t="shared" si="24"/>
        <v>11921.18</v>
      </c>
    </row>
    <row r="4084" spans="1:10" x14ac:dyDescent="0.25">
      <c r="A4084" s="20">
        <v>45688</v>
      </c>
      <c r="B4084" t="str">
        <f>IFERROR(IF(VLOOKUP(C4084,Hoja1!$B$1:$C$6191,2,0)="",_xlfn.XLOOKUP(C4084,Hoja1!$B$2:$B$6191,Hoja1!$A$2:$A$6191),VLOOKUP(C4084,Hoja1!$B$1:$C$6191,2,0)),"No esta en Infor")</f>
        <v>NAC1333</v>
      </c>
      <c r="C4084" s="56" t="s">
        <v>318</v>
      </c>
      <c r="D4084" s="59">
        <v>60545.04</v>
      </c>
      <c r="F4084" s="59">
        <v>7299.9</v>
      </c>
      <c r="G4084" s="59">
        <v>3284</v>
      </c>
      <c r="H4084" s="59">
        <v>0</v>
      </c>
      <c r="I4084" s="59">
        <v>0</v>
      </c>
      <c r="J4084" s="60">
        <f t="shared" si="24"/>
        <v>71128.94</v>
      </c>
    </row>
    <row r="4085" spans="1:10" x14ac:dyDescent="0.25">
      <c r="A4085" s="20">
        <v>45688</v>
      </c>
      <c r="B4085" t="str">
        <f>IFERROR(IF(VLOOKUP(C4085,Hoja1!$B$1:$C$6191,2,0)="",_xlfn.XLOOKUP(C4085,Hoja1!$B$2:$B$6191,Hoja1!$A$2:$A$6191),VLOOKUP(C4085,Hoja1!$B$1:$C$6191,2,0)),"No esta en Infor")</f>
        <v>NAC1348</v>
      </c>
      <c r="C4085" s="56" t="s">
        <v>323</v>
      </c>
      <c r="D4085" s="59">
        <v>0</v>
      </c>
      <c r="F4085" s="59">
        <v>197.25</v>
      </c>
      <c r="G4085" s="59">
        <v>0</v>
      </c>
      <c r="H4085" s="59">
        <v>0</v>
      </c>
      <c r="I4085" s="59">
        <v>0</v>
      </c>
      <c r="J4085" s="60">
        <f t="shared" si="24"/>
        <v>197.25</v>
      </c>
    </row>
    <row r="4086" spans="1:10" x14ac:dyDescent="0.25">
      <c r="A4086" s="20">
        <v>45688</v>
      </c>
      <c r="B4086" t="str">
        <f>IFERROR(IF(VLOOKUP(C4086,Hoja1!$B$1:$C$6191,2,0)="",_xlfn.XLOOKUP(C4086,Hoja1!$B$2:$B$6191,Hoja1!$A$2:$A$6191),VLOOKUP(C4086,Hoja1!$B$1:$C$6191,2,0)),"No esta en Infor")</f>
        <v>NAC1362</v>
      </c>
      <c r="C4086" s="56" t="s">
        <v>701</v>
      </c>
      <c r="D4086" s="59">
        <v>0</v>
      </c>
      <c r="F4086" s="59">
        <v>3780</v>
      </c>
      <c r="G4086" s="59">
        <v>0</v>
      </c>
      <c r="H4086" s="59">
        <v>0</v>
      </c>
      <c r="I4086" s="59">
        <v>0</v>
      </c>
      <c r="J4086" s="60">
        <f t="shared" si="24"/>
        <v>3780</v>
      </c>
    </row>
    <row r="4087" spans="1:10" x14ac:dyDescent="0.25">
      <c r="A4087" s="20">
        <v>45688</v>
      </c>
      <c r="B4087" t="str">
        <f>IFERROR(IF(VLOOKUP(C4087,Hoja1!$B$1:$C$6191,2,0)="",_xlfn.XLOOKUP(C4087,Hoja1!$B$2:$B$6191,Hoja1!$A$2:$A$6191),VLOOKUP(C4087,Hoja1!$B$1:$C$6191,2,0)),"No esta en Infor")</f>
        <v>CAN0069</v>
      </c>
      <c r="C4087" s="56" t="s">
        <v>340</v>
      </c>
      <c r="D4087" s="59">
        <v>244.31</v>
      </c>
      <c r="F4087" s="59">
        <v>0</v>
      </c>
      <c r="G4087" s="59">
        <v>0</v>
      </c>
      <c r="H4087" s="59">
        <v>0</v>
      </c>
      <c r="I4087" s="59">
        <v>540.15</v>
      </c>
      <c r="J4087" s="60">
        <f t="shared" ref="J4087:J4150" si="25">SUM(D4087:I4087)</f>
        <v>784.46</v>
      </c>
    </row>
    <row r="4088" spans="1:10" x14ac:dyDescent="0.25">
      <c r="A4088" s="20">
        <v>45688</v>
      </c>
      <c r="B4088" t="str">
        <f>IFERROR(IF(VLOOKUP(C4088,Hoja1!$B$1:$C$6191,2,0)="",_xlfn.XLOOKUP(C4088,Hoja1!$B$2:$B$6191,Hoja1!$A$2:$A$6191),VLOOKUP(C4088,Hoja1!$B$1:$C$6191,2,0)),"No esta en Infor")</f>
        <v>NAC1545</v>
      </c>
      <c r="C4088" s="56" t="s">
        <v>769</v>
      </c>
      <c r="D4088" s="59">
        <v>0</v>
      </c>
      <c r="F4088" s="59">
        <v>4230</v>
      </c>
      <c r="G4088" s="59">
        <v>0</v>
      </c>
      <c r="H4088" s="59">
        <v>0</v>
      </c>
      <c r="I4088" s="59">
        <v>0</v>
      </c>
      <c r="J4088" s="60">
        <f t="shared" si="25"/>
        <v>4230</v>
      </c>
    </row>
    <row r="4089" spans="1:10" x14ac:dyDescent="0.25">
      <c r="A4089" s="20">
        <v>45688</v>
      </c>
      <c r="B4089" t="str">
        <f>IFERROR(IF(VLOOKUP(C4089,Hoja1!$B$1:$C$6191,2,0)="",_xlfn.XLOOKUP(C4089,Hoja1!$B$2:$B$6191,Hoja1!$A$2:$A$6191),VLOOKUP(C4089,Hoja1!$B$1:$C$6191,2,0)),"No esta en Infor")</f>
        <v>NAC1448</v>
      </c>
      <c r="C4089" s="56" t="s">
        <v>9</v>
      </c>
      <c r="D4089" s="59">
        <v>187326.7</v>
      </c>
      <c r="F4089" s="59">
        <v>3500</v>
      </c>
      <c r="G4089" s="59">
        <v>5270</v>
      </c>
      <c r="H4089" s="59">
        <v>300</v>
      </c>
      <c r="I4089" s="59">
        <v>0</v>
      </c>
      <c r="J4089" s="60">
        <f t="shared" si="25"/>
        <v>196396.7</v>
      </c>
    </row>
    <row r="4090" spans="1:10" x14ac:dyDescent="0.25">
      <c r="A4090" s="20">
        <v>45688</v>
      </c>
      <c r="B4090" t="str">
        <f>IFERROR(IF(VLOOKUP(C4090,Hoja1!$B$1:$C$6191,2,0)="",_xlfn.XLOOKUP(C4090,Hoja1!$B$2:$B$6191,Hoja1!$A$2:$A$6191),VLOOKUP(C4090,Hoja1!$B$1:$C$6191,2,0)),"No esta en Infor")</f>
        <v>CAN0073</v>
      </c>
      <c r="C4090" s="56" t="s">
        <v>349</v>
      </c>
      <c r="D4090" s="59">
        <v>6880.96</v>
      </c>
      <c r="F4090" s="59">
        <v>1339.01</v>
      </c>
      <c r="G4090" s="59">
        <v>755.66</v>
      </c>
      <c r="H4090" s="59">
        <v>598.61</v>
      </c>
      <c r="I4090" s="59">
        <v>0</v>
      </c>
      <c r="J4090" s="60">
        <f t="shared" si="25"/>
        <v>9574.24</v>
      </c>
    </row>
    <row r="4091" spans="1:10" x14ac:dyDescent="0.25">
      <c r="A4091" s="20">
        <v>45688</v>
      </c>
      <c r="B4091" t="str">
        <f>IFERROR(IF(VLOOKUP(C4091,Hoja1!$B$1:$C$6191,2,0)="",_xlfn.XLOOKUP(C4091,Hoja1!$B$2:$B$6191,Hoja1!$A$2:$A$6191),VLOOKUP(C4091,Hoja1!$B$1:$C$6191,2,0)),"No esta en Infor")</f>
        <v>NAC1449</v>
      </c>
      <c r="C4091" s="56" t="s">
        <v>706</v>
      </c>
      <c r="D4091" s="59">
        <v>0</v>
      </c>
      <c r="F4091" s="59">
        <v>14911.15</v>
      </c>
      <c r="G4091" s="59">
        <v>0</v>
      </c>
      <c r="H4091" s="59">
        <v>0</v>
      </c>
      <c r="I4091" s="59">
        <v>0</v>
      </c>
      <c r="J4091" s="60">
        <f t="shared" si="25"/>
        <v>14911.15</v>
      </c>
    </row>
    <row r="4092" spans="1:10" x14ac:dyDescent="0.25">
      <c r="A4092" s="20">
        <v>45688</v>
      </c>
      <c r="B4092" t="str">
        <f>IFERROR(IF(VLOOKUP(C4092,Hoja1!$B$1:$C$6191,2,0)="",_xlfn.XLOOKUP(C4092,Hoja1!$B$2:$B$6191,Hoja1!$A$2:$A$6191),VLOOKUP(C4092,Hoja1!$B$1:$C$6191,2,0)),"No esta en Infor")</f>
        <v>NAC1450</v>
      </c>
      <c r="C4092" s="56" t="s">
        <v>54</v>
      </c>
      <c r="D4092" s="59">
        <v>27843.71</v>
      </c>
      <c r="F4092" s="59">
        <v>314.52999999999997</v>
      </c>
      <c r="G4092" s="59">
        <v>0</v>
      </c>
      <c r="H4092" s="59">
        <v>12</v>
      </c>
      <c r="I4092" s="59">
        <v>-112.66</v>
      </c>
      <c r="J4092" s="60">
        <f t="shared" si="25"/>
        <v>28057.579999999998</v>
      </c>
    </row>
    <row r="4093" spans="1:10" x14ac:dyDescent="0.25">
      <c r="A4093" s="20">
        <v>45688</v>
      </c>
      <c r="B4093" t="str">
        <f>IFERROR(IF(VLOOKUP(C4093,Hoja1!$B$1:$C$6191,2,0)="",_xlfn.XLOOKUP(C4093,Hoja1!$B$2:$B$6191,Hoja1!$A$2:$A$6191),VLOOKUP(C4093,Hoja1!$B$1:$C$6191,2,0)),"No esta en Infor")</f>
        <v>NAC1642</v>
      </c>
      <c r="C4093" s="56" t="s">
        <v>772</v>
      </c>
      <c r="D4093" s="59">
        <v>0</v>
      </c>
      <c r="F4093" s="59">
        <v>2310</v>
      </c>
      <c r="G4093" s="59">
        <v>0</v>
      </c>
      <c r="H4093" s="59">
        <v>0</v>
      </c>
      <c r="I4093" s="59">
        <v>0</v>
      </c>
      <c r="J4093" s="60">
        <f t="shared" si="25"/>
        <v>2310</v>
      </c>
    </row>
    <row r="4094" spans="1:10" x14ac:dyDescent="0.25">
      <c r="A4094" s="20">
        <v>45688</v>
      </c>
      <c r="B4094" t="str">
        <f>IFERROR(IF(VLOOKUP(C4094,Hoja1!$B$1:$C$6191,2,0)="",_xlfn.XLOOKUP(C4094,Hoja1!$B$2:$B$6191,Hoja1!$A$2:$A$6191),VLOOKUP(C4094,Hoja1!$B$1:$C$6191,2,0)),"No esta en Infor")</f>
        <v>CAN0081</v>
      </c>
      <c r="C4094" s="56" t="s">
        <v>431</v>
      </c>
      <c r="D4094" s="59">
        <v>17449.310000000001</v>
      </c>
      <c r="F4094" s="59">
        <v>57.46</v>
      </c>
      <c r="G4094" s="59">
        <v>-585</v>
      </c>
      <c r="H4094" s="59">
        <v>0</v>
      </c>
      <c r="I4094" s="59">
        <v>0</v>
      </c>
      <c r="J4094" s="60">
        <f t="shared" si="25"/>
        <v>16921.77</v>
      </c>
    </row>
    <row r="4095" spans="1:10" x14ac:dyDescent="0.25">
      <c r="A4095" s="20">
        <v>45688</v>
      </c>
      <c r="B4095" t="str">
        <f>IFERROR(IF(VLOOKUP(C4095,Hoja1!$B$1:$C$6191,2,0)="",_xlfn.XLOOKUP(C4095,Hoja1!$B$2:$B$6191,Hoja1!$A$2:$A$6191),VLOOKUP(C4095,Hoja1!$B$1:$C$6191,2,0)),"No esta en Infor")</f>
        <v>NAC1500</v>
      </c>
      <c r="C4095" s="56" t="s">
        <v>432</v>
      </c>
      <c r="D4095" s="59">
        <v>56</v>
      </c>
      <c r="F4095" s="59">
        <v>-0.06</v>
      </c>
      <c r="G4095" s="59">
        <v>0</v>
      </c>
      <c r="H4095" s="59">
        <v>51.8</v>
      </c>
      <c r="I4095" s="59">
        <v>0</v>
      </c>
      <c r="J4095" s="60">
        <f t="shared" si="25"/>
        <v>107.74</v>
      </c>
    </row>
    <row r="4096" spans="1:10" x14ac:dyDescent="0.25">
      <c r="A4096" s="20">
        <v>45688</v>
      </c>
      <c r="B4096" t="str">
        <f>IFERROR(IF(VLOOKUP(C4096,Hoja1!$B$1:$C$6191,2,0)="",_xlfn.XLOOKUP(C4096,Hoja1!$B$2:$B$6191,Hoja1!$A$2:$A$6191),VLOOKUP(C4096,Hoja1!$B$1:$C$6191,2,0)),"No esta en Infor")</f>
        <v>NAC1512</v>
      </c>
      <c r="C4096" s="56" t="s">
        <v>56</v>
      </c>
      <c r="D4096" s="59">
        <v>0</v>
      </c>
      <c r="F4096" s="59">
        <v>0</v>
      </c>
      <c r="G4096" s="59">
        <v>0</v>
      </c>
      <c r="H4096" s="59">
        <v>0</v>
      </c>
      <c r="I4096" s="59">
        <v>12490</v>
      </c>
      <c r="J4096" s="60">
        <f t="shared" si="25"/>
        <v>12490</v>
      </c>
    </row>
    <row r="4097" spans="1:10" x14ac:dyDescent="0.25">
      <c r="A4097" s="20">
        <v>45688</v>
      </c>
      <c r="B4097" t="str">
        <f>IFERROR(IF(VLOOKUP(C4097,Hoja1!$B$1:$C$6191,2,0)="",_xlfn.XLOOKUP(C4097,Hoja1!$B$2:$B$6191,Hoja1!$A$2:$A$6191),VLOOKUP(C4097,Hoja1!$B$1:$C$6191,2,0)),"No esta en Infor")</f>
        <v>NAC1517</v>
      </c>
      <c r="C4097" s="56" t="s">
        <v>365</v>
      </c>
      <c r="D4097" s="59">
        <v>178051.97</v>
      </c>
      <c r="F4097" s="59">
        <v>6729.72</v>
      </c>
      <c r="G4097" s="59">
        <v>-904.53</v>
      </c>
      <c r="H4097" s="59">
        <v>-350.5</v>
      </c>
      <c r="I4097" s="59">
        <v>-194.5</v>
      </c>
      <c r="J4097" s="60">
        <f t="shared" si="25"/>
        <v>183332.16</v>
      </c>
    </row>
    <row r="4098" spans="1:10" x14ac:dyDescent="0.25">
      <c r="A4098" s="20">
        <v>45688</v>
      </c>
      <c r="B4098" t="str">
        <f>IFERROR(IF(VLOOKUP(C4098,Hoja1!$B$1:$C$6191,2,0)="",_xlfn.XLOOKUP(C4098,Hoja1!$B$2:$B$6191,Hoja1!$A$2:$A$6191),VLOOKUP(C4098,Hoja1!$B$1:$C$6191,2,0)),"No esta en Infor")</f>
        <v>No esta en Infor</v>
      </c>
      <c r="C4098" s="56" t="s">
        <v>367</v>
      </c>
      <c r="D4098" s="59">
        <v>0</v>
      </c>
      <c r="F4098" s="59">
        <v>3483.79</v>
      </c>
      <c r="G4098" s="59">
        <v>-1160.8900000000001</v>
      </c>
      <c r="H4098" s="59">
        <v>0</v>
      </c>
      <c r="I4098" s="59">
        <v>0</v>
      </c>
      <c r="J4098" s="60">
        <f t="shared" si="25"/>
        <v>2322.8999999999996</v>
      </c>
    </row>
    <row r="4099" spans="1:10" x14ac:dyDescent="0.25">
      <c r="A4099" s="20">
        <v>45688</v>
      </c>
      <c r="B4099" t="str">
        <f>IFERROR(IF(VLOOKUP(C4099,Hoja1!$B$1:$C$6191,2,0)="",_xlfn.XLOOKUP(C4099,Hoja1!$B$2:$B$6191,Hoja1!$A$2:$A$6191),VLOOKUP(C4099,Hoja1!$B$1:$C$6191,2,0)),"No esta en Infor")</f>
        <v>NAC1530</v>
      </c>
      <c r="C4099" s="56" t="s">
        <v>611</v>
      </c>
      <c r="D4099" s="59">
        <v>0</v>
      </c>
      <c r="F4099" s="59">
        <v>284.7</v>
      </c>
      <c r="G4099" s="59">
        <v>-0.01</v>
      </c>
      <c r="H4099" s="59">
        <v>0</v>
      </c>
      <c r="I4099" s="59">
        <v>0</v>
      </c>
      <c r="J4099" s="60">
        <f t="shared" si="25"/>
        <v>284.69</v>
      </c>
    </row>
    <row r="4100" spans="1:10" x14ac:dyDescent="0.25">
      <c r="A4100" s="20">
        <v>45688</v>
      </c>
      <c r="B4100" t="str">
        <f>IFERROR(IF(VLOOKUP(C4100,Hoja1!$B$1:$C$6191,2,0)="",_xlfn.XLOOKUP(C4100,Hoja1!$B$2:$B$6191,Hoja1!$A$2:$A$6191),VLOOKUP(C4100,Hoja1!$B$1:$C$6191,2,0)),"No esta en Infor")</f>
        <v>NAC1543</v>
      </c>
      <c r="C4100" s="56" t="s">
        <v>888</v>
      </c>
      <c r="D4100" s="59">
        <v>0</v>
      </c>
      <c r="F4100" s="59">
        <v>796.88</v>
      </c>
      <c r="G4100" s="59">
        <v>0</v>
      </c>
      <c r="H4100" s="59">
        <v>0</v>
      </c>
      <c r="I4100" s="59">
        <v>0</v>
      </c>
      <c r="J4100" s="60">
        <f t="shared" si="25"/>
        <v>796.88</v>
      </c>
    </row>
    <row r="4101" spans="1:10" x14ac:dyDescent="0.25">
      <c r="A4101" s="20">
        <v>45688</v>
      </c>
      <c r="B4101" t="str">
        <f>IFERROR(IF(VLOOKUP(C4101,Hoja1!$B$1:$C$6191,2,0)="",_xlfn.XLOOKUP(C4101,Hoja1!$B$2:$B$6191,Hoja1!$A$2:$A$6191),VLOOKUP(C4101,Hoja1!$B$1:$C$6191,2,0)),"No esta en Infor")</f>
        <v>NAC0456</v>
      </c>
      <c r="C4101" t="s">
        <v>10</v>
      </c>
      <c r="D4101" s="61">
        <v>15801.77</v>
      </c>
      <c r="F4101" s="61">
        <v>-20.12</v>
      </c>
      <c r="G4101" s="61">
        <v>-5.4</v>
      </c>
      <c r="H4101" s="61">
        <v>-42.12</v>
      </c>
      <c r="I4101" s="61">
        <v>0</v>
      </c>
      <c r="J4101" s="62">
        <f t="shared" si="25"/>
        <v>15734.13</v>
      </c>
    </row>
    <row r="4102" spans="1:10" x14ac:dyDescent="0.25">
      <c r="A4102" s="20">
        <v>45688</v>
      </c>
      <c r="B4102" t="str">
        <f>IFERROR(IF(VLOOKUP(C4102,Hoja1!$B$1:$C$6191,2,0)="",_xlfn.XLOOKUP(C4102,Hoja1!$B$2:$B$6191,Hoja1!$A$2:$A$6191),VLOOKUP(C4102,Hoja1!$B$1:$C$6191,2,0)),"No esta en Infor")</f>
        <v>NAC0474</v>
      </c>
      <c r="C4102" t="s">
        <v>375</v>
      </c>
      <c r="D4102" s="61">
        <v>0</v>
      </c>
      <c r="F4102" s="61">
        <v>-3</v>
      </c>
      <c r="G4102" s="61">
        <v>0</v>
      </c>
      <c r="H4102" s="61">
        <v>0</v>
      </c>
      <c r="I4102" s="61">
        <v>0</v>
      </c>
      <c r="J4102" s="62">
        <f t="shared" si="25"/>
        <v>-3</v>
      </c>
    </row>
    <row r="4103" spans="1:10" x14ac:dyDescent="0.25">
      <c r="A4103" s="20">
        <v>45688</v>
      </c>
      <c r="B4103" t="str">
        <f>IFERROR(IF(VLOOKUP(C4103,Hoja1!$B$1:$C$6191,2,0)="",_xlfn.XLOOKUP(C4103,Hoja1!$B$2:$B$6191,Hoja1!$A$2:$A$6191),VLOOKUP(C4103,Hoja1!$B$1:$C$6191,2,0)),"No esta en Infor")</f>
        <v>NAC0475</v>
      </c>
      <c r="C4103" t="s">
        <v>63</v>
      </c>
      <c r="D4103" s="61">
        <v>4775.4399999999996</v>
      </c>
      <c r="F4103" s="61">
        <v>0</v>
      </c>
      <c r="G4103" s="61">
        <v>0</v>
      </c>
      <c r="H4103" s="61">
        <v>0</v>
      </c>
      <c r="I4103" s="61">
        <v>0</v>
      </c>
      <c r="J4103" s="62">
        <f t="shared" si="25"/>
        <v>4775.4399999999996</v>
      </c>
    </row>
    <row r="4104" spans="1:10" x14ac:dyDescent="0.25">
      <c r="A4104" s="20">
        <v>45688</v>
      </c>
      <c r="B4104" t="str">
        <f>IFERROR(IF(VLOOKUP(C4104,Hoja1!$B$1:$C$6191,2,0)="",_xlfn.XLOOKUP(C4104,Hoja1!$B$2:$B$6191,Hoja1!$A$2:$A$6191),VLOOKUP(C4104,Hoja1!$B$1:$C$6191,2,0)),"No esta en Infor")</f>
        <v>CAN0001</v>
      </c>
      <c r="C4104" t="s">
        <v>64</v>
      </c>
      <c r="D4104" s="61">
        <v>137078.54999999999</v>
      </c>
      <c r="F4104" s="61">
        <v>0</v>
      </c>
      <c r="G4104" s="61">
        <v>0</v>
      </c>
      <c r="H4104" s="61">
        <v>0</v>
      </c>
      <c r="I4104" s="61">
        <v>0</v>
      </c>
      <c r="J4104" s="62">
        <f t="shared" si="25"/>
        <v>137078.54999999999</v>
      </c>
    </row>
    <row r="4105" spans="1:10" x14ac:dyDescent="0.25">
      <c r="A4105" s="20">
        <v>45688</v>
      </c>
      <c r="B4105" t="str">
        <f>IFERROR(IF(VLOOKUP(C4105,Hoja1!$B$1:$C$6191,2,0)="",_xlfn.XLOOKUP(C4105,Hoja1!$B$2:$B$6191,Hoja1!$A$2:$A$6191),VLOOKUP(C4105,Hoja1!$B$1:$C$6191,2,0)),"No esta en Infor")</f>
        <v>NAC0996</v>
      </c>
      <c r="C4105" t="s">
        <v>864</v>
      </c>
      <c r="D4105" s="61">
        <v>10</v>
      </c>
      <c r="F4105" s="61">
        <v>0</v>
      </c>
      <c r="G4105" s="61">
        <v>0</v>
      </c>
      <c r="H4105" s="61">
        <v>0</v>
      </c>
      <c r="I4105" s="61">
        <v>0</v>
      </c>
      <c r="J4105" s="62">
        <f t="shared" si="25"/>
        <v>10</v>
      </c>
    </row>
    <row r="4106" spans="1:10" x14ac:dyDescent="0.25">
      <c r="A4106" s="20">
        <v>45688</v>
      </c>
      <c r="B4106" t="str">
        <f>IFERROR(IF(VLOOKUP(C4106,Hoja1!$B$1:$C$6191,2,0)="",_xlfn.XLOOKUP(C4106,Hoja1!$B$2:$B$6191,Hoja1!$A$2:$A$6191),VLOOKUP(C4106,Hoja1!$B$1:$C$6191,2,0)),"No esta en Infor")</f>
        <v>NAC0513</v>
      </c>
      <c r="C4106" t="s">
        <v>377</v>
      </c>
      <c r="D4106" s="61">
        <v>0</v>
      </c>
      <c r="F4106" s="61">
        <v>0</v>
      </c>
      <c r="G4106" s="61">
        <v>0</v>
      </c>
      <c r="H4106" s="61">
        <v>-220.24</v>
      </c>
      <c r="I4106" s="61">
        <v>0</v>
      </c>
      <c r="J4106" s="62">
        <f t="shared" si="25"/>
        <v>-220.24</v>
      </c>
    </row>
    <row r="4107" spans="1:10" x14ac:dyDescent="0.25">
      <c r="A4107" s="20">
        <v>45688</v>
      </c>
      <c r="B4107" t="str">
        <f>IFERROR(IF(VLOOKUP(C4107,Hoja1!$B$1:$C$6191,2,0)="",_xlfn.XLOOKUP(C4107,Hoja1!$B$2:$B$6191,Hoja1!$A$2:$A$6191),VLOOKUP(C4107,Hoja1!$B$1:$C$6191,2,0)),"No esta en Infor")</f>
        <v>NAC0515</v>
      </c>
      <c r="C4107" t="s">
        <v>66</v>
      </c>
      <c r="D4107" s="61">
        <v>212.68</v>
      </c>
      <c r="F4107" s="61">
        <v>0</v>
      </c>
      <c r="G4107" s="61">
        <v>0</v>
      </c>
      <c r="H4107" s="61">
        <v>0</v>
      </c>
      <c r="I4107" s="61">
        <v>0</v>
      </c>
      <c r="J4107" s="62">
        <f t="shared" si="25"/>
        <v>212.68</v>
      </c>
    </row>
    <row r="4108" spans="1:10" x14ac:dyDescent="0.25">
      <c r="A4108" s="20">
        <v>45688</v>
      </c>
      <c r="B4108" t="str">
        <f>IFERROR(IF(VLOOKUP(C4108,Hoja1!$B$1:$C$6191,2,0)="",_xlfn.XLOOKUP(C4108,Hoja1!$B$2:$B$6191,Hoja1!$A$2:$A$6191),VLOOKUP(C4108,Hoja1!$B$1:$C$6191,2,0)),"No esta en Infor")</f>
        <v>NAC1621</v>
      </c>
      <c r="C4108" t="s">
        <v>792</v>
      </c>
      <c r="D4108" s="61">
        <v>168</v>
      </c>
      <c r="F4108" s="61">
        <v>0</v>
      </c>
      <c r="G4108" s="61">
        <v>0</v>
      </c>
      <c r="H4108" s="61">
        <v>0</v>
      </c>
      <c r="I4108" s="61">
        <v>0</v>
      </c>
      <c r="J4108" s="62">
        <f t="shared" si="25"/>
        <v>168</v>
      </c>
    </row>
    <row r="4109" spans="1:10" x14ac:dyDescent="0.25">
      <c r="A4109" s="20">
        <v>45688</v>
      </c>
      <c r="B4109" t="str">
        <f>IFERROR(IF(VLOOKUP(C4109,Hoja1!$B$1:$C$6191,2,0)="",_xlfn.XLOOKUP(C4109,Hoja1!$B$2:$B$6191,Hoja1!$A$2:$A$6191),VLOOKUP(C4109,Hoja1!$B$1:$C$6191,2,0)),"No esta en Infor")</f>
        <v>NAC0520</v>
      </c>
      <c r="C4109" t="s">
        <v>68</v>
      </c>
      <c r="D4109" s="61">
        <v>17857.72</v>
      </c>
      <c r="F4109" s="61">
        <v>0</v>
      </c>
      <c r="G4109" s="61">
        <v>0</v>
      </c>
      <c r="H4109" s="61">
        <v>0</v>
      </c>
      <c r="I4109" s="61">
        <v>-406.93</v>
      </c>
      <c r="J4109" s="62">
        <f t="shared" si="25"/>
        <v>17450.79</v>
      </c>
    </row>
    <row r="4110" spans="1:10" x14ac:dyDescent="0.25">
      <c r="A4110" s="20">
        <v>45688</v>
      </c>
      <c r="B4110" t="str">
        <f>IFERROR(IF(VLOOKUP(C4110,Hoja1!$B$1:$C$6191,2,0)="",_xlfn.XLOOKUP(C4110,Hoja1!$B$2:$B$6191,Hoja1!$A$2:$A$6191),VLOOKUP(C4110,Hoja1!$B$1:$C$6191,2,0)),"No esta en Infor")</f>
        <v>NAC1650</v>
      </c>
      <c r="C4110" t="s">
        <v>866</v>
      </c>
      <c r="D4110" s="61">
        <v>7361.06</v>
      </c>
      <c r="F4110" s="61">
        <v>0</v>
      </c>
      <c r="G4110" s="61">
        <v>0</v>
      </c>
      <c r="H4110" s="61">
        <v>0</v>
      </c>
      <c r="I4110" s="61">
        <v>0</v>
      </c>
      <c r="J4110" s="62">
        <f t="shared" si="25"/>
        <v>7361.06</v>
      </c>
    </row>
    <row r="4111" spans="1:10" x14ac:dyDescent="0.25">
      <c r="A4111" s="20">
        <v>45688</v>
      </c>
      <c r="B4111" t="str">
        <f>IFERROR(IF(VLOOKUP(C4111,Hoja1!$B$1:$C$6191,2,0)="",_xlfn.XLOOKUP(C4111,Hoja1!$B$2:$B$6191,Hoja1!$A$2:$A$6191),VLOOKUP(C4111,Hoja1!$B$1:$C$6191,2,0)),"No esta en Infor")</f>
        <v>NAC0525</v>
      </c>
      <c r="C4111" t="s">
        <v>71</v>
      </c>
      <c r="D4111" s="61">
        <v>15809.91</v>
      </c>
      <c r="F4111" s="61">
        <v>0</v>
      </c>
      <c r="G4111" s="61">
        <v>0</v>
      </c>
      <c r="H4111" s="61">
        <v>0</v>
      </c>
      <c r="I4111" s="61">
        <v>0</v>
      </c>
      <c r="J4111" s="62">
        <f t="shared" si="25"/>
        <v>15809.91</v>
      </c>
    </row>
    <row r="4112" spans="1:10" x14ac:dyDescent="0.25">
      <c r="A4112" s="20">
        <v>45688</v>
      </c>
      <c r="B4112" t="str">
        <f>IFERROR(IF(VLOOKUP(C4112,Hoja1!$B$1:$C$6191,2,0)="",_xlfn.XLOOKUP(C4112,Hoja1!$B$2:$B$6191,Hoja1!$A$2:$A$6191),VLOOKUP(C4112,Hoja1!$B$1:$C$6191,2,0)),"No esta en Infor")</f>
        <v>NAC0528</v>
      </c>
      <c r="C4112" t="s">
        <v>76</v>
      </c>
      <c r="D4112" s="61">
        <v>68535</v>
      </c>
      <c r="F4112" s="61">
        <v>0</v>
      </c>
      <c r="G4112" s="61">
        <v>0</v>
      </c>
      <c r="H4112" s="61">
        <v>0</v>
      </c>
      <c r="I4112" s="61">
        <v>0</v>
      </c>
      <c r="J4112" s="62">
        <f t="shared" si="25"/>
        <v>68535</v>
      </c>
    </row>
    <row r="4113" spans="1:10" x14ac:dyDescent="0.25">
      <c r="A4113" s="20">
        <v>45688</v>
      </c>
      <c r="B4113" t="str">
        <f>IFERROR(IF(VLOOKUP(C4113,Hoja1!$B$1:$C$6191,2,0)="",_xlfn.XLOOKUP(C4113,Hoja1!$B$2:$B$6191,Hoja1!$A$2:$A$6191),VLOOKUP(C4113,Hoja1!$B$1:$C$6191,2,0)),"No esta en Infor")</f>
        <v>NAC0530</v>
      </c>
      <c r="C4113" t="s">
        <v>577</v>
      </c>
      <c r="D4113" s="61">
        <v>508.77</v>
      </c>
      <c r="F4113" s="61">
        <v>0</v>
      </c>
      <c r="G4113" s="61">
        <v>0</v>
      </c>
      <c r="H4113" s="61">
        <v>0</v>
      </c>
      <c r="I4113" s="61">
        <v>0</v>
      </c>
      <c r="J4113" s="62">
        <f t="shared" si="25"/>
        <v>508.77</v>
      </c>
    </row>
    <row r="4114" spans="1:10" x14ac:dyDescent="0.25">
      <c r="A4114" s="20">
        <v>45688</v>
      </c>
      <c r="B4114" t="str">
        <f>IFERROR(IF(VLOOKUP(C4114,Hoja1!$B$1:$C$6191,2,0)="",_xlfn.XLOOKUP(C4114,Hoja1!$B$2:$B$6191,Hoja1!$A$2:$A$6191),VLOOKUP(C4114,Hoja1!$B$1:$C$6191,2,0)),"No esta en Infor")</f>
        <v>NAC0532</v>
      </c>
      <c r="C4114" t="s">
        <v>612</v>
      </c>
      <c r="D4114" s="61">
        <v>663.05</v>
      </c>
      <c r="F4114" s="61">
        <v>-92.32</v>
      </c>
      <c r="G4114" s="61">
        <v>0</v>
      </c>
      <c r="H4114" s="61">
        <v>0</v>
      </c>
      <c r="I4114" s="61">
        <v>0</v>
      </c>
      <c r="J4114" s="62">
        <f t="shared" si="25"/>
        <v>570.73</v>
      </c>
    </row>
    <row r="4115" spans="1:10" x14ac:dyDescent="0.25">
      <c r="A4115" s="20">
        <v>45688</v>
      </c>
      <c r="B4115" t="str">
        <f>IFERROR(IF(VLOOKUP(C4115,Hoja1!$B$1:$C$6191,2,0)="",_xlfn.XLOOKUP(C4115,Hoja1!$B$2:$B$6191,Hoja1!$A$2:$A$6191),VLOOKUP(C4115,Hoja1!$B$1:$C$6191,2,0)),"No esta en Infor")</f>
        <v>NAC0534</v>
      </c>
      <c r="C4115" t="s">
        <v>78</v>
      </c>
      <c r="D4115" s="61">
        <v>24249.919999999998</v>
      </c>
      <c r="F4115" s="61">
        <v>0</v>
      </c>
      <c r="G4115" s="61">
        <v>0</v>
      </c>
      <c r="H4115" s="61">
        <v>0</v>
      </c>
      <c r="I4115" s="61">
        <v>0</v>
      </c>
      <c r="J4115" s="62">
        <f t="shared" si="25"/>
        <v>24249.919999999998</v>
      </c>
    </row>
    <row r="4116" spans="1:10" x14ac:dyDescent="0.25">
      <c r="A4116" s="20">
        <v>45688</v>
      </c>
      <c r="B4116" t="str">
        <f>IFERROR(IF(VLOOKUP(C4116,Hoja1!$B$1:$C$6191,2,0)="",_xlfn.XLOOKUP(C4116,Hoja1!$B$2:$B$6191,Hoja1!$A$2:$A$6191),VLOOKUP(C4116,Hoja1!$B$1:$C$6191,2,0)),"No esta en Infor")</f>
        <v>NAC0535</v>
      </c>
      <c r="C4116" t="s">
        <v>890</v>
      </c>
      <c r="D4116" s="61">
        <v>666.81</v>
      </c>
      <c r="F4116" s="61">
        <v>0</v>
      </c>
      <c r="G4116" s="61">
        <v>0</v>
      </c>
      <c r="H4116" s="61">
        <v>0</v>
      </c>
      <c r="I4116" s="61">
        <v>0</v>
      </c>
      <c r="J4116" s="62">
        <f t="shared" si="25"/>
        <v>666.81</v>
      </c>
    </row>
    <row r="4117" spans="1:10" x14ac:dyDescent="0.25">
      <c r="A4117" s="20">
        <v>45688</v>
      </c>
      <c r="B4117" t="str">
        <f>IFERROR(IF(VLOOKUP(C4117,Hoja1!$B$1:$C$6191,2,0)="",_xlfn.XLOOKUP(C4117,Hoja1!$B$2:$B$6191,Hoja1!$A$2:$A$6191),VLOOKUP(C4117,Hoja1!$B$1:$C$6191,2,0)),"No esta en Infor")</f>
        <v>NAC0537</v>
      </c>
      <c r="C4117" t="s">
        <v>13</v>
      </c>
      <c r="D4117" s="61">
        <v>42502.22</v>
      </c>
      <c r="F4117" s="61">
        <v>0</v>
      </c>
      <c r="G4117" s="61">
        <v>0</v>
      </c>
      <c r="H4117" s="61">
        <v>0</v>
      </c>
      <c r="I4117" s="61">
        <v>0</v>
      </c>
      <c r="J4117" s="62">
        <f t="shared" si="25"/>
        <v>42502.22</v>
      </c>
    </row>
    <row r="4118" spans="1:10" x14ac:dyDescent="0.25">
      <c r="A4118" s="20">
        <v>45688</v>
      </c>
      <c r="B4118" t="str">
        <f>IFERROR(IF(VLOOKUP(C4118,Hoja1!$B$1:$C$6191,2,0)="",_xlfn.XLOOKUP(C4118,Hoja1!$B$2:$B$6191,Hoja1!$A$2:$A$6191),VLOOKUP(C4118,Hoja1!$B$1:$C$6191,2,0)),"No esta en Infor")</f>
        <v>NAC0538</v>
      </c>
      <c r="C4118" t="s">
        <v>79</v>
      </c>
      <c r="D4118" s="61">
        <v>565.91999999999996</v>
      </c>
      <c r="F4118" s="61">
        <v>0</v>
      </c>
      <c r="G4118" s="61">
        <v>0</v>
      </c>
      <c r="H4118" s="61">
        <v>0</v>
      </c>
      <c r="I4118" s="61">
        <v>0</v>
      </c>
      <c r="J4118" s="62">
        <f t="shared" si="25"/>
        <v>565.91999999999996</v>
      </c>
    </row>
    <row r="4119" spans="1:10" x14ac:dyDescent="0.25">
      <c r="A4119" s="20">
        <v>45688</v>
      </c>
      <c r="B4119" t="str">
        <f>IFERROR(IF(VLOOKUP(C4119,Hoja1!$B$1:$C$6191,2,0)="",_xlfn.XLOOKUP(C4119,Hoja1!$B$2:$B$6191,Hoja1!$A$2:$A$6191),VLOOKUP(C4119,Hoja1!$B$1:$C$6191,2,0)),"No esta en Infor")</f>
        <v>NAC0539</v>
      </c>
      <c r="C4119" t="s">
        <v>80</v>
      </c>
      <c r="D4119" s="61">
        <v>4259.6899999999996</v>
      </c>
      <c r="F4119" s="61">
        <v>0</v>
      </c>
      <c r="G4119" s="61">
        <v>0</v>
      </c>
      <c r="H4119" s="61">
        <v>0</v>
      </c>
      <c r="I4119" s="61">
        <v>0</v>
      </c>
      <c r="J4119" s="62">
        <f t="shared" si="25"/>
        <v>4259.6899999999996</v>
      </c>
    </row>
    <row r="4120" spans="1:10" x14ac:dyDescent="0.25">
      <c r="A4120" s="20">
        <v>45688</v>
      </c>
      <c r="B4120" t="str">
        <f>IFERROR(IF(VLOOKUP(C4120,Hoja1!$B$1:$C$6191,2,0)="",_xlfn.XLOOKUP(C4120,Hoja1!$B$2:$B$6191,Hoja1!$A$2:$A$6191),VLOOKUP(C4120,Hoja1!$B$1:$C$6191,2,0)),"No esta en Infor")</f>
        <v>NAC0544</v>
      </c>
      <c r="C4120" t="s">
        <v>82</v>
      </c>
      <c r="D4120" s="61">
        <v>80</v>
      </c>
      <c r="F4120" s="61">
        <v>0</v>
      </c>
      <c r="G4120" s="61">
        <v>0</v>
      </c>
      <c r="H4120" s="61">
        <v>0</v>
      </c>
      <c r="I4120" s="61">
        <v>0</v>
      </c>
      <c r="J4120" s="62">
        <f t="shared" si="25"/>
        <v>80</v>
      </c>
    </row>
    <row r="4121" spans="1:10" x14ac:dyDescent="0.25">
      <c r="A4121" s="20">
        <v>45688</v>
      </c>
      <c r="B4121" t="str">
        <f>IFERROR(IF(VLOOKUP(C4121,Hoja1!$B$1:$C$6191,2,0)="",_xlfn.XLOOKUP(C4121,Hoja1!$B$2:$B$6191,Hoja1!$A$2:$A$6191),VLOOKUP(C4121,Hoja1!$B$1:$C$6191,2,0)),"No esta en Infor")</f>
        <v>NAC0546</v>
      </c>
      <c r="C4121" t="s">
        <v>83</v>
      </c>
      <c r="D4121" s="61">
        <v>11663.8</v>
      </c>
      <c r="F4121" s="61">
        <v>0</v>
      </c>
      <c r="G4121" s="61">
        <v>0</v>
      </c>
      <c r="H4121" s="61">
        <v>0</v>
      </c>
      <c r="I4121" s="61">
        <v>0</v>
      </c>
      <c r="J4121" s="62">
        <f t="shared" si="25"/>
        <v>11663.8</v>
      </c>
    </row>
    <row r="4122" spans="1:10" x14ac:dyDescent="0.25">
      <c r="A4122" s="20">
        <v>45688</v>
      </c>
      <c r="B4122" t="str">
        <f>IFERROR(IF(VLOOKUP(C4122,Hoja1!$B$1:$C$6191,2,0)="",_xlfn.XLOOKUP(C4122,Hoja1!$B$2:$B$6191,Hoja1!$A$2:$A$6191),VLOOKUP(C4122,Hoja1!$B$1:$C$6191,2,0)),"No esta en Infor")</f>
        <v>NAC0550</v>
      </c>
      <c r="C4122" t="s">
        <v>84</v>
      </c>
      <c r="D4122" s="61">
        <v>34820</v>
      </c>
      <c r="F4122" s="61">
        <v>0</v>
      </c>
      <c r="G4122" s="61">
        <v>0</v>
      </c>
      <c r="H4122" s="61">
        <v>0</v>
      </c>
      <c r="I4122" s="61">
        <v>0</v>
      </c>
      <c r="J4122" s="62">
        <f t="shared" si="25"/>
        <v>34820</v>
      </c>
    </row>
    <row r="4123" spans="1:10" x14ac:dyDescent="0.25">
      <c r="A4123" s="20">
        <v>45688</v>
      </c>
      <c r="B4123" t="str">
        <f>IFERROR(IF(VLOOKUP(C4123,Hoja1!$B$1:$C$6191,2,0)="",_xlfn.XLOOKUP(C4123,Hoja1!$B$2:$B$6191,Hoja1!$A$2:$A$6191),VLOOKUP(C4123,Hoja1!$B$1:$C$6191,2,0)),"No esta en Infor")</f>
        <v>NAC0567</v>
      </c>
      <c r="C4123" t="s">
        <v>541</v>
      </c>
      <c r="D4123" s="61">
        <v>0</v>
      </c>
      <c r="F4123" s="61">
        <v>-608.84</v>
      </c>
      <c r="G4123" s="61">
        <v>0</v>
      </c>
      <c r="H4123" s="61">
        <v>0</v>
      </c>
      <c r="I4123" s="61">
        <v>0</v>
      </c>
      <c r="J4123" s="62">
        <f t="shared" si="25"/>
        <v>-608.84</v>
      </c>
    </row>
    <row r="4124" spans="1:10" x14ac:dyDescent="0.25">
      <c r="A4124" s="20">
        <v>45688</v>
      </c>
      <c r="B4124" t="str">
        <f>IFERROR(IF(VLOOKUP(C4124,Hoja1!$B$1:$C$6191,2,0)="",_xlfn.XLOOKUP(C4124,Hoja1!$B$2:$B$6191,Hoja1!$A$2:$A$6191),VLOOKUP(C4124,Hoja1!$B$1:$C$6191,2,0)),"No esta en Infor")</f>
        <v>NAC1683</v>
      </c>
      <c r="C4124" t="s">
        <v>892</v>
      </c>
      <c r="D4124" s="61">
        <v>20</v>
      </c>
      <c r="F4124" s="61">
        <v>0</v>
      </c>
      <c r="G4124" s="61">
        <v>0</v>
      </c>
      <c r="H4124" s="61">
        <v>0</v>
      </c>
      <c r="I4124" s="61">
        <v>0</v>
      </c>
      <c r="J4124" s="62">
        <f t="shared" si="25"/>
        <v>20</v>
      </c>
    </row>
    <row r="4125" spans="1:10" x14ac:dyDescent="0.25">
      <c r="A4125" s="20">
        <v>45688</v>
      </c>
      <c r="B4125" t="str">
        <f>IFERROR(IF(VLOOKUP(C4125,Hoja1!$B$1:$C$6191,2,0)="",_xlfn.XLOOKUP(C4125,Hoja1!$B$2:$B$6191,Hoja1!$A$2:$A$6191),VLOOKUP(C4125,Hoja1!$B$1:$C$6191,2,0)),"No esta en Infor")</f>
        <v>CAN0005</v>
      </c>
      <c r="C4125" t="s">
        <v>90</v>
      </c>
      <c r="D4125" s="61">
        <v>175365.18</v>
      </c>
      <c r="F4125" s="61">
        <v>-1868.1</v>
      </c>
      <c r="G4125" s="61">
        <v>0</v>
      </c>
      <c r="H4125" s="61">
        <v>0</v>
      </c>
      <c r="I4125" s="61">
        <v>0</v>
      </c>
      <c r="J4125" s="62">
        <f t="shared" si="25"/>
        <v>173497.08</v>
      </c>
    </row>
    <row r="4126" spans="1:10" x14ac:dyDescent="0.25">
      <c r="A4126" s="20">
        <v>45688</v>
      </c>
      <c r="B4126" t="str">
        <f>IFERROR(IF(VLOOKUP(C4126,Hoja1!$B$1:$C$6191,2,0)="",_xlfn.XLOOKUP(C4126,Hoja1!$B$2:$B$6191,Hoja1!$A$2:$A$6191),VLOOKUP(C4126,Hoja1!$B$1:$C$6191,2,0)),"No esta en Infor")</f>
        <v>NAC0583</v>
      </c>
      <c r="C4126" t="s">
        <v>385</v>
      </c>
      <c r="D4126" s="61">
        <v>0</v>
      </c>
      <c r="F4126" s="61">
        <v>-188.56</v>
      </c>
      <c r="G4126" s="61">
        <v>0</v>
      </c>
      <c r="H4126" s="61">
        <v>0</v>
      </c>
      <c r="I4126" s="61">
        <v>0</v>
      </c>
      <c r="J4126" s="62">
        <f t="shared" si="25"/>
        <v>-188.56</v>
      </c>
    </row>
    <row r="4127" spans="1:10" x14ac:dyDescent="0.25">
      <c r="A4127" s="20">
        <v>45688</v>
      </c>
      <c r="B4127" t="str">
        <f>IFERROR(IF(VLOOKUP(C4127,Hoja1!$B$1:$C$6191,2,0)="",_xlfn.XLOOKUP(C4127,Hoja1!$B$2:$B$6191,Hoja1!$A$2:$A$6191),VLOOKUP(C4127,Hoja1!$B$1:$C$6191,2,0)),"No esta en Infor")</f>
        <v>NAC0586</v>
      </c>
      <c r="C4127" t="s">
        <v>893</v>
      </c>
      <c r="D4127" s="61">
        <v>4248</v>
      </c>
      <c r="F4127" s="61">
        <v>0</v>
      </c>
      <c r="G4127" s="61">
        <v>0</v>
      </c>
      <c r="H4127" s="61">
        <v>0</v>
      </c>
      <c r="I4127" s="61">
        <v>0</v>
      </c>
      <c r="J4127" s="62">
        <f t="shared" si="25"/>
        <v>4248</v>
      </c>
    </row>
    <row r="4128" spans="1:10" x14ac:dyDescent="0.25">
      <c r="A4128" s="20">
        <v>45688</v>
      </c>
      <c r="B4128" t="str">
        <f>IFERROR(IF(VLOOKUP(C4128,Hoja1!$B$1:$C$6191,2,0)="",_xlfn.XLOOKUP(C4128,Hoja1!$B$2:$B$6191,Hoja1!$A$2:$A$6191),VLOOKUP(C4128,Hoja1!$B$1:$C$6191,2,0)),"No esta en Infor")</f>
        <v>NAC0589</v>
      </c>
      <c r="C4128" t="s">
        <v>92</v>
      </c>
      <c r="D4128" s="61">
        <v>11922.5</v>
      </c>
      <c r="F4128" s="61">
        <v>0</v>
      </c>
      <c r="G4128" s="61">
        <v>0</v>
      </c>
      <c r="H4128" s="61">
        <v>0</v>
      </c>
      <c r="I4128" s="61">
        <v>0</v>
      </c>
      <c r="J4128" s="62">
        <f t="shared" si="25"/>
        <v>11922.5</v>
      </c>
    </row>
    <row r="4129" spans="1:10" x14ac:dyDescent="0.25">
      <c r="A4129" s="20">
        <v>45688</v>
      </c>
      <c r="B4129" t="str">
        <f>IFERROR(IF(VLOOKUP(C4129,Hoja1!$B$1:$C$6191,2,0)="",_xlfn.XLOOKUP(C4129,Hoja1!$B$2:$B$6191,Hoja1!$A$2:$A$6191),VLOOKUP(C4129,Hoja1!$B$1:$C$6191,2,0)),"No esta en Infor")</f>
        <v>NAC0593</v>
      </c>
      <c r="C4129" t="s">
        <v>894</v>
      </c>
      <c r="D4129" s="61">
        <v>580.66</v>
      </c>
      <c r="F4129" s="61">
        <v>0</v>
      </c>
      <c r="G4129" s="61">
        <v>0</v>
      </c>
      <c r="H4129" s="61">
        <v>0</v>
      </c>
      <c r="I4129" s="61">
        <v>0</v>
      </c>
      <c r="J4129" s="62">
        <f t="shared" si="25"/>
        <v>580.66</v>
      </c>
    </row>
    <row r="4130" spans="1:10" x14ac:dyDescent="0.25">
      <c r="A4130" s="20">
        <v>45688</v>
      </c>
      <c r="B4130" t="str">
        <f>IFERROR(IF(VLOOKUP(C4130,Hoja1!$B$1:$C$6191,2,0)="",_xlfn.XLOOKUP(C4130,Hoja1!$B$2:$B$6191,Hoja1!$A$2:$A$6191),VLOOKUP(C4130,Hoja1!$B$1:$C$6191,2,0)),"No esta en Infor")</f>
        <v>NAC0594</v>
      </c>
      <c r="C4130" t="s">
        <v>94</v>
      </c>
      <c r="D4130" s="61">
        <v>143278.06</v>
      </c>
      <c r="F4130" s="61">
        <v>0</v>
      </c>
      <c r="G4130" s="61">
        <v>0</v>
      </c>
      <c r="H4130" s="61">
        <v>0</v>
      </c>
      <c r="I4130" s="61">
        <v>0</v>
      </c>
      <c r="J4130" s="62">
        <f t="shared" si="25"/>
        <v>143278.06</v>
      </c>
    </row>
    <row r="4131" spans="1:10" x14ac:dyDescent="0.25">
      <c r="A4131" s="20">
        <v>45688</v>
      </c>
      <c r="B4131" t="str">
        <f>IFERROR(IF(VLOOKUP(C4131,Hoja1!$B$1:$C$6191,2,0)="",_xlfn.XLOOKUP(C4131,Hoja1!$B$2:$B$6191,Hoja1!$A$2:$A$6191),VLOOKUP(C4131,Hoja1!$B$1:$C$6191,2,0)),"No esta en Infor")</f>
        <v>NAC0600</v>
      </c>
      <c r="C4131" t="s">
        <v>96</v>
      </c>
      <c r="D4131" s="61">
        <v>1379.4</v>
      </c>
      <c r="F4131" s="61">
        <v>0</v>
      </c>
      <c r="G4131" s="61">
        <v>0</v>
      </c>
      <c r="H4131" s="61">
        <v>0</v>
      </c>
      <c r="I4131" s="61">
        <v>0</v>
      </c>
      <c r="J4131" s="62">
        <f t="shared" si="25"/>
        <v>1379.4</v>
      </c>
    </row>
    <row r="4132" spans="1:10" x14ac:dyDescent="0.25">
      <c r="A4132" s="20">
        <v>45688</v>
      </c>
      <c r="B4132" t="str">
        <f>IFERROR(IF(VLOOKUP(C4132,Hoja1!$B$1:$C$6191,2,0)="",_xlfn.XLOOKUP(C4132,Hoja1!$B$2:$B$6191,Hoja1!$A$2:$A$6191),VLOOKUP(C4132,Hoja1!$B$1:$C$6191,2,0)),"No esta en Infor")</f>
        <v>NAC0604</v>
      </c>
      <c r="C4132" t="s">
        <v>97</v>
      </c>
      <c r="D4132" s="61">
        <v>14912.6</v>
      </c>
      <c r="F4132" s="61">
        <v>0</v>
      </c>
      <c r="G4132" s="61">
        <v>0</v>
      </c>
      <c r="H4132" s="61">
        <v>0</v>
      </c>
      <c r="I4132" s="61">
        <v>0</v>
      </c>
      <c r="J4132" s="62">
        <f t="shared" si="25"/>
        <v>14912.6</v>
      </c>
    </row>
    <row r="4133" spans="1:10" x14ac:dyDescent="0.25">
      <c r="A4133" s="20">
        <v>45688</v>
      </c>
      <c r="B4133" t="str">
        <f>IFERROR(IF(VLOOKUP(C4133,Hoja1!$B$1:$C$6191,2,0)="",_xlfn.XLOOKUP(C4133,Hoja1!$B$2:$B$6191,Hoja1!$A$2:$A$6191),VLOOKUP(C4133,Hoja1!$B$1:$C$6191,2,0)),"No esta en Infor")</f>
        <v>NAC0610</v>
      </c>
      <c r="C4133" t="s">
        <v>16</v>
      </c>
      <c r="D4133" s="61">
        <v>146125.97</v>
      </c>
      <c r="F4133" s="61">
        <v>0</v>
      </c>
      <c r="G4133" s="61">
        <v>0</v>
      </c>
      <c r="H4133" s="61">
        <v>0</v>
      </c>
      <c r="I4133" s="61">
        <v>0</v>
      </c>
      <c r="J4133" s="62">
        <f t="shared" si="25"/>
        <v>146125.97</v>
      </c>
    </row>
    <row r="4134" spans="1:10" x14ac:dyDescent="0.25">
      <c r="A4134" s="20">
        <v>45688</v>
      </c>
      <c r="B4134" t="str">
        <f>IFERROR(IF(VLOOKUP(C4134,Hoja1!$B$1:$C$6191,2,0)="",_xlfn.XLOOKUP(C4134,Hoja1!$B$2:$B$6191,Hoja1!$A$2:$A$6191),VLOOKUP(C4134,Hoja1!$B$1:$C$6191,2,0)),"No esta en Infor")</f>
        <v>NAC0612</v>
      </c>
      <c r="C4134" t="s">
        <v>100</v>
      </c>
      <c r="D4134" s="61">
        <v>27464.5</v>
      </c>
      <c r="F4134" s="61">
        <v>0</v>
      </c>
      <c r="G4134" s="61">
        <v>0</v>
      </c>
      <c r="H4134" s="61">
        <v>0</v>
      </c>
      <c r="I4134" s="61">
        <v>0</v>
      </c>
      <c r="J4134" s="62">
        <f t="shared" si="25"/>
        <v>27464.5</v>
      </c>
    </row>
    <row r="4135" spans="1:10" x14ac:dyDescent="0.25">
      <c r="A4135" s="20">
        <v>45688</v>
      </c>
      <c r="B4135" t="str">
        <f>IFERROR(IF(VLOOKUP(C4135,Hoja1!$B$1:$C$6191,2,0)="",_xlfn.XLOOKUP(C4135,Hoja1!$B$2:$B$6191,Hoja1!$A$2:$A$6191),VLOOKUP(C4135,Hoja1!$B$1:$C$6191,2,0)),"No esta en Infor")</f>
        <v>NAC0613</v>
      </c>
      <c r="C4135" t="s">
        <v>101</v>
      </c>
      <c r="D4135" s="61">
        <v>1908.56</v>
      </c>
      <c r="F4135" s="61">
        <v>0</v>
      </c>
      <c r="G4135" s="61">
        <v>0</v>
      </c>
      <c r="H4135" s="61">
        <v>0</v>
      </c>
      <c r="I4135" s="61">
        <v>-81.599999999999994</v>
      </c>
      <c r="J4135" s="62">
        <f t="shared" si="25"/>
        <v>1826.96</v>
      </c>
    </row>
    <row r="4136" spans="1:10" x14ac:dyDescent="0.25">
      <c r="A4136" s="20">
        <v>45688</v>
      </c>
      <c r="B4136" t="str">
        <f>IFERROR(IF(VLOOKUP(C4136,Hoja1!$B$1:$C$6191,2,0)="",_xlfn.XLOOKUP(C4136,Hoja1!$B$2:$B$6191,Hoja1!$A$2:$A$6191),VLOOKUP(C4136,Hoja1!$B$1:$C$6191,2,0)),"No esta en Infor")</f>
        <v>NAC0624</v>
      </c>
      <c r="C4136" t="s">
        <v>105</v>
      </c>
      <c r="D4136" s="61">
        <v>6.51</v>
      </c>
      <c r="F4136" s="61">
        <v>0</v>
      </c>
      <c r="G4136" s="61">
        <v>0</v>
      </c>
      <c r="H4136" s="61">
        <v>0</v>
      </c>
      <c r="I4136" s="61">
        <v>-231</v>
      </c>
      <c r="J4136" s="62">
        <f t="shared" si="25"/>
        <v>-224.49</v>
      </c>
    </row>
    <row r="4137" spans="1:10" x14ac:dyDescent="0.25">
      <c r="A4137" s="20">
        <v>45688</v>
      </c>
      <c r="B4137" t="str">
        <f>IFERROR(IF(VLOOKUP(C4137,Hoja1!$B$1:$C$6191,2,0)="",_xlfn.XLOOKUP(C4137,Hoja1!$B$2:$B$6191,Hoja1!$A$2:$A$6191),VLOOKUP(C4137,Hoja1!$B$1:$C$6191,2,0)),"No esta en Infor")</f>
        <v>NAC0632</v>
      </c>
      <c r="C4137" t="s">
        <v>108</v>
      </c>
      <c r="D4137" s="61">
        <v>1233.6300000000001</v>
      </c>
      <c r="F4137" s="61">
        <v>0</v>
      </c>
      <c r="G4137" s="61">
        <v>0</v>
      </c>
      <c r="H4137" s="61">
        <v>0</v>
      </c>
      <c r="I4137" s="61">
        <v>0</v>
      </c>
      <c r="J4137" s="62">
        <f t="shared" si="25"/>
        <v>1233.6300000000001</v>
      </c>
    </row>
    <row r="4138" spans="1:10" x14ac:dyDescent="0.25">
      <c r="A4138" s="20">
        <v>45688</v>
      </c>
      <c r="B4138" t="str">
        <f>IFERROR(IF(VLOOKUP(C4138,Hoja1!$B$1:$C$6191,2,0)="",_xlfn.XLOOKUP(C4138,Hoja1!$B$2:$B$6191,Hoja1!$A$2:$A$6191),VLOOKUP(C4138,Hoja1!$B$1:$C$6191,2,0)),"No esta en Infor")</f>
        <v>NAC0633</v>
      </c>
      <c r="C4138" t="s">
        <v>595</v>
      </c>
      <c r="D4138" s="61">
        <v>36000</v>
      </c>
      <c r="F4138" s="61">
        <v>0</v>
      </c>
      <c r="G4138" s="61">
        <v>0</v>
      </c>
      <c r="H4138" s="61">
        <v>0</v>
      </c>
      <c r="I4138" s="61">
        <v>0</v>
      </c>
      <c r="J4138" s="62">
        <f t="shared" si="25"/>
        <v>36000</v>
      </c>
    </row>
    <row r="4139" spans="1:10" x14ac:dyDescent="0.25">
      <c r="A4139" s="20">
        <v>45688</v>
      </c>
      <c r="B4139" t="str">
        <f>IFERROR(IF(VLOOKUP(C4139,Hoja1!$B$1:$C$6191,2,0)="",_xlfn.XLOOKUP(C4139,Hoja1!$B$2:$B$6191,Hoja1!$A$2:$A$6191),VLOOKUP(C4139,Hoja1!$B$1:$C$6191,2,0)),"No esta en Infor")</f>
        <v>NAC0645</v>
      </c>
      <c r="C4139" t="s">
        <v>110</v>
      </c>
      <c r="D4139" s="61">
        <v>310.64999999999998</v>
      </c>
      <c r="F4139" s="61">
        <v>0</v>
      </c>
      <c r="G4139" s="61">
        <v>0</v>
      </c>
      <c r="H4139" s="61">
        <v>0</v>
      </c>
      <c r="I4139" s="61">
        <v>0</v>
      </c>
      <c r="J4139" s="62">
        <f t="shared" si="25"/>
        <v>310.64999999999998</v>
      </c>
    </row>
    <row r="4140" spans="1:10" x14ac:dyDescent="0.25">
      <c r="A4140" s="20">
        <v>45688</v>
      </c>
      <c r="B4140" t="str">
        <f>IFERROR(IF(VLOOKUP(C4140,Hoja1!$B$1:$C$6191,2,0)="",_xlfn.XLOOKUP(C4140,Hoja1!$B$2:$B$6191,Hoja1!$A$2:$A$6191),VLOOKUP(C4140,Hoja1!$B$1:$C$6191,2,0)),"No esta en Infor")</f>
        <v>NAC0651</v>
      </c>
      <c r="C4140" t="s">
        <v>543</v>
      </c>
      <c r="D4140" s="61">
        <v>304.86</v>
      </c>
      <c r="F4140" s="61">
        <v>0</v>
      </c>
      <c r="G4140" s="61">
        <v>0</v>
      </c>
      <c r="H4140" s="61">
        <v>0</v>
      </c>
      <c r="I4140" s="61">
        <v>0</v>
      </c>
      <c r="J4140" s="62">
        <f t="shared" si="25"/>
        <v>304.86</v>
      </c>
    </row>
    <row r="4141" spans="1:10" x14ac:dyDescent="0.25">
      <c r="A4141" s="20">
        <v>45688</v>
      </c>
      <c r="B4141" t="str">
        <f>IFERROR(IF(VLOOKUP(C4141,Hoja1!$B$1:$C$6191,2,0)="",_xlfn.XLOOKUP(C4141,Hoja1!$B$2:$B$6191,Hoja1!$A$2:$A$6191),VLOOKUP(C4141,Hoja1!$B$1:$C$6191,2,0)),"No esta en Infor")</f>
        <v>NAC0652</v>
      </c>
      <c r="C4141" t="s">
        <v>113</v>
      </c>
      <c r="D4141" s="61">
        <v>265.36</v>
      </c>
      <c r="F4141" s="61">
        <v>0</v>
      </c>
      <c r="G4141" s="61">
        <v>0</v>
      </c>
      <c r="H4141" s="61">
        <v>0</v>
      </c>
      <c r="I4141" s="61">
        <v>0</v>
      </c>
      <c r="J4141" s="62">
        <f t="shared" si="25"/>
        <v>265.36</v>
      </c>
    </row>
    <row r="4142" spans="1:10" x14ac:dyDescent="0.25">
      <c r="A4142" s="20">
        <v>45688</v>
      </c>
      <c r="B4142" t="str">
        <f>IFERROR(IF(VLOOKUP(C4142,Hoja1!$B$1:$C$6191,2,0)="",_xlfn.XLOOKUP(C4142,Hoja1!$B$2:$B$6191,Hoja1!$A$2:$A$6191),VLOOKUP(C4142,Hoja1!$B$1:$C$6191,2,0)),"No esta en Infor")</f>
        <v>NAC0657</v>
      </c>
      <c r="C4142" t="s">
        <v>114</v>
      </c>
      <c r="D4142" s="61">
        <v>2039</v>
      </c>
      <c r="F4142" s="61">
        <v>0</v>
      </c>
      <c r="G4142" s="61">
        <v>0</v>
      </c>
      <c r="H4142" s="61">
        <v>0</v>
      </c>
      <c r="I4142" s="61">
        <v>0</v>
      </c>
      <c r="J4142" s="62">
        <f t="shared" si="25"/>
        <v>2039</v>
      </c>
    </row>
    <row r="4143" spans="1:10" x14ac:dyDescent="0.25">
      <c r="A4143" s="20">
        <v>45688</v>
      </c>
      <c r="B4143" t="str">
        <f>IFERROR(IF(VLOOKUP(C4143,Hoja1!$B$1:$C$6191,2,0)="",_xlfn.XLOOKUP(C4143,Hoja1!$B$2:$B$6191,Hoja1!$A$2:$A$6191),VLOOKUP(C4143,Hoja1!$B$1:$C$6191,2,0)),"No esta en Infor")</f>
        <v>CAN0008</v>
      </c>
      <c r="C4143" t="s">
        <v>115</v>
      </c>
      <c r="D4143" s="61">
        <v>2592.12</v>
      </c>
      <c r="F4143" s="61">
        <v>-1815.87</v>
      </c>
      <c r="G4143" s="61">
        <v>0</v>
      </c>
      <c r="H4143" s="61">
        <v>0</v>
      </c>
      <c r="I4143" s="61">
        <v>0</v>
      </c>
      <c r="J4143" s="62">
        <f t="shared" si="25"/>
        <v>776.25</v>
      </c>
    </row>
    <row r="4144" spans="1:10" x14ac:dyDescent="0.25">
      <c r="A4144" s="20">
        <v>45688</v>
      </c>
      <c r="B4144" t="str">
        <f>IFERROR(IF(VLOOKUP(C4144,Hoja1!$B$1:$C$6191,2,0)="",_xlfn.XLOOKUP(C4144,Hoja1!$B$2:$B$6191,Hoja1!$A$2:$A$6191),VLOOKUP(C4144,Hoja1!$B$1:$C$6191,2,0)),"No esta en Infor")</f>
        <v>NAC0665</v>
      </c>
      <c r="C4144" t="s">
        <v>117</v>
      </c>
      <c r="D4144" s="61">
        <v>1349.2</v>
      </c>
      <c r="F4144" s="61">
        <v>0</v>
      </c>
      <c r="G4144" s="61">
        <v>0</v>
      </c>
      <c r="H4144" s="61">
        <v>0</v>
      </c>
      <c r="I4144" s="61">
        <v>0</v>
      </c>
      <c r="J4144" s="62">
        <f t="shared" si="25"/>
        <v>1349.2</v>
      </c>
    </row>
    <row r="4145" spans="1:10" x14ac:dyDescent="0.25">
      <c r="A4145" s="20">
        <v>45688</v>
      </c>
      <c r="B4145" t="str">
        <f>IFERROR(IF(VLOOKUP(C4145,Hoja1!$B$1:$C$6191,2,0)="",_xlfn.XLOOKUP(C4145,Hoja1!$B$2:$B$6191,Hoja1!$A$2:$A$6191),VLOOKUP(C4145,Hoja1!$B$1:$C$6191,2,0)),"No esta en Infor")</f>
        <v>NAC0666</v>
      </c>
      <c r="C4145" t="s">
        <v>118</v>
      </c>
      <c r="D4145" s="61">
        <v>81020.259999999995</v>
      </c>
      <c r="F4145" s="61">
        <v>0</v>
      </c>
      <c r="G4145" s="61">
        <v>0</v>
      </c>
      <c r="H4145" s="61">
        <v>0</v>
      </c>
      <c r="I4145" s="61">
        <v>0</v>
      </c>
      <c r="J4145" s="62">
        <f t="shared" si="25"/>
        <v>81020.259999999995</v>
      </c>
    </row>
    <row r="4146" spans="1:10" x14ac:dyDescent="0.25">
      <c r="A4146" s="20">
        <v>45688</v>
      </c>
      <c r="B4146" t="str">
        <f>IFERROR(IF(VLOOKUP(C4146,Hoja1!$B$1:$C$6191,2,0)="",_xlfn.XLOOKUP(C4146,Hoja1!$B$2:$B$6191,Hoja1!$A$2:$A$6191),VLOOKUP(C4146,Hoja1!$B$1:$C$6191,2,0)),"No esta en Infor")</f>
        <v>NAC0669</v>
      </c>
      <c r="C4146" t="s">
        <v>119</v>
      </c>
      <c r="D4146" s="61">
        <v>11888.55</v>
      </c>
      <c r="F4146" s="61">
        <v>0</v>
      </c>
      <c r="G4146" s="61">
        <v>0</v>
      </c>
      <c r="H4146" s="61">
        <v>0</v>
      </c>
      <c r="I4146" s="61">
        <v>0</v>
      </c>
      <c r="J4146" s="62">
        <f t="shared" si="25"/>
        <v>11888.55</v>
      </c>
    </row>
    <row r="4147" spans="1:10" x14ac:dyDescent="0.25">
      <c r="A4147" s="20">
        <v>45688</v>
      </c>
      <c r="B4147" t="str">
        <f>IFERROR(IF(VLOOKUP(C4147,Hoja1!$B$1:$C$6191,2,0)="",_xlfn.XLOOKUP(C4147,Hoja1!$B$2:$B$6191,Hoja1!$A$2:$A$6191),VLOOKUP(C4147,Hoja1!$B$1:$C$6191,2,0)),"No esta en Infor")</f>
        <v>NAC0673</v>
      </c>
      <c r="C4147" t="s">
        <v>390</v>
      </c>
      <c r="D4147" s="61">
        <v>982.62</v>
      </c>
      <c r="F4147" s="61">
        <v>0</v>
      </c>
      <c r="G4147" s="61">
        <v>0</v>
      </c>
      <c r="H4147" s="61">
        <v>0</v>
      </c>
      <c r="I4147" s="61">
        <v>0</v>
      </c>
      <c r="J4147" s="62">
        <f t="shared" si="25"/>
        <v>982.62</v>
      </c>
    </row>
    <row r="4148" spans="1:10" x14ac:dyDescent="0.25">
      <c r="A4148" s="20">
        <v>45688</v>
      </c>
      <c r="B4148" t="str">
        <f>IFERROR(IF(VLOOKUP(C4148,Hoja1!$B$1:$C$6191,2,0)="",_xlfn.XLOOKUP(C4148,Hoja1!$B$2:$B$6191,Hoja1!$A$2:$A$6191),VLOOKUP(C4148,Hoja1!$B$1:$C$6191,2,0)),"No esta en Infor")</f>
        <v>NAC0675</v>
      </c>
      <c r="C4148" t="s">
        <v>124</v>
      </c>
      <c r="D4148" s="61">
        <v>13448.75</v>
      </c>
      <c r="F4148" s="61">
        <v>0</v>
      </c>
      <c r="G4148" s="61">
        <v>0</v>
      </c>
      <c r="H4148" s="61">
        <v>0</v>
      </c>
      <c r="I4148" s="61">
        <v>-787.89</v>
      </c>
      <c r="J4148" s="62">
        <f t="shared" si="25"/>
        <v>12660.86</v>
      </c>
    </row>
    <row r="4149" spans="1:10" x14ac:dyDescent="0.25">
      <c r="A4149" s="20">
        <v>45688</v>
      </c>
      <c r="B4149" t="str">
        <f>IFERROR(IF(VLOOKUP(C4149,Hoja1!$B$1:$C$6191,2,0)="",_xlfn.XLOOKUP(C4149,Hoja1!$B$2:$B$6191,Hoja1!$A$2:$A$6191),VLOOKUP(C4149,Hoja1!$B$1:$C$6191,2,0)),"No esta en Infor")</f>
        <v>NAC0682</v>
      </c>
      <c r="C4149" t="s">
        <v>127</v>
      </c>
      <c r="D4149" s="61">
        <v>755</v>
      </c>
      <c r="F4149" s="61">
        <v>0</v>
      </c>
      <c r="G4149" s="61">
        <v>0</v>
      </c>
      <c r="H4149" s="61">
        <v>0</v>
      </c>
      <c r="I4149" s="61">
        <v>0</v>
      </c>
      <c r="J4149" s="62">
        <f t="shared" si="25"/>
        <v>755</v>
      </c>
    </row>
    <row r="4150" spans="1:10" x14ac:dyDescent="0.25">
      <c r="A4150" s="20">
        <v>45688</v>
      </c>
      <c r="B4150" t="str">
        <f>IFERROR(IF(VLOOKUP(C4150,Hoja1!$B$1:$C$6191,2,0)="",_xlfn.XLOOKUP(C4150,Hoja1!$B$2:$B$6191,Hoja1!$A$2:$A$6191),VLOOKUP(C4150,Hoja1!$B$1:$C$6191,2,0)),"No esta en Infor")</f>
        <v>NAC0700</v>
      </c>
      <c r="C4150" t="s">
        <v>137</v>
      </c>
      <c r="D4150" s="61">
        <v>8071.5</v>
      </c>
      <c r="F4150" s="61">
        <v>0</v>
      </c>
      <c r="G4150" s="61">
        <v>0</v>
      </c>
      <c r="H4150" s="61">
        <v>0</v>
      </c>
      <c r="I4150" s="61">
        <v>0</v>
      </c>
      <c r="J4150" s="62">
        <f t="shared" si="25"/>
        <v>8071.5</v>
      </c>
    </row>
    <row r="4151" spans="1:10" x14ac:dyDescent="0.25">
      <c r="A4151" s="20">
        <v>45688</v>
      </c>
      <c r="B4151" t="str">
        <f>IFERROR(IF(VLOOKUP(C4151,Hoja1!$B$1:$C$6191,2,0)="",_xlfn.XLOOKUP(C4151,Hoja1!$B$2:$B$6191,Hoja1!$A$2:$A$6191),VLOOKUP(C4151,Hoja1!$B$1:$C$6191,2,0)),"No esta en Infor")</f>
        <v>NAC0704</v>
      </c>
      <c r="C4151" t="s">
        <v>138</v>
      </c>
      <c r="D4151" s="61">
        <v>7857</v>
      </c>
      <c r="F4151" s="61">
        <v>0</v>
      </c>
      <c r="G4151" s="61">
        <v>0</v>
      </c>
      <c r="H4151" s="61">
        <v>0</v>
      </c>
      <c r="I4151" s="61">
        <v>0</v>
      </c>
      <c r="J4151" s="62">
        <f t="shared" ref="J4151:J4214" si="26">SUM(D4151:I4151)</f>
        <v>7857</v>
      </c>
    </row>
    <row r="4152" spans="1:10" x14ac:dyDescent="0.25">
      <c r="A4152" s="20">
        <v>45688</v>
      </c>
      <c r="B4152" t="str">
        <f>IFERROR(IF(VLOOKUP(C4152,Hoja1!$B$1:$C$6191,2,0)="",_xlfn.XLOOKUP(C4152,Hoja1!$B$2:$B$6191,Hoja1!$A$2:$A$6191),VLOOKUP(C4152,Hoja1!$B$1:$C$6191,2,0)),"No esta en Infor")</f>
        <v>NAC0710</v>
      </c>
      <c r="C4152" t="s">
        <v>140</v>
      </c>
      <c r="D4152" s="61">
        <v>3840</v>
      </c>
      <c r="F4152" s="61">
        <v>0</v>
      </c>
      <c r="G4152" s="61">
        <v>0</v>
      </c>
      <c r="H4152" s="61">
        <v>0</v>
      </c>
      <c r="I4152" s="61">
        <v>0</v>
      </c>
      <c r="J4152" s="62">
        <f t="shared" si="26"/>
        <v>3840</v>
      </c>
    </row>
    <row r="4153" spans="1:10" x14ac:dyDescent="0.25">
      <c r="A4153" s="20">
        <v>45688</v>
      </c>
      <c r="B4153" t="str">
        <f>IFERROR(IF(VLOOKUP(C4153,Hoja1!$B$1:$C$6191,2,0)="",_xlfn.XLOOKUP(C4153,Hoja1!$B$2:$B$6191,Hoja1!$A$2:$A$6191),VLOOKUP(C4153,Hoja1!$B$1:$C$6191,2,0)),"No esta en Infor")</f>
        <v>NAC0726</v>
      </c>
      <c r="C4153" t="s">
        <v>147</v>
      </c>
      <c r="D4153" s="61">
        <v>58898.75</v>
      </c>
      <c r="F4153" s="61">
        <v>0</v>
      </c>
      <c r="G4153" s="61">
        <v>0</v>
      </c>
      <c r="H4153" s="61">
        <v>0</v>
      </c>
      <c r="I4153" s="61">
        <v>0</v>
      </c>
      <c r="J4153" s="62">
        <f t="shared" si="26"/>
        <v>58898.75</v>
      </c>
    </row>
    <row r="4154" spans="1:10" x14ac:dyDescent="0.25">
      <c r="A4154" s="20">
        <v>45688</v>
      </c>
      <c r="B4154" t="str">
        <f>IFERROR(IF(VLOOKUP(C4154,Hoja1!$B$1:$C$6191,2,0)="",_xlfn.XLOOKUP(C4154,Hoja1!$B$2:$B$6191,Hoja1!$A$2:$A$6191),VLOOKUP(C4154,Hoja1!$B$1:$C$6191,2,0)),"No esta en Infor")</f>
        <v>NAC0738</v>
      </c>
      <c r="C4154" t="s">
        <v>150</v>
      </c>
      <c r="D4154" s="61">
        <v>161.57</v>
      </c>
      <c r="F4154" s="61">
        <v>0</v>
      </c>
      <c r="G4154" s="61">
        <v>0</v>
      </c>
      <c r="H4154" s="61">
        <v>0</v>
      </c>
      <c r="I4154" s="61">
        <v>0</v>
      </c>
      <c r="J4154" s="62">
        <f t="shared" si="26"/>
        <v>161.57</v>
      </c>
    </row>
    <row r="4155" spans="1:10" x14ac:dyDescent="0.25">
      <c r="A4155" s="20">
        <v>45688</v>
      </c>
      <c r="B4155" t="str">
        <f>IFERROR(IF(VLOOKUP(C4155,Hoja1!$B$1:$C$6191,2,0)="",_xlfn.XLOOKUP(C4155,Hoja1!$B$2:$B$6191,Hoja1!$A$2:$A$6191),VLOOKUP(C4155,Hoja1!$B$1:$C$6191,2,0)),"No esta en Infor")</f>
        <v>NAC0759</v>
      </c>
      <c r="C4155" t="s">
        <v>581</v>
      </c>
      <c r="D4155" s="61">
        <v>0</v>
      </c>
      <c r="F4155" s="61">
        <v>-16.100000000000001</v>
      </c>
      <c r="G4155" s="61">
        <v>0</v>
      </c>
      <c r="H4155" s="61">
        <v>0</v>
      </c>
      <c r="I4155" s="61">
        <v>0</v>
      </c>
      <c r="J4155" s="62">
        <f t="shared" si="26"/>
        <v>-16.100000000000001</v>
      </c>
    </row>
    <row r="4156" spans="1:10" x14ac:dyDescent="0.25">
      <c r="A4156" s="20">
        <v>45688</v>
      </c>
      <c r="B4156" t="str">
        <f>IFERROR(IF(VLOOKUP(C4156,Hoja1!$B$1:$C$6191,2,0)="",_xlfn.XLOOKUP(C4156,Hoja1!$B$2:$B$6191,Hoja1!$A$2:$A$6191),VLOOKUP(C4156,Hoja1!$B$1:$C$6191,2,0)),"No esta en Infor")</f>
        <v>NAC0760</v>
      </c>
      <c r="C4156" t="s">
        <v>907</v>
      </c>
      <c r="D4156" s="61">
        <v>3477.5</v>
      </c>
      <c r="F4156" s="61">
        <v>0</v>
      </c>
      <c r="G4156" s="61">
        <v>0</v>
      </c>
      <c r="H4156" s="61">
        <v>0</v>
      </c>
      <c r="I4156" s="61">
        <v>0</v>
      </c>
      <c r="J4156" s="62">
        <f t="shared" si="26"/>
        <v>3477.5</v>
      </c>
    </row>
    <row r="4157" spans="1:10" x14ac:dyDescent="0.25">
      <c r="A4157" s="20">
        <v>45688</v>
      </c>
      <c r="B4157" t="str">
        <f>IFERROR(IF(VLOOKUP(C4157,Hoja1!$B$1:$C$6191,2,0)="",_xlfn.XLOOKUP(C4157,Hoja1!$B$2:$B$6191,Hoja1!$A$2:$A$6191),VLOOKUP(C4157,Hoja1!$B$1:$C$6191,2,0)),"No esta en Infor")</f>
        <v>NAC0767</v>
      </c>
      <c r="C4157" t="s">
        <v>155</v>
      </c>
      <c r="D4157" s="61">
        <v>1215459.3500000001</v>
      </c>
      <c r="F4157" s="61">
        <v>0</v>
      </c>
      <c r="G4157" s="61">
        <v>-10757</v>
      </c>
      <c r="H4157" s="61">
        <v>0</v>
      </c>
      <c r="I4157" s="61">
        <v>-20987.9</v>
      </c>
      <c r="J4157" s="62">
        <f t="shared" si="26"/>
        <v>1183714.4500000002</v>
      </c>
    </row>
    <row r="4158" spans="1:10" x14ac:dyDescent="0.25">
      <c r="A4158" s="20">
        <v>45688</v>
      </c>
      <c r="B4158" t="str">
        <f>IFERROR(IF(VLOOKUP(C4158,Hoja1!$B$1:$C$6191,2,0)="",_xlfn.XLOOKUP(C4158,Hoja1!$B$2:$B$6191,Hoja1!$A$2:$A$6191),VLOOKUP(C4158,Hoja1!$B$1:$C$6191,2,0)),"No esta en Infor")</f>
        <v>NAC0769</v>
      </c>
      <c r="C4158" t="s">
        <v>156</v>
      </c>
      <c r="D4158" s="61">
        <v>9508.7800000000007</v>
      </c>
      <c r="F4158" s="61">
        <v>0</v>
      </c>
      <c r="G4158" s="61">
        <v>0</v>
      </c>
      <c r="H4158" s="61">
        <v>-297.89</v>
      </c>
      <c r="I4158" s="61">
        <v>0</v>
      </c>
      <c r="J4158" s="62">
        <f t="shared" si="26"/>
        <v>9210.8900000000012</v>
      </c>
    </row>
    <row r="4159" spans="1:10" x14ac:dyDescent="0.25">
      <c r="A4159" s="20">
        <v>45688</v>
      </c>
      <c r="B4159" t="str">
        <f>IFERROR(IF(VLOOKUP(C4159,Hoja1!$B$1:$C$6191,2,0)="",_xlfn.XLOOKUP(C4159,Hoja1!$B$2:$B$6191,Hoja1!$A$2:$A$6191),VLOOKUP(C4159,Hoja1!$B$1:$C$6191,2,0)),"No esta en Infor")</f>
        <v>NAC0773</v>
      </c>
      <c r="C4159" t="s">
        <v>157</v>
      </c>
      <c r="D4159" s="61">
        <v>79.22</v>
      </c>
      <c r="F4159" s="61">
        <v>0</v>
      </c>
      <c r="G4159" s="61">
        <v>0</v>
      </c>
      <c r="H4159" s="61">
        <v>0</v>
      </c>
      <c r="I4159" s="61">
        <v>0</v>
      </c>
      <c r="J4159" s="62">
        <f t="shared" si="26"/>
        <v>79.22</v>
      </c>
    </row>
    <row r="4160" spans="1:10" x14ac:dyDescent="0.25">
      <c r="A4160" s="20">
        <v>45688</v>
      </c>
      <c r="B4160" t="str">
        <f>IFERROR(IF(VLOOKUP(C4160,Hoja1!$B$1:$C$6191,2,0)="",_xlfn.XLOOKUP(C4160,Hoja1!$B$2:$B$6191,Hoja1!$A$2:$A$6191),VLOOKUP(C4160,Hoja1!$B$1:$C$6191,2,0)),"No esta en Infor")</f>
        <v>NAC0778</v>
      </c>
      <c r="C4160" t="s">
        <v>159</v>
      </c>
      <c r="D4160" s="61">
        <v>0</v>
      </c>
      <c r="F4160" s="61">
        <v>0</v>
      </c>
      <c r="G4160" s="61">
        <v>0</v>
      </c>
      <c r="H4160" s="61">
        <v>0</v>
      </c>
      <c r="I4160" s="61">
        <v>-781.38</v>
      </c>
      <c r="J4160" s="62">
        <f t="shared" si="26"/>
        <v>-781.38</v>
      </c>
    </row>
    <row r="4161" spans="1:10" x14ac:dyDescent="0.25">
      <c r="A4161" s="20">
        <v>45688</v>
      </c>
      <c r="B4161" t="str">
        <f>IFERROR(IF(VLOOKUP(C4161,Hoja1!$B$1:$C$6191,2,0)="",_xlfn.XLOOKUP(C4161,Hoja1!$B$2:$B$6191,Hoja1!$A$2:$A$6191),VLOOKUP(C4161,Hoja1!$B$1:$C$6191,2,0)),"No esta en Infor")</f>
        <v>NAC0779</v>
      </c>
      <c r="C4161" t="s">
        <v>160</v>
      </c>
      <c r="D4161" s="61">
        <v>1553.64</v>
      </c>
      <c r="F4161" s="61">
        <v>0</v>
      </c>
      <c r="G4161" s="61">
        <v>0</v>
      </c>
      <c r="H4161" s="61">
        <v>0</v>
      </c>
      <c r="I4161" s="61">
        <v>0</v>
      </c>
      <c r="J4161" s="62">
        <f t="shared" si="26"/>
        <v>1553.64</v>
      </c>
    </row>
    <row r="4162" spans="1:10" x14ac:dyDescent="0.25">
      <c r="A4162" s="20">
        <v>45688</v>
      </c>
      <c r="B4162" t="str">
        <f>IFERROR(IF(VLOOKUP(C4162,Hoja1!$B$1:$C$6191,2,0)="",_xlfn.XLOOKUP(C4162,Hoja1!$B$2:$B$6191,Hoja1!$A$2:$A$6191),VLOOKUP(C4162,Hoja1!$B$1:$C$6191,2,0)),"No esta en Infor")</f>
        <v>NAC0780</v>
      </c>
      <c r="C4162" t="s">
        <v>161</v>
      </c>
      <c r="D4162" s="61">
        <v>4781</v>
      </c>
      <c r="F4162" s="61">
        <v>0</v>
      </c>
      <c r="G4162" s="61">
        <v>0</v>
      </c>
      <c r="H4162" s="61">
        <v>0</v>
      </c>
      <c r="I4162" s="61">
        <v>0</v>
      </c>
      <c r="J4162" s="62">
        <f t="shared" si="26"/>
        <v>4781</v>
      </c>
    </row>
    <row r="4163" spans="1:10" x14ac:dyDescent="0.25">
      <c r="A4163" s="20">
        <v>45688</v>
      </c>
      <c r="B4163" t="str">
        <f>IFERROR(IF(VLOOKUP(C4163,Hoja1!$B$1:$C$6191,2,0)="",_xlfn.XLOOKUP(C4163,Hoja1!$B$2:$B$6191,Hoja1!$A$2:$A$6191),VLOOKUP(C4163,Hoja1!$B$1:$C$6191,2,0)),"No esta en Infor")</f>
        <v>NAC0781</v>
      </c>
      <c r="C4163" t="s">
        <v>162</v>
      </c>
      <c r="D4163" s="61">
        <v>1728.9</v>
      </c>
      <c r="F4163" s="61">
        <v>0</v>
      </c>
      <c r="G4163" s="61">
        <v>0</v>
      </c>
      <c r="H4163" s="61">
        <v>0</v>
      </c>
      <c r="I4163" s="61">
        <v>-730</v>
      </c>
      <c r="J4163" s="62">
        <f t="shared" si="26"/>
        <v>998.90000000000009</v>
      </c>
    </row>
    <row r="4164" spans="1:10" x14ac:dyDescent="0.25">
      <c r="A4164" s="20">
        <v>45688</v>
      </c>
      <c r="B4164" t="str">
        <f>IFERROR(IF(VLOOKUP(C4164,Hoja1!$B$1:$C$6191,2,0)="",_xlfn.XLOOKUP(C4164,Hoja1!$B$2:$B$6191,Hoja1!$A$2:$A$6191),VLOOKUP(C4164,Hoja1!$B$1:$C$6191,2,0)),"No esta en Infor")</f>
        <v>NAC0784</v>
      </c>
      <c r="C4164" t="s">
        <v>912</v>
      </c>
      <c r="D4164" s="61">
        <v>2200</v>
      </c>
      <c r="F4164" s="61">
        <v>0</v>
      </c>
      <c r="G4164" s="61">
        <v>0</v>
      </c>
      <c r="H4164" s="61">
        <v>0</v>
      </c>
      <c r="I4164" s="61">
        <v>0</v>
      </c>
      <c r="J4164" s="62">
        <f t="shared" si="26"/>
        <v>2200</v>
      </c>
    </row>
    <row r="4165" spans="1:10" x14ac:dyDescent="0.25">
      <c r="A4165" s="20">
        <v>45688</v>
      </c>
      <c r="B4165" t="str">
        <f>IFERROR(IF(VLOOKUP(C4165,Hoja1!$B$1:$C$6191,2,0)="",_xlfn.XLOOKUP(C4165,Hoja1!$B$2:$B$6191,Hoja1!$A$2:$A$6191),VLOOKUP(C4165,Hoja1!$B$1:$C$6191,2,0)),"No esta en Infor")</f>
        <v>NAC0788</v>
      </c>
      <c r="C4165" t="s">
        <v>163</v>
      </c>
      <c r="D4165" s="61">
        <v>435.88</v>
      </c>
      <c r="F4165" s="61">
        <v>0</v>
      </c>
      <c r="G4165" s="61">
        <v>0</v>
      </c>
      <c r="H4165" s="61">
        <v>0</v>
      </c>
      <c r="I4165" s="61">
        <v>0</v>
      </c>
      <c r="J4165" s="62">
        <f t="shared" si="26"/>
        <v>435.88</v>
      </c>
    </row>
    <row r="4166" spans="1:10" x14ac:dyDescent="0.25">
      <c r="A4166" s="20">
        <v>45688</v>
      </c>
      <c r="B4166" t="str">
        <f>IFERROR(IF(VLOOKUP(C4166,Hoja1!$B$1:$C$6191,2,0)="",_xlfn.XLOOKUP(C4166,Hoja1!$B$2:$B$6191,Hoja1!$A$2:$A$6191),VLOOKUP(C4166,Hoja1!$B$1:$C$6191,2,0)),"No esta en Infor")</f>
        <v>NAC0792</v>
      </c>
      <c r="C4166" t="s">
        <v>164</v>
      </c>
      <c r="D4166" s="61">
        <v>119843.86</v>
      </c>
      <c r="F4166" s="61">
        <v>0</v>
      </c>
      <c r="G4166" s="61">
        <v>0</v>
      </c>
      <c r="H4166" s="61">
        <v>0</v>
      </c>
      <c r="I4166" s="61">
        <v>0</v>
      </c>
      <c r="J4166" s="62">
        <f t="shared" si="26"/>
        <v>119843.86</v>
      </c>
    </row>
    <row r="4167" spans="1:10" x14ac:dyDescent="0.25">
      <c r="A4167" s="20">
        <v>45688</v>
      </c>
      <c r="B4167" t="str">
        <f>IFERROR(IF(VLOOKUP(C4167,Hoja1!$B$1:$C$6191,2,0)="",_xlfn.XLOOKUP(C4167,Hoja1!$B$2:$B$6191,Hoja1!$A$2:$A$6191),VLOOKUP(C4167,Hoja1!$B$1:$C$6191,2,0)),"No esta en Infor")</f>
        <v>NAC1612</v>
      </c>
      <c r="C4167" t="s">
        <v>663</v>
      </c>
      <c r="D4167" s="61">
        <v>0</v>
      </c>
      <c r="F4167" s="61">
        <v>0</v>
      </c>
      <c r="G4167" s="61">
        <v>0</v>
      </c>
      <c r="H4167" s="61">
        <v>0</v>
      </c>
      <c r="I4167" s="61">
        <v>-0.02</v>
      </c>
      <c r="J4167" s="62">
        <f t="shared" si="26"/>
        <v>-0.02</v>
      </c>
    </row>
    <row r="4168" spans="1:10" x14ac:dyDescent="0.25">
      <c r="A4168" s="20">
        <v>45688</v>
      </c>
      <c r="B4168" t="str">
        <f>IFERROR(IF(VLOOKUP(C4168,Hoja1!$B$1:$C$6191,2,0)="",_xlfn.XLOOKUP(C4168,Hoja1!$B$2:$B$6191,Hoja1!$A$2:$A$6191),VLOOKUP(C4168,Hoja1!$B$1:$C$6191,2,0)),"No esta en Infor")</f>
        <v>NAC0798</v>
      </c>
      <c r="C4168" t="s">
        <v>167</v>
      </c>
      <c r="D4168" s="61">
        <v>20473.169999999998</v>
      </c>
      <c r="F4168" s="61">
        <v>0</v>
      </c>
      <c r="G4168" s="61">
        <v>0</v>
      </c>
      <c r="H4168" s="61">
        <v>0</v>
      </c>
      <c r="I4168" s="61">
        <v>0</v>
      </c>
      <c r="J4168" s="62">
        <f t="shared" si="26"/>
        <v>20473.169999999998</v>
      </c>
    </row>
    <row r="4169" spans="1:10" x14ac:dyDescent="0.25">
      <c r="A4169" s="20">
        <v>45688</v>
      </c>
      <c r="B4169" t="str">
        <f>IFERROR(IF(VLOOKUP(C4169,Hoja1!$B$1:$C$6191,2,0)="",_xlfn.XLOOKUP(C4169,Hoja1!$B$2:$B$6191,Hoja1!$A$2:$A$6191),VLOOKUP(C4169,Hoja1!$B$1:$C$6191,2,0)),"No esta en Infor")</f>
        <v>NAC0800</v>
      </c>
      <c r="C4169" t="s">
        <v>617</v>
      </c>
      <c r="D4169" s="61">
        <v>0</v>
      </c>
      <c r="F4169" s="61">
        <v>-1500</v>
      </c>
      <c r="G4169" s="61">
        <v>0</v>
      </c>
      <c r="H4169" s="61">
        <v>0</v>
      </c>
      <c r="I4169" s="61">
        <v>0</v>
      </c>
      <c r="J4169" s="62">
        <f t="shared" si="26"/>
        <v>-1500</v>
      </c>
    </row>
    <row r="4170" spans="1:10" x14ac:dyDescent="0.25">
      <c r="A4170" s="20">
        <v>45688</v>
      </c>
      <c r="B4170" t="str">
        <f>IFERROR(IF(VLOOKUP(C4170,Hoja1!$B$1:$C$6191,2,0)="",_xlfn.XLOOKUP(C4170,Hoja1!$B$2:$B$6191,Hoja1!$A$2:$A$6191),VLOOKUP(C4170,Hoja1!$B$1:$C$6191,2,0)),"No esta en Infor")</f>
        <v>NAC0801</v>
      </c>
      <c r="C4170" t="s">
        <v>168</v>
      </c>
      <c r="D4170" s="61">
        <v>4233</v>
      </c>
      <c r="F4170" s="61">
        <v>0</v>
      </c>
      <c r="G4170" s="61">
        <v>0</v>
      </c>
      <c r="H4170" s="61">
        <v>0</v>
      </c>
      <c r="I4170" s="61">
        <v>0</v>
      </c>
      <c r="J4170" s="62">
        <f t="shared" si="26"/>
        <v>4233</v>
      </c>
    </row>
    <row r="4171" spans="1:10" x14ac:dyDescent="0.25">
      <c r="A4171" s="20">
        <v>45688</v>
      </c>
      <c r="B4171" t="str">
        <f>IFERROR(IF(VLOOKUP(C4171,Hoja1!$B$1:$C$6191,2,0)="",_xlfn.XLOOKUP(C4171,Hoja1!$B$2:$B$6191,Hoja1!$A$2:$A$6191),VLOOKUP(C4171,Hoja1!$B$1:$C$6191,2,0)),"No esta en Infor")</f>
        <v>NAC0804</v>
      </c>
      <c r="C4171" t="s">
        <v>169</v>
      </c>
      <c r="D4171" s="61">
        <v>3973.85</v>
      </c>
      <c r="F4171" s="61">
        <v>0</v>
      </c>
      <c r="G4171" s="61">
        <v>0</v>
      </c>
      <c r="H4171" s="61">
        <v>0</v>
      </c>
      <c r="I4171" s="61">
        <v>0</v>
      </c>
      <c r="J4171" s="62">
        <f t="shared" si="26"/>
        <v>3973.85</v>
      </c>
    </row>
    <row r="4172" spans="1:10" x14ac:dyDescent="0.25">
      <c r="A4172" s="20">
        <v>45688</v>
      </c>
      <c r="B4172" t="str">
        <f>IFERROR(IF(VLOOKUP(C4172,Hoja1!$B$1:$C$6191,2,0)="",_xlfn.XLOOKUP(C4172,Hoja1!$B$2:$B$6191,Hoja1!$A$2:$A$6191),VLOOKUP(C4172,Hoja1!$B$1:$C$6191,2,0)),"No esta en Infor")</f>
        <v>NAC0807</v>
      </c>
      <c r="C4172" t="s">
        <v>875</v>
      </c>
      <c r="D4172" s="61">
        <v>2800.68</v>
      </c>
      <c r="F4172" s="61">
        <v>0</v>
      </c>
      <c r="G4172" s="61">
        <v>0</v>
      </c>
      <c r="H4172" s="61">
        <v>0</v>
      </c>
      <c r="I4172" s="61">
        <v>0</v>
      </c>
      <c r="J4172" s="62">
        <f t="shared" si="26"/>
        <v>2800.68</v>
      </c>
    </row>
    <row r="4173" spans="1:10" x14ac:dyDescent="0.25">
      <c r="A4173" s="20">
        <v>45688</v>
      </c>
      <c r="B4173" t="str">
        <f>IFERROR(IF(VLOOKUP(C4173,Hoja1!$B$1:$C$6191,2,0)="",_xlfn.XLOOKUP(C4173,Hoja1!$B$2:$B$6191,Hoja1!$A$2:$A$6191),VLOOKUP(C4173,Hoja1!$B$1:$C$6191,2,0)),"No esta en Infor")</f>
        <v>CAN0019</v>
      </c>
      <c r="C4173" t="s">
        <v>172</v>
      </c>
      <c r="D4173" s="61">
        <v>79758.600000000006</v>
      </c>
      <c r="F4173" s="61">
        <v>0</v>
      </c>
      <c r="G4173" s="61">
        <v>0</v>
      </c>
      <c r="H4173" s="61">
        <v>0</v>
      </c>
      <c r="I4173" s="61">
        <v>0</v>
      </c>
      <c r="J4173" s="62">
        <f t="shared" si="26"/>
        <v>79758.600000000006</v>
      </c>
    </row>
    <row r="4174" spans="1:10" x14ac:dyDescent="0.25">
      <c r="A4174" s="20">
        <v>45688</v>
      </c>
      <c r="B4174" t="str">
        <f>IFERROR(IF(VLOOKUP(C4174,Hoja1!$B$1:$C$6191,2,0)="",_xlfn.XLOOKUP(C4174,Hoja1!$B$2:$B$6191,Hoja1!$A$2:$A$6191),VLOOKUP(C4174,Hoja1!$B$1:$C$6191,2,0)),"No esta en Infor")</f>
        <v>NAC0811</v>
      </c>
      <c r="C4174" t="s">
        <v>173</v>
      </c>
      <c r="D4174" s="61">
        <v>-270.47000000000003</v>
      </c>
      <c r="F4174" s="61">
        <v>0</v>
      </c>
      <c r="G4174" s="61">
        <v>0</v>
      </c>
      <c r="H4174" s="61">
        <v>0</v>
      </c>
      <c r="I4174" s="61">
        <v>0</v>
      </c>
      <c r="J4174" s="62">
        <f t="shared" si="26"/>
        <v>-270.47000000000003</v>
      </c>
    </row>
    <row r="4175" spans="1:10" x14ac:dyDescent="0.25">
      <c r="A4175" s="20">
        <v>45688</v>
      </c>
      <c r="B4175" t="str">
        <f>IFERROR(IF(VLOOKUP(C4175,Hoja1!$B$1:$C$6191,2,0)="",_xlfn.XLOOKUP(C4175,Hoja1!$B$2:$B$6191,Hoja1!$A$2:$A$6191),VLOOKUP(C4175,Hoja1!$B$1:$C$6191,2,0)),"No esta en Infor")</f>
        <v>No esta en Infor</v>
      </c>
      <c r="C4175" t="s">
        <v>552</v>
      </c>
      <c r="D4175" s="61">
        <v>0</v>
      </c>
      <c r="F4175" s="61">
        <v>0</v>
      </c>
      <c r="G4175" s="61">
        <v>-6.34</v>
      </c>
      <c r="H4175" s="61">
        <v>0</v>
      </c>
      <c r="I4175" s="61">
        <v>0</v>
      </c>
      <c r="J4175" s="62">
        <f t="shared" si="26"/>
        <v>-6.34</v>
      </c>
    </row>
    <row r="4176" spans="1:10" x14ac:dyDescent="0.25">
      <c r="A4176" s="20">
        <v>45688</v>
      </c>
      <c r="B4176" t="str">
        <f>IFERROR(IF(VLOOKUP(C4176,Hoja1!$B$1:$C$6191,2,0)="",_xlfn.XLOOKUP(C4176,Hoja1!$B$2:$B$6191,Hoja1!$A$2:$A$6191),VLOOKUP(C4176,Hoja1!$B$1:$C$6191,2,0)),"No esta en Infor")</f>
        <v>CAN0020</v>
      </c>
      <c r="C4176" t="s">
        <v>174</v>
      </c>
      <c r="D4176" s="61">
        <v>5871.96</v>
      </c>
      <c r="F4176" s="61">
        <v>-1842.35</v>
      </c>
      <c r="G4176" s="61">
        <v>0</v>
      </c>
      <c r="H4176" s="61">
        <v>0</v>
      </c>
      <c r="I4176" s="61">
        <v>0</v>
      </c>
      <c r="J4176" s="62">
        <f t="shared" si="26"/>
        <v>4029.61</v>
      </c>
    </row>
    <row r="4177" spans="1:10" x14ac:dyDescent="0.25">
      <c r="A4177" s="20">
        <v>45688</v>
      </c>
      <c r="B4177" t="str">
        <f>IFERROR(IF(VLOOKUP(C4177,Hoja1!$B$1:$C$6191,2,0)="",_xlfn.XLOOKUP(C4177,Hoja1!$B$2:$B$6191,Hoja1!$A$2:$A$6191),VLOOKUP(C4177,Hoja1!$B$1:$C$6191,2,0)),"No esta en Infor")</f>
        <v>NAC0814</v>
      </c>
      <c r="C4177" t="s">
        <v>175</v>
      </c>
      <c r="D4177" s="61">
        <v>26100</v>
      </c>
      <c r="F4177" s="61">
        <v>0</v>
      </c>
      <c r="G4177" s="61">
        <v>0</v>
      </c>
      <c r="H4177" s="61">
        <v>0</v>
      </c>
      <c r="I4177" s="61">
        <v>0</v>
      </c>
      <c r="J4177" s="62">
        <f t="shared" si="26"/>
        <v>26100</v>
      </c>
    </row>
    <row r="4178" spans="1:10" x14ac:dyDescent="0.25">
      <c r="A4178" s="20">
        <v>45688</v>
      </c>
      <c r="B4178" t="str">
        <f>IFERROR(IF(VLOOKUP(C4178,Hoja1!$B$1:$C$6191,2,0)="",_xlfn.XLOOKUP(C4178,Hoja1!$B$2:$B$6191,Hoja1!$A$2:$A$6191),VLOOKUP(C4178,Hoja1!$B$1:$C$6191,2,0)),"No esta en Infor")</f>
        <v>NAC0816</v>
      </c>
      <c r="C4178" t="s">
        <v>176</v>
      </c>
      <c r="D4178" s="61">
        <v>0</v>
      </c>
      <c r="F4178" s="61">
        <v>-31.9</v>
      </c>
      <c r="G4178" s="61">
        <v>0</v>
      </c>
      <c r="H4178" s="61">
        <v>0</v>
      </c>
      <c r="I4178" s="61">
        <v>0</v>
      </c>
      <c r="J4178" s="62">
        <f t="shared" si="26"/>
        <v>-31.9</v>
      </c>
    </row>
    <row r="4179" spans="1:10" x14ac:dyDescent="0.25">
      <c r="A4179" s="20">
        <v>45688</v>
      </c>
      <c r="B4179" t="str">
        <f>IFERROR(IF(VLOOKUP(C4179,Hoja1!$B$1:$C$6191,2,0)="",_xlfn.XLOOKUP(C4179,Hoja1!$B$2:$B$6191,Hoja1!$A$2:$A$6191),VLOOKUP(C4179,Hoja1!$B$1:$C$6191,2,0)),"No esta en Infor")</f>
        <v>CAN0021</v>
      </c>
      <c r="C4179" t="s">
        <v>180</v>
      </c>
      <c r="D4179" s="61">
        <v>497.5</v>
      </c>
      <c r="F4179" s="61">
        <v>0</v>
      </c>
      <c r="G4179" s="61">
        <v>0</v>
      </c>
      <c r="H4179" s="61">
        <v>0</v>
      </c>
      <c r="I4179" s="61">
        <v>0</v>
      </c>
      <c r="J4179" s="62">
        <f t="shared" si="26"/>
        <v>497.5</v>
      </c>
    </row>
    <row r="4180" spans="1:10" x14ac:dyDescent="0.25">
      <c r="A4180" s="20">
        <v>45688</v>
      </c>
      <c r="B4180" t="str">
        <f>IFERROR(IF(VLOOKUP(C4180,Hoja1!$B$1:$C$6191,2,0)="",_xlfn.XLOOKUP(C4180,Hoja1!$B$2:$B$6191,Hoja1!$A$2:$A$6191),VLOOKUP(C4180,Hoja1!$B$1:$C$6191,2,0)),"No esta en Infor")</f>
        <v>NAC0827</v>
      </c>
      <c r="C4180" t="s">
        <v>181</v>
      </c>
      <c r="D4180" s="61">
        <v>1284.8399999999999</v>
      </c>
      <c r="F4180" s="61">
        <v>0</v>
      </c>
      <c r="G4180" s="61">
        <v>0</v>
      </c>
      <c r="H4180" s="61">
        <v>0</v>
      </c>
      <c r="I4180" s="61">
        <v>0</v>
      </c>
      <c r="J4180" s="62">
        <f t="shared" si="26"/>
        <v>1284.8399999999999</v>
      </c>
    </row>
    <row r="4181" spans="1:10" x14ac:dyDescent="0.25">
      <c r="A4181" s="20">
        <v>45688</v>
      </c>
      <c r="B4181" t="str">
        <f>IFERROR(IF(VLOOKUP(C4181,Hoja1!$B$1:$C$6191,2,0)="",_xlfn.XLOOKUP(C4181,Hoja1!$B$2:$B$6191,Hoja1!$A$2:$A$6191),VLOOKUP(C4181,Hoja1!$B$1:$C$6191,2,0)),"No esta en Infor")</f>
        <v>NAC0847</v>
      </c>
      <c r="C4181" t="s">
        <v>184</v>
      </c>
      <c r="D4181" s="61">
        <v>0</v>
      </c>
      <c r="F4181" s="61">
        <v>0</v>
      </c>
      <c r="G4181" s="61">
        <v>0</v>
      </c>
      <c r="H4181" s="61">
        <v>0</v>
      </c>
      <c r="I4181" s="61">
        <v>-1</v>
      </c>
      <c r="J4181" s="62">
        <f t="shared" si="26"/>
        <v>-1</v>
      </c>
    </row>
    <row r="4182" spans="1:10" x14ac:dyDescent="0.25">
      <c r="A4182" s="20">
        <v>45688</v>
      </c>
      <c r="B4182" t="str">
        <f>IFERROR(IF(VLOOKUP(C4182,Hoja1!$B$1:$C$6191,2,0)="",_xlfn.XLOOKUP(C4182,Hoja1!$B$2:$B$6191,Hoja1!$A$2:$A$6191),VLOOKUP(C4182,Hoja1!$B$1:$C$6191,2,0)),"No esta en Infor")</f>
        <v>NAC0849</v>
      </c>
      <c r="C4182" t="s">
        <v>914</v>
      </c>
      <c r="D4182" s="61">
        <v>44.04</v>
      </c>
      <c r="F4182" s="61">
        <v>0</v>
      </c>
      <c r="G4182" s="61">
        <v>0</v>
      </c>
      <c r="H4182" s="61">
        <v>0</v>
      </c>
      <c r="I4182" s="61">
        <v>0</v>
      </c>
      <c r="J4182" s="62">
        <f t="shared" si="26"/>
        <v>44.04</v>
      </c>
    </row>
    <row r="4183" spans="1:10" x14ac:dyDescent="0.25">
      <c r="A4183" s="20">
        <v>45688</v>
      </c>
      <c r="B4183" t="str">
        <f>IFERROR(IF(VLOOKUP(C4183,Hoja1!$B$1:$C$6191,2,0)="",_xlfn.XLOOKUP(C4183,Hoja1!$B$2:$B$6191,Hoja1!$A$2:$A$6191),VLOOKUP(C4183,Hoja1!$B$1:$C$6191,2,0)),"No esta en Infor")</f>
        <v>NAC0851</v>
      </c>
      <c r="C4183" t="s">
        <v>185</v>
      </c>
      <c r="D4183" s="61">
        <v>0</v>
      </c>
      <c r="F4183" s="61">
        <v>0</v>
      </c>
      <c r="G4183" s="61">
        <v>0</v>
      </c>
      <c r="H4183" s="61">
        <v>-75.599999999999994</v>
      </c>
      <c r="I4183" s="61">
        <v>-756</v>
      </c>
      <c r="J4183" s="62">
        <f t="shared" si="26"/>
        <v>-831.6</v>
      </c>
    </row>
    <row r="4184" spans="1:10" x14ac:dyDescent="0.25">
      <c r="A4184" s="20">
        <v>45688</v>
      </c>
      <c r="B4184" t="str">
        <f>IFERROR(IF(VLOOKUP(C4184,Hoja1!$B$1:$C$6191,2,0)="",_xlfn.XLOOKUP(C4184,Hoja1!$B$2:$B$6191,Hoja1!$A$2:$A$6191),VLOOKUP(C4184,Hoja1!$B$1:$C$6191,2,0)),"No esta en Infor")</f>
        <v>NAC0852</v>
      </c>
      <c r="C4184" t="s">
        <v>499</v>
      </c>
      <c r="D4184" s="61">
        <v>273.89999999999998</v>
      </c>
      <c r="F4184" s="61">
        <v>0</v>
      </c>
      <c r="G4184" s="61">
        <v>0</v>
      </c>
      <c r="H4184" s="61">
        <v>0</v>
      </c>
      <c r="I4184" s="61">
        <v>0</v>
      </c>
      <c r="J4184" s="62">
        <f t="shared" si="26"/>
        <v>273.89999999999998</v>
      </c>
    </row>
    <row r="4185" spans="1:10" x14ac:dyDescent="0.25">
      <c r="A4185" s="20">
        <v>45688</v>
      </c>
      <c r="B4185" t="str">
        <f>IFERROR(IF(VLOOKUP(C4185,Hoja1!$B$1:$C$6191,2,0)="",_xlfn.XLOOKUP(C4185,Hoja1!$B$2:$B$6191,Hoja1!$A$2:$A$6191),VLOOKUP(C4185,Hoja1!$B$1:$C$6191,2,0)),"No esta en Infor")</f>
        <v>NAC0855</v>
      </c>
      <c r="C4185" t="s">
        <v>618</v>
      </c>
      <c r="D4185" s="61">
        <v>267.91000000000003</v>
      </c>
      <c r="F4185" s="61">
        <v>0</v>
      </c>
      <c r="G4185" s="61">
        <v>0</v>
      </c>
      <c r="H4185" s="61">
        <v>0</v>
      </c>
      <c r="I4185" s="61">
        <v>0</v>
      </c>
      <c r="J4185" s="62">
        <f t="shared" si="26"/>
        <v>267.91000000000003</v>
      </c>
    </row>
    <row r="4186" spans="1:10" x14ac:dyDescent="0.25">
      <c r="A4186" s="20">
        <v>45688</v>
      </c>
      <c r="B4186" t="str">
        <f>IFERROR(IF(VLOOKUP(C4186,Hoja1!$B$1:$C$6191,2,0)="",_xlfn.XLOOKUP(C4186,Hoja1!$B$2:$B$6191,Hoja1!$A$2:$A$6191),VLOOKUP(C4186,Hoja1!$B$1:$C$6191,2,0)),"No esta en Infor")</f>
        <v>NAC0857</v>
      </c>
      <c r="C4186" t="s">
        <v>915</v>
      </c>
      <c r="D4186" s="61">
        <v>302</v>
      </c>
      <c r="F4186" s="61">
        <v>0</v>
      </c>
      <c r="G4186" s="61">
        <v>0</v>
      </c>
      <c r="H4186" s="61">
        <v>0</v>
      </c>
      <c r="I4186" s="61">
        <v>0</v>
      </c>
      <c r="J4186" s="62">
        <f t="shared" si="26"/>
        <v>302</v>
      </c>
    </row>
    <row r="4187" spans="1:10" x14ac:dyDescent="0.25">
      <c r="A4187" s="20">
        <v>45688</v>
      </c>
      <c r="B4187" t="str">
        <f>IFERROR(IF(VLOOKUP(C4187,Hoja1!$B$1:$C$6191,2,0)="",_xlfn.XLOOKUP(C4187,Hoja1!$B$2:$B$6191,Hoja1!$A$2:$A$6191),VLOOKUP(C4187,Hoja1!$B$1:$C$6191,2,0)),"No esta en Infor")</f>
        <v>NAC0861</v>
      </c>
      <c r="C4187" t="s">
        <v>189</v>
      </c>
      <c r="D4187" s="61">
        <v>0</v>
      </c>
      <c r="F4187" s="61">
        <v>-258</v>
      </c>
      <c r="G4187" s="61">
        <v>0</v>
      </c>
      <c r="H4187" s="61">
        <v>0</v>
      </c>
      <c r="I4187" s="61">
        <v>0</v>
      </c>
      <c r="J4187" s="62">
        <f t="shared" si="26"/>
        <v>-258</v>
      </c>
    </row>
    <row r="4188" spans="1:10" x14ac:dyDescent="0.25">
      <c r="A4188" s="20">
        <v>45688</v>
      </c>
      <c r="B4188" t="str">
        <f>IFERROR(IF(VLOOKUP(C4188,Hoja1!$B$1:$C$6191,2,0)="",_xlfn.XLOOKUP(C4188,Hoja1!$B$2:$B$6191,Hoja1!$A$2:$A$6191),VLOOKUP(C4188,Hoja1!$B$1:$C$6191,2,0)),"No esta en Infor")</f>
        <v>NAC0863</v>
      </c>
      <c r="C4188" t="s">
        <v>398</v>
      </c>
      <c r="D4188" s="61">
        <v>5.95</v>
      </c>
      <c r="F4188" s="61">
        <v>0</v>
      </c>
      <c r="G4188" s="61">
        <v>0</v>
      </c>
      <c r="H4188" s="61">
        <v>-49.92</v>
      </c>
      <c r="I4188" s="61">
        <v>0</v>
      </c>
      <c r="J4188" s="62">
        <f t="shared" si="26"/>
        <v>-43.97</v>
      </c>
    </row>
    <row r="4189" spans="1:10" x14ac:dyDescent="0.25">
      <c r="A4189" s="20">
        <v>45688</v>
      </c>
      <c r="B4189" t="str">
        <f>IFERROR(IF(VLOOKUP(C4189,Hoja1!$B$1:$C$6191,2,0)="",_xlfn.XLOOKUP(C4189,Hoja1!$B$2:$B$6191,Hoja1!$A$2:$A$6191),VLOOKUP(C4189,Hoja1!$B$1:$C$6191,2,0)),"No esta en Infor")</f>
        <v>NAC0864</v>
      </c>
      <c r="C4189" t="s">
        <v>917</v>
      </c>
      <c r="D4189" s="61">
        <v>438</v>
      </c>
      <c r="F4189" s="61">
        <v>0</v>
      </c>
      <c r="G4189" s="61">
        <v>0</v>
      </c>
      <c r="H4189" s="61">
        <v>0</v>
      </c>
      <c r="I4189" s="61">
        <v>0</v>
      </c>
      <c r="J4189" s="62">
        <f t="shared" si="26"/>
        <v>438</v>
      </c>
    </row>
    <row r="4190" spans="1:10" x14ac:dyDescent="0.25">
      <c r="A4190" s="20">
        <v>45688</v>
      </c>
      <c r="B4190" t="str">
        <f>IFERROR(IF(VLOOKUP(C4190,Hoja1!$B$1:$C$6191,2,0)="",_xlfn.XLOOKUP(C4190,Hoja1!$B$2:$B$6191,Hoja1!$A$2:$A$6191),VLOOKUP(C4190,Hoja1!$B$1:$C$6191,2,0)),"No esta en Infor")</f>
        <v>NAC0865</v>
      </c>
      <c r="C4190" t="s">
        <v>23</v>
      </c>
      <c r="D4190" s="61">
        <v>2921.6</v>
      </c>
      <c r="F4190" s="61">
        <v>0</v>
      </c>
      <c r="G4190" s="61">
        <v>0</v>
      </c>
      <c r="H4190" s="61">
        <v>0</v>
      </c>
      <c r="I4190" s="61">
        <v>0</v>
      </c>
      <c r="J4190" s="62">
        <f t="shared" si="26"/>
        <v>2921.6</v>
      </c>
    </row>
    <row r="4191" spans="1:10" x14ac:dyDescent="0.25">
      <c r="A4191" s="20">
        <v>45688</v>
      </c>
      <c r="B4191" t="str">
        <f>IFERROR(IF(VLOOKUP(C4191,Hoja1!$B$1:$C$6191,2,0)="",_xlfn.XLOOKUP(C4191,Hoja1!$B$2:$B$6191,Hoja1!$A$2:$A$6191),VLOOKUP(C4191,Hoja1!$B$1:$C$6191,2,0)),"No esta en Infor")</f>
        <v>NAC0870</v>
      </c>
      <c r="C4191" t="s">
        <v>919</v>
      </c>
      <c r="D4191" s="61">
        <v>5391.47</v>
      </c>
      <c r="F4191" s="61">
        <v>0</v>
      </c>
      <c r="G4191" s="61">
        <v>0</v>
      </c>
      <c r="H4191" s="61">
        <v>0</v>
      </c>
      <c r="I4191" s="61">
        <v>0</v>
      </c>
      <c r="J4191" s="62">
        <f t="shared" si="26"/>
        <v>5391.47</v>
      </c>
    </row>
    <row r="4192" spans="1:10" x14ac:dyDescent="0.25">
      <c r="A4192" s="20">
        <v>45688</v>
      </c>
      <c r="B4192" t="str">
        <f>IFERROR(IF(VLOOKUP(C4192,Hoja1!$B$1:$C$6191,2,0)="",_xlfn.XLOOKUP(C4192,Hoja1!$B$2:$B$6191,Hoja1!$A$2:$A$6191),VLOOKUP(C4192,Hoja1!$B$1:$C$6191,2,0)),"No esta en Infor")</f>
        <v>NAC0871</v>
      </c>
      <c r="C4192" t="s">
        <v>193</v>
      </c>
      <c r="D4192" s="61">
        <v>81106.22</v>
      </c>
      <c r="F4192" s="61">
        <v>0</v>
      </c>
      <c r="G4192" s="61">
        <v>0</v>
      </c>
      <c r="H4192" s="61">
        <v>0</v>
      </c>
      <c r="I4192" s="61">
        <v>0</v>
      </c>
      <c r="J4192" s="62">
        <f t="shared" si="26"/>
        <v>81106.22</v>
      </c>
    </row>
    <row r="4193" spans="1:10" x14ac:dyDescent="0.25">
      <c r="A4193" s="20">
        <v>45688</v>
      </c>
      <c r="B4193" t="str">
        <f>IFERROR(IF(VLOOKUP(C4193,Hoja1!$B$1:$C$6191,2,0)="",_xlfn.XLOOKUP(C4193,Hoja1!$B$2:$B$6191,Hoja1!$A$2:$A$6191),VLOOKUP(C4193,Hoja1!$B$1:$C$6191,2,0)),"No esta en Infor")</f>
        <v>NAC0873</v>
      </c>
      <c r="C4193" t="s">
        <v>455</v>
      </c>
      <c r="D4193" s="61">
        <v>479.65</v>
      </c>
      <c r="F4193" s="61">
        <v>0</v>
      </c>
      <c r="G4193" s="61">
        <v>0</v>
      </c>
      <c r="H4193" s="61">
        <v>0</v>
      </c>
      <c r="I4193" s="61">
        <v>0</v>
      </c>
      <c r="J4193" s="62">
        <f t="shared" si="26"/>
        <v>479.65</v>
      </c>
    </row>
    <row r="4194" spans="1:10" x14ac:dyDescent="0.25">
      <c r="A4194" s="20">
        <v>45688</v>
      </c>
      <c r="B4194" t="str">
        <f>IFERROR(IF(VLOOKUP(C4194,Hoja1!$B$1:$C$6191,2,0)="",_xlfn.XLOOKUP(C4194,Hoja1!$B$2:$B$6191,Hoja1!$A$2:$A$6191),VLOOKUP(C4194,Hoja1!$B$1:$C$6191,2,0)),"No esta en Infor")</f>
        <v>NAC0879</v>
      </c>
      <c r="C4194" t="s">
        <v>194</v>
      </c>
      <c r="D4194" s="61">
        <v>392.15</v>
      </c>
      <c r="F4194" s="61">
        <v>0</v>
      </c>
      <c r="G4194" s="61">
        <v>0</v>
      </c>
      <c r="H4194" s="61">
        <v>-117.9</v>
      </c>
      <c r="I4194" s="61">
        <v>0</v>
      </c>
      <c r="J4194" s="62">
        <f t="shared" si="26"/>
        <v>274.25</v>
      </c>
    </row>
    <row r="4195" spans="1:10" x14ac:dyDescent="0.25">
      <c r="A4195" s="20">
        <v>45688</v>
      </c>
      <c r="B4195" t="str">
        <f>IFERROR(IF(VLOOKUP(C4195,Hoja1!$B$1:$C$6191,2,0)="",_xlfn.XLOOKUP(C4195,Hoja1!$B$2:$B$6191,Hoja1!$A$2:$A$6191),VLOOKUP(C4195,Hoja1!$B$1:$C$6191,2,0)),"No esta en Infor")</f>
        <v>NAC0880</v>
      </c>
      <c r="C4195" t="s">
        <v>24</v>
      </c>
      <c r="D4195" s="61">
        <v>11532.81</v>
      </c>
      <c r="F4195" s="61">
        <v>-142.84</v>
      </c>
      <c r="G4195" s="61">
        <v>0</v>
      </c>
      <c r="H4195" s="61">
        <v>0</v>
      </c>
      <c r="I4195" s="61">
        <v>0</v>
      </c>
      <c r="J4195" s="62">
        <f t="shared" si="26"/>
        <v>11389.97</v>
      </c>
    </row>
    <row r="4196" spans="1:10" x14ac:dyDescent="0.25">
      <c r="A4196" s="20">
        <v>45688</v>
      </c>
      <c r="B4196" t="str">
        <f>IFERROR(IF(VLOOKUP(C4196,Hoja1!$B$1:$C$6191,2,0)="",_xlfn.XLOOKUP(C4196,Hoja1!$B$2:$B$6191,Hoja1!$A$2:$A$6191),VLOOKUP(C4196,Hoja1!$B$1:$C$6191,2,0)),"No esta en Infor")</f>
        <v>NAC0881</v>
      </c>
      <c r="C4196" t="s">
        <v>195</v>
      </c>
      <c r="D4196" s="61">
        <v>40697.57</v>
      </c>
      <c r="F4196" s="61">
        <v>0</v>
      </c>
      <c r="G4196" s="61">
        <v>0</v>
      </c>
      <c r="H4196" s="61">
        <v>0</v>
      </c>
      <c r="I4196" s="61">
        <v>0</v>
      </c>
      <c r="J4196" s="62">
        <f t="shared" si="26"/>
        <v>40697.57</v>
      </c>
    </row>
    <row r="4197" spans="1:10" x14ac:dyDescent="0.25">
      <c r="A4197" s="20">
        <v>45688</v>
      </c>
      <c r="B4197" t="str">
        <f>IFERROR(IF(VLOOKUP(C4197,Hoja1!$B$1:$C$6191,2,0)="",_xlfn.XLOOKUP(C4197,Hoja1!$B$2:$B$6191,Hoja1!$A$2:$A$6191),VLOOKUP(C4197,Hoja1!$B$1:$C$6191,2,0)),"No esta en Infor")</f>
        <v>NAC0888</v>
      </c>
      <c r="C4197" t="s">
        <v>198</v>
      </c>
      <c r="D4197" s="61">
        <v>1000</v>
      </c>
      <c r="F4197" s="61">
        <v>0</v>
      </c>
      <c r="G4197" s="61">
        <v>0</v>
      </c>
      <c r="H4197" s="61">
        <v>0</v>
      </c>
      <c r="I4197" s="61">
        <v>0</v>
      </c>
      <c r="J4197" s="62">
        <f t="shared" si="26"/>
        <v>1000</v>
      </c>
    </row>
    <row r="4198" spans="1:10" x14ac:dyDescent="0.25">
      <c r="A4198" s="20">
        <v>45688</v>
      </c>
      <c r="B4198" t="str">
        <f>IFERROR(IF(VLOOKUP(C4198,Hoja1!$B$1:$C$6191,2,0)="",_xlfn.XLOOKUP(C4198,Hoja1!$B$2:$B$6191,Hoja1!$A$2:$A$6191),VLOOKUP(C4198,Hoja1!$B$1:$C$6191,2,0)),"No esta en Infor")</f>
        <v>NAC1628</v>
      </c>
      <c r="C4198" t="s">
        <v>500</v>
      </c>
      <c r="D4198" s="61">
        <v>711.06</v>
      </c>
      <c r="F4198" s="61">
        <v>0</v>
      </c>
      <c r="G4198" s="61">
        <v>0</v>
      </c>
      <c r="H4198" s="61">
        <v>0</v>
      </c>
      <c r="I4198" s="61">
        <v>0</v>
      </c>
      <c r="J4198" s="62">
        <f t="shared" si="26"/>
        <v>711.06</v>
      </c>
    </row>
    <row r="4199" spans="1:10" x14ac:dyDescent="0.25">
      <c r="A4199" s="20">
        <v>45688</v>
      </c>
      <c r="B4199" t="str">
        <f>IFERROR(IF(VLOOKUP(C4199,Hoja1!$B$1:$C$6191,2,0)="",_xlfn.XLOOKUP(C4199,Hoja1!$B$2:$B$6191,Hoja1!$A$2:$A$6191),VLOOKUP(C4199,Hoja1!$B$1:$C$6191,2,0)),"No esta en Infor")</f>
        <v>NAC0893</v>
      </c>
      <c r="C4199" t="s">
        <v>876</v>
      </c>
      <c r="D4199" s="61">
        <v>72.8</v>
      </c>
      <c r="F4199" s="61">
        <v>0</v>
      </c>
      <c r="G4199" s="61">
        <v>0</v>
      </c>
      <c r="H4199" s="61">
        <v>0</v>
      </c>
      <c r="I4199" s="61">
        <v>0</v>
      </c>
      <c r="J4199" s="62">
        <f t="shared" si="26"/>
        <v>72.8</v>
      </c>
    </row>
    <row r="4200" spans="1:10" x14ac:dyDescent="0.25">
      <c r="A4200" s="20">
        <v>45688</v>
      </c>
      <c r="B4200" t="str">
        <f>IFERROR(IF(VLOOKUP(C4200,Hoja1!$B$1:$C$6191,2,0)="",_xlfn.XLOOKUP(C4200,Hoja1!$B$2:$B$6191,Hoja1!$A$2:$A$6191),VLOOKUP(C4200,Hoja1!$B$1:$C$6191,2,0)),"No esta en Infor")</f>
        <v>NAC0894</v>
      </c>
      <c r="C4200" t="s">
        <v>199</v>
      </c>
      <c r="D4200" s="61">
        <v>9035</v>
      </c>
      <c r="F4200" s="61">
        <v>0</v>
      </c>
      <c r="G4200" s="61">
        <v>-2280</v>
      </c>
      <c r="H4200" s="61">
        <v>0</v>
      </c>
      <c r="I4200" s="61">
        <v>0</v>
      </c>
      <c r="J4200" s="62">
        <f t="shared" si="26"/>
        <v>6755</v>
      </c>
    </row>
    <row r="4201" spans="1:10" x14ac:dyDescent="0.25">
      <c r="A4201" s="20">
        <v>45688</v>
      </c>
      <c r="B4201" t="str">
        <f>IFERROR(IF(VLOOKUP(C4201,Hoja1!$B$1:$C$6191,2,0)="",_xlfn.XLOOKUP(C4201,Hoja1!$B$2:$B$6191,Hoja1!$A$2:$A$6191),VLOOKUP(C4201,Hoja1!$B$1:$C$6191,2,0)),"No esta en Infor")</f>
        <v>NAC0897</v>
      </c>
      <c r="C4201" t="s">
        <v>25</v>
      </c>
      <c r="D4201" s="61">
        <v>2650</v>
      </c>
      <c r="F4201" s="61">
        <v>0</v>
      </c>
      <c r="G4201" s="61">
        <v>0</v>
      </c>
      <c r="H4201" s="61">
        <v>-247.5</v>
      </c>
      <c r="I4201" s="61">
        <v>-56</v>
      </c>
      <c r="J4201" s="62">
        <f t="shared" si="26"/>
        <v>2346.5</v>
      </c>
    </row>
    <row r="4202" spans="1:10" x14ac:dyDescent="0.25">
      <c r="A4202" s="20">
        <v>45688</v>
      </c>
      <c r="B4202" t="str">
        <f>IFERROR(IF(VLOOKUP(C4202,Hoja1!$B$1:$C$6191,2,0)="",_xlfn.XLOOKUP(C4202,Hoja1!$B$2:$B$6191,Hoja1!$A$2:$A$6191),VLOOKUP(C4202,Hoja1!$B$1:$C$6191,2,0)),"No esta en Infor")</f>
        <v>NAC0898</v>
      </c>
      <c r="C4202" t="s">
        <v>200</v>
      </c>
      <c r="D4202" s="61">
        <v>471.11</v>
      </c>
      <c r="F4202" s="61">
        <v>0</v>
      </c>
      <c r="G4202" s="61">
        <v>0</v>
      </c>
      <c r="H4202" s="61">
        <v>0</v>
      </c>
      <c r="I4202" s="61">
        <v>0</v>
      </c>
      <c r="J4202" s="62">
        <f t="shared" si="26"/>
        <v>471.11</v>
      </c>
    </row>
    <row r="4203" spans="1:10" x14ac:dyDescent="0.25">
      <c r="A4203" s="20">
        <v>45688</v>
      </c>
      <c r="B4203" t="str">
        <f>IFERROR(IF(VLOOKUP(C4203,Hoja1!$B$1:$C$6191,2,0)="",_xlfn.XLOOKUP(C4203,Hoja1!$B$2:$B$6191,Hoja1!$A$2:$A$6191),VLOOKUP(C4203,Hoja1!$B$1:$C$6191,2,0)),"No esta en Infor")</f>
        <v>NAC0906</v>
      </c>
      <c r="C4203" t="s">
        <v>456</v>
      </c>
      <c r="D4203" s="61">
        <v>0</v>
      </c>
      <c r="F4203" s="61">
        <v>0</v>
      </c>
      <c r="G4203" s="61">
        <v>0</v>
      </c>
      <c r="H4203" s="61">
        <v>-8.93</v>
      </c>
      <c r="I4203" s="61">
        <v>0</v>
      </c>
      <c r="J4203" s="62">
        <f t="shared" si="26"/>
        <v>-8.93</v>
      </c>
    </row>
    <row r="4204" spans="1:10" x14ac:dyDescent="0.25">
      <c r="A4204" s="20">
        <v>45688</v>
      </c>
      <c r="B4204" t="str">
        <f>IFERROR(IF(VLOOKUP(C4204,Hoja1!$B$1:$C$6191,2,0)="",_xlfn.XLOOKUP(C4204,Hoja1!$B$2:$B$6191,Hoja1!$A$2:$A$6191),VLOOKUP(C4204,Hoja1!$B$1:$C$6191,2,0)),"No esta en Infor")</f>
        <v>CAN0092</v>
      </c>
      <c r="C4204" t="s">
        <v>555</v>
      </c>
      <c r="D4204" s="61">
        <v>0</v>
      </c>
      <c r="F4204" s="61">
        <v>0</v>
      </c>
      <c r="G4204" s="61">
        <v>-508.5</v>
      </c>
      <c r="H4204" s="61">
        <v>0</v>
      </c>
      <c r="I4204" s="61">
        <v>0</v>
      </c>
      <c r="J4204" s="62">
        <f t="shared" si="26"/>
        <v>-508.5</v>
      </c>
    </row>
    <row r="4205" spans="1:10" x14ac:dyDescent="0.25">
      <c r="A4205" s="20">
        <v>45688</v>
      </c>
      <c r="B4205" t="str">
        <f>IFERROR(IF(VLOOKUP(C4205,Hoja1!$B$1:$C$6191,2,0)="",_xlfn.XLOOKUP(C4205,Hoja1!$B$2:$B$6191,Hoja1!$A$2:$A$6191),VLOOKUP(C4205,Hoja1!$B$1:$C$6191,2,0)),"No esta en Infor")</f>
        <v>NAC0909</v>
      </c>
      <c r="C4205" t="s">
        <v>921</v>
      </c>
      <c r="D4205" s="61">
        <v>2225.6</v>
      </c>
      <c r="F4205" s="61">
        <v>0</v>
      </c>
      <c r="G4205" s="61">
        <v>0</v>
      </c>
      <c r="H4205" s="61">
        <v>0</v>
      </c>
      <c r="I4205" s="61">
        <v>0</v>
      </c>
      <c r="J4205" s="62">
        <f t="shared" si="26"/>
        <v>2225.6</v>
      </c>
    </row>
    <row r="4206" spans="1:10" x14ac:dyDescent="0.25">
      <c r="A4206" s="20">
        <v>45688</v>
      </c>
      <c r="B4206" t="str">
        <f>IFERROR(IF(VLOOKUP(C4206,Hoja1!$B$1:$C$6191,2,0)="",_xlfn.XLOOKUP(C4206,Hoja1!$B$2:$B$6191,Hoja1!$A$2:$A$6191),VLOOKUP(C4206,Hoja1!$B$1:$C$6191,2,0)),"No esta en Infor")</f>
        <v>NAC0921</v>
      </c>
      <c r="C4206" t="s">
        <v>923</v>
      </c>
      <c r="D4206" s="61">
        <v>218</v>
      </c>
      <c r="F4206" s="61">
        <v>0</v>
      </c>
      <c r="G4206" s="61">
        <v>0</v>
      </c>
      <c r="H4206" s="61">
        <v>0</v>
      </c>
      <c r="I4206" s="61">
        <v>0</v>
      </c>
      <c r="J4206" s="62">
        <f t="shared" si="26"/>
        <v>218</v>
      </c>
    </row>
    <row r="4207" spans="1:10" x14ac:dyDescent="0.25">
      <c r="A4207" s="20">
        <v>45688</v>
      </c>
      <c r="B4207" t="str">
        <f>IFERROR(IF(VLOOKUP(C4207,Hoja1!$B$1:$C$6191,2,0)="",_xlfn.XLOOKUP(C4207,Hoja1!$B$2:$B$6191,Hoja1!$A$2:$A$6191),VLOOKUP(C4207,Hoja1!$B$1:$C$6191,2,0)),"No esta en Infor")</f>
        <v>NAC0926</v>
      </c>
      <c r="C4207" t="s">
        <v>206</v>
      </c>
      <c r="D4207" s="61">
        <v>1869.03</v>
      </c>
      <c r="F4207" s="61">
        <v>0</v>
      </c>
      <c r="G4207" s="61">
        <v>0</v>
      </c>
      <c r="H4207" s="61">
        <v>0</v>
      </c>
      <c r="I4207" s="61">
        <v>0</v>
      </c>
      <c r="J4207" s="62">
        <f t="shared" si="26"/>
        <v>1869.03</v>
      </c>
    </row>
    <row r="4208" spans="1:10" x14ac:dyDescent="0.25">
      <c r="A4208" s="20">
        <v>45688</v>
      </c>
      <c r="B4208" t="str">
        <f>IFERROR(IF(VLOOKUP(C4208,Hoja1!$B$1:$C$6191,2,0)="",_xlfn.XLOOKUP(C4208,Hoja1!$B$2:$B$6191,Hoja1!$A$2:$A$6191),VLOOKUP(C4208,Hoja1!$B$1:$C$6191,2,0)),"No esta en Infor")</f>
        <v>CAN0027</v>
      </c>
      <c r="C4208" t="s">
        <v>667</v>
      </c>
      <c r="D4208" s="61">
        <v>1186.5</v>
      </c>
      <c r="F4208" s="61">
        <v>0</v>
      </c>
      <c r="G4208" s="61">
        <v>0</v>
      </c>
      <c r="H4208" s="61">
        <v>0</v>
      </c>
      <c r="I4208" s="61">
        <v>0</v>
      </c>
      <c r="J4208" s="62">
        <f t="shared" si="26"/>
        <v>1186.5</v>
      </c>
    </row>
    <row r="4209" spans="1:10" x14ac:dyDescent="0.25">
      <c r="A4209" s="20">
        <v>45688</v>
      </c>
      <c r="B4209" t="str">
        <f>IFERROR(IF(VLOOKUP(C4209,Hoja1!$B$1:$C$6191,2,0)="",_xlfn.XLOOKUP(C4209,Hoja1!$B$2:$B$6191,Hoja1!$A$2:$A$6191),VLOOKUP(C4209,Hoja1!$B$1:$C$6191,2,0)),"No esta en Infor")</f>
        <v>NAC0929</v>
      </c>
      <c r="C4209" t="s">
        <v>207</v>
      </c>
      <c r="D4209" s="61">
        <v>111206.74</v>
      </c>
      <c r="F4209" s="61">
        <v>0</v>
      </c>
      <c r="G4209" s="61">
        <v>0</v>
      </c>
      <c r="H4209" s="61">
        <v>0</v>
      </c>
      <c r="I4209" s="61">
        <v>0</v>
      </c>
      <c r="J4209" s="62">
        <f t="shared" si="26"/>
        <v>111206.74</v>
      </c>
    </row>
    <row r="4210" spans="1:10" x14ac:dyDescent="0.25">
      <c r="A4210" s="20">
        <v>45688</v>
      </c>
      <c r="B4210" t="str">
        <f>IFERROR(IF(VLOOKUP(C4210,Hoja1!$B$1:$C$6191,2,0)="",_xlfn.XLOOKUP(C4210,Hoja1!$B$2:$B$6191,Hoja1!$A$2:$A$6191),VLOOKUP(C4210,Hoja1!$B$1:$C$6191,2,0)),"No esta en Infor")</f>
        <v>NAC0933</v>
      </c>
      <c r="C4210" t="s">
        <v>728</v>
      </c>
      <c r="D4210" s="61">
        <v>2226.5</v>
      </c>
      <c r="F4210" s="61">
        <v>0</v>
      </c>
      <c r="G4210" s="61">
        <v>0</v>
      </c>
      <c r="H4210" s="61">
        <v>0</v>
      </c>
      <c r="I4210" s="61">
        <v>0</v>
      </c>
      <c r="J4210" s="62">
        <f t="shared" si="26"/>
        <v>2226.5</v>
      </c>
    </row>
    <row r="4211" spans="1:10" x14ac:dyDescent="0.25">
      <c r="A4211" s="20">
        <v>45688</v>
      </c>
      <c r="B4211" t="str">
        <f>IFERROR(IF(VLOOKUP(C4211,Hoja1!$B$1:$C$6191,2,0)="",_xlfn.XLOOKUP(C4211,Hoja1!$B$2:$B$6191,Hoja1!$A$2:$A$6191),VLOOKUP(C4211,Hoja1!$B$1:$C$6191,2,0)),"No esta en Infor")</f>
        <v>NAC1607</v>
      </c>
      <c r="C4211" t="s">
        <v>668</v>
      </c>
      <c r="D4211" s="61">
        <v>0</v>
      </c>
      <c r="F4211" s="61">
        <v>-24.18</v>
      </c>
      <c r="G4211" s="61">
        <v>0</v>
      </c>
      <c r="H4211" s="61">
        <v>0</v>
      </c>
      <c r="I4211" s="61">
        <v>0</v>
      </c>
      <c r="J4211" s="62">
        <f t="shared" si="26"/>
        <v>-24.18</v>
      </c>
    </row>
    <row r="4212" spans="1:10" x14ac:dyDescent="0.25">
      <c r="A4212" s="20">
        <v>45688</v>
      </c>
      <c r="B4212" t="str">
        <f>IFERROR(IF(VLOOKUP(C4212,Hoja1!$B$1:$C$6191,2,0)="",_xlfn.XLOOKUP(C4212,Hoja1!$B$2:$B$6191,Hoja1!$A$2:$A$6191),VLOOKUP(C4212,Hoja1!$B$1:$C$6191,2,0)),"No esta en Infor")</f>
        <v>NAC0953</v>
      </c>
      <c r="C4212" t="s">
        <v>28</v>
      </c>
      <c r="D4212" s="61">
        <v>0</v>
      </c>
      <c r="F4212" s="61">
        <v>0</v>
      </c>
      <c r="G4212" s="61">
        <v>-144</v>
      </c>
      <c r="H4212" s="61">
        <v>-308.14999999999998</v>
      </c>
      <c r="I4212" s="61">
        <v>-284.44</v>
      </c>
      <c r="J4212" s="62">
        <f t="shared" si="26"/>
        <v>-736.58999999999992</v>
      </c>
    </row>
    <row r="4213" spans="1:10" x14ac:dyDescent="0.25">
      <c r="A4213" s="20">
        <v>45688</v>
      </c>
      <c r="B4213" t="str">
        <f>IFERROR(IF(VLOOKUP(C4213,Hoja1!$B$1:$C$6191,2,0)="",_xlfn.XLOOKUP(C4213,Hoja1!$B$2:$B$6191,Hoja1!$A$2:$A$6191),VLOOKUP(C4213,Hoja1!$B$1:$C$6191,2,0)),"No esta en Infor")</f>
        <v>NAC0958</v>
      </c>
      <c r="C4213" t="s">
        <v>214</v>
      </c>
      <c r="D4213" s="61">
        <v>699.2</v>
      </c>
      <c r="F4213" s="61">
        <v>0</v>
      </c>
      <c r="G4213" s="61">
        <v>0</v>
      </c>
      <c r="H4213" s="61">
        <v>0</v>
      </c>
      <c r="I4213" s="61">
        <v>0</v>
      </c>
      <c r="J4213" s="62">
        <f t="shared" si="26"/>
        <v>699.2</v>
      </c>
    </row>
    <row r="4214" spans="1:10" x14ac:dyDescent="0.25">
      <c r="A4214" s="20">
        <v>45688</v>
      </c>
      <c r="B4214" t="str">
        <f>IFERROR(IF(VLOOKUP(C4214,Hoja1!$B$1:$C$6191,2,0)="",_xlfn.XLOOKUP(C4214,Hoja1!$B$2:$B$6191,Hoja1!$A$2:$A$6191),VLOOKUP(C4214,Hoja1!$B$1:$C$6191,2,0)),"No esta en Infor")</f>
        <v>NAC0960</v>
      </c>
      <c r="C4214" t="s">
        <v>216</v>
      </c>
      <c r="D4214" s="61">
        <v>2649.96</v>
      </c>
      <c r="F4214" s="61">
        <v>0</v>
      </c>
      <c r="G4214" s="61">
        <v>0</v>
      </c>
      <c r="H4214" s="61">
        <v>0</v>
      </c>
      <c r="I4214" s="61">
        <v>0</v>
      </c>
      <c r="J4214" s="62">
        <f t="shared" si="26"/>
        <v>2649.96</v>
      </c>
    </row>
    <row r="4215" spans="1:10" x14ac:dyDescent="0.25">
      <c r="A4215" s="20">
        <v>45688</v>
      </c>
      <c r="B4215" t="str">
        <f>IFERROR(IF(VLOOKUP(C4215,Hoja1!$B$1:$C$6191,2,0)="",_xlfn.XLOOKUP(C4215,Hoja1!$B$2:$B$6191,Hoja1!$A$2:$A$6191),VLOOKUP(C4215,Hoja1!$B$1:$C$6191,2,0)),"No esta en Infor")</f>
        <v>NAC0963</v>
      </c>
      <c r="C4215" t="s">
        <v>217</v>
      </c>
      <c r="D4215" s="61">
        <v>834</v>
      </c>
      <c r="F4215" s="61">
        <v>0</v>
      </c>
      <c r="G4215" s="61">
        <v>0</v>
      </c>
      <c r="H4215" s="61">
        <v>0</v>
      </c>
      <c r="I4215" s="61">
        <v>0</v>
      </c>
      <c r="J4215" s="62">
        <f t="shared" ref="J4215:J4278" si="27">SUM(D4215:I4215)</f>
        <v>834</v>
      </c>
    </row>
    <row r="4216" spans="1:10" x14ac:dyDescent="0.25">
      <c r="A4216" s="20">
        <v>45688</v>
      </c>
      <c r="B4216" t="str">
        <f>IFERROR(IF(VLOOKUP(C4216,Hoja1!$B$1:$C$6191,2,0)="",_xlfn.XLOOKUP(C4216,Hoja1!$B$2:$B$6191,Hoja1!$A$2:$A$6191),VLOOKUP(C4216,Hoja1!$B$1:$C$6191,2,0)),"No esta en Infor")</f>
        <v>NAC0967</v>
      </c>
      <c r="C4216" t="s">
        <v>780</v>
      </c>
      <c r="D4216" s="61">
        <v>16.059999999999999</v>
      </c>
      <c r="F4216" s="61">
        <v>0</v>
      </c>
      <c r="G4216" s="61">
        <v>0</v>
      </c>
      <c r="H4216" s="61">
        <v>0</v>
      </c>
      <c r="I4216" s="61">
        <v>0</v>
      </c>
      <c r="J4216" s="62">
        <f t="shared" si="27"/>
        <v>16.059999999999999</v>
      </c>
    </row>
    <row r="4217" spans="1:10" x14ac:dyDescent="0.25">
      <c r="A4217" s="20">
        <v>45688</v>
      </c>
      <c r="B4217" t="str">
        <f>IFERROR(IF(VLOOKUP(C4217,Hoja1!$B$1:$C$6191,2,0)="",_xlfn.XLOOKUP(C4217,Hoja1!$B$2:$B$6191,Hoja1!$A$2:$A$6191),VLOOKUP(C4217,Hoja1!$B$1:$C$6191,2,0)),"No esta en Infor")</f>
        <v>NAC0970</v>
      </c>
      <c r="C4217" t="s">
        <v>457</v>
      </c>
      <c r="D4217" s="61">
        <v>1520.12</v>
      </c>
      <c r="F4217" s="61">
        <v>0</v>
      </c>
      <c r="G4217" s="61">
        <v>0</v>
      </c>
      <c r="H4217" s="61">
        <v>0</v>
      </c>
      <c r="I4217" s="61">
        <v>0</v>
      </c>
      <c r="J4217" s="62">
        <f t="shared" si="27"/>
        <v>1520.12</v>
      </c>
    </row>
    <row r="4218" spans="1:10" x14ac:dyDescent="0.25">
      <c r="A4218" s="20">
        <v>45688</v>
      </c>
      <c r="B4218" t="str">
        <f>IFERROR(IF(VLOOKUP(C4218,Hoja1!$B$1:$C$6191,2,0)="",_xlfn.XLOOKUP(C4218,Hoja1!$B$2:$B$6191,Hoja1!$A$2:$A$6191),VLOOKUP(C4218,Hoja1!$B$1:$C$6191,2,0)),"No esta en Infor")</f>
        <v>NAC0971</v>
      </c>
      <c r="C4218" t="s">
        <v>219</v>
      </c>
      <c r="D4218" s="61">
        <v>-95.33</v>
      </c>
      <c r="F4218" s="61">
        <v>-88.24</v>
      </c>
      <c r="G4218" s="61">
        <v>0</v>
      </c>
      <c r="H4218" s="61">
        <v>0</v>
      </c>
      <c r="I4218" s="61">
        <v>0</v>
      </c>
      <c r="J4218" s="62">
        <f t="shared" si="27"/>
        <v>-183.57</v>
      </c>
    </row>
    <row r="4219" spans="1:10" x14ac:dyDescent="0.25">
      <c r="A4219" s="20">
        <v>45688</v>
      </c>
      <c r="B4219" t="str">
        <f>IFERROR(IF(VLOOKUP(C4219,Hoja1!$B$1:$C$6191,2,0)="",_xlfn.XLOOKUP(C4219,Hoja1!$B$2:$B$6191,Hoja1!$A$2:$A$6191),VLOOKUP(C4219,Hoja1!$B$1:$C$6191,2,0)),"No esta en Infor")</f>
        <v>NAC0978</v>
      </c>
      <c r="C4219" t="s">
        <v>502</v>
      </c>
      <c r="D4219" s="61">
        <v>0</v>
      </c>
      <c r="F4219" s="61">
        <v>-9.48</v>
      </c>
      <c r="G4219" s="61">
        <v>0</v>
      </c>
      <c r="H4219" s="61">
        <v>0</v>
      </c>
      <c r="I4219" s="61">
        <v>0</v>
      </c>
      <c r="J4219" s="62">
        <f t="shared" si="27"/>
        <v>-9.48</v>
      </c>
    </row>
    <row r="4220" spans="1:10" x14ac:dyDescent="0.25">
      <c r="A4220" s="20">
        <v>45688</v>
      </c>
      <c r="B4220" t="str">
        <f>IFERROR(IF(VLOOKUP(C4220,Hoja1!$B$1:$C$6191,2,0)="",_xlfn.XLOOKUP(C4220,Hoja1!$B$2:$B$6191,Hoja1!$A$2:$A$6191),VLOOKUP(C4220,Hoja1!$B$1:$C$6191,2,0)),"No esta en Infor")</f>
        <v>NAC0979</v>
      </c>
      <c r="C4220" t="s">
        <v>222</v>
      </c>
      <c r="D4220" s="61">
        <v>4904.26</v>
      </c>
      <c r="F4220" s="61">
        <v>0</v>
      </c>
      <c r="G4220" s="61">
        <v>0</v>
      </c>
      <c r="H4220" s="61">
        <v>0</v>
      </c>
      <c r="I4220" s="61">
        <v>0</v>
      </c>
      <c r="J4220" s="62">
        <f t="shared" si="27"/>
        <v>4904.26</v>
      </c>
    </row>
    <row r="4221" spans="1:10" x14ac:dyDescent="0.25">
      <c r="A4221" s="20">
        <v>45688</v>
      </c>
      <c r="B4221" t="str">
        <f>IFERROR(IF(VLOOKUP(C4221,Hoja1!$B$1:$C$6191,2,0)="",_xlfn.XLOOKUP(C4221,Hoja1!$B$2:$B$6191,Hoja1!$A$2:$A$6191),VLOOKUP(C4221,Hoja1!$B$1:$C$6191,2,0)),"No esta en Infor")</f>
        <v>NAC0995</v>
      </c>
      <c r="C4221" t="s">
        <v>227</v>
      </c>
      <c r="D4221" s="61">
        <v>772.32</v>
      </c>
      <c r="F4221" s="61">
        <v>0</v>
      </c>
      <c r="G4221" s="61">
        <v>0</v>
      </c>
      <c r="H4221" s="61">
        <v>0</v>
      </c>
      <c r="I4221" s="61">
        <v>0</v>
      </c>
      <c r="J4221" s="62">
        <f t="shared" si="27"/>
        <v>772.32</v>
      </c>
    </row>
    <row r="4222" spans="1:10" x14ac:dyDescent="0.25">
      <c r="A4222" s="20">
        <v>45688</v>
      </c>
      <c r="B4222" t="str">
        <f>IFERROR(IF(VLOOKUP(C4222,Hoja1!$B$1:$C$6191,2,0)="",_xlfn.XLOOKUP(C4222,Hoja1!$B$2:$B$6191,Hoja1!$A$2:$A$6191),VLOOKUP(C4222,Hoja1!$B$1:$C$6191,2,0)),"No esta en Infor")</f>
        <v>NAC1000</v>
      </c>
      <c r="C4222" t="s">
        <v>405</v>
      </c>
      <c r="D4222" s="61">
        <v>10.56</v>
      </c>
      <c r="F4222" s="61">
        <v>0</v>
      </c>
      <c r="G4222" s="61">
        <v>0</v>
      </c>
      <c r="H4222" s="61">
        <v>0</v>
      </c>
      <c r="I4222" s="61">
        <v>0</v>
      </c>
      <c r="J4222" s="62">
        <f t="shared" si="27"/>
        <v>10.56</v>
      </c>
    </row>
    <row r="4223" spans="1:10" x14ac:dyDescent="0.25">
      <c r="A4223" s="20">
        <v>45688</v>
      </c>
      <c r="B4223" t="str">
        <f>IFERROR(IF(VLOOKUP(C4223,Hoja1!$B$1:$C$6191,2,0)="",_xlfn.XLOOKUP(C4223,Hoja1!$B$2:$B$6191,Hoja1!$A$2:$A$6191),VLOOKUP(C4223,Hoja1!$B$1:$C$6191,2,0)),"No esta en Infor")</f>
        <v>NAC1007</v>
      </c>
      <c r="C4223" t="s">
        <v>233</v>
      </c>
      <c r="D4223" s="61">
        <v>10233</v>
      </c>
      <c r="F4223" s="61">
        <v>0</v>
      </c>
      <c r="G4223" s="61">
        <v>0</v>
      </c>
      <c r="H4223" s="61">
        <v>0</v>
      </c>
      <c r="I4223" s="61">
        <v>-1440</v>
      </c>
      <c r="J4223" s="62">
        <f t="shared" si="27"/>
        <v>8793</v>
      </c>
    </row>
    <row r="4224" spans="1:10" x14ac:dyDescent="0.25">
      <c r="A4224" s="20">
        <v>45688</v>
      </c>
      <c r="B4224" t="str">
        <f>IFERROR(IF(VLOOKUP(C4224,Hoja1!$B$1:$C$6191,2,0)="",_xlfn.XLOOKUP(C4224,Hoja1!$B$2:$B$6191,Hoja1!$A$2:$A$6191),VLOOKUP(C4224,Hoja1!$B$1:$C$6191,2,0)),"No esta en Infor")</f>
        <v>NAC1013</v>
      </c>
      <c r="C4224" t="s">
        <v>235</v>
      </c>
      <c r="D4224" s="61">
        <v>391.55</v>
      </c>
      <c r="F4224" s="61">
        <v>0</v>
      </c>
      <c r="G4224" s="61">
        <v>0</v>
      </c>
      <c r="H4224" s="61">
        <v>0</v>
      </c>
      <c r="I4224" s="61">
        <v>0</v>
      </c>
      <c r="J4224" s="62">
        <f t="shared" si="27"/>
        <v>391.55</v>
      </c>
    </row>
    <row r="4225" spans="1:10" x14ac:dyDescent="0.25">
      <c r="A4225" s="20">
        <v>45688</v>
      </c>
      <c r="B4225" t="str">
        <f>IFERROR(IF(VLOOKUP(C4225,Hoja1!$B$1:$C$6191,2,0)="",_xlfn.XLOOKUP(C4225,Hoja1!$B$2:$B$6191,Hoja1!$A$2:$A$6191),VLOOKUP(C4225,Hoja1!$B$1:$C$6191,2,0)),"No esta en Infor")</f>
        <v>NAC1018</v>
      </c>
      <c r="C4225" t="s">
        <v>463</v>
      </c>
      <c r="D4225" s="61">
        <v>223.83</v>
      </c>
      <c r="F4225" s="61">
        <v>0</v>
      </c>
      <c r="G4225" s="61">
        <v>0</v>
      </c>
      <c r="H4225" s="61">
        <v>0</v>
      </c>
      <c r="I4225" s="61">
        <v>0</v>
      </c>
      <c r="J4225" s="62">
        <f t="shared" si="27"/>
        <v>223.83</v>
      </c>
    </row>
    <row r="4226" spans="1:10" x14ac:dyDescent="0.25">
      <c r="A4226" s="20">
        <v>45688</v>
      </c>
      <c r="B4226" t="str">
        <f>IFERROR(IF(VLOOKUP(C4226,Hoja1!$B$1:$C$6191,2,0)="",_xlfn.XLOOKUP(C4226,Hoja1!$B$2:$B$6191,Hoja1!$A$2:$A$6191),VLOOKUP(C4226,Hoja1!$B$1:$C$6191,2,0)),"No esta en Infor")</f>
        <v>NAC1021</v>
      </c>
      <c r="C4226" t="s">
        <v>239</v>
      </c>
      <c r="D4226" s="61">
        <v>483.11</v>
      </c>
      <c r="F4226" s="61">
        <v>-5</v>
      </c>
      <c r="G4226" s="61">
        <v>0</v>
      </c>
      <c r="H4226" s="61">
        <v>0</v>
      </c>
      <c r="I4226" s="61">
        <v>0</v>
      </c>
      <c r="J4226" s="62">
        <f t="shared" si="27"/>
        <v>478.11</v>
      </c>
    </row>
    <row r="4227" spans="1:10" x14ac:dyDescent="0.25">
      <c r="A4227" s="20">
        <v>45688</v>
      </c>
      <c r="B4227" t="str">
        <f>IFERROR(IF(VLOOKUP(C4227,Hoja1!$B$1:$C$6191,2,0)="",_xlfn.XLOOKUP(C4227,Hoja1!$B$2:$B$6191,Hoja1!$A$2:$A$6191),VLOOKUP(C4227,Hoja1!$B$1:$C$6191,2,0)),"No esta en Infor")</f>
        <v>NAC1025</v>
      </c>
      <c r="C4227" t="s">
        <v>242</v>
      </c>
      <c r="D4227" s="61">
        <v>1055.26</v>
      </c>
      <c r="F4227" s="61">
        <v>0</v>
      </c>
      <c r="G4227" s="61">
        <v>0</v>
      </c>
      <c r="H4227" s="61">
        <v>0</v>
      </c>
      <c r="I4227" s="61">
        <v>0</v>
      </c>
      <c r="J4227" s="62">
        <f t="shared" si="27"/>
        <v>1055.26</v>
      </c>
    </row>
    <row r="4228" spans="1:10" x14ac:dyDescent="0.25">
      <c r="A4228" s="20">
        <v>45688</v>
      </c>
      <c r="B4228" t="str">
        <f>IFERROR(IF(VLOOKUP(C4228,Hoja1!$B$1:$C$6191,2,0)="",_xlfn.XLOOKUP(C4228,Hoja1!$B$2:$B$6191,Hoja1!$A$2:$A$6191),VLOOKUP(C4228,Hoja1!$B$1:$C$6191,2,0)),"No esta en Infor")</f>
        <v>NAC1027</v>
      </c>
      <c r="C4228" t="s">
        <v>243</v>
      </c>
      <c r="D4228" s="61">
        <v>15299.27</v>
      </c>
      <c r="F4228" s="61">
        <v>0</v>
      </c>
      <c r="G4228" s="61">
        <v>0</v>
      </c>
      <c r="H4228" s="61">
        <v>0</v>
      </c>
      <c r="I4228" s="61">
        <v>-2408</v>
      </c>
      <c r="J4228" s="62">
        <f t="shared" si="27"/>
        <v>12891.27</v>
      </c>
    </row>
    <row r="4229" spans="1:10" x14ac:dyDescent="0.25">
      <c r="A4229" s="20">
        <v>45688</v>
      </c>
      <c r="B4229" t="str">
        <f>IFERROR(IF(VLOOKUP(C4229,Hoja1!$B$1:$C$6191,2,0)="",_xlfn.XLOOKUP(C4229,Hoja1!$B$2:$B$6191,Hoja1!$A$2:$A$6191),VLOOKUP(C4229,Hoja1!$B$1:$C$6191,2,0)),"No esta en Infor")</f>
        <v>NAC1042</v>
      </c>
      <c r="C4229" t="s">
        <v>244</v>
      </c>
      <c r="D4229" s="61">
        <v>11585</v>
      </c>
      <c r="F4229" s="61">
        <v>0</v>
      </c>
      <c r="G4229" s="61">
        <v>0</v>
      </c>
      <c r="H4229" s="61">
        <v>0</v>
      </c>
      <c r="I4229" s="61">
        <v>0</v>
      </c>
      <c r="J4229" s="62">
        <f t="shared" si="27"/>
        <v>11585</v>
      </c>
    </row>
    <row r="4230" spans="1:10" x14ac:dyDescent="0.25">
      <c r="A4230" s="20">
        <v>45688</v>
      </c>
      <c r="B4230" t="str">
        <f>IFERROR(IF(VLOOKUP(C4230,Hoja1!$B$1:$C$6191,2,0)="",_xlfn.XLOOKUP(C4230,Hoja1!$B$2:$B$6191,Hoja1!$A$2:$A$6191),VLOOKUP(C4230,Hoja1!$B$1:$C$6191,2,0)),"No esta en Infor")</f>
        <v>NAC1050</v>
      </c>
      <c r="C4230" t="s">
        <v>880</v>
      </c>
      <c r="D4230" s="61">
        <v>21.98</v>
      </c>
      <c r="F4230" s="61">
        <v>0</v>
      </c>
      <c r="G4230" s="61">
        <v>0</v>
      </c>
      <c r="H4230" s="61">
        <v>0</v>
      </c>
      <c r="I4230" s="61">
        <v>0</v>
      </c>
      <c r="J4230" s="62">
        <f t="shared" si="27"/>
        <v>21.98</v>
      </c>
    </row>
    <row r="4231" spans="1:10" x14ac:dyDescent="0.25">
      <c r="A4231" s="20">
        <v>45688</v>
      </c>
      <c r="B4231" t="str">
        <f>IFERROR(IF(VLOOKUP(C4231,Hoja1!$B$1:$C$6191,2,0)="",_xlfn.XLOOKUP(C4231,Hoja1!$B$2:$B$6191,Hoja1!$A$2:$A$6191),VLOOKUP(C4231,Hoja1!$B$1:$C$6191,2,0)),"No esta en Infor")</f>
        <v>NAC1051</v>
      </c>
      <c r="C4231" t="s">
        <v>246</v>
      </c>
      <c r="D4231" s="61">
        <v>1411.81</v>
      </c>
      <c r="F4231" s="61">
        <v>0</v>
      </c>
      <c r="G4231" s="61">
        <v>0</v>
      </c>
      <c r="H4231" s="61">
        <v>0</v>
      </c>
      <c r="I4231" s="61">
        <v>0</v>
      </c>
      <c r="J4231" s="62">
        <f t="shared" si="27"/>
        <v>1411.81</v>
      </c>
    </row>
    <row r="4232" spans="1:10" x14ac:dyDescent="0.25">
      <c r="A4232" s="20">
        <v>45688</v>
      </c>
      <c r="B4232" t="str">
        <f>IFERROR(IF(VLOOKUP(C4232,Hoja1!$B$1:$C$6191,2,0)="",_xlfn.XLOOKUP(C4232,Hoja1!$B$2:$B$6191,Hoja1!$A$2:$A$6191),VLOOKUP(C4232,Hoja1!$B$1:$C$6191,2,0)),"No esta en Infor")</f>
        <v>NAC1054</v>
      </c>
      <c r="C4232" t="s">
        <v>248</v>
      </c>
      <c r="D4232" s="61">
        <v>2787.04</v>
      </c>
      <c r="F4232" s="61">
        <v>0</v>
      </c>
      <c r="G4232" s="61">
        <v>0</v>
      </c>
      <c r="H4232" s="61">
        <v>0</v>
      </c>
      <c r="I4232" s="61">
        <v>0</v>
      </c>
      <c r="J4232" s="62">
        <f t="shared" si="27"/>
        <v>2787.04</v>
      </c>
    </row>
    <row r="4233" spans="1:10" x14ac:dyDescent="0.25">
      <c r="A4233" s="20">
        <v>45688</v>
      </c>
      <c r="B4233" t="str">
        <f>IFERROR(IF(VLOOKUP(C4233,Hoja1!$B$1:$C$6191,2,0)="",_xlfn.XLOOKUP(C4233,Hoja1!$B$2:$B$6191,Hoja1!$A$2:$A$6191),VLOOKUP(C4233,Hoja1!$B$1:$C$6191,2,0)),"No esta en Infor")</f>
        <v>NAC1056</v>
      </c>
      <c r="C4233" t="s">
        <v>465</v>
      </c>
      <c r="D4233" s="61">
        <v>405</v>
      </c>
      <c r="F4233" s="61">
        <v>0</v>
      </c>
      <c r="G4233" s="61">
        <v>0</v>
      </c>
      <c r="H4233" s="61">
        <v>0</v>
      </c>
      <c r="I4233" s="61">
        <v>0</v>
      </c>
      <c r="J4233" s="62">
        <f t="shared" si="27"/>
        <v>405</v>
      </c>
    </row>
    <row r="4234" spans="1:10" x14ac:dyDescent="0.25">
      <c r="A4234" s="20">
        <v>45688</v>
      </c>
      <c r="B4234" t="str">
        <f>IFERROR(IF(VLOOKUP(C4234,Hoja1!$B$1:$C$6191,2,0)="",_xlfn.XLOOKUP(C4234,Hoja1!$B$2:$B$6191,Hoja1!$A$2:$A$6191),VLOOKUP(C4234,Hoja1!$B$1:$C$6191,2,0)),"No esta en Infor")</f>
        <v>NAC1066</v>
      </c>
      <c r="C4234" t="s">
        <v>407</v>
      </c>
      <c r="D4234" s="61">
        <v>52280.81</v>
      </c>
      <c r="F4234" s="61">
        <v>0</v>
      </c>
      <c r="G4234" s="61">
        <v>0</v>
      </c>
      <c r="H4234" s="61">
        <v>0</v>
      </c>
      <c r="I4234" s="61">
        <v>0</v>
      </c>
      <c r="J4234" s="62">
        <f t="shared" si="27"/>
        <v>52280.81</v>
      </c>
    </row>
    <row r="4235" spans="1:10" x14ac:dyDescent="0.25">
      <c r="A4235" s="20">
        <v>45688</v>
      </c>
      <c r="B4235" t="str">
        <f>IFERROR(IF(VLOOKUP(C4235,Hoja1!$B$1:$C$6191,2,0)="",_xlfn.XLOOKUP(C4235,Hoja1!$B$2:$B$6191,Hoja1!$A$2:$A$6191),VLOOKUP(C4235,Hoja1!$B$1:$C$6191,2,0)),"No esta en Infor")</f>
        <v>NAC1074</v>
      </c>
      <c r="C4235" t="s">
        <v>252</v>
      </c>
      <c r="D4235" s="61">
        <v>333.13</v>
      </c>
      <c r="F4235" s="61">
        <v>0</v>
      </c>
      <c r="G4235" s="61">
        <v>0</v>
      </c>
      <c r="H4235" s="61">
        <v>0</v>
      </c>
      <c r="I4235" s="61">
        <v>0</v>
      </c>
      <c r="J4235" s="62">
        <f t="shared" si="27"/>
        <v>333.13</v>
      </c>
    </row>
    <row r="4236" spans="1:10" x14ac:dyDescent="0.25">
      <c r="A4236" s="20">
        <v>45688</v>
      </c>
      <c r="B4236" t="str">
        <f>IFERROR(IF(VLOOKUP(C4236,Hoja1!$B$1:$C$6191,2,0)="",_xlfn.XLOOKUP(C4236,Hoja1!$B$2:$B$6191,Hoja1!$A$2:$A$6191),VLOOKUP(C4236,Hoja1!$B$1:$C$6191,2,0)),"No esta en Infor")</f>
        <v>NAC1077</v>
      </c>
      <c r="C4236" t="s">
        <v>254</v>
      </c>
      <c r="D4236" s="61">
        <v>4774</v>
      </c>
      <c r="F4236" s="61">
        <v>0</v>
      </c>
      <c r="G4236" s="61">
        <v>0</v>
      </c>
      <c r="H4236" s="61">
        <v>0</v>
      </c>
      <c r="I4236" s="61">
        <v>0</v>
      </c>
      <c r="J4236" s="62">
        <f t="shared" si="27"/>
        <v>4774</v>
      </c>
    </row>
    <row r="4237" spans="1:10" x14ac:dyDescent="0.25">
      <c r="A4237" s="20">
        <v>45688</v>
      </c>
      <c r="B4237" t="str">
        <f>IFERROR(IF(VLOOKUP(C4237,Hoja1!$B$1:$C$6191,2,0)="",_xlfn.XLOOKUP(C4237,Hoja1!$B$2:$B$6191,Hoja1!$A$2:$A$6191),VLOOKUP(C4237,Hoja1!$B$1:$C$6191,2,0)),"No esta en Infor")</f>
        <v>NAC1080</v>
      </c>
      <c r="C4237" t="s">
        <v>684</v>
      </c>
      <c r="D4237" s="61">
        <v>0</v>
      </c>
      <c r="F4237" s="61">
        <v>-18.45</v>
      </c>
      <c r="G4237" s="61">
        <v>0</v>
      </c>
      <c r="H4237" s="61">
        <v>0</v>
      </c>
      <c r="I4237" s="61">
        <v>0</v>
      </c>
      <c r="J4237" s="62">
        <f t="shared" si="27"/>
        <v>-18.45</v>
      </c>
    </row>
    <row r="4238" spans="1:10" x14ac:dyDescent="0.25">
      <c r="A4238" s="20">
        <v>45688</v>
      </c>
      <c r="B4238" t="str">
        <f>IFERROR(IF(VLOOKUP(C4238,Hoja1!$B$1:$C$6191,2,0)="",_xlfn.XLOOKUP(C4238,Hoja1!$B$2:$B$6191,Hoja1!$A$2:$A$6191),VLOOKUP(C4238,Hoja1!$B$1:$C$6191,2,0)),"No esta en Infor")</f>
        <v>CAN0091</v>
      </c>
      <c r="C4238" t="s">
        <v>586</v>
      </c>
      <c r="D4238" s="61">
        <v>0</v>
      </c>
      <c r="F4238" s="61">
        <v>0</v>
      </c>
      <c r="G4238" s="61">
        <v>-646.09</v>
      </c>
      <c r="H4238" s="61">
        <v>0</v>
      </c>
      <c r="I4238" s="61">
        <v>0</v>
      </c>
      <c r="J4238" s="62">
        <f t="shared" si="27"/>
        <v>-646.09</v>
      </c>
    </row>
    <row r="4239" spans="1:10" x14ac:dyDescent="0.25">
      <c r="A4239" s="20">
        <v>45688</v>
      </c>
      <c r="B4239" t="str">
        <f>IFERROR(IF(VLOOKUP(C4239,Hoja1!$B$1:$C$6191,2,0)="",_xlfn.XLOOKUP(C4239,Hoja1!$B$2:$B$6191,Hoja1!$A$2:$A$6191),VLOOKUP(C4239,Hoja1!$B$1:$C$6191,2,0)),"No esta en Infor")</f>
        <v>CAN0036</v>
      </c>
      <c r="C4239" t="s">
        <v>256</v>
      </c>
      <c r="D4239" s="61">
        <v>446.64</v>
      </c>
      <c r="F4239" s="61">
        <v>0</v>
      </c>
      <c r="G4239" s="61">
        <v>0</v>
      </c>
      <c r="H4239" s="61">
        <v>0</v>
      </c>
      <c r="I4239" s="61">
        <v>0</v>
      </c>
      <c r="J4239" s="62">
        <f t="shared" si="27"/>
        <v>446.64</v>
      </c>
    </row>
    <row r="4240" spans="1:10" x14ac:dyDescent="0.25">
      <c r="A4240" s="20">
        <v>45688</v>
      </c>
      <c r="B4240" t="str">
        <f>IFERROR(IF(VLOOKUP(C4240,Hoja1!$B$1:$C$6191,2,0)="",_xlfn.XLOOKUP(C4240,Hoja1!$B$2:$B$6191,Hoja1!$A$2:$A$6191),VLOOKUP(C4240,Hoja1!$B$1:$C$6191,2,0)),"No esta en Infor")</f>
        <v>NAC1083</v>
      </c>
      <c r="C4240" t="s">
        <v>685</v>
      </c>
      <c r="D4240" s="61">
        <v>2499.36</v>
      </c>
      <c r="F4240" s="61">
        <v>-1035</v>
      </c>
      <c r="G4240" s="61">
        <v>0</v>
      </c>
      <c r="H4240" s="61">
        <v>0</v>
      </c>
      <c r="I4240" s="61">
        <v>0</v>
      </c>
      <c r="J4240" s="62">
        <f t="shared" si="27"/>
        <v>1464.3600000000001</v>
      </c>
    </row>
    <row r="4241" spans="1:10" x14ac:dyDescent="0.25">
      <c r="A4241" s="20">
        <v>45688</v>
      </c>
      <c r="B4241" t="str">
        <f>IFERROR(IF(VLOOKUP(C4241,Hoja1!$B$1:$C$6191,2,0)="",_xlfn.XLOOKUP(C4241,Hoja1!$B$2:$B$6191,Hoja1!$A$2:$A$6191),VLOOKUP(C4241,Hoja1!$B$1:$C$6191,2,0)),"No esta en Infor")</f>
        <v>NAC1086</v>
      </c>
      <c r="C4241" t="s">
        <v>258</v>
      </c>
      <c r="D4241" s="61">
        <v>863.97</v>
      </c>
      <c r="F4241" s="61">
        <v>0</v>
      </c>
      <c r="G4241" s="61">
        <v>0</v>
      </c>
      <c r="H4241" s="61">
        <v>0</v>
      </c>
      <c r="I4241" s="61">
        <v>0</v>
      </c>
      <c r="J4241" s="62">
        <f t="shared" si="27"/>
        <v>863.97</v>
      </c>
    </row>
    <row r="4242" spans="1:10" x14ac:dyDescent="0.25">
      <c r="A4242" s="20">
        <v>45688</v>
      </c>
      <c r="B4242" t="str">
        <f>IFERROR(IF(VLOOKUP(C4242,Hoja1!$B$1:$C$6191,2,0)="",_xlfn.XLOOKUP(C4242,Hoja1!$B$2:$B$6191,Hoja1!$A$2:$A$6191),VLOOKUP(C4242,Hoja1!$B$1:$C$6191,2,0)),"No esta en Infor")</f>
        <v>NAC1106</v>
      </c>
      <c r="C4242" t="s">
        <v>259</v>
      </c>
      <c r="D4242" s="61">
        <v>302</v>
      </c>
      <c r="F4242" s="61">
        <v>0</v>
      </c>
      <c r="G4242" s="61">
        <v>0</v>
      </c>
      <c r="H4242" s="61">
        <v>0</v>
      </c>
      <c r="I4242" s="61">
        <v>0</v>
      </c>
      <c r="J4242" s="62">
        <f t="shared" si="27"/>
        <v>302</v>
      </c>
    </row>
    <row r="4243" spans="1:10" x14ac:dyDescent="0.25">
      <c r="A4243" s="20">
        <v>45688</v>
      </c>
      <c r="B4243" t="str">
        <f>IFERROR(IF(VLOOKUP(C4243,Hoja1!$B$1:$C$6191,2,0)="",_xlfn.XLOOKUP(C4243,Hoja1!$B$2:$B$6191,Hoja1!$A$2:$A$6191),VLOOKUP(C4243,Hoja1!$B$1:$C$6191,2,0)),"No esta en Infor")</f>
        <v>NAC1114</v>
      </c>
      <c r="C4243" t="s">
        <v>408</v>
      </c>
      <c r="D4243" s="61">
        <v>673.7</v>
      </c>
      <c r="F4243" s="61">
        <v>0</v>
      </c>
      <c r="G4243" s="61">
        <v>0</v>
      </c>
      <c r="H4243" s="61">
        <v>-196.34</v>
      </c>
      <c r="I4243" s="61">
        <v>0</v>
      </c>
      <c r="J4243" s="62">
        <f t="shared" si="27"/>
        <v>477.36</v>
      </c>
    </row>
    <row r="4244" spans="1:10" x14ac:dyDescent="0.25">
      <c r="A4244" s="20">
        <v>45688</v>
      </c>
      <c r="B4244" t="str">
        <f>IFERROR(IF(VLOOKUP(C4244,Hoja1!$B$1:$C$6191,2,0)="",_xlfn.XLOOKUP(C4244,Hoja1!$B$2:$B$6191,Hoja1!$A$2:$A$6191),VLOOKUP(C4244,Hoja1!$B$1:$C$6191,2,0)),"No esta en Infor")</f>
        <v>NAC1117</v>
      </c>
      <c r="C4244" t="s">
        <v>513</v>
      </c>
      <c r="D4244" s="61">
        <v>970.45</v>
      </c>
      <c r="F4244" s="61">
        <v>0</v>
      </c>
      <c r="G4244" s="61">
        <v>0</v>
      </c>
      <c r="H4244" s="61">
        <v>0</v>
      </c>
      <c r="I4244" s="61">
        <v>0</v>
      </c>
      <c r="J4244" s="62">
        <f t="shared" si="27"/>
        <v>970.45</v>
      </c>
    </row>
    <row r="4245" spans="1:10" x14ac:dyDescent="0.25">
      <c r="A4245" s="20">
        <v>45688</v>
      </c>
      <c r="B4245" t="str">
        <f>IFERROR(IF(VLOOKUP(C4245,Hoja1!$B$1:$C$6191,2,0)="",_xlfn.XLOOKUP(C4245,Hoja1!$B$2:$B$6191,Hoja1!$A$2:$A$6191),VLOOKUP(C4245,Hoja1!$B$1:$C$6191,2,0)),"No esta en Infor")</f>
        <v>NAC1119</v>
      </c>
      <c r="C4245" t="s">
        <v>514</v>
      </c>
      <c r="D4245" s="61">
        <v>1600.81</v>
      </c>
      <c r="F4245" s="61">
        <v>0</v>
      </c>
      <c r="G4245" s="61">
        <v>0</v>
      </c>
      <c r="H4245" s="61">
        <v>0</v>
      </c>
      <c r="I4245" s="61">
        <v>0</v>
      </c>
      <c r="J4245" s="62">
        <f t="shared" si="27"/>
        <v>1600.81</v>
      </c>
    </row>
    <row r="4246" spans="1:10" x14ac:dyDescent="0.25">
      <c r="A4246" s="20">
        <v>45688</v>
      </c>
      <c r="B4246" t="str">
        <f>IFERROR(IF(VLOOKUP(C4246,Hoja1!$B$1:$C$6191,2,0)="",_xlfn.XLOOKUP(C4246,Hoja1!$B$2:$B$6191,Hoja1!$A$2:$A$6191),VLOOKUP(C4246,Hoja1!$B$1:$C$6191,2,0)),"No esta en Infor")</f>
        <v>NAC1123</v>
      </c>
      <c r="C4246" t="s">
        <v>782</v>
      </c>
      <c r="D4246" s="61">
        <v>520</v>
      </c>
      <c r="F4246" s="61">
        <v>0</v>
      </c>
      <c r="G4246" s="61">
        <v>0</v>
      </c>
      <c r="H4246" s="61">
        <v>0</v>
      </c>
      <c r="I4246" s="61">
        <v>0</v>
      </c>
      <c r="J4246" s="62">
        <f t="shared" si="27"/>
        <v>520</v>
      </c>
    </row>
    <row r="4247" spans="1:10" x14ac:dyDescent="0.25">
      <c r="A4247" s="20">
        <v>45688</v>
      </c>
      <c r="B4247" t="str">
        <f>IFERROR(IF(VLOOKUP(C4247,Hoja1!$B$1:$C$6191,2,0)="",_xlfn.XLOOKUP(C4247,Hoja1!$B$2:$B$6191,Hoja1!$A$2:$A$6191),VLOOKUP(C4247,Hoja1!$B$1:$C$6191,2,0)),"No esta en Infor")</f>
        <v>NAC1128</v>
      </c>
      <c r="C4247" t="s">
        <v>263</v>
      </c>
      <c r="D4247" s="61">
        <v>8625</v>
      </c>
      <c r="F4247" s="61">
        <v>0</v>
      </c>
      <c r="G4247" s="61">
        <v>0</v>
      </c>
      <c r="H4247" s="61">
        <v>0</v>
      </c>
      <c r="I4247" s="61">
        <v>0</v>
      </c>
      <c r="J4247" s="62">
        <f t="shared" si="27"/>
        <v>8625</v>
      </c>
    </row>
    <row r="4248" spans="1:10" x14ac:dyDescent="0.25">
      <c r="A4248" s="20">
        <v>45688</v>
      </c>
      <c r="B4248" t="str">
        <f>IFERROR(IF(VLOOKUP(C4248,Hoja1!$B$1:$C$6191,2,0)="",_xlfn.XLOOKUP(C4248,Hoja1!$B$2:$B$6191,Hoja1!$A$2:$A$6191),VLOOKUP(C4248,Hoja1!$B$1:$C$6191,2,0)),"No esta en Infor")</f>
        <v>CAN0038</v>
      </c>
      <c r="C4248" t="s">
        <v>264</v>
      </c>
      <c r="D4248" s="61">
        <v>1640.76</v>
      </c>
      <c r="F4248" s="61">
        <v>-3834.29</v>
      </c>
      <c r="G4248" s="61">
        <v>0</v>
      </c>
      <c r="H4248" s="61">
        <v>0</v>
      </c>
      <c r="I4248" s="61">
        <v>0</v>
      </c>
      <c r="J4248" s="62">
        <f t="shared" si="27"/>
        <v>-2193.5299999999997</v>
      </c>
    </row>
    <row r="4249" spans="1:10" x14ac:dyDescent="0.25">
      <c r="A4249" s="20">
        <v>45688</v>
      </c>
      <c r="B4249" t="str">
        <f>IFERROR(IF(VLOOKUP(C4249,Hoja1!$B$1:$C$6191,2,0)="",_xlfn.XLOOKUP(C4249,Hoja1!$B$2:$B$6191,Hoja1!$A$2:$A$6191),VLOOKUP(C4249,Hoja1!$B$1:$C$6191,2,0)),"No esta en Infor")</f>
        <v>CAN0039</v>
      </c>
      <c r="C4249" t="s">
        <v>265</v>
      </c>
      <c r="D4249" s="61">
        <v>14835.9</v>
      </c>
      <c r="F4249" s="61">
        <v>0</v>
      </c>
      <c r="G4249" s="61">
        <v>0</v>
      </c>
      <c r="H4249" s="61">
        <v>0</v>
      </c>
      <c r="I4249" s="61">
        <v>0</v>
      </c>
      <c r="J4249" s="62">
        <f t="shared" si="27"/>
        <v>14835.9</v>
      </c>
    </row>
    <row r="4250" spans="1:10" x14ac:dyDescent="0.25">
      <c r="A4250" s="20">
        <v>45688</v>
      </c>
      <c r="B4250" t="str">
        <f>IFERROR(IF(VLOOKUP(C4250,Hoja1!$B$1:$C$6191,2,0)="",_xlfn.XLOOKUP(C4250,Hoja1!$B$2:$B$6191,Hoja1!$A$2:$A$6191),VLOOKUP(C4250,Hoja1!$B$1:$C$6191,2,0)),"No esta en Infor")</f>
        <v>NAC1135</v>
      </c>
      <c r="C4250" t="s">
        <v>689</v>
      </c>
      <c r="D4250" s="61">
        <v>0</v>
      </c>
      <c r="F4250" s="61">
        <v>-2038.7</v>
      </c>
      <c r="G4250" s="61">
        <v>0</v>
      </c>
      <c r="H4250" s="61">
        <v>0</v>
      </c>
      <c r="I4250" s="61">
        <v>0</v>
      </c>
      <c r="J4250" s="62">
        <f t="shared" si="27"/>
        <v>-2038.7</v>
      </c>
    </row>
    <row r="4251" spans="1:10" x14ac:dyDescent="0.25">
      <c r="A4251" s="20">
        <v>45688</v>
      </c>
      <c r="B4251" t="str">
        <f>IFERROR(IF(VLOOKUP(C4251,Hoja1!$B$1:$C$6191,2,0)="",_xlfn.XLOOKUP(C4251,Hoja1!$B$2:$B$6191,Hoja1!$A$2:$A$6191),VLOOKUP(C4251,Hoja1!$B$1:$C$6191,2,0)),"No esta en Infor")</f>
        <v>NAC1148</v>
      </c>
      <c r="C4251" t="s">
        <v>270</v>
      </c>
      <c r="D4251" s="61">
        <v>7118.96</v>
      </c>
      <c r="F4251" s="61">
        <v>0</v>
      </c>
      <c r="G4251" s="61">
        <v>0</v>
      </c>
      <c r="H4251" s="61">
        <v>0</v>
      </c>
      <c r="I4251" s="61">
        <v>0</v>
      </c>
      <c r="J4251" s="62">
        <f t="shared" si="27"/>
        <v>7118.96</v>
      </c>
    </row>
    <row r="4252" spans="1:10" x14ac:dyDescent="0.25">
      <c r="A4252" s="20">
        <v>45688</v>
      </c>
      <c r="B4252" t="str">
        <f>IFERROR(IF(VLOOKUP(C4252,Hoja1!$B$1:$C$6191,2,0)="",_xlfn.XLOOKUP(C4252,Hoja1!$B$2:$B$6191,Hoja1!$A$2:$A$6191),VLOOKUP(C4252,Hoja1!$B$1:$C$6191,2,0)),"No esta en Infor")</f>
        <v>NAC1150</v>
      </c>
      <c r="C4252" t="s">
        <v>692</v>
      </c>
      <c r="D4252" s="61">
        <v>6291.16</v>
      </c>
      <c r="F4252" s="61">
        <v>0</v>
      </c>
      <c r="G4252" s="61">
        <v>0</v>
      </c>
      <c r="H4252" s="61">
        <v>0</v>
      </c>
      <c r="I4252" s="61">
        <v>0</v>
      </c>
      <c r="J4252" s="62">
        <f t="shared" si="27"/>
        <v>6291.16</v>
      </c>
    </row>
    <row r="4253" spans="1:10" x14ac:dyDescent="0.25">
      <c r="A4253" s="20">
        <v>45688</v>
      </c>
      <c r="B4253" t="str">
        <f>IFERROR(IF(VLOOKUP(C4253,Hoja1!$B$1:$C$6191,2,0)="",_xlfn.XLOOKUP(C4253,Hoja1!$B$2:$B$6191,Hoja1!$A$2:$A$6191),VLOOKUP(C4253,Hoja1!$B$1:$C$6191,2,0)),"No esta en Infor")</f>
        <v>NAC1151</v>
      </c>
      <c r="C4253" t="s">
        <v>271</v>
      </c>
      <c r="D4253" s="61">
        <v>7093.4</v>
      </c>
      <c r="F4253" s="61">
        <v>0</v>
      </c>
      <c r="G4253" s="61">
        <v>0</v>
      </c>
      <c r="H4253" s="61">
        <v>-1172</v>
      </c>
      <c r="I4253" s="61">
        <v>0</v>
      </c>
      <c r="J4253" s="62">
        <f t="shared" si="27"/>
        <v>5921.4</v>
      </c>
    </row>
    <row r="4254" spans="1:10" x14ac:dyDescent="0.25">
      <c r="A4254" s="20">
        <v>45688</v>
      </c>
      <c r="B4254" t="str">
        <f>IFERROR(IF(VLOOKUP(C4254,Hoja1!$B$1:$C$6191,2,0)="",_xlfn.XLOOKUP(C4254,Hoja1!$B$2:$B$6191,Hoja1!$A$2:$A$6191),VLOOKUP(C4254,Hoja1!$B$1:$C$6191,2,0)),"No esta en Infor")</f>
        <v>NAC1154</v>
      </c>
      <c r="C4254" t="s">
        <v>783</v>
      </c>
      <c r="D4254" s="61">
        <v>152.24</v>
      </c>
      <c r="F4254" s="61">
        <v>0</v>
      </c>
      <c r="G4254" s="61">
        <v>0</v>
      </c>
      <c r="H4254" s="61">
        <v>0</v>
      </c>
      <c r="I4254" s="61">
        <v>0</v>
      </c>
      <c r="J4254" s="62">
        <f t="shared" si="27"/>
        <v>152.24</v>
      </c>
    </row>
    <row r="4255" spans="1:10" x14ac:dyDescent="0.25">
      <c r="A4255" s="20">
        <v>45688</v>
      </c>
      <c r="B4255" t="str">
        <f>IFERROR(IF(VLOOKUP(C4255,Hoja1!$B$1:$C$6191,2,0)="",_xlfn.XLOOKUP(C4255,Hoja1!$B$2:$B$6191,Hoja1!$A$2:$A$6191),VLOOKUP(C4255,Hoja1!$B$1:$C$6191,2,0)),"No esta en Infor")</f>
        <v>NAC1158</v>
      </c>
      <c r="C4255" t="s">
        <v>272</v>
      </c>
      <c r="D4255" s="61">
        <v>1288.8</v>
      </c>
      <c r="F4255" s="61">
        <v>0</v>
      </c>
      <c r="G4255" s="61">
        <v>0</v>
      </c>
      <c r="H4255" s="61">
        <v>0</v>
      </c>
      <c r="I4255" s="61">
        <v>0</v>
      </c>
      <c r="J4255" s="62">
        <f t="shared" si="27"/>
        <v>1288.8</v>
      </c>
    </row>
    <row r="4256" spans="1:10" x14ac:dyDescent="0.25">
      <c r="A4256" s="20">
        <v>45688</v>
      </c>
      <c r="B4256" t="str">
        <f>IFERROR(IF(VLOOKUP(C4256,Hoja1!$B$1:$C$6191,2,0)="",_xlfn.XLOOKUP(C4256,Hoja1!$B$2:$B$6191,Hoja1!$A$2:$A$6191),VLOOKUP(C4256,Hoja1!$B$1:$C$6191,2,0)),"No esta en Infor")</f>
        <v>NAC1604</v>
      </c>
      <c r="C4256" t="s">
        <v>693</v>
      </c>
      <c r="D4256" s="61">
        <v>139755.12</v>
      </c>
      <c r="F4256" s="61">
        <v>0</v>
      </c>
      <c r="G4256" s="61">
        <v>0</v>
      </c>
      <c r="H4256" s="61">
        <v>0</v>
      </c>
      <c r="I4256" s="61">
        <v>0</v>
      </c>
      <c r="J4256" s="62">
        <f t="shared" si="27"/>
        <v>139755.12</v>
      </c>
    </row>
    <row r="4257" spans="1:10" x14ac:dyDescent="0.25">
      <c r="A4257" s="20">
        <v>45688</v>
      </c>
      <c r="B4257" t="str">
        <f>IFERROR(IF(VLOOKUP(C4257,Hoja1!$B$1:$C$6191,2,0)="",_xlfn.XLOOKUP(C4257,Hoja1!$B$2:$B$6191,Hoja1!$A$2:$A$6191),VLOOKUP(C4257,Hoja1!$B$1:$C$6191,2,0)),"No esta en Infor")</f>
        <v>NAC1174</v>
      </c>
      <c r="C4257" t="s">
        <v>279</v>
      </c>
      <c r="D4257" s="61">
        <v>102.96</v>
      </c>
      <c r="F4257" s="61">
        <v>0</v>
      </c>
      <c r="G4257" s="61">
        <v>0</v>
      </c>
      <c r="H4257" s="61">
        <v>0</v>
      </c>
      <c r="I4257" s="61">
        <v>0</v>
      </c>
      <c r="J4257" s="62">
        <f t="shared" si="27"/>
        <v>102.96</v>
      </c>
    </row>
    <row r="4258" spans="1:10" x14ac:dyDescent="0.25">
      <c r="A4258" s="20">
        <v>45688</v>
      </c>
      <c r="B4258" t="str">
        <f>IFERROR(IF(VLOOKUP(C4258,Hoja1!$B$1:$C$6191,2,0)="",_xlfn.XLOOKUP(C4258,Hoja1!$B$2:$B$6191,Hoja1!$A$2:$A$6191),VLOOKUP(C4258,Hoja1!$B$1:$C$6191,2,0)),"No esta en Infor")</f>
        <v>NAC1177</v>
      </c>
      <c r="C4258" t="s">
        <v>566</v>
      </c>
      <c r="D4258" s="61">
        <v>0</v>
      </c>
      <c r="F4258" s="61">
        <v>0</v>
      </c>
      <c r="G4258" s="61">
        <v>-14.41</v>
      </c>
      <c r="H4258" s="61">
        <v>0</v>
      </c>
      <c r="I4258" s="61">
        <v>0</v>
      </c>
      <c r="J4258" s="62">
        <f t="shared" si="27"/>
        <v>-14.41</v>
      </c>
    </row>
    <row r="4259" spans="1:10" x14ac:dyDescent="0.25">
      <c r="A4259" s="20">
        <v>45688</v>
      </c>
      <c r="B4259" t="str">
        <f>IFERROR(IF(VLOOKUP(C4259,Hoja1!$B$1:$C$6191,2,0)="",_xlfn.XLOOKUP(C4259,Hoja1!$B$2:$B$6191,Hoja1!$A$2:$A$6191),VLOOKUP(C4259,Hoja1!$B$1:$C$6191,2,0)),"No esta en Infor")</f>
        <v>NAC1184</v>
      </c>
      <c r="C4259" t="s">
        <v>784</v>
      </c>
      <c r="D4259" s="61">
        <v>-214.83</v>
      </c>
      <c r="F4259" s="61">
        <v>0</v>
      </c>
      <c r="G4259" s="61">
        <v>0</v>
      </c>
      <c r="H4259" s="61">
        <v>0</v>
      </c>
      <c r="I4259" s="61">
        <v>0</v>
      </c>
      <c r="J4259" s="62">
        <f t="shared" si="27"/>
        <v>-214.83</v>
      </c>
    </row>
    <row r="4260" spans="1:10" x14ac:dyDescent="0.25">
      <c r="A4260" s="20">
        <v>45688</v>
      </c>
      <c r="B4260" t="str">
        <f>IFERROR(IF(VLOOKUP(C4260,Hoja1!$B$1:$C$6191,2,0)="",_xlfn.XLOOKUP(C4260,Hoja1!$B$2:$B$6191,Hoja1!$A$2:$A$6191),VLOOKUP(C4260,Hoja1!$B$1:$C$6191,2,0)),"No esta en Infor")</f>
        <v>CAN0048</v>
      </c>
      <c r="C4260" t="s">
        <v>567</v>
      </c>
      <c r="D4260" s="61">
        <v>0</v>
      </c>
      <c r="F4260" s="61">
        <v>0</v>
      </c>
      <c r="G4260" s="61">
        <v>-12463.9</v>
      </c>
      <c r="H4260" s="61">
        <v>0</v>
      </c>
      <c r="I4260" s="61">
        <v>0</v>
      </c>
      <c r="J4260" s="62">
        <f t="shared" si="27"/>
        <v>-12463.9</v>
      </c>
    </row>
    <row r="4261" spans="1:10" x14ac:dyDescent="0.25">
      <c r="A4261" s="20">
        <v>45688</v>
      </c>
      <c r="B4261" t="str">
        <f>IFERROR(IF(VLOOKUP(C4261,Hoja1!$B$1:$C$6191,2,0)="",_xlfn.XLOOKUP(C4261,Hoja1!$B$2:$B$6191,Hoja1!$A$2:$A$6191),VLOOKUP(C4261,Hoja1!$B$1:$C$6191,2,0)),"No esta en Infor")</f>
        <v>NAC1205</v>
      </c>
      <c r="C4261" t="s">
        <v>568</v>
      </c>
      <c r="D4261" s="61">
        <v>0</v>
      </c>
      <c r="F4261" s="61">
        <v>0</v>
      </c>
      <c r="G4261" s="61">
        <v>-316.68</v>
      </c>
      <c r="H4261" s="61">
        <v>0</v>
      </c>
      <c r="I4261" s="61">
        <v>0</v>
      </c>
      <c r="J4261" s="62">
        <f t="shared" si="27"/>
        <v>-316.68</v>
      </c>
    </row>
    <row r="4262" spans="1:10" x14ac:dyDescent="0.25">
      <c r="A4262" s="20">
        <v>45688</v>
      </c>
      <c r="B4262" t="str">
        <f>IFERROR(IF(VLOOKUP(C4262,Hoja1!$B$1:$C$6191,2,0)="",_xlfn.XLOOKUP(C4262,Hoja1!$B$2:$B$6191,Hoja1!$A$2:$A$6191),VLOOKUP(C4262,Hoja1!$B$1:$C$6191,2,0)),"No esta en Infor")</f>
        <v>NAC1211</v>
      </c>
      <c r="C4262" t="s">
        <v>284</v>
      </c>
      <c r="D4262" s="61">
        <v>335845.75</v>
      </c>
      <c r="F4262" s="61">
        <v>0</v>
      </c>
      <c r="G4262" s="61">
        <v>0</v>
      </c>
      <c r="H4262" s="61">
        <v>0</v>
      </c>
      <c r="I4262" s="61">
        <v>0</v>
      </c>
      <c r="J4262" s="62">
        <f t="shared" si="27"/>
        <v>335845.75</v>
      </c>
    </row>
    <row r="4263" spans="1:10" x14ac:dyDescent="0.25">
      <c r="A4263" s="20">
        <v>45688</v>
      </c>
      <c r="B4263" t="str">
        <f>IFERROR(IF(VLOOKUP(C4263,Hoja1!$B$1:$C$6191,2,0)="",_xlfn.XLOOKUP(C4263,Hoja1!$B$2:$B$6191,Hoja1!$A$2:$A$6191),VLOOKUP(C4263,Hoja1!$B$1:$C$6191,2,0)),"No esta en Infor")</f>
        <v>NAC1212</v>
      </c>
      <c r="C4263" t="s">
        <v>285</v>
      </c>
      <c r="D4263" s="61">
        <v>16097.6</v>
      </c>
      <c r="F4263" s="61">
        <v>0</v>
      </c>
      <c r="G4263" s="61">
        <v>0</v>
      </c>
      <c r="H4263" s="61">
        <v>0</v>
      </c>
      <c r="I4263" s="61">
        <v>0</v>
      </c>
      <c r="J4263" s="62">
        <f t="shared" si="27"/>
        <v>16097.6</v>
      </c>
    </row>
    <row r="4264" spans="1:10" x14ac:dyDescent="0.25">
      <c r="A4264" s="20">
        <v>45688</v>
      </c>
      <c r="B4264" t="str">
        <f>IFERROR(IF(VLOOKUP(C4264,Hoja1!$B$1:$C$6191,2,0)="",_xlfn.XLOOKUP(C4264,Hoja1!$B$2:$B$6191,Hoja1!$A$2:$A$6191),VLOOKUP(C4264,Hoja1!$B$1:$C$6191,2,0)),"No esta en Infor")</f>
        <v>NAC1218</v>
      </c>
      <c r="C4264" t="s">
        <v>474</v>
      </c>
      <c r="D4264" s="61">
        <v>2264.9</v>
      </c>
      <c r="F4264" s="61">
        <v>0</v>
      </c>
      <c r="G4264" s="61">
        <v>0</v>
      </c>
      <c r="H4264" s="61">
        <v>0</v>
      </c>
      <c r="I4264" s="61">
        <v>0</v>
      </c>
      <c r="J4264" s="62">
        <f t="shared" si="27"/>
        <v>2264.9</v>
      </c>
    </row>
    <row r="4265" spans="1:10" x14ac:dyDescent="0.25">
      <c r="A4265" s="20">
        <v>45688</v>
      </c>
      <c r="B4265" t="str">
        <f>IFERROR(IF(VLOOKUP(C4265,Hoja1!$B$1:$C$6191,2,0)="",_xlfn.XLOOKUP(C4265,Hoja1!$B$2:$B$6191,Hoja1!$A$2:$A$6191),VLOOKUP(C4265,Hoja1!$B$1:$C$6191,2,0)),"No esta en Infor")</f>
        <v>NAC1219</v>
      </c>
      <c r="C4265" t="s">
        <v>475</v>
      </c>
      <c r="D4265" s="61">
        <v>0</v>
      </c>
      <c r="F4265" s="61">
        <v>0</v>
      </c>
      <c r="G4265" s="61">
        <v>0</v>
      </c>
      <c r="H4265" s="61">
        <v>-299.55</v>
      </c>
      <c r="I4265" s="61">
        <v>0</v>
      </c>
      <c r="J4265" s="62">
        <f t="shared" si="27"/>
        <v>-299.55</v>
      </c>
    </row>
    <row r="4266" spans="1:10" x14ac:dyDescent="0.25">
      <c r="A4266" s="20">
        <v>45688</v>
      </c>
      <c r="B4266" t="str">
        <f>IFERROR(IF(VLOOKUP(C4266,Hoja1!$B$1:$C$6191,2,0)="",_xlfn.XLOOKUP(C4266,Hoja1!$B$2:$B$6191,Hoja1!$A$2:$A$6191),VLOOKUP(C4266,Hoja1!$B$1:$C$6191,2,0)),"No esta en Infor")</f>
        <v>CAN0049</v>
      </c>
      <c r="C4266" t="s">
        <v>289</v>
      </c>
      <c r="D4266" s="61">
        <v>13257.9</v>
      </c>
      <c r="F4266" s="61">
        <v>-660.04</v>
      </c>
      <c r="G4266" s="61">
        <v>0</v>
      </c>
      <c r="H4266" s="61">
        <v>0</v>
      </c>
      <c r="I4266" s="61">
        <v>0</v>
      </c>
      <c r="J4266" s="62">
        <f t="shared" si="27"/>
        <v>12597.86</v>
      </c>
    </row>
    <row r="4267" spans="1:10" x14ac:dyDescent="0.25">
      <c r="A4267" s="20">
        <v>45688</v>
      </c>
      <c r="B4267" t="str">
        <f>IFERROR(IF(VLOOKUP(C4267,Hoja1!$B$1:$C$6191,2,0)="",_xlfn.XLOOKUP(C4267,Hoja1!$B$2:$B$6191,Hoja1!$A$2:$A$6191),VLOOKUP(C4267,Hoja1!$B$1:$C$6191,2,0)),"No esta en Infor")</f>
        <v>NAC1229</v>
      </c>
      <c r="C4267" t="s">
        <v>418</v>
      </c>
      <c r="D4267" s="61">
        <v>136.5</v>
      </c>
      <c r="F4267" s="61">
        <v>0</v>
      </c>
      <c r="G4267" s="61">
        <v>0</v>
      </c>
      <c r="H4267" s="61">
        <v>0</v>
      </c>
      <c r="I4267" s="61">
        <v>0</v>
      </c>
      <c r="J4267" s="62">
        <f t="shared" si="27"/>
        <v>136.5</v>
      </c>
    </row>
    <row r="4268" spans="1:10" x14ac:dyDescent="0.25">
      <c r="A4268" s="20">
        <v>45688</v>
      </c>
      <c r="B4268" t="str">
        <f>IFERROR(IF(VLOOKUP(C4268,Hoja1!$B$1:$C$6191,2,0)="",_xlfn.XLOOKUP(C4268,Hoja1!$B$2:$B$6191,Hoja1!$A$2:$A$6191),VLOOKUP(C4268,Hoja1!$B$1:$C$6191,2,0)),"No esta en Infor")</f>
        <v>NAC1231</v>
      </c>
      <c r="C4268" t="s">
        <v>290</v>
      </c>
      <c r="D4268" s="61">
        <v>39335.1</v>
      </c>
      <c r="F4268" s="61">
        <v>0</v>
      </c>
      <c r="G4268" s="61">
        <v>0</v>
      </c>
      <c r="H4268" s="61">
        <v>0</v>
      </c>
      <c r="I4268" s="61">
        <v>0</v>
      </c>
      <c r="J4268" s="62">
        <f t="shared" si="27"/>
        <v>39335.1</v>
      </c>
    </row>
    <row r="4269" spans="1:10" x14ac:dyDescent="0.25">
      <c r="A4269" s="20">
        <v>45688</v>
      </c>
      <c r="B4269" t="str">
        <f>IFERROR(IF(VLOOKUP(C4269,Hoja1!$B$1:$C$6191,2,0)="",_xlfn.XLOOKUP(C4269,Hoja1!$B$2:$B$6191,Hoja1!$A$2:$A$6191),VLOOKUP(C4269,Hoja1!$B$1:$C$6191,2,0)),"No esta en Infor")</f>
        <v>CAN0050</v>
      </c>
      <c r="C4269" t="s">
        <v>291</v>
      </c>
      <c r="D4269" s="61">
        <v>182262.36</v>
      </c>
      <c r="F4269" s="61">
        <v>0</v>
      </c>
      <c r="G4269" s="61">
        <v>0</v>
      </c>
      <c r="H4269" s="61">
        <v>0</v>
      </c>
      <c r="I4269" s="61">
        <v>0</v>
      </c>
      <c r="J4269" s="62">
        <f t="shared" si="27"/>
        <v>182262.36</v>
      </c>
    </row>
    <row r="4270" spans="1:10" x14ac:dyDescent="0.25">
      <c r="A4270" s="20">
        <v>45688</v>
      </c>
      <c r="B4270" t="str">
        <f>IFERROR(IF(VLOOKUP(C4270,Hoja1!$B$1:$C$6191,2,0)="",_xlfn.XLOOKUP(C4270,Hoja1!$B$2:$B$6191,Hoja1!$A$2:$A$6191),VLOOKUP(C4270,Hoja1!$B$1:$C$6191,2,0)),"No esta en Infor")</f>
        <v>NAC1234</v>
      </c>
      <c r="C4270" t="s">
        <v>293</v>
      </c>
      <c r="D4270" s="61">
        <v>100</v>
      </c>
      <c r="F4270" s="61">
        <v>0</v>
      </c>
      <c r="G4270" s="61">
        <v>0</v>
      </c>
      <c r="H4270" s="61">
        <v>0</v>
      </c>
      <c r="I4270" s="61">
        <v>0</v>
      </c>
      <c r="J4270" s="62">
        <f t="shared" si="27"/>
        <v>100</v>
      </c>
    </row>
    <row r="4271" spans="1:10" x14ac:dyDescent="0.25">
      <c r="A4271" s="20">
        <v>45688</v>
      </c>
      <c r="B4271" t="str">
        <f>IFERROR(IF(VLOOKUP(C4271,Hoja1!$B$1:$C$6191,2,0)="",_xlfn.XLOOKUP(C4271,Hoja1!$B$2:$B$6191,Hoja1!$A$2:$A$6191),VLOOKUP(C4271,Hoja1!$B$1:$C$6191,2,0)),"No esta en Infor")</f>
        <v>NAC1241</v>
      </c>
      <c r="C4271" t="s">
        <v>295</v>
      </c>
      <c r="D4271" s="61">
        <v>63342.36</v>
      </c>
      <c r="F4271" s="61">
        <v>0</v>
      </c>
      <c r="G4271" s="61">
        <v>0</v>
      </c>
      <c r="H4271" s="61">
        <v>0</v>
      </c>
      <c r="I4271" s="61">
        <v>0</v>
      </c>
      <c r="J4271" s="62">
        <f t="shared" si="27"/>
        <v>63342.36</v>
      </c>
    </row>
    <row r="4272" spans="1:10" x14ac:dyDescent="0.25">
      <c r="A4272" s="20">
        <v>45688</v>
      </c>
      <c r="B4272" t="str">
        <f>IFERROR(IF(VLOOKUP(C4272,Hoja1!$B$1:$C$6191,2,0)="",_xlfn.XLOOKUP(C4272,Hoja1!$B$2:$B$6191,Hoja1!$A$2:$A$6191),VLOOKUP(C4272,Hoja1!$B$1:$C$6191,2,0)),"No esta en Infor")</f>
        <v>NAC1247</v>
      </c>
      <c r="C4272" t="s">
        <v>298</v>
      </c>
      <c r="D4272" s="61">
        <v>19972.72</v>
      </c>
      <c r="F4272" s="61">
        <v>0</v>
      </c>
      <c r="G4272" s="61">
        <v>0</v>
      </c>
      <c r="H4272" s="61">
        <v>0</v>
      </c>
      <c r="I4272" s="61">
        <v>0</v>
      </c>
      <c r="J4272" s="62">
        <f t="shared" si="27"/>
        <v>19972.72</v>
      </c>
    </row>
    <row r="4273" spans="1:10" x14ac:dyDescent="0.25">
      <c r="A4273" s="20">
        <v>45688</v>
      </c>
      <c r="B4273" t="str">
        <f>IFERROR(IF(VLOOKUP(C4273,Hoja1!$B$1:$C$6191,2,0)="",_xlfn.XLOOKUP(C4273,Hoja1!$B$2:$B$6191,Hoja1!$A$2:$A$6191),VLOOKUP(C4273,Hoja1!$B$1:$C$6191,2,0)),"No esta en Infor")</f>
        <v>CAN0051</v>
      </c>
      <c r="C4273" t="s">
        <v>299</v>
      </c>
      <c r="D4273" s="61">
        <v>0</v>
      </c>
      <c r="F4273" s="61">
        <v>0</v>
      </c>
      <c r="G4273" s="61">
        <v>0</v>
      </c>
      <c r="H4273" s="61">
        <v>0</v>
      </c>
      <c r="I4273" s="61">
        <v>-0.34</v>
      </c>
      <c r="J4273" s="62">
        <f t="shared" si="27"/>
        <v>-0.34</v>
      </c>
    </row>
    <row r="4274" spans="1:10" x14ac:dyDescent="0.25">
      <c r="A4274" s="20">
        <v>45688</v>
      </c>
      <c r="B4274" t="str">
        <f>IFERROR(IF(VLOOKUP(C4274,Hoja1!$B$1:$C$6191,2,0)="",_xlfn.XLOOKUP(C4274,Hoja1!$B$2:$B$6191,Hoja1!$A$2:$A$6191),VLOOKUP(C4274,Hoja1!$B$1:$C$6191,2,0)),"No esta en Infor")</f>
        <v>NAC1249</v>
      </c>
      <c r="C4274" t="s">
        <v>300</v>
      </c>
      <c r="D4274" s="61">
        <v>94021.48</v>
      </c>
      <c r="F4274" s="61">
        <v>0</v>
      </c>
      <c r="G4274" s="61">
        <v>0</v>
      </c>
      <c r="H4274" s="61">
        <v>0</v>
      </c>
      <c r="I4274" s="61">
        <v>-17.760000000000002</v>
      </c>
      <c r="J4274" s="62">
        <f t="shared" si="27"/>
        <v>94003.72</v>
      </c>
    </row>
    <row r="4275" spans="1:10" x14ac:dyDescent="0.25">
      <c r="A4275" s="20">
        <v>45688</v>
      </c>
      <c r="B4275" t="str">
        <f>IFERROR(IF(VLOOKUP(C4275,Hoja1!$B$1:$C$6191,2,0)="",_xlfn.XLOOKUP(C4275,Hoja1!$B$2:$B$6191,Hoja1!$A$2:$A$6191),VLOOKUP(C4275,Hoja1!$B$1:$C$6191,2,0)),"No esta en Infor")</f>
        <v>NAC1251</v>
      </c>
      <c r="C4275" t="s">
        <v>519</v>
      </c>
      <c r="D4275" s="61">
        <v>1415.61</v>
      </c>
      <c r="F4275" s="61">
        <v>0</v>
      </c>
      <c r="G4275" s="61">
        <v>0</v>
      </c>
      <c r="H4275" s="61">
        <v>0</v>
      </c>
      <c r="I4275" s="61">
        <v>0</v>
      </c>
      <c r="J4275" s="62">
        <f t="shared" si="27"/>
        <v>1415.61</v>
      </c>
    </row>
    <row r="4276" spans="1:10" x14ac:dyDescent="0.25">
      <c r="A4276" s="20">
        <v>45688</v>
      </c>
      <c r="B4276" t="str">
        <f>IFERROR(IF(VLOOKUP(C4276,Hoja1!$B$1:$C$6191,2,0)="",_xlfn.XLOOKUP(C4276,Hoja1!$B$2:$B$6191,Hoja1!$A$2:$A$6191),VLOOKUP(C4276,Hoja1!$B$1:$C$6191,2,0)),"No esta en Infor")</f>
        <v>NAC1615</v>
      </c>
      <c r="C4276" t="s">
        <v>520</v>
      </c>
      <c r="D4276" s="61">
        <v>0</v>
      </c>
      <c r="F4276" s="61">
        <v>0</v>
      </c>
      <c r="G4276" s="61">
        <v>-17.64</v>
      </c>
      <c r="H4276" s="61">
        <v>-234.36</v>
      </c>
      <c r="I4276" s="61">
        <v>0</v>
      </c>
      <c r="J4276" s="62">
        <f t="shared" si="27"/>
        <v>-252</v>
      </c>
    </row>
    <row r="4277" spans="1:10" x14ac:dyDescent="0.25">
      <c r="A4277" s="20">
        <v>45688</v>
      </c>
      <c r="B4277" t="str">
        <f>IFERROR(IF(VLOOKUP(C4277,Hoja1!$B$1:$C$6191,2,0)="",_xlfn.XLOOKUP(C4277,Hoja1!$B$2:$B$6191,Hoja1!$A$2:$A$6191),VLOOKUP(C4277,Hoja1!$B$1:$C$6191,2,0)),"No esta en Infor")</f>
        <v>CAN0053</v>
      </c>
      <c r="C4277" t="s">
        <v>302</v>
      </c>
      <c r="D4277" s="61">
        <v>109952.87</v>
      </c>
      <c r="F4277" s="61">
        <v>0</v>
      </c>
      <c r="G4277" s="61">
        <v>0</v>
      </c>
      <c r="H4277" s="61">
        <v>0</v>
      </c>
      <c r="I4277" s="61">
        <v>0</v>
      </c>
      <c r="J4277" s="62">
        <f t="shared" si="27"/>
        <v>109952.87</v>
      </c>
    </row>
    <row r="4278" spans="1:10" x14ac:dyDescent="0.25">
      <c r="A4278" s="20">
        <v>45688</v>
      </c>
      <c r="B4278" t="str">
        <f>IFERROR(IF(VLOOKUP(C4278,Hoja1!$B$1:$C$6191,2,0)="",_xlfn.XLOOKUP(C4278,Hoja1!$B$2:$B$6191,Hoja1!$A$2:$A$6191),VLOOKUP(C4278,Hoja1!$B$1:$C$6191,2,0)),"No esta en Infor")</f>
        <v>NAC1260</v>
      </c>
      <c r="C4278" t="s">
        <v>571</v>
      </c>
      <c r="D4278" s="61">
        <v>96.96</v>
      </c>
      <c r="F4278" s="61">
        <v>0</v>
      </c>
      <c r="G4278" s="61">
        <v>-19694.63</v>
      </c>
      <c r="H4278" s="61">
        <v>0</v>
      </c>
      <c r="I4278" s="61">
        <v>0</v>
      </c>
      <c r="J4278" s="62">
        <f t="shared" si="27"/>
        <v>-19597.670000000002</v>
      </c>
    </row>
    <row r="4279" spans="1:10" x14ac:dyDescent="0.25">
      <c r="A4279" s="20">
        <v>45688</v>
      </c>
      <c r="B4279" t="str">
        <f>IFERROR(IF(VLOOKUP(C4279,Hoja1!$B$1:$C$6191,2,0)="",_xlfn.XLOOKUP(C4279,Hoja1!$B$2:$B$6191,Hoja1!$A$2:$A$6191),VLOOKUP(C4279,Hoja1!$B$1:$C$6191,2,0)),"No esta en Infor")</f>
        <v>NAC1261</v>
      </c>
      <c r="C4279" t="s">
        <v>303</v>
      </c>
      <c r="D4279" s="61">
        <v>1323</v>
      </c>
      <c r="F4279" s="61">
        <v>0</v>
      </c>
      <c r="G4279" s="61">
        <v>0</v>
      </c>
      <c r="H4279" s="61">
        <v>0</v>
      </c>
      <c r="I4279" s="61">
        <v>0</v>
      </c>
      <c r="J4279" s="62">
        <f t="shared" ref="J4279:J4342" si="28">SUM(D4279:I4279)</f>
        <v>1323</v>
      </c>
    </row>
    <row r="4280" spans="1:10" x14ac:dyDescent="0.25">
      <c r="A4280" s="20">
        <v>45688</v>
      </c>
      <c r="B4280" t="str">
        <f>IFERROR(IF(VLOOKUP(C4280,Hoja1!$B$1:$C$6191,2,0)="",_xlfn.XLOOKUP(C4280,Hoja1!$B$2:$B$6191,Hoja1!$A$2:$A$6191),VLOOKUP(C4280,Hoja1!$B$1:$C$6191,2,0)),"No esta en Infor")</f>
        <v>NAC1288</v>
      </c>
      <c r="C4280" t="s">
        <v>787</v>
      </c>
      <c r="D4280" s="61">
        <v>44</v>
      </c>
      <c r="F4280" s="61">
        <v>0</v>
      </c>
      <c r="G4280" s="61">
        <v>0</v>
      </c>
      <c r="H4280" s="61">
        <v>0</v>
      </c>
      <c r="I4280" s="61">
        <v>0</v>
      </c>
      <c r="J4280" s="62">
        <f t="shared" si="28"/>
        <v>44</v>
      </c>
    </row>
    <row r="4281" spans="1:10" x14ac:dyDescent="0.25">
      <c r="A4281" s="20">
        <v>45688</v>
      </c>
      <c r="B4281" t="str">
        <f>IFERROR(IF(VLOOKUP(C4281,Hoja1!$B$1:$C$6191,2,0)="",_xlfn.XLOOKUP(C4281,Hoja1!$B$2:$B$6191,Hoja1!$A$2:$A$6191),VLOOKUP(C4281,Hoja1!$B$1:$C$6191,2,0)),"No esta en Infor")</f>
        <v>NAC1292</v>
      </c>
      <c r="C4281" t="s">
        <v>46</v>
      </c>
      <c r="D4281" s="61">
        <v>27188.5</v>
      </c>
      <c r="F4281" s="61">
        <v>0</v>
      </c>
      <c r="G4281" s="61">
        <v>0</v>
      </c>
      <c r="H4281" s="61">
        <v>0</v>
      </c>
      <c r="I4281" s="61">
        <v>0</v>
      </c>
      <c r="J4281" s="62">
        <f t="shared" si="28"/>
        <v>27188.5</v>
      </c>
    </row>
    <row r="4282" spans="1:10" x14ac:dyDescent="0.25">
      <c r="A4282" s="20">
        <v>45688</v>
      </c>
      <c r="B4282" t="str">
        <f>IFERROR(IF(VLOOKUP(C4282,Hoja1!$B$1:$C$6191,2,0)="",_xlfn.XLOOKUP(C4282,Hoja1!$B$2:$B$6191,Hoja1!$A$2:$A$6191),VLOOKUP(C4282,Hoja1!$B$1:$C$6191,2,0)),"No esta en Infor")</f>
        <v>CAN0056</v>
      </c>
      <c r="C4282" t="s">
        <v>590</v>
      </c>
      <c r="D4282" s="61">
        <v>2027.22</v>
      </c>
      <c r="F4282" s="61">
        <v>0</v>
      </c>
      <c r="G4282" s="61">
        <v>0</v>
      </c>
      <c r="H4282" s="61">
        <v>0</v>
      </c>
      <c r="I4282" s="61">
        <v>0</v>
      </c>
      <c r="J4282" s="62">
        <f t="shared" si="28"/>
        <v>2027.22</v>
      </c>
    </row>
    <row r="4283" spans="1:10" x14ac:dyDescent="0.25">
      <c r="A4283" s="20">
        <v>45688</v>
      </c>
      <c r="B4283" t="str">
        <f>IFERROR(IF(VLOOKUP(C4283,Hoja1!$B$1:$C$6191,2,0)="",_xlfn.XLOOKUP(C4283,Hoja1!$B$2:$B$6191,Hoja1!$A$2:$A$6191),VLOOKUP(C4283,Hoja1!$B$1:$C$6191,2,0)),"No esta en Infor")</f>
        <v>NAC1297</v>
      </c>
      <c r="C4283" t="s">
        <v>961</v>
      </c>
      <c r="D4283" s="61">
        <v>541</v>
      </c>
      <c r="F4283" s="61">
        <v>0</v>
      </c>
      <c r="G4283" s="61">
        <v>0</v>
      </c>
      <c r="H4283" s="61">
        <v>0</v>
      </c>
      <c r="I4283" s="61">
        <v>0</v>
      </c>
      <c r="J4283" s="62">
        <f t="shared" si="28"/>
        <v>541</v>
      </c>
    </row>
    <row r="4284" spans="1:10" x14ac:dyDescent="0.25">
      <c r="A4284" s="20">
        <v>45688</v>
      </c>
      <c r="B4284" t="str">
        <f>IFERROR(IF(VLOOKUP(C4284,Hoja1!$B$1:$C$6191,2,0)="",_xlfn.XLOOKUP(C4284,Hoja1!$B$2:$B$6191,Hoja1!$A$2:$A$6191),VLOOKUP(C4284,Hoja1!$B$1:$C$6191,2,0)),"No esta en Infor")</f>
        <v>NAC1313</v>
      </c>
      <c r="C4284" t="s">
        <v>315</v>
      </c>
      <c r="D4284" s="61">
        <v>8575.73</v>
      </c>
      <c r="F4284" s="61">
        <v>0</v>
      </c>
      <c r="G4284" s="61">
        <v>0</v>
      </c>
      <c r="H4284" s="61">
        <v>0</v>
      </c>
      <c r="I4284" s="61">
        <v>0</v>
      </c>
      <c r="J4284" s="62">
        <f t="shared" si="28"/>
        <v>8575.73</v>
      </c>
    </row>
    <row r="4285" spans="1:10" x14ac:dyDescent="0.25">
      <c r="A4285" s="20">
        <v>45688</v>
      </c>
      <c r="B4285" t="str">
        <f>IFERROR(IF(VLOOKUP(C4285,Hoja1!$B$1:$C$6191,2,0)="",_xlfn.XLOOKUP(C4285,Hoja1!$B$2:$B$6191,Hoja1!$A$2:$A$6191),VLOOKUP(C4285,Hoja1!$B$1:$C$6191,2,0)),"No esta en Infor")</f>
        <v>NAC1326</v>
      </c>
      <c r="C4285" t="s">
        <v>763</v>
      </c>
      <c r="D4285" s="61">
        <v>994.63</v>
      </c>
      <c r="F4285" s="61">
        <v>0</v>
      </c>
      <c r="G4285" s="61">
        <v>0</v>
      </c>
      <c r="H4285" s="61">
        <v>0</v>
      </c>
      <c r="I4285" s="61">
        <v>0</v>
      </c>
      <c r="J4285" s="62">
        <f t="shared" si="28"/>
        <v>994.63</v>
      </c>
    </row>
    <row r="4286" spans="1:10" x14ac:dyDescent="0.25">
      <c r="A4286" s="20">
        <v>45688</v>
      </c>
      <c r="B4286" t="str">
        <f>IFERROR(IF(VLOOKUP(C4286,Hoja1!$B$1:$C$6191,2,0)="",_xlfn.XLOOKUP(C4286,Hoja1!$B$2:$B$6191,Hoja1!$A$2:$A$6191),VLOOKUP(C4286,Hoja1!$B$1:$C$6191,2,0)),"No esta en Infor")</f>
        <v>CAN0060</v>
      </c>
      <c r="C4286" t="s">
        <v>422</v>
      </c>
      <c r="D4286" s="61">
        <v>2081.46</v>
      </c>
      <c r="F4286" s="61">
        <v>0</v>
      </c>
      <c r="G4286" s="61">
        <v>0</v>
      </c>
      <c r="H4286" s="61">
        <v>-28.5</v>
      </c>
      <c r="I4286" s="61">
        <v>0</v>
      </c>
      <c r="J4286" s="62">
        <f t="shared" si="28"/>
        <v>2052.96</v>
      </c>
    </row>
    <row r="4287" spans="1:10" x14ac:dyDescent="0.25">
      <c r="A4287" s="20">
        <v>45688</v>
      </c>
      <c r="B4287" t="str">
        <f>IFERROR(IF(VLOOKUP(C4287,Hoja1!$B$1:$C$6191,2,0)="",_xlfn.XLOOKUP(C4287,Hoja1!$B$2:$B$6191,Hoja1!$A$2:$A$6191),VLOOKUP(C4287,Hoja1!$B$1:$C$6191,2,0)),"No esta en Infor")</f>
        <v>NAC1332</v>
      </c>
      <c r="C4287" t="s">
        <v>317</v>
      </c>
      <c r="D4287" s="61">
        <v>2721.6</v>
      </c>
      <c r="F4287" s="61">
        <v>0</v>
      </c>
      <c r="G4287" s="61">
        <v>0</v>
      </c>
      <c r="H4287" s="61">
        <v>0</v>
      </c>
      <c r="I4287" s="61">
        <v>0</v>
      </c>
      <c r="J4287" s="62">
        <f t="shared" si="28"/>
        <v>2721.6</v>
      </c>
    </row>
    <row r="4288" spans="1:10" x14ac:dyDescent="0.25">
      <c r="A4288" s="20">
        <v>45688</v>
      </c>
      <c r="B4288" t="str">
        <f>IFERROR(IF(VLOOKUP(C4288,Hoja1!$B$1:$C$6191,2,0)="",_xlfn.XLOOKUP(C4288,Hoja1!$B$2:$B$6191,Hoja1!$A$2:$A$6191),VLOOKUP(C4288,Hoja1!$B$1:$C$6191,2,0)),"No esta en Infor")</f>
        <v>NAC1346</v>
      </c>
      <c r="C4288" t="s">
        <v>321</v>
      </c>
      <c r="D4288" s="61">
        <v>1435.38</v>
      </c>
      <c r="F4288" s="61">
        <v>-47.94</v>
      </c>
      <c r="G4288" s="61">
        <v>0</v>
      </c>
      <c r="H4288" s="61">
        <v>0</v>
      </c>
      <c r="I4288" s="61">
        <v>0</v>
      </c>
      <c r="J4288" s="62">
        <f t="shared" si="28"/>
        <v>1387.44</v>
      </c>
    </row>
    <row r="4289" spans="1:10" x14ac:dyDescent="0.25">
      <c r="A4289" s="20">
        <v>45688</v>
      </c>
      <c r="B4289" t="str">
        <f>IFERROR(IF(VLOOKUP(C4289,Hoja1!$B$1:$C$6191,2,0)="",_xlfn.XLOOKUP(C4289,Hoja1!$B$2:$B$6191,Hoja1!$A$2:$A$6191),VLOOKUP(C4289,Hoja1!$B$1:$C$6191,2,0)),"No esta en Infor")</f>
        <v>NAC1349</v>
      </c>
      <c r="C4289" t="s">
        <v>322</v>
      </c>
      <c r="D4289" s="61">
        <v>0</v>
      </c>
      <c r="F4289" s="61">
        <v>0</v>
      </c>
      <c r="G4289" s="61">
        <v>0</v>
      </c>
      <c r="H4289" s="61">
        <v>-178.85</v>
      </c>
      <c r="I4289" s="61">
        <v>-169.96</v>
      </c>
      <c r="J4289" s="62">
        <f t="shared" si="28"/>
        <v>-348.81</v>
      </c>
    </row>
    <row r="4290" spans="1:10" x14ac:dyDescent="0.25">
      <c r="A4290" s="20">
        <v>45688</v>
      </c>
      <c r="B4290" t="str">
        <f>IFERROR(IF(VLOOKUP(C4290,Hoja1!$B$1:$C$6191,2,0)="",_xlfn.XLOOKUP(C4290,Hoja1!$B$2:$B$6191,Hoja1!$A$2:$A$6191),VLOOKUP(C4290,Hoja1!$B$1:$C$6191,2,0)),"No esta en Infor")</f>
        <v>NAC1356</v>
      </c>
      <c r="C4290" t="s">
        <v>325</v>
      </c>
      <c r="D4290" s="61">
        <v>0</v>
      </c>
      <c r="F4290" s="61">
        <v>0</v>
      </c>
      <c r="G4290" s="61">
        <v>0</v>
      </c>
      <c r="H4290" s="61">
        <v>0</v>
      </c>
      <c r="I4290" s="61">
        <v>-421.28</v>
      </c>
      <c r="J4290" s="62">
        <f t="shared" si="28"/>
        <v>-421.28</v>
      </c>
    </row>
    <row r="4291" spans="1:10" x14ac:dyDescent="0.25">
      <c r="A4291" s="20">
        <v>45688</v>
      </c>
      <c r="B4291" t="str">
        <f>IFERROR(IF(VLOOKUP(C4291,Hoja1!$B$1:$C$6191,2,0)="",_xlfn.XLOOKUP(C4291,Hoja1!$B$2:$B$6191,Hoja1!$A$2:$A$6191),VLOOKUP(C4291,Hoja1!$B$1:$C$6191,2,0)),"No esta en Infor")</f>
        <v>NAC1357</v>
      </c>
      <c r="C4291" t="s">
        <v>423</v>
      </c>
      <c r="D4291" s="61">
        <v>-359</v>
      </c>
      <c r="F4291" s="61">
        <v>0</v>
      </c>
      <c r="G4291" s="61">
        <v>0</v>
      </c>
      <c r="H4291" s="61">
        <v>0</v>
      </c>
      <c r="I4291" s="61">
        <v>0</v>
      </c>
      <c r="J4291" s="62">
        <f t="shared" si="28"/>
        <v>-359</v>
      </c>
    </row>
    <row r="4292" spans="1:10" x14ac:dyDescent="0.25">
      <c r="A4292" s="20">
        <v>45688</v>
      </c>
      <c r="B4292" t="str">
        <f>IFERROR(IF(VLOOKUP(C4292,Hoja1!$B$1:$C$6191,2,0)="",_xlfn.XLOOKUP(C4292,Hoja1!$B$2:$B$6191,Hoja1!$A$2:$A$6191),VLOOKUP(C4292,Hoja1!$B$1:$C$6191,2,0)),"No esta en Infor")</f>
        <v>NAC1372</v>
      </c>
      <c r="C4292" t="s">
        <v>607</v>
      </c>
      <c r="D4292" s="61">
        <v>420.12</v>
      </c>
      <c r="F4292" s="61">
        <v>0</v>
      </c>
      <c r="G4292" s="61">
        <v>0</v>
      </c>
      <c r="H4292" s="61">
        <v>0</v>
      </c>
      <c r="I4292" s="61">
        <v>0</v>
      </c>
      <c r="J4292" s="62">
        <f t="shared" si="28"/>
        <v>420.12</v>
      </c>
    </row>
    <row r="4293" spans="1:10" x14ac:dyDescent="0.25">
      <c r="A4293" s="20">
        <v>45688</v>
      </c>
      <c r="B4293" t="str">
        <f>IFERROR(IF(VLOOKUP(C4293,Hoja1!$B$1:$C$6191,2,0)="",_xlfn.XLOOKUP(C4293,Hoja1!$B$2:$B$6191,Hoja1!$A$2:$A$6191),VLOOKUP(C4293,Hoja1!$B$1:$C$6191,2,0)),"No esta en Infor")</f>
        <v>CAN0066</v>
      </c>
      <c r="C4293" t="s">
        <v>330</v>
      </c>
      <c r="D4293" s="61">
        <v>-73.41</v>
      </c>
      <c r="F4293" s="61">
        <v>0</v>
      </c>
      <c r="G4293" s="61">
        <v>0</v>
      </c>
      <c r="H4293" s="61">
        <v>0</v>
      </c>
      <c r="I4293" s="61">
        <v>0</v>
      </c>
      <c r="J4293" s="62">
        <f t="shared" si="28"/>
        <v>-73.41</v>
      </c>
    </row>
    <row r="4294" spans="1:10" x14ac:dyDescent="0.25">
      <c r="A4294" s="20">
        <v>45688</v>
      </c>
      <c r="B4294" t="str">
        <f>IFERROR(IF(VLOOKUP(C4294,Hoja1!$B$1:$C$6191,2,0)="",_xlfn.XLOOKUP(C4294,Hoja1!$B$2:$B$6191,Hoja1!$A$2:$A$6191),VLOOKUP(C4294,Hoja1!$B$1:$C$6191,2,0)),"No esta en Infor")</f>
        <v>NAC1377</v>
      </c>
      <c r="C4294" t="s">
        <v>525</v>
      </c>
      <c r="D4294" s="61">
        <v>356.67</v>
      </c>
      <c r="F4294" s="61">
        <v>0</v>
      </c>
      <c r="G4294" s="61">
        <v>0</v>
      </c>
      <c r="H4294" s="61">
        <v>0</v>
      </c>
      <c r="I4294" s="61">
        <v>0</v>
      </c>
      <c r="J4294" s="62">
        <f t="shared" si="28"/>
        <v>356.67</v>
      </c>
    </row>
    <row r="4295" spans="1:10" x14ac:dyDescent="0.25">
      <c r="A4295" s="20">
        <v>45688</v>
      </c>
      <c r="B4295" t="str">
        <f>IFERROR(IF(VLOOKUP(C4295,Hoja1!$B$1:$C$6191,2,0)="",_xlfn.XLOOKUP(C4295,Hoja1!$B$2:$B$6191,Hoja1!$A$2:$A$6191),VLOOKUP(C4295,Hoja1!$B$1:$C$6191,2,0)),"No esta en Infor")</f>
        <v>NAC1380</v>
      </c>
      <c r="C4295" t="s">
        <v>427</v>
      </c>
      <c r="D4295" s="61">
        <v>5280</v>
      </c>
      <c r="F4295" s="61">
        <v>0</v>
      </c>
      <c r="G4295" s="61">
        <v>0</v>
      </c>
      <c r="H4295" s="61">
        <v>0</v>
      </c>
      <c r="I4295" s="61">
        <v>0</v>
      </c>
      <c r="J4295" s="62">
        <f t="shared" si="28"/>
        <v>5280</v>
      </c>
    </row>
    <row r="4296" spans="1:10" x14ac:dyDescent="0.25">
      <c r="A4296" s="20">
        <v>45688</v>
      </c>
      <c r="B4296" t="str">
        <f>IFERROR(IF(VLOOKUP(C4296,Hoja1!$B$1:$C$6191,2,0)="",_xlfn.XLOOKUP(C4296,Hoja1!$B$2:$B$6191,Hoja1!$A$2:$A$6191),VLOOKUP(C4296,Hoja1!$B$1:$C$6191,2,0)),"No esta en Infor")</f>
        <v>NAC1381</v>
      </c>
      <c r="C4296" t="s">
        <v>478</v>
      </c>
      <c r="D4296" s="61">
        <v>0</v>
      </c>
      <c r="F4296" s="61">
        <v>0</v>
      </c>
      <c r="G4296" s="61">
        <v>0</v>
      </c>
      <c r="H4296" s="61">
        <v>-5.28</v>
      </c>
      <c r="I4296" s="61">
        <v>0</v>
      </c>
      <c r="J4296" s="62">
        <f t="shared" si="28"/>
        <v>-5.28</v>
      </c>
    </row>
    <row r="4297" spans="1:10" x14ac:dyDescent="0.25">
      <c r="A4297" s="20">
        <v>45688</v>
      </c>
      <c r="B4297" t="str">
        <f>IFERROR(IF(VLOOKUP(C4297,Hoja1!$B$1:$C$6191,2,0)="",_xlfn.XLOOKUP(C4297,Hoja1!$B$2:$B$6191,Hoja1!$A$2:$A$6191),VLOOKUP(C4297,Hoja1!$B$1:$C$6191,2,0)),"No esta en Infor")</f>
        <v>CAN0067</v>
      </c>
      <c r="C4297" t="s">
        <v>775</v>
      </c>
      <c r="D4297" s="61">
        <v>113</v>
      </c>
      <c r="F4297" s="61">
        <v>0</v>
      </c>
      <c r="G4297" s="61">
        <v>0</v>
      </c>
      <c r="H4297" s="61">
        <v>0</v>
      </c>
      <c r="I4297" s="61">
        <v>0</v>
      </c>
      <c r="J4297" s="62">
        <f t="shared" si="28"/>
        <v>113</v>
      </c>
    </row>
    <row r="4298" spans="1:10" x14ac:dyDescent="0.25">
      <c r="A4298" s="20">
        <v>45688</v>
      </c>
      <c r="B4298" t="str">
        <f>IFERROR(IF(VLOOKUP(C4298,Hoja1!$B$1:$C$6191,2,0)="",_xlfn.XLOOKUP(C4298,Hoja1!$B$2:$B$6191,Hoja1!$A$2:$A$6191),VLOOKUP(C4298,Hoja1!$B$1:$C$6191,2,0)),"No esta en Infor")</f>
        <v>NAC1382</v>
      </c>
      <c r="C4298" t="s">
        <v>332</v>
      </c>
      <c r="D4298" s="61">
        <v>295708.51</v>
      </c>
      <c r="F4298" s="61">
        <v>0</v>
      </c>
      <c r="G4298" s="61">
        <v>0</v>
      </c>
      <c r="H4298" s="61">
        <v>0</v>
      </c>
      <c r="I4298" s="61">
        <v>0</v>
      </c>
      <c r="J4298" s="62">
        <f t="shared" si="28"/>
        <v>295708.51</v>
      </c>
    </row>
    <row r="4299" spans="1:10" x14ac:dyDescent="0.25">
      <c r="A4299" s="20">
        <v>45688</v>
      </c>
      <c r="B4299" t="str">
        <f>IFERROR(IF(VLOOKUP(C4299,Hoja1!$B$1:$C$6191,2,0)="",_xlfn.XLOOKUP(C4299,Hoja1!$B$2:$B$6191,Hoja1!$A$2:$A$6191),VLOOKUP(C4299,Hoja1!$B$1:$C$6191,2,0)),"No esta en Infor")</f>
        <v>NAC1385</v>
      </c>
      <c r="C4299" t="s">
        <v>428</v>
      </c>
      <c r="D4299" s="61">
        <v>209.82</v>
      </c>
      <c r="F4299" s="61">
        <v>0</v>
      </c>
      <c r="G4299" s="61">
        <v>0</v>
      </c>
      <c r="H4299" s="61">
        <v>0</v>
      </c>
      <c r="I4299" s="61">
        <v>0</v>
      </c>
      <c r="J4299" s="62">
        <f t="shared" si="28"/>
        <v>209.82</v>
      </c>
    </row>
    <row r="4300" spans="1:10" x14ac:dyDescent="0.25">
      <c r="A4300" s="20">
        <v>45688</v>
      </c>
      <c r="B4300" t="str">
        <f>IFERROR(IF(VLOOKUP(C4300,Hoja1!$B$1:$C$6191,2,0)="",_xlfn.XLOOKUP(C4300,Hoja1!$B$2:$B$6191,Hoja1!$A$2:$A$6191),VLOOKUP(C4300,Hoja1!$B$1:$C$6191,2,0)),"No esta en Infor")</f>
        <v>NAC1394</v>
      </c>
      <c r="C4300" t="s">
        <v>767</v>
      </c>
      <c r="D4300" s="61">
        <v>-97.5</v>
      </c>
      <c r="F4300" s="61">
        <v>-29.26</v>
      </c>
      <c r="G4300" s="61">
        <v>0</v>
      </c>
      <c r="H4300" s="61">
        <v>0</v>
      </c>
      <c r="I4300" s="61">
        <v>0</v>
      </c>
      <c r="J4300" s="62">
        <f t="shared" si="28"/>
        <v>-126.76</v>
      </c>
    </row>
    <row r="4301" spans="1:10" x14ac:dyDescent="0.25">
      <c r="A4301" s="20">
        <v>45688</v>
      </c>
      <c r="B4301" t="str">
        <f>IFERROR(IF(VLOOKUP(C4301,Hoja1!$B$1:$C$6191,2,0)="",_xlfn.XLOOKUP(C4301,Hoja1!$B$2:$B$6191,Hoja1!$A$2:$A$6191),VLOOKUP(C4301,Hoja1!$B$1:$C$6191,2,0)),"No esta en Infor")</f>
        <v>NAC1395</v>
      </c>
      <c r="C4301" t="s">
        <v>337</v>
      </c>
      <c r="D4301" s="61">
        <v>61160.5</v>
      </c>
      <c r="F4301" s="61">
        <v>0</v>
      </c>
      <c r="G4301" s="61">
        <v>0</v>
      </c>
      <c r="H4301" s="61">
        <v>0</v>
      </c>
      <c r="I4301" s="61">
        <v>0</v>
      </c>
      <c r="J4301" s="62">
        <f t="shared" si="28"/>
        <v>61160.5</v>
      </c>
    </row>
    <row r="4302" spans="1:10" x14ac:dyDescent="0.25">
      <c r="A4302" s="20">
        <v>45688</v>
      </c>
      <c r="B4302" t="str">
        <f>IFERROR(IF(VLOOKUP(C4302,Hoja1!$B$1:$C$6191,2,0)="",_xlfn.XLOOKUP(C4302,Hoja1!$B$2:$B$6191,Hoja1!$A$2:$A$6191),VLOOKUP(C4302,Hoja1!$B$1:$C$6191,2,0)),"No esta en Infor")</f>
        <v>NAC1404</v>
      </c>
      <c r="C4302" t="s">
        <v>592</v>
      </c>
      <c r="D4302" s="61">
        <v>0</v>
      </c>
      <c r="F4302" s="61">
        <v>0</v>
      </c>
      <c r="G4302" s="61">
        <v>-85.32</v>
      </c>
      <c r="H4302" s="61">
        <v>0</v>
      </c>
      <c r="I4302" s="61">
        <v>0</v>
      </c>
      <c r="J4302" s="62">
        <f t="shared" si="28"/>
        <v>-85.32</v>
      </c>
    </row>
    <row r="4303" spans="1:10" x14ac:dyDescent="0.25">
      <c r="A4303" s="20">
        <v>45688</v>
      </c>
      <c r="B4303" t="str">
        <f>IFERROR(IF(VLOOKUP(C4303,Hoja1!$B$1:$C$6191,2,0)="",_xlfn.XLOOKUP(C4303,Hoja1!$B$2:$B$6191,Hoja1!$A$2:$A$6191),VLOOKUP(C4303,Hoja1!$B$1:$C$6191,2,0)),"No esta en Infor")</f>
        <v>CAN0090</v>
      </c>
      <c r="C4303" t="s">
        <v>574</v>
      </c>
      <c r="D4303" s="61">
        <v>1264.98</v>
      </c>
      <c r="F4303" s="61">
        <v>0</v>
      </c>
      <c r="G4303" s="61">
        <v>0</v>
      </c>
      <c r="H4303" s="61">
        <v>0</v>
      </c>
      <c r="I4303" s="61">
        <v>0</v>
      </c>
      <c r="J4303" s="62">
        <f t="shared" si="28"/>
        <v>1264.98</v>
      </c>
    </row>
    <row r="4304" spans="1:10" x14ac:dyDescent="0.25">
      <c r="A4304" s="20">
        <v>45688</v>
      </c>
      <c r="B4304" t="str">
        <f>IFERROR(IF(VLOOKUP(C4304,Hoja1!$B$1:$C$6191,2,0)="",_xlfn.XLOOKUP(C4304,Hoja1!$B$2:$B$6191,Hoja1!$A$2:$A$6191),VLOOKUP(C4304,Hoja1!$B$1:$C$6191,2,0)),"No esta en Infor")</f>
        <v>NAC1413</v>
      </c>
      <c r="C4304" t="s">
        <v>342</v>
      </c>
      <c r="D4304" s="61">
        <v>32210.75</v>
      </c>
      <c r="F4304" s="61">
        <v>0</v>
      </c>
      <c r="G4304" s="61">
        <v>0</v>
      </c>
      <c r="H4304" s="61">
        <v>0</v>
      </c>
      <c r="I4304" s="61">
        <v>0</v>
      </c>
      <c r="J4304" s="62">
        <f t="shared" si="28"/>
        <v>32210.75</v>
      </c>
    </row>
    <row r="4305" spans="1:10" x14ac:dyDescent="0.25">
      <c r="A4305" s="20">
        <v>45688</v>
      </c>
      <c r="B4305" t="str">
        <f>IFERROR(IF(VLOOKUP(C4305,Hoja1!$B$1:$C$6191,2,0)="",_xlfn.XLOOKUP(C4305,Hoja1!$B$2:$B$6191,Hoja1!$A$2:$A$6191),VLOOKUP(C4305,Hoja1!$B$1:$C$6191,2,0)),"No esta en Infor")</f>
        <v>NAC1417</v>
      </c>
      <c r="C4305" t="s">
        <v>645</v>
      </c>
      <c r="D4305" s="61">
        <v>-3189.87</v>
      </c>
      <c r="F4305" s="61">
        <v>0</v>
      </c>
      <c r="G4305" s="61">
        <v>0</v>
      </c>
      <c r="H4305" s="61">
        <v>0</v>
      </c>
      <c r="I4305" s="61">
        <v>0</v>
      </c>
      <c r="J4305" s="62">
        <f t="shared" si="28"/>
        <v>-3189.87</v>
      </c>
    </row>
    <row r="4306" spans="1:10" x14ac:dyDescent="0.25">
      <c r="A4306" s="20">
        <v>45688</v>
      </c>
      <c r="B4306" t="str">
        <f>IFERROR(IF(VLOOKUP(C4306,Hoja1!$B$1:$C$6191,2,0)="",_xlfn.XLOOKUP(C4306,Hoja1!$B$2:$B$6191,Hoja1!$A$2:$A$6191),VLOOKUP(C4306,Hoja1!$B$1:$C$6191,2,0)),"No esta en Infor")</f>
        <v>NAC1420</v>
      </c>
      <c r="C4306" t="s">
        <v>480</v>
      </c>
      <c r="D4306" s="61">
        <v>901.42</v>
      </c>
      <c r="F4306" s="61">
        <v>0</v>
      </c>
      <c r="G4306" s="61">
        <v>0</v>
      </c>
      <c r="H4306" s="61">
        <v>0</v>
      </c>
      <c r="I4306" s="61">
        <v>0</v>
      </c>
      <c r="J4306" s="62">
        <f t="shared" si="28"/>
        <v>901.42</v>
      </c>
    </row>
    <row r="4307" spans="1:10" x14ac:dyDescent="0.25">
      <c r="A4307" s="20">
        <v>45688</v>
      </c>
      <c r="B4307" t="str">
        <f>IFERROR(IF(VLOOKUP(C4307,Hoja1!$B$1:$C$6191,2,0)="",_xlfn.XLOOKUP(C4307,Hoja1!$B$2:$B$6191,Hoja1!$A$2:$A$6191),VLOOKUP(C4307,Hoja1!$B$1:$C$6191,2,0)),"No esta en Infor")</f>
        <v>NAC1424</v>
      </c>
      <c r="C4307" t="s">
        <v>345</v>
      </c>
      <c r="D4307" s="61">
        <v>73340.350000000006</v>
      </c>
      <c r="F4307" s="61">
        <v>0</v>
      </c>
      <c r="G4307" s="61">
        <v>0</v>
      </c>
      <c r="H4307" s="61">
        <v>0</v>
      </c>
      <c r="I4307" s="61">
        <v>0</v>
      </c>
      <c r="J4307" s="62">
        <f t="shared" si="28"/>
        <v>73340.350000000006</v>
      </c>
    </row>
    <row r="4308" spans="1:10" x14ac:dyDescent="0.25">
      <c r="A4308" s="20">
        <v>45688</v>
      </c>
      <c r="B4308" t="str">
        <f>IFERROR(IF(VLOOKUP(C4308,Hoja1!$B$1:$C$6191,2,0)="",_xlfn.XLOOKUP(C4308,Hoja1!$B$2:$B$6191,Hoja1!$A$2:$A$6191),VLOOKUP(C4308,Hoja1!$B$1:$C$6191,2,0)),"No esta en Infor")</f>
        <v>NAC1426</v>
      </c>
      <c r="C4308" t="s">
        <v>531</v>
      </c>
      <c r="D4308" s="61">
        <v>466</v>
      </c>
      <c r="F4308" s="61">
        <v>0</v>
      </c>
      <c r="G4308" s="61">
        <v>0</v>
      </c>
      <c r="H4308" s="61">
        <v>0</v>
      </c>
      <c r="I4308" s="61">
        <v>0</v>
      </c>
      <c r="J4308" s="62">
        <f t="shared" si="28"/>
        <v>466</v>
      </c>
    </row>
    <row r="4309" spans="1:10" x14ac:dyDescent="0.25">
      <c r="A4309" s="20">
        <v>45688</v>
      </c>
      <c r="B4309" t="str">
        <f>IFERROR(IF(VLOOKUP(C4309,Hoja1!$B$1:$C$6191,2,0)="",_xlfn.XLOOKUP(C4309,Hoja1!$B$2:$B$6191,Hoja1!$A$2:$A$6191),VLOOKUP(C4309,Hoja1!$B$1:$C$6191,2,0)),"No esta en Infor")</f>
        <v>NAC1432</v>
      </c>
      <c r="C4309" t="s">
        <v>575</v>
      </c>
      <c r="D4309" s="61">
        <v>0</v>
      </c>
      <c r="F4309" s="61">
        <v>0</v>
      </c>
      <c r="G4309" s="61">
        <v>-536.64</v>
      </c>
      <c r="H4309" s="61">
        <v>0</v>
      </c>
      <c r="I4309" s="61">
        <v>0</v>
      </c>
      <c r="J4309" s="62">
        <f t="shared" si="28"/>
        <v>-536.64</v>
      </c>
    </row>
    <row r="4310" spans="1:10" x14ac:dyDescent="0.25">
      <c r="A4310" s="20">
        <v>45688</v>
      </c>
      <c r="B4310" t="str">
        <f>IFERROR(IF(VLOOKUP(C4310,Hoja1!$B$1:$C$6191,2,0)="",_xlfn.XLOOKUP(C4310,Hoja1!$B$2:$B$6191,Hoja1!$A$2:$A$6191),VLOOKUP(C4310,Hoja1!$B$1:$C$6191,2,0)),"No esta en Infor")</f>
        <v>NAC1434</v>
      </c>
      <c r="C4310" t="s">
        <v>348</v>
      </c>
      <c r="D4310" s="61">
        <v>11867</v>
      </c>
      <c r="F4310" s="61">
        <v>0</v>
      </c>
      <c r="G4310" s="61">
        <v>0</v>
      </c>
      <c r="H4310" s="61">
        <v>0</v>
      </c>
      <c r="I4310" s="61">
        <v>0</v>
      </c>
      <c r="J4310" s="62">
        <f t="shared" si="28"/>
        <v>11867</v>
      </c>
    </row>
    <row r="4311" spans="1:10" x14ac:dyDescent="0.25">
      <c r="A4311" s="20">
        <v>45688</v>
      </c>
      <c r="B4311" t="str">
        <f>IFERROR(IF(VLOOKUP(C4311,Hoja1!$B$1:$C$6191,2,0)="",_xlfn.XLOOKUP(C4311,Hoja1!$B$2:$B$6191,Hoja1!$A$2:$A$6191),VLOOKUP(C4311,Hoja1!$B$1:$C$6191,2,0)),"No esta en Infor")</f>
        <v>NAC1445</v>
      </c>
      <c r="C4311" t="s">
        <v>481</v>
      </c>
      <c r="D4311" s="61">
        <v>36.21</v>
      </c>
      <c r="F4311" s="61">
        <v>0</v>
      </c>
      <c r="G4311" s="61">
        <v>0</v>
      </c>
      <c r="H4311" s="61">
        <v>0</v>
      </c>
      <c r="I4311" s="61">
        <v>0</v>
      </c>
      <c r="J4311" s="62">
        <f t="shared" si="28"/>
        <v>36.21</v>
      </c>
    </row>
    <row r="4312" spans="1:10" x14ac:dyDescent="0.25">
      <c r="A4312" s="20">
        <v>45688</v>
      </c>
      <c r="B4312" t="str">
        <f>IFERROR(IF(VLOOKUP(C4312,Hoja1!$B$1:$C$6191,2,0)="",_xlfn.XLOOKUP(C4312,Hoja1!$B$2:$B$6191,Hoja1!$A$2:$A$6191),VLOOKUP(C4312,Hoja1!$B$1:$C$6191,2,0)),"No esta en Infor")</f>
        <v>CAN0074</v>
      </c>
      <c r="C4312" t="s">
        <v>350</v>
      </c>
      <c r="D4312" s="61">
        <v>2790</v>
      </c>
      <c r="F4312" s="61">
        <v>-2282.2600000000002</v>
      </c>
      <c r="G4312" s="61">
        <v>0</v>
      </c>
      <c r="H4312" s="61">
        <v>0</v>
      </c>
      <c r="I4312" s="61">
        <v>0</v>
      </c>
      <c r="J4312" s="62">
        <f t="shared" si="28"/>
        <v>507.73999999999978</v>
      </c>
    </row>
    <row r="4313" spans="1:10" x14ac:dyDescent="0.25">
      <c r="A4313" s="20">
        <v>45688</v>
      </c>
      <c r="B4313" t="str">
        <f>IFERROR(IF(VLOOKUP(C4313,Hoja1!$B$1:$C$6191,2,0)="",_xlfn.XLOOKUP(C4313,Hoja1!$B$2:$B$6191,Hoja1!$A$2:$A$6191),VLOOKUP(C4313,Hoja1!$B$1:$C$6191,2,0)),"No esta en Infor")</f>
        <v>NAC1471</v>
      </c>
      <c r="C4313" t="s">
        <v>351</v>
      </c>
      <c r="D4313" s="61">
        <v>104596.8</v>
      </c>
      <c r="F4313" s="61">
        <v>0</v>
      </c>
      <c r="G4313" s="61">
        <v>0</v>
      </c>
      <c r="H4313" s="61">
        <v>0</v>
      </c>
      <c r="I4313" s="61">
        <v>0</v>
      </c>
      <c r="J4313" s="62">
        <f t="shared" si="28"/>
        <v>104596.8</v>
      </c>
    </row>
    <row r="4314" spans="1:10" x14ac:dyDescent="0.25">
      <c r="A4314" s="20">
        <v>45688</v>
      </c>
      <c r="B4314" t="str">
        <f>IFERROR(IF(VLOOKUP(C4314,Hoja1!$B$1:$C$6191,2,0)="",_xlfn.XLOOKUP(C4314,Hoja1!$B$2:$B$6191,Hoja1!$A$2:$A$6191),VLOOKUP(C4314,Hoja1!$B$1:$C$6191,2,0)),"No esta en Infor")</f>
        <v>NAC1473</v>
      </c>
      <c r="C4314" t="s">
        <v>532</v>
      </c>
      <c r="D4314" s="61">
        <v>3665</v>
      </c>
      <c r="F4314" s="61">
        <v>0</v>
      </c>
      <c r="G4314" s="61">
        <v>0</v>
      </c>
      <c r="H4314" s="61">
        <v>0</v>
      </c>
      <c r="I4314" s="61">
        <v>0</v>
      </c>
      <c r="J4314" s="62">
        <f t="shared" si="28"/>
        <v>3665</v>
      </c>
    </row>
    <row r="4315" spans="1:10" x14ac:dyDescent="0.25">
      <c r="A4315" s="20">
        <v>45688</v>
      </c>
      <c r="B4315" t="str">
        <f>IFERROR(IF(VLOOKUP(C4315,Hoja1!$B$1:$C$6191,2,0)="",_xlfn.XLOOKUP(C4315,Hoja1!$B$2:$B$6191,Hoja1!$A$2:$A$6191),VLOOKUP(C4315,Hoja1!$B$1:$C$6191,2,0)),"No esta en Infor")</f>
        <v>NAC1474</v>
      </c>
      <c r="C4315" t="s">
        <v>352</v>
      </c>
      <c r="D4315" s="61">
        <v>51359</v>
      </c>
      <c r="F4315" s="61">
        <v>0</v>
      </c>
      <c r="G4315" s="61">
        <v>0</v>
      </c>
      <c r="H4315" s="61">
        <v>0</v>
      </c>
      <c r="I4315" s="61">
        <v>0</v>
      </c>
      <c r="J4315" s="62">
        <f t="shared" si="28"/>
        <v>51359</v>
      </c>
    </row>
    <row r="4316" spans="1:10" x14ac:dyDescent="0.25">
      <c r="A4316" s="20">
        <v>45688</v>
      </c>
      <c r="B4316" t="str">
        <f>IFERROR(IF(VLOOKUP(C4316,Hoja1!$B$1:$C$6191,2,0)="",_xlfn.XLOOKUP(C4316,Hoja1!$B$2:$B$6191,Hoja1!$A$2:$A$6191),VLOOKUP(C4316,Hoja1!$B$1:$C$6191,2,0)),"No esta en Infor")</f>
        <v>CAN0080</v>
      </c>
      <c r="C4316" t="s">
        <v>533</v>
      </c>
      <c r="D4316" s="61">
        <v>6044.29</v>
      </c>
      <c r="F4316" s="61">
        <v>0</v>
      </c>
      <c r="G4316" s="61">
        <v>0</v>
      </c>
      <c r="H4316" s="61">
        <v>-93.6</v>
      </c>
      <c r="I4316" s="61">
        <v>0</v>
      </c>
      <c r="J4316" s="62">
        <f t="shared" si="28"/>
        <v>5950.69</v>
      </c>
    </row>
    <row r="4317" spans="1:10" x14ac:dyDescent="0.25">
      <c r="A4317" s="20">
        <v>45688</v>
      </c>
      <c r="B4317" t="str">
        <f>IFERROR(IF(VLOOKUP(C4317,Hoja1!$B$1:$C$6191,2,0)="",_xlfn.XLOOKUP(C4317,Hoja1!$B$2:$B$6191,Hoja1!$A$2:$A$6191),VLOOKUP(C4317,Hoja1!$B$1:$C$6191,2,0)),"No esta en Infor")</f>
        <v>NAC1483</v>
      </c>
      <c r="C4317" t="s">
        <v>357</v>
      </c>
      <c r="D4317" s="61">
        <v>16213.92</v>
      </c>
      <c r="F4317" s="61">
        <v>0</v>
      </c>
      <c r="G4317" s="61">
        <v>0</v>
      </c>
      <c r="H4317" s="61">
        <v>0</v>
      </c>
      <c r="I4317" s="61">
        <v>0</v>
      </c>
      <c r="J4317" s="62">
        <f t="shared" si="28"/>
        <v>16213.92</v>
      </c>
    </row>
    <row r="4318" spans="1:10" x14ac:dyDescent="0.25">
      <c r="A4318" s="20">
        <v>45688</v>
      </c>
      <c r="B4318" t="str">
        <f>IFERROR(IF(VLOOKUP(C4318,Hoja1!$B$1:$C$6191,2,0)="",_xlfn.XLOOKUP(C4318,Hoja1!$B$2:$B$6191,Hoja1!$A$2:$A$6191),VLOOKUP(C4318,Hoja1!$B$1:$C$6191,2,0)),"No esta en Infor")</f>
        <v>NAC1486</v>
      </c>
      <c r="C4318" t="s">
        <v>609</v>
      </c>
      <c r="D4318" s="61">
        <v>531</v>
      </c>
      <c r="F4318" s="61">
        <v>0</v>
      </c>
      <c r="G4318" s="61">
        <v>0</v>
      </c>
      <c r="H4318" s="61">
        <v>0</v>
      </c>
      <c r="I4318" s="61">
        <v>0</v>
      </c>
      <c r="J4318" s="62">
        <f t="shared" si="28"/>
        <v>531</v>
      </c>
    </row>
    <row r="4319" spans="1:10" x14ac:dyDescent="0.25">
      <c r="A4319" s="20">
        <v>45688</v>
      </c>
      <c r="B4319" t="str">
        <f>IFERROR(IF(VLOOKUP(C4319,Hoja1!$B$1:$C$6191,2,0)="",_xlfn.XLOOKUP(C4319,Hoja1!$B$2:$B$6191,Hoja1!$A$2:$A$6191),VLOOKUP(C4319,Hoja1!$B$1:$C$6191,2,0)),"No esta en Infor")</f>
        <v>NAC1494</v>
      </c>
      <c r="C4319" t="s">
        <v>360</v>
      </c>
      <c r="D4319" s="61">
        <v>2528</v>
      </c>
      <c r="F4319" s="61">
        <v>0</v>
      </c>
      <c r="G4319" s="61">
        <v>0</v>
      </c>
      <c r="H4319" s="61">
        <v>0</v>
      </c>
      <c r="I4319" s="61">
        <v>0</v>
      </c>
      <c r="J4319" s="62">
        <f t="shared" si="28"/>
        <v>2528</v>
      </c>
    </row>
    <row r="4320" spans="1:10" x14ac:dyDescent="0.25">
      <c r="A4320" s="20">
        <v>45688</v>
      </c>
      <c r="B4320" t="str">
        <f>IFERROR(IF(VLOOKUP(C4320,Hoja1!$B$1:$C$6191,2,0)="",_xlfn.XLOOKUP(C4320,Hoja1!$B$2:$B$6191,Hoja1!$A$2:$A$6191),VLOOKUP(C4320,Hoja1!$B$1:$C$6191,2,0)),"No esta en Infor")</f>
        <v>CAN0082</v>
      </c>
      <c r="C4320" t="s">
        <v>362</v>
      </c>
      <c r="D4320" s="61">
        <v>1064.46</v>
      </c>
      <c r="F4320" s="61">
        <v>0</v>
      </c>
      <c r="G4320" s="61">
        <v>0</v>
      </c>
      <c r="H4320" s="61">
        <v>0</v>
      </c>
      <c r="I4320" s="61">
        <v>0</v>
      </c>
      <c r="J4320" s="62">
        <f t="shared" si="28"/>
        <v>1064.46</v>
      </c>
    </row>
    <row r="4321" spans="1:10" x14ac:dyDescent="0.25">
      <c r="A4321" s="20">
        <v>45688</v>
      </c>
      <c r="B4321" t="str">
        <f>IFERROR(IF(VLOOKUP(C4321,Hoja1!$B$1:$C$6191,2,0)="",_xlfn.XLOOKUP(C4321,Hoja1!$B$2:$B$6191,Hoja1!$A$2:$A$6191),VLOOKUP(C4321,Hoja1!$B$1:$C$6191,2,0)),"No esta en Infor")</f>
        <v>NAC1504</v>
      </c>
      <c r="C4321" t="s">
        <v>363</v>
      </c>
      <c r="D4321" s="61">
        <v>2207.41</v>
      </c>
      <c r="F4321" s="61">
        <v>0</v>
      </c>
      <c r="G4321" s="61">
        <v>0</v>
      </c>
      <c r="H4321" s="61">
        <v>0</v>
      </c>
      <c r="I4321" s="61">
        <v>0</v>
      </c>
      <c r="J4321" s="62">
        <f t="shared" si="28"/>
        <v>2207.41</v>
      </c>
    </row>
    <row r="4322" spans="1:10" x14ac:dyDescent="0.25">
      <c r="A4322" s="20">
        <v>45688</v>
      </c>
      <c r="B4322" t="str">
        <f>IFERROR(IF(VLOOKUP(C4322,Hoja1!$B$1:$C$6191,2,0)="",_xlfn.XLOOKUP(C4322,Hoja1!$B$2:$B$6191,Hoja1!$A$2:$A$6191),VLOOKUP(C4322,Hoja1!$B$1:$C$6191,2,0)),"No esta en Infor")</f>
        <v>CAN0083</v>
      </c>
      <c r="C4322" t="s">
        <v>433</v>
      </c>
      <c r="D4322" s="61">
        <v>562.74</v>
      </c>
      <c r="F4322" s="61">
        <v>0</v>
      </c>
      <c r="G4322" s="61">
        <v>0</v>
      </c>
      <c r="H4322" s="61">
        <v>0</v>
      </c>
      <c r="I4322" s="61">
        <v>0</v>
      </c>
      <c r="J4322" s="62">
        <f t="shared" si="28"/>
        <v>562.74</v>
      </c>
    </row>
    <row r="4323" spans="1:10" x14ac:dyDescent="0.25">
      <c r="A4323" s="20">
        <v>45688</v>
      </c>
      <c r="B4323" t="str">
        <f>IFERROR(IF(VLOOKUP(C4323,Hoja1!$B$1:$C$6191,2,0)="",_xlfn.XLOOKUP(C4323,Hoja1!$B$2:$B$6191,Hoja1!$A$2:$A$6191),VLOOKUP(C4323,Hoja1!$B$1:$C$6191,2,0)),"No esta en Infor")</f>
        <v>NAC1637</v>
      </c>
      <c r="C4323" t="s">
        <v>973</v>
      </c>
      <c r="D4323" s="61">
        <v>5407.5</v>
      </c>
      <c r="F4323" s="61">
        <v>0</v>
      </c>
      <c r="G4323" s="61">
        <v>0</v>
      </c>
      <c r="H4323" s="61">
        <v>0</v>
      </c>
      <c r="I4323" s="61">
        <v>0</v>
      </c>
      <c r="J4323" s="62">
        <f t="shared" si="28"/>
        <v>5407.5</v>
      </c>
    </row>
    <row r="4324" spans="1:10" x14ac:dyDescent="0.25">
      <c r="A4324" s="20">
        <v>45688</v>
      </c>
      <c r="B4324" t="str">
        <f>IFERROR(IF(VLOOKUP(C4324,Hoja1!$B$1:$C$6191,2,0)="",_xlfn.XLOOKUP(C4324,Hoja1!$B$2:$B$6191,Hoja1!$A$2:$A$6191),VLOOKUP(C4324,Hoja1!$B$1:$C$6191,2,0)),"No esta en Infor")</f>
        <v>NAC1521</v>
      </c>
      <c r="C4324" t="s">
        <v>593</v>
      </c>
      <c r="D4324" s="61">
        <v>0</v>
      </c>
      <c r="F4324" s="61">
        <v>0</v>
      </c>
      <c r="G4324" s="61">
        <v>-100</v>
      </c>
      <c r="H4324" s="61">
        <v>0</v>
      </c>
      <c r="I4324" s="61">
        <v>0</v>
      </c>
      <c r="J4324" s="62">
        <f t="shared" si="28"/>
        <v>-100</v>
      </c>
    </row>
    <row r="4325" spans="1:10" x14ac:dyDescent="0.25">
      <c r="A4325" s="20">
        <v>45688</v>
      </c>
      <c r="B4325" t="str">
        <f>IFERROR(IF(VLOOKUP(C4325,Hoja1!$B$1:$C$6191,2,0)="",_xlfn.XLOOKUP(C4325,Hoja1!$B$2:$B$6191,Hoja1!$A$2:$A$6191),VLOOKUP(C4325,Hoja1!$B$1:$C$6191,2,0)),"No esta en Infor")</f>
        <v>NAC1522</v>
      </c>
      <c r="C4325" t="s">
        <v>366</v>
      </c>
      <c r="D4325" s="61">
        <v>502.82</v>
      </c>
      <c r="F4325" s="61">
        <v>0</v>
      </c>
      <c r="G4325" s="61">
        <v>0</v>
      </c>
      <c r="H4325" s="61">
        <v>0</v>
      </c>
      <c r="I4325" s="61">
        <v>0</v>
      </c>
      <c r="J4325" s="62">
        <f t="shared" si="28"/>
        <v>502.82</v>
      </c>
    </row>
    <row r="4326" spans="1:10" x14ac:dyDescent="0.25">
      <c r="A4326" s="20">
        <v>45688</v>
      </c>
      <c r="B4326" t="str">
        <f>IFERROR(IF(VLOOKUP(C4326,Hoja1!$B$1:$C$6191,2,0)="",_xlfn.XLOOKUP(C4326,Hoja1!$B$2:$B$6191,Hoja1!$A$2:$A$6191),VLOOKUP(C4326,Hoja1!$B$1:$C$6191,2,0)),"No esta en Infor")</f>
        <v>NAC1527</v>
      </c>
      <c r="C4326" t="s">
        <v>790</v>
      </c>
      <c r="D4326" s="61">
        <v>-103.5</v>
      </c>
      <c r="F4326" s="61">
        <v>0</v>
      </c>
      <c r="G4326" s="61">
        <v>0</v>
      </c>
      <c r="H4326" s="61">
        <v>0</v>
      </c>
      <c r="I4326" s="61">
        <v>0</v>
      </c>
      <c r="J4326" s="62">
        <f t="shared" si="28"/>
        <v>-103.5</v>
      </c>
    </row>
    <row r="4327" spans="1:10" x14ac:dyDescent="0.25">
      <c r="A4327" s="20">
        <v>45688</v>
      </c>
      <c r="B4327" t="str">
        <f>IFERROR(IF(VLOOKUP(C4327,Hoja1!$B$1:$C$6191,2,0)="",_xlfn.XLOOKUP(C4327,Hoja1!$B$2:$B$6191,Hoja1!$A$2:$A$6191),VLOOKUP(C4327,Hoja1!$B$1:$C$6191,2,0)),"No esta en Infor")</f>
        <v>NAC1528</v>
      </c>
      <c r="C4327" t="s">
        <v>974</v>
      </c>
      <c r="D4327" s="61">
        <v>232</v>
      </c>
      <c r="F4327" s="61">
        <v>0</v>
      </c>
      <c r="G4327" s="61">
        <v>0</v>
      </c>
      <c r="H4327" s="61">
        <v>0</v>
      </c>
      <c r="I4327" s="61">
        <v>0</v>
      </c>
      <c r="J4327" s="62">
        <f t="shared" si="28"/>
        <v>232</v>
      </c>
    </row>
    <row r="4328" spans="1:10" x14ac:dyDescent="0.25">
      <c r="A4328" s="20">
        <v>45688</v>
      </c>
      <c r="B4328" t="str">
        <f>IFERROR(IF(VLOOKUP(C4328,Hoja1!$B$1:$C$6191,2,0)="",_xlfn.XLOOKUP(C4328,Hoja1!$B$2:$B$6191,Hoja1!$A$2:$A$6191),VLOOKUP(C4328,Hoja1!$B$1:$C$6191,2,0)),"No esta en Infor")</f>
        <v>NAC1529</v>
      </c>
      <c r="C4328" t="s">
        <v>368</v>
      </c>
      <c r="D4328" s="61">
        <v>2743.6</v>
      </c>
      <c r="F4328" s="61">
        <v>0</v>
      </c>
      <c r="G4328" s="61">
        <v>0</v>
      </c>
      <c r="H4328" s="61">
        <v>0</v>
      </c>
      <c r="I4328" s="61">
        <v>0</v>
      </c>
      <c r="J4328" s="62">
        <f t="shared" si="28"/>
        <v>2743.6</v>
      </c>
    </row>
    <row r="4329" spans="1:10" x14ac:dyDescent="0.25">
      <c r="A4329" s="20">
        <v>45688</v>
      </c>
      <c r="B4329" t="str">
        <f>IFERROR(IF(VLOOKUP(C4329,Hoja1!$B$1:$C$6191,2,0)="",_xlfn.XLOOKUP(C4329,Hoja1!$B$2:$B$6191,Hoja1!$A$2:$A$6191),VLOOKUP(C4329,Hoja1!$B$1:$C$6191,2,0)),"No esta en Infor")</f>
        <v>CAN0088</v>
      </c>
      <c r="C4329" t="s">
        <v>369</v>
      </c>
      <c r="D4329" s="61">
        <v>3100</v>
      </c>
      <c r="F4329" s="61">
        <v>0</v>
      </c>
      <c r="G4329" s="61">
        <v>0</v>
      </c>
      <c r="H4329" s="61">
        <v>0</v>
      </c>
      <c r="I4329" s="61">
        <v>-891</v>
      </c>
      <c r="J4329" s="62">
        <f t="shared" si="28"/>
        <v>2209</v>
      </c>
    </row>
    <row r="4330" spans="1:10" x14ac:dyDescent="0.25">
      <c r="A4330" s="20">
        <v>45688</v>
      </c>
      <c r="B4330" t="str">
        <f>IFERROR(IF(VLOOKUP(C4330,Hoja1!$B$1:$C$6191,2,0)="",_xlfn.XLOOKUP(C4330,Hoja1!$B$2:$B$6191,Hoja1!$A$2:$A$6191),VLOOKUP(C4330,Hoja1!$B$1:$C$6191,2,0)),"No esta en Infor")</f>
        <v>NAC1542</v>
      </c>
      <c r="C4330" t="s">
        <v>374</v>
      </c>
      <c r="D4330" s="61">
        <v>666.37</v>
      </c>
      <c r="F4330" s="61">
        <v>0</v>
      </c>
      <c r="G4330" s="61">
        <v>0</v>
      </c>
      <c r="H4330" s="61">
        <v>0</v>
      </c>
      <c r="I4330" s="61">
        <v>0</v>
      </c>
      <c r="J4330" s="62">
        <f t="shared" si="28"/>
        <v>666.37</v>
      </c>
    </row>
    <row r="4331" spans="1:10" x14ac:dyDescent="0.25">
      <c r="A4331" s="20">
        <v>45688</v>
      </c>
      <c r="B4331" t="str">
        <f>IFERROR(IF(VLOOKUP(C4331,Hoja1!$B$1:$C$6191,2,0)="",_xlfn.XLOOKUP(C4331,Hoja1!$B$2:$B$6191,Hoja1!$A$2:$A$6191),VLOOKUP(C4331,Hoja1!$B$1:$C$6191,2,0)),"No esta en Infor")</f>
        <v>NAC1083</v>
      </c>
      <c r="C4331" t="s">
        <v>685</v>
      </c>
      <c r="D4331" s="61">
        <v>2499.36</v>
      </c>
      <c r="F4331" s="61">
        <v>-1035</v>
      </c>
      <c r="G4331" s="61">
        <v>0</v>
      </c>
      <c r="H4331" s="61">
        <v>0</v>
      </c>
      <c r="I4331" s="61">
        <v>0</v>
      </c>
      <c r="J4331" s="62">
        <f t="shared" si="28"/>
        <v>1464.3600000000001</v>
      </c>
    </row>
    <row r="4332" spans="1:10" x14ac:dyDescent="0.25">
      <c r="A4332" s="20">
        <v>45688</v>
      </c>
      <c r="B4332" t="str">
        <f>IFERROR(IF(VLOOKUP(C4332,Hoja1!$B$1:$C$6191,2,0)="",_xlfn.XLOOKUP(C4332,Hoja1!$B$2:$B$6191,Hoja1!$A$2:$A$6191),VLOOKUP(C4332,Hoja1!$B$1:$C$6191,2,0)),"No esta en Infor")</f>
        <v>SH03457</v>
      </c>
      <c r="C4332" t="s">
        <v>881</v>
      </c>
      <c r="D4332" s="61">
        <v>-7.43</v>
      </c>
      <c r="F4332" s="61">
        <v>0</v>
      </c>
      <c r="G4332" s="61">
        <v>0</v>
      </c>
      <c r="H4332" s="61">
        <v>0</v>
      </c>
      <c r="I4332" s="61">
        <v>0</v>
      </c>
      <c r="J4332" s="62">
        <f t="shared" si="28"/>
        <v>-7.43</v>
      </c>
    </row>
    <row r="4333" spans="1:10" x14ac:dyDescent="0.25">
      <c r="A4333" s="20">
        <v>45688</v>
      </c>
      <c r="B4333" t="str">
        <f>IFERROR(IF(VLOOKUP(C4333,Hoja1!$B$1:$C$6191,2,0)="",_xlfn.XLOOKUP(C4333,Hoja1!$B$2:$B$6191,Hoja1!$A$2:$A$6191),VLOOKUP(C4333,Hoja1!$B$1:$C$6191,2,0)),"No esta en Infor")</f>
        <v>SH03847</v>
      </c>
      <c r="C4333" t="s">
        <v>946</v>
      </c>
      <c r="D4333" s="61">
        <v>427.42</v>
      </c>
      <c r="F4333" s="61">
        <v>0</v>
      </c>
      <c r="G4333" s="61">
        <v>0</v>
      </c>
      <c r="H4333" s="61">
        <v>0</v>
      </c>
      <c r="I4333" s="61">
        <v>0</v>
      </c>
      <c r="J4333" s="62">
        <f t="shared" si="28"/>
        <v>427.42</v>
      </c>
    </row>
    <row r="4334" spans="1:10" x14ac:dyDescent="0.25">
      <c r="A4334" s="20">
        <v>45688</v>
      </c>
      <c r="B4334" t="str">
        <f>IFERROR(IF(VLOOKUP(C4334,Hoja1!$B$1:$C$6191,2,0)="",_xlfn.XLOOKUP(C4334,Hoja1!$B$2:$B$6191,Hoja1!$A$2:$A$6191),VLOOKUP(C4334,Hoja1!$B$1:$C$6191,2,0)),"No esta en Infor")</f>
        <v>SH03142</v>
      </c>
      <c r="C4334" t="s">
        <v>800</v>
      </c>
      <c r="D4334" s="61">
        <v>56.95</v>
      </c>
      <c r="F4334" s="61">
        <v>0</v>
      </c>
      <c r="G4334" s="61">
        <v>0</v>
      </c>
      <c r="H4334" s="61">
        <v>0</v>
      </c>
      <c r="I4334" s="61">
        <v>0</v>
      </c>
      <c r="J4334" s="62">
        <f t="shared" si="28"/>
        <v>56.95</v>
      </c>
    </row>
    <row r="4335" spans="1:10" x14ac:dyDescent="0.25">
      <c r="A4335" s="20">
        <v>45688</v>
      </c>
      <c r="B4335" t="str">
        <f>IFERROR(IF(VLOOKUP(C4335,Hoja1!$B$1:$C$6191,2,0)="",_xlfn.XLOOKUP(C4335,Hoja1!$B$2:$B$6191,Hoja1!$A$2:$A$6191),VLOOKUP(C4335,Hoja1!$B$1:$C$6191,2,0)),"No esta en Infor")</f>
        <v>NAC1086</v>
      </c>
      <c r="C4335" t="s">
        <v>258</v>
      </c>
      <c r="D4335" s="61">
        <v>863.97</v>
      </c>
      <c r="F4335" s="61">
        <v>0</v>
      </c>
      <c r="G4335" s="61">
        <v>0</v>
      </c>
      <c r="H4335" s="61">
        <v>0</v>
      </c>
      <c r="I4335" s="61">
        <v>0</v>
      </c>
      <c r="J4335" s="62">
        <f t="shared" si="28"/>
        <v>863.97</v>
      </c>
    </row>
    <row r="4336" spans="1:10" x14ac:dyDescent="0.25">
      <c r="A4336" s="20">
        <v>45688</v>
      </c>
      <c r="B4336" t="str">
        <f>IFERROR(IF(VLOOKUP(C4336,Hoja1!$B$1:$C$6191,2,0)="",_xlfn.XLOOKUP(C4336,Hoja1!$B$2:$B$6191,Hoja1!$A$2:$A$6191),VLOOKUP(C4336,Hoja1!$B$1:$C$6191,2,0)),"No esta en Infor")</f>
        <v>SH03857</v>
      </c>
      <c r="C4336" t="s">
        <v>947</v>
      </c>
      <c r="D4336" s="61">
        <v>48.87</v>
      </c>
      <c r="F4336" s="61">
        <v>0</v>
      </c>
      <c r="G4336" s="61">
        <v>0</v>
      </c>
      <c r="H4336" s="61">
        <v>0</v>
      </c>
      <c r="I4336" s="61">
        <v>0</v>
      </c>
      <c r="J4336" s="62">
        <f t="shared" si="28"/>
        <v>48.87</v>
      </c>
    </row>
    <row r="4337" spans="1:10" x14ac:dyDescent="0.25">
      <c r="A4337" s="20">
        <v>45688</v>
      </c>
      <c r="B4337" t="str">
        <f>IFERROR(IF(VLOOKUP(C4337,Hoja1!$B$1:$C$6191,2,0)="",_xlfn.XLOOKUP(C4337,Hoja1!$B$2:$B$6191,Hoja1!$A$2:$A$6191),VLOOKUP(C4337,Hoja1!$B$1:$C$6191,2,0)),"No esta en Infor")</f>
        <v>SH03187</v>
      </c>
      <c r="C4337" t="s">
        <v>802</v>
      </c>
      <c r="D4337" s="61">
        <v>37.9</v>
      </c>
      <c r="F4337" s="61">
        <v>0</v>
      </c>
      <c r="G4337" s="61">
        <v>0</v>
      </c>
      <c r="H4337" s="61">
        <v>0</v>
      </c>
      <c r="I4337" s="61">
        <v>0</v>
      </c>
      <c r="J4337" s="62">
        <f t="shared" si="28"/>
        <v>37.9</v>
      </c>
    </row>
    <row r="4338" spans="1:10" x14ac:dyDescent="0.25">
      <c r="A4338" s="20">
        <v>45688</v>
      </c>
      <c r="B4338" t="str">
        <f>IFERROR(IF(VLOOKUP(C4338,Hoja1!$B$1:$C$6191,2,0)="",_xlfn.XLOOKUP(C4338,Hoja1!$B$2:$B$6191,Hoja1!$A$2:$A$6191),VLOOKUP(C4338,Hoja1!$B$1:$C$6191,2,0)),"No esta en Infor")</f>
        <v>NAC1106</v>
      </c>
      <c r="C4338" t="s">
        <v>259</v>
      </c>
      <c r="D4338" s="61">
        <v>302</v>
      </c>
      <c r="F4338" s="61">
        <v>0</v>
      </c>
      <c r="G4338" s="61">
        <v>0</v>
      </c>
      <c r="H4338" s="61">
        <v>0</v>
      </c>
      <c r="I4338" s="61">
        <v>0</v>
      </c>
      <c r="J4338" s="62">
        <f t="shared" si="28"/>
        <v>302</v>
      </c>
    </row>
    <row r="4339" spans="1:10" x14ac:dyDescent="0.25">
      <c r="A4339" s="20">
        <v>45688</v>
      </c>
      <c r="B4339" t="str">
        <f>IFERROR(IF(VLOOKUP(C4339,Hoja1!$B$1:$C$6191,2,0)="",_xlfn.XLOOKUP(C4339,Hoja1!$B$2:$B$6191,Hoja1!$A$2:$A$6191),VLOOKUP(C4339,Hoja1!$B$1:$C$6191,2,0)),"No esta en Infor")</f>
        <v>SH03198</v>
      </c>
      <c r="C4339" t="s">
        <v>883</v>
      </c>
      <c r="D4339" s="61">
        <v>63.66</v>
      </c>
      <c r="F4339" s="61">
        <v>0</v>
      </c>
      <c r="G4339" s="61">
        <v>0</v>
      </c>
      <c r="H4339" s="61">
        <v>0</v>
      </c>
      <c r="I4339" s="61">
        <v>0</v>
      </c>
      <c r="J4339" s="62">
        <f t="shared" si="28"/>
        <v>63.66</v>
      </c>
    </row>
    <row r="4340" spans="1:10" x14ac:dyDescent="0.25">
      <c r="A4340" s="20">
        <v>45688</v>
      </c>
      <c r="B4340" t="str">
        <f>IFERROR(IF(VLOOKUP(C4340,Hoja1!$B$1:$C$6191,2,0)="",_xlfn.XLOOKUP(C4340,Hoja1!$B$2:$B$6191,Hoja1!$A$2:$A$6191),VLOOKUP(C4340,Hoja1!$B$1:$C$6191,2,0)),"No esta en Infor")</f>
        <v>NAC1114</v>
      </c>
      <c r="C4340" t="s">
        <v>408</v>
      </c>
      <c r="D4340" s="61">
        <v>673.7</v>
      </c>
      <c r="F4340" s="61">
        <v>0</v>
      </c>
      <c r="G4340" s="61">
        <v>0</v>
      </c>
      <c r="H4340" s="61">
        <v>-196.34</v>
      </c>
      <c r="I4340" s="61">
        <v>0</v>
      </c>
      <c r="J4340" s="62">
        <f t="shared" si="28"/>
        <v>477.36</v>
      </c>
    </row>
    <row r="4341" spans="1:10" x14ac:dyDescent="0.25">
      <c r="A4341" s="20">
        <v>45688</v>
      </c>
      <c r="B4341" t="str">
        <f>IFERROR(IF(VLOOKUP(C4341,Hoja1!$B$1:$C$6191,2,0)="",_xlfn.XLOOKUP(C4341,Hoja1!$B$2:$B$6191,Hoja1!$A$2:$A$6191),VLOOKUP(C4341,Hoja1!$B$1:$C$6191,2,0)),"No esta en Infor")</f>
        <v>NAC1117</v>
      </c>
      <c r="C4341" t="s">
        <v>513</v>
      </c>
      <c r="D4341" s="61">
        <v>970.45</v>
      </c>
      <c r="F4341" s="61">
        <v>0</v>
      </c>
      <c r="G4341" s="61">
        <v>0</v>
      </c>
      <c r="H4341" s="61">
        <v>0</v>
      </c>
      <c r="I4341" s="61">
        <v>0</v>
      </c>
      <c r="J4341" s="62">
        <f t="shared" si="28"/>
        <v>970.45</v>
      </c>
    </row>
    <row r="4342" spans="1:10" x14ac:dyDescent="0.25">
      <c r="A4342" s="20">
        <v>45688</v>
      </c>
      <c r="B4342" t="str">
        <f>IFERROR(IF(VLOOKUP(C4342,Hoja1!$B$1:$C$6191,2,0)="",_xlfn.XLOOKUP(C4342,Hoja1!$B$2:$B$6191,Hoja1!$A$2:$A$6191),VLOOKUP(C4342,Hoja1!$B$1:$C$6191,2,0)),"No esta en Infor")</f>
        <v>NAC1119</v>
      </c>
      <c r="C4342" t="s">
        <v>514</v>
      </c>
      <c r="D4342" s="61">
        <v>1600.81</v>
      </c>
      <c r="F4342" s="61">
        <v>0</v>
      </c>
      <c r="G4342" s="61">
        <v>0</v>
      </c>
      <c r="H4342" s="61">
        <v>0</v>
      </c>
      <c r="I4342" s="61">
        <v>0</v>
      </c>
      <c r="J4342" s="62">
        <f t="shared" si="28"/>
        <v>1600.81</v>
      </c>
    </row>
    <row r="4343" spans="1:10" x14ac:dyDescent="0.25">
      <c r="A4343" s="20">
        <v>45688</v>
      </c>
      <c r="B4343" t="str">
        <f>IFERROR(IF(VLOOKUP(C4343,Hoja1!$B$1:$C$6191,2,0)="",_xlfn.XLOOKUP(C4343,Hoja1!$B$2:$B$6191,Hoja1!$A$2:$A$6191),VLOOKUP(C4343,Hoja1!$B$1:$C$6191,2,0)),"No esta en Infor")</f>
        <v>NAC1123</v>
      </c>
      <c r="C4343" t="s">
        <v>782</v>
      </c>
      <c r="D4343" s="61">
        <v>520</v>
      </c>
      <c r="F4343" s="61">
        <v>0</v>
      </c>
      <c r="G4343" s="61">
        <v>0</v>
      </c>
      <c r="H4343" s="61">
        <v>0</v>
      </c>
      <c r="I4343" s="61">
        <v>0</v>
      </c>
      <c r="J4343" s="62">
        <f t="shared" ref="J4343:J4406" si="29">SUM(D4343:I4343)</f>
        <v>520</v>
      </c>
    </row>
    <row r="4344" spans="1:10" x14ac:dyDescent="0.25">
      <c r="A4344" s="20">
        <v>45688</v>
      </c>
      <c r="B4344" t="str">
        <f>IFERROR(IF(VLOOKUP(C4344,Hoja1!$B$1:$C$6191,2,0)="",_xlfn.XLOOKUP(C4344,Hoja1!$B$2:$B$6191,Hoja1!$A$2:$A$6191),VLOOKUP(C4344,Hoja1!$B$1:$C$6191,2,0)),"No esta en Infor")</f>
        <v>NAC1614</v>
      </c>
      <c r="C4344" t="s">
        <v>563</v>
      </c>
      <c r="D4344" s="63">
        <v>0</v>
      </c>
      <c r="F4344" s="63">
        <v>14.6</v>
      </c>
      <c r="G4344" s="63">
        <v>106.09</v>
      </c>
      <c r="H4344" s="63">
        <v>9.34</v>
      </c>
      <c r="I4344" s="63">
        <v>0</v>
      </c>
      <c r="J4344" s="62">
        <f t="shared" si="29"/>
        <v>130.03</v>
      </c>
    </row>
    <row r="4345" spans="1:10" x14ac:dyDescent="0.25">
      <c r="A4345" s="20">
        <v>45688</v>
      </c>
      <c r="B4345" t="str">
        <f>IFERROR(IF(VLOOKUP(C4345,Hoja1!$B$1:$C$6191,2,0)="",_xlfn.XLOOKUP(C4345,Hoja1!$B$2:$B$6191,Hoja1!$A$2:$A$6191),VLOOKUP(C4345,Hoja1!$B$1:$C$6191,2,0)),"No esta en Infor")</f>
        <v>NAC1128</v>
      </c>
      <c r="C4345" t="s">
        <v>263</v>
      </c>
      <c r="D4345" s="61">
        <v>8625</v>
      </c>
      <c r="F4345" s="61">
        <v>0</v>
      </c>
      <c r="G4345" s="61">
        <v>0</v>
      </c>
      <c r="H4345" s="61">
        <v>0</v>
      </c>
      <c r="I4345" s="61">
        <v>0</v>
      </c>
      <c r="J4345" s="62">
        <f t="shared" si="29"/>
        <v>8625</v>
      </c>
    </row>
    <row r="4346" spans="1:10" x14ac:dyDescent="0.25">
      <c r="A4346" s="20">
        <v>45688</v>
      </c>
      <c r="B4346" t="str">
        <f>IFERROR(IF(VLOOKUP(C4346,Hoja1!$B$1:$C$6191,2,0)="",_xlfn.XLOOKUP(C4346,Hoja1!$B$2:$B$6191,Hoja1!$A$2:$A$6191),VLOOKUP(C4346,Hoja1!$B$1:$C$6191,2,0)),"No esta en Infor")</f>
        <v>CAN0038</v>
      </c>
      <c r="C4346" t="s">
        <v>264</v>
      </c>
      <c r="D4346" s="61">
        <v>1640.76</v>
      </c>
      <c r="F4346" s="61">
        <v>-3834.29</v>
      </c>
      <c r="G4346" s="61">
        <v>0</v>
      </c>
      <c r="H4346" s="61">
        <v>0</v>
      </c>
      <c r="I4346" s="61">
        <v>0</v>
      </c>
      <c r="J4346" s="62">
        <f t="shared" si="29"/>
        <v>-2193.5299999999997</v>
      </c>
    </row>
    <row r="4347" spans="1:10" x14ac:dyDescent="0.25">
      <c r="A4347" s="20">
        <v>45688</v>
      </c>
      <c r="B4347" t="str">
        <f>IFERROR(IF(VLOOKUP(C4347,Hoja1!$B$1:$C$6191,2,0)="",_xlfn.XLOOKUP(C4347,Hoja1!$B$2:$B$6191,Hoja1!$A$2:$A$6191),VLOOKUP(C4347,Hoja1!$B$1:$C$6191,2,0)),"No esta en Infor")</f>
        <v>CAN0039</v>
      </c>
      <c r="C4347" t="s">
        <v>265</v>
      </c>
      <c r="D4347" s="61">
        <v>14835.9</v>
      </c>
      <c r="F4347" s="61">
        <v>0</v>
      </c>
      <c r="G4347" s="61">
        <v>0</v>
      </c>
      <c r="H4347" s="61">
        <v>0</v>
      </c>
      <c r="I4347" s="61">
        <v>0</v>
      </c>
      <c r="J4347" s="62">
        <f t="shared" si="29"/>
        <v>14835.9</v>
      </c>
    </row>
    <row r="4348" spans="1:10" x14ac:dyDescent="0.25">
      <c r="A4348" s="20">
        <v>45688</v>
      </c>
      <c r="B4348" t="str">
        <f>IFERROR(IF(VLOOKUP(C4348,Hoja1!$B$1:$C$6191,2,0)="",_xlfn.XLOOKUP(C4348,Hoja1!$B$2:$B$6191,Hoja1!$A$2:$A$6191),VLOOKUP(C4348,Hoja1!$B$1:$C$6191,2,0)),"No esta en Infor")</f>
        <v>NAC1135</v>
      </c>
      <c r="C4348" t="s">
        <v>689</v>
      </c>
      <c r="D4348" s="61">
        <v>0</v>
      </c>
      <c r="F4348" s="61">
        <v>-2038.7</v>
      </c>
      <c r="G4348" s="61">
        <v>0</v>
      </c>
      <c r="H4348" s="61">
        <v>0</v>
      </c>
      <c r="I4348" s="61">
        <v>0</v>
      </c>
      <c r="J4348" s="62">
        <f t="shared" si="29"/>
        <v>-2038.7</v>
      </c>
    </row>
    <row r="4349" spans="1:10" x14ac:dyDescent="0.25">
      <c r="A4349" s="20">
        <v>45688</v>
      </c>
      <c r="B4349" t="str">
        <f>IFERROR(IF(VLOOKUP(C4349,Hoja1!$B$1:$C$6191,2,0)="",_xlfn.XLOOKUP(C4349,Hoja1!$B$2:$B$6191,Hoja1!$A$2:$A$6191),VLOOKUP(C4349,Hoja1!$B$1:$C$6191,2,0)),"No esta en Infor")</f>
        <v>SH03069</v>
      </c>
      <c r="C4349" t="s">
        <v>747</v>
      </c>
      <c r="D4349" s="61">
        <v>422.91</v>
      </c>
      <c r="F4349" s="61">
        <v>-558.65</v>
      </c>
      <c r="G4349" s="61">
        <v>0</v>
      </c>
      <c r="H4349" s="61">
        <v>0</v>
      </c>
      <c r="I4349" s="61">
        <v>0</v>
      </c>
      <c r="J4349" s="62">
        <f t="shared" si="29"/>
        <v>-135.73999999999995</v>
      </c>
    </row>
    <row r="4350" spans="1:10" x14ac:dyDescent="0.25">
      <c r="A4350" s="20">
        <v>45688</v>
      </c>
      <c r="B4350" t="str">
        <f>IFERROR(IF(VLOOKUP(C4350,Hoja1!$B$1:$C$6191,2,0)="",_xlfn.XLOOKUP(C4350,Hoja1!$B$2:$B$6191,Hoja1!$A$2:$A$6191),VLOOKUP(C4350,Hoja1!$B$1:$C$6191,2,0)),"No esta en Infor")</f>
        <v>SH03836</v>
      </c>
      <c r="C4350" t="s">
        <v>948</v>
      </c>
      <c r="D4350" s="61">
        <v>64.680000000000007</v>
      </c>
      <c r="F4350" s="61">
        <v>0</v>
      </c>
      <c r="G4350" s="61">
        <v>0</v>
      </c>
      <c r="H4350" s="61">
        <v>0</v>
      </c>
      <c r="I4350" s="61">
        <v>0</v>
      </c>
      <c r="J4350" s="62">
        <f t="shared" si="29"/>
        <v>64.680000000000007</v>
      </c>
    </row>
    <row r="4351" spans="1:10" x14ac:dyDescent="0.25">
      <c r="A4351" s="20">
        <v>45688</v>
      </c>
      <c r="B4351" t="str">
        <f>IFERROR(IF(VLOOKUP(C4351,Hoja1!$B$1:$C$6191,2,0)="",_xlfn.XLOOKUP(C4351,Hoja1!$B$2:$B$6191,Hoja1!$A$2:$A$6191),VLOOKUP(C4351,Hoja1!$B$1:$C$6191,2,0)),"No esta en Infor")</f>
        <v>SH02869</v>
      </c>
      <c r="C4351" t="s">
        <v>691</v>
      </c>
      <c r="D4351" s="63">
        <v>6.66</v>
      </c>
      <c r="F4351" s="63">
        <v>6.66</v>
      </c>
      <c r="G4351" s="63">
        <v>0</v>
      </c>
      <c r="H4351" s="63">
        <v>0</v>
      </c>
      <c r="I4351" s="63">
        <v>0</v>
      </c>
      <c r="J4351" s="62">
        <f t="shared" si="29"/>
        <v>13.32</v>
      </c>
    </row>
    <row r="4352" spans="1:10" x14ac:dyDescent="0.25">
      <c r="A4352" s="20">
        <v>45688</v>
      </c>
      <c r="B4352" t="str">
        <f>IFERROR(IF(VLOOKUP(C4352,Hoja1!$B$1:$C$6191,2,0)="",_xlfn.XLOOKUP(C4352,Hoja1!$B$2:$B$6191,Hoja1!$A$2:$A$6191),VLOOKUP(C4352,Hoja1!$B$1:$C$6191,2,0)),"No esta en Infor")</f>
        <v>NAC1148</v>
      </c>
      <c r="C4352" t="s">
        <v>270</v>
      </c>
      <c r="D4352" s="61">
        <v>7118.96</v>
      </c>
      <c r="F4352" s="61">
        <v>0</v>
      </c>
      <c r="G4352" s="61">
        <v>0</v>
      </c>
      <c r="H4352" s="61">
        <v>0</v>
      </c>
      <c r="I4352" s="61">
        <v>0</v>
      </c>
      <c r="J4352" s="62">
        <f t="shared" si="29"/>
        <v>7118.96</v>
      </c>
    </row>
    <row r="4353" spans="1:10" x14ac:dyDescent="0.25">
      <c r="A4353" s="20">
        <v>45688</v>
      </c>
      <c r="B4353" t="str">
        <f>IFERROR(IF(VLOOKUP(C4353,Hoja1!$B$1:$C$6191,2,0)="",_xlfn.XLOOKUP(C4353,Hoja1!$B$2:$B$6191,Hoja1!$A$2:$A$6191),VLOOKUP(C4353,Hoja1!$B$1:$C$6191,2,0)),"No esta en Infor")</f>
        <v>SH03734</v>
      </c>
      <c r="C4353" t="s">
        <v>949</v>
      </c>
      <c r="D4353" s="61">
        <v>6.67</v>
      </c>
      <c r="F4353" s="61">
        <v>0</v>
      </c>
      <c r="G4353" s="61">
        <v>0</v>
      </c>
      <c r="H4353" s="61">
        <v>0</v>
      </c>
      <c r="I4353" s="61">
        <v>0</v>
      </c>
      <c r="J4353" s="62">
        <f t="shared" si="29"/>
        <v>6.67</v>
      </c>
    </row>
    <row r="4354" spans="1:10" x14ac:dyDescent="0.25">
      <c r="A4354" s="20">
        <v>45688</v>
      </c>
      <c r="B4354" t="str">
        <f>IFERROR(IF(VLOOKUP(C4354,Hoja1!$B$1:$C$6191,2,0)="",_xlfn.XLOOKUP(C4354,Hoja1!$B$2:$B$6191,Hoja1!$A$2:$A$6191),VLOOKUP(C4354,Hoja1!$B$1:$C$6191,2,0)),"No esta en Infor")</f>
        <v>NAC1150</v>
      </c>
      <c r="C4354" t="s">
        <v>692</v>
      </c>
      <c r="D4354" s="61">
        <v>6291.16</v>
      </c>
      <c r="F4354" s="61">
        <v>0</v>
      </c>
      <c r="G4354" s="61">
        <v>0</v>
      </c>
      <c r="H4354" s="61">
        <v>0</v>
      </c>
      <c r="I4354" s="61">
        <v>0</v>
      </c>
      <c r="J4354" s="62">
        <f t="shared" si="29"/>
        <v>6291.16</v>
      </c>
    </row>
    <row r="4355" spans="1:10" x14ac:dyDescent="0.25">
      <c r="A4355" s="20">
        <v>45688</v>
      </c>
      <c r="B4355" t="str">
        <f>IFERROR(IF(VLOOKUP(C4355,Hoja1!$B$1:$C$6191,2,0)="",_xlfn.XLOOKUP(C4355,Hoja1!$B$2:$B$6191,Hoja1!$A$2:$A$6191),VLOOKUP(C4355,Hoja1!$B$1:$C$6191,2,0)),"No esta en Infor")</f>
        <v>NAC1151</v>
      </c>
      <c r="C4355" t="s">
        <v>271</v>
      </c>
      <c r="D4355" s="61">
        <v>7093.4</v>
      </c>
      <c r="F4355" s="61">
        <v>0</v>
      </c>
      <c r="G4355" s="61">
        <v>0</v>
      </c>
      <c r="H4355" s="61">
        <v>-1172</v>
      </c>
      <c r="I4355" s="61">
        <v>0</v>
      </c>
      <c r="J4355" s="62">
        <f t="shared" si="29"/>
        <v>5921.4</v>
      </c>
    </row>
    <row r="4356" spans="1:10" x14ac:dyDescent="0.25">
      <c r="A4356" s="20">
        <v>45688</v>
      </c>
      <c r="B4356" t="str">
        <f>IFERROR(IF(VLOOKUP(C4356,Hoja1!$B$1:$C$6191,2,0)="",_xlfn.XLOOKUP(C4356,Hoja1!$B$2:$B$6191,Hoja1!$A$2:$A$6191),VLOOKUP(C4356,Hoja1!$B$1:$C$6191,2,0)),"No esta en Infor")</f>
        <v>NAC1154</v>
      </c>
      <c r="C4356" t="s">
        <v>783</v>
      </c>
      <c r="D4356" s="61">
        <v>152.24</v>
      </c>
      <c r="F4356" s="61">
        <v>0</v>
      </c>
      <c r="G4356" s="61">
        <v>0</v>
      </c>
      <c r="H4356" s="61">
        <v>0</v>
      </c>
      <c r="I4356" s="61">
        <v>0</v>
      </c>
      <c r="J4356" s="62">
        <f t="shared" si="29"/>
        <v>152.24</v>
      </c>
    </row>
    <row r="4357" spans="1:10" x14ac:dyDescent="0.25">
      <c r="A4357" s="20">
        <v>45688</v>
      </c>
      <c r="B4357" t="str">
        <f>IFERROR(IF(VLOOKUP(C4357,Hoja1!$B$1:$C$6191,2,0)="",_xlfn.XLOOKUP(C4357,Hoja1!$B$2:$B$6191,Hoja1!$A$2:$A$6191),VLOOKUP(C4357,Hoja1!$B$1:$C$6191,2,0)),"No esta en Infor")</f>
        <v>NAC1158</v>
      </c>
      <c r="C4357" t="s">
        <v>272</v>
      </c>
      <c r="D4357" s="61">
        <v>1288.8</v>
      </c>
      <c r="F4357" s="61">
        <v>0</v>
      </c>
      <c r="G4357" s="61">
        <v>0</v>
      </c>
      <c r="H4357" s="61">
        <v>0</v>
      </c>
      <c r="I4357" s="61">
        <v>0</v>
      </c>
      <c r="J4357" s="62">
        <f t="shared" si="29"/>
        <v>1288.8</v>
      </c>
    </row>
    <row r="4358" spans="1:10" x14ac:dyDescent="0.25">
      <c r="A4358" s="20">
        <v>45688</v>
      </c>
      <c r="B4358" t="str">
        <f>IFERROR(IF(VLOOKUP(C4358,Hoja1!$B$1:$C$6191,2,0)="",_xlfn.XLOOKUP(C4358,Hoja1!$B$2:$B$6191,Hoja1!$A$2:$A$6191),VLOOKUP(C4358,Hoja1!$B$1:$C$6191,2,0)),"No esta en Infor")</f>
        <v>SH03466</v>
      </c>
      <c r="C4358" t="s">
        <v>950</v>
      </c>
      <c r="D4358" s="61">
        <v>5.89</v>
      </c>
      <c r="F4358" s="61">
        <v>0</v>
      </c>
      <c r="G4358" s="61">
        <v>0</v>
      </c>
      <c r="H4358" s="61">
        <v>0</v>
      </c>
      <c r="I4358" s="61">
        <v>0</v>
      </c>
      <c r="J4358" s="62">
        <f t="shared" si="29"/>
        <v>5.89</v>
      </c>
    </row>
    <row r="4359" spans="1:10" x14ac:dyDescent="0.25">
      <c r="A4359" s="20">
        <v>45688</v>
      </c>
      <c r="B4359" t="str">
        <f>IFERROR(IF(VLOOKUP(C4359,Hoja1!$B$1:$C$6191,2,0)="",_xlfn.XLOOKUP(C4359,Hoja1!$B$2:$B$6191,Hoja1!$A$2:$A$6191),VLOOKUP(C4359,Hoja1!$B$1:$C$6191,2,0)),"No esta en Infor")</f>
        <v>NAC1604</v>
      </c>
      <c r="C4359" t="s">
        <v>693</v>
      </c>
      <c r="D4359" s="61">
        <v>139755.12</v>
      </c>
      <c r="F4359" s="61">
        <v>0</v>
      </c>
      <c r="G4359" s="61">
        <v>0</v>
      </c>
      <c r="H4359" s="61">
        <v>0</v>
      </c>
      <c r="I4359" s="61">
        <v>0</v>
      </c>
      <c r="J4359" s="62">
        <f t="shared" si="29"/>
        <v>139755.12</v>
      </c>
    </row>
    <row r="4360" spans="1:10" x14ac:dyDescent="0.25">
      <c r="A4360" s="20">
        <v>45688</v>
      </c>
      <c r="B4360" t="str">
        <f>IFERROR(IF(VLOOKUP(C4360,Hoja1!$B$1:$C$6191,2,0)="",_xlfn.XLOOKUP(C4360,Hoja1!$B$2:$B$6191,Hoja1!$A$2:$A$6191),VLOOKUP(C4360,Hoja1!$B$1:$C$6191,2,0)),"No esta en Infor")</f>
        <v>NAC1174</v>
      </c>
      <c r="C4360" t="s">
        <v>279</v>
      </c>
      <c r="D4360" s="61">
        <v>102.96</v>
      </c>
      <c r="F4360" s="61">
        <v>0</v>
      </c>
      <c r="G4360" s="61">
        <v>0</v>
      </c>
      <c r="H4360" s="61">
        <v>0</v>
      </c>
      <c r="I4360" s="61">
        <v>0</v>
      </c>
      <c r="J4360" s="62">
        <f t="shared" si="29"/>
        <v>102.96</v>
      </c>
    </row>
    <row r="4361" spans="1:10" x14ac:dyDescent="0.25">
      <c r="A4361" s="20">
        <v>45688</v>
      </c>
      <c r="B4361" t="str">
        <f>IFERROR(IF(VLOOKUP(C4361,Hoja1!$B$1:$C$6191,2,0)="",_xlfn.XLOOKUP(C4361,Hoja1!$B$2:$B$6191,Hoja1!$A$2:$A$6191),VLOOKUP(C4361,Hoja1!$B$1:$C$6191,2,0)),"No esta en Infor")</f>
        <v>SH03863</v>
      </c>
      <c r="C4361" t="s">
        <v>951</v>
      </c>
      <c r="D4361" s="61">
        <v>71.09</v>
      </c>
      <c r="F4361" s="61">
        <v>0</v>
      </c>
      <c r="G4361" s="61">
        <v>0</v>
      </c>
      <c r="H4361" s="61">
        <v>0</v>
      </c>
      <c r="I4361" s="61">
        <v>0</v>
      </c>
      <c r="J4361" s="62">
        <f t="shared" si="29"/>
        <v>71.09</v>
      </c>
    </row>
    <row r="4362" spans="1:10" x14ac:dyDescent="0.25">
      <c r="A4362" s="20">
        <v>45688</v>
      </c>
      <c r="B4362" t="str">
        <f>IFERROR(IF(VLOOKUP(C4362,Hoja1!$B$1:$C$6191,2,0)="",_xlfn.XLOOKUP(C4362,Hoja1!$B$2:$B$6191,Hoja1!$A$2:$A$6191),VLOOKUP(C4362,Hoja1!$B$1:$C$6191,2,0)),"No esta en Infor")</f>
        <v>SH03112</v>
      </c>
      <c r="C4362" t="s">
        <v>796</v>
      </c>
      <c r="D4362" s="61">
        <v>-39.4</v>
      </c>
      <c r="F4362" s="61">
        <v>0</v>
      </c>
      <c r="G4362" s="61">
        <v>0</v>
      </c>
      <c r="H4362" s="61">
        <v>0</v>
      </c>
      <c r="I4362" s="61">
        <v>0</v>
      </c>
      <c r="J4362" s="62">
        <f t="shared" si="29"/>
        <v>-39.4</v>
      </c>
    </row>
    <row r="4363" spans="1:10" x14ac:dyDescent="0.25">
      <c r="A4363" s="20">
        <v>45688</v>
      </c>
      <c r="B4363" t="str">
        <f>IFERROR(IF(VLOOKUP(C4363,Hoja1!$B$1:$C$6191,2,0)="",_xlfn.XLOOKUP(C4363,Hoja1!$B$2:$B$6191,Hoja1!$A$2:$A$6191),VLOOKUP(C4363,Hoja1!$B$1:$C$6191,2,0)),"No esta en Infor")</f>
        <v>NAC1177</v>
      </c>
      <c r="C4363" t="s">
        <v>566</v>
      </c>
      <c r="D4363" s="61">
        <v>0</v>
      </c>
      <c r="F4363" s="61">
        <v>0</v>
      </c>
      <c r="G4363" s="61">
        <v>-14.41</v>
      </c>
      <c r="H4363" s="61">
        <v>0</v>
      </c>
      <c r="I4363" s="61">
        <v>0</v>
      </c>
      <c r="J4363" s="62">
        <f t="shared" si="29"/>
        <v>-14.41</v>
      </c>
    </row>
    <row r="4364" spans="1:10" x14ac:dyDescent="0.25">
      <c r="A4364" s="20">
        <v>45688</v>
      </c>
      <c r="B4364" t="str">
        <f>IFERROR(IF(VLOOKUP(C4364,Hoja1!$B$1:$C$6191,2,0)="",_xlfn.XLOOKUP(C4364,Hoja1!$B$2:$B$6191,Hoja1!$A$2:$A$6191),VLOOKUP(C4364,Hoja1!$B$1:$C$6191,2,0)),"No esta en Infor")</f>
        <v>NAC1184</v>
      </c>
      <c r="C4364" t="s">
        <v>784</v>
      </c>
      <c r="D4364" s="61">
        <v>-214.83</v>
      </c>
      <c r="F4364" s="61">
        <v>0</v>
      </c>
      <c r="G4364" s="61">
        <v>0</v>
      </c>
      <c r="H4364" s="61">
        <v>0</v>
      </c>
      <c r="I4364" s="61">
        <v>0</v>
      </c>
      <c r="J4364" s="62">
        <f t="shared" si="29"/>
        <v>-214.83</v>
      </c>
    </row>
    <row r="4365" spans="1:10" x14ac:dyDescent="0.25">
      <c r="A4365" s="20">
        <v>45688</v>
      </c>
      <c r="B4365" t="str">
        <f>IFERROR(IF(VLOOKUP(C4365,Hoja1!$B$1:$C$6191,2,0)="",_xlfn.XLOOKUP(C4365,Hoja1!$B$2:$B$6191,Hoja1!$A$2:$A$6191),VLOOKUP(C4365,Hoja1!$B$1:$C$6191,2,0)),"No esta en Infor")</f>
        <v>CAN0048</v>
      </c>
      <c r="C4365" t="s">
        <v>567</v>
      </c>
      <c r="D4365" s="61">
        <v>0</v>
      </c>
      <c r="F4365" s="61">
        <v>0</v>
      </c>
      <c r="G4365" s="61">
        <v>-12463.9</v>
      </c>
      <c r="H4365" s="61">
        <v>0</v>
      </c>
      <c r="I4365" s="61">
        <v>0</v>
      </c>
      <c r="J4365" s="62">
        <f t="shared" si="29"/>
        <v>-12463.9</v>
      </c>
    </row>
    <row r="4366" spans="1:10" x14ac:dyDescent="0.25">
      <c r="A4366" s="20">
        <v>45688</v>
      </c>
      <c r="B4366" t="str">
        <f>IFERROR(IF(VLOOKUP(C4366,Hoja1!$B$1:$C$6191,2,0)="",_xlfn.XLOOKUP(C4366,Hoja1!$B$2:$B$6191,Hoja1!$A$2:$A$6191),VLOOKUP(C4366,Hoja1!$B$1:$C$6191,2,0)),"No esta en Infor")</f>
        <v>NAC1205</v>
      </c>
      <c r="C4366" t="s">
        <v>568</v>
      </c>
      <c r="D4366" s="61">
        <v>0</v>
      </c>
      <c r="F4366" s="61">
        <v>0</v>
      </c>
      <c r="G4366" s="61">
        <v>-316.68</v>
      </c>
      <c r="H4366" s="61">
        <v>0</v>
      </c>
      <c r="I4366" s="61">
        <v>0</v>
      </c>
      <c r="J4366" s="62">
        <f t="shared" si="29"/>
        <v>-316.68</v>
      </c>
    </row>
    <row r="4367" spans="1:10" x14ac:dyDescent="0.25">
      <c r="A4367" s="20">
        <v>45688</v>
      </c>
      <c r="B4367" t="str">
        <f>IFERROR(IF(VLOOKUP(C4367,Hoja1!$B$1:$C$6191,2,0)="",_xlfn.XLOOKUP(C4367,Hoja1!$B$2:$B$6191,Hoja1!$A$2:$A$6191),VLOOKUP(C4367,Hoja1!$B$1:$C$6191,2,0)),"No esta en Infor")</f>
        <v>NAC1211</v>
      </c>
      <c r="C4367" t="s">
        <v>284</v>
      </c>
      <c r="D4367" s="61">
        <v>335845.75</v>
      </c>
      <c r="F4367" s="61">
        <v>0</v>
      </c>
      <c r="G4367" s="61">
        <v>0</v>
      </c>
      <c r="H4367" s="61">
        <v>0</v>
      </c>
      <c r="I4367" s="61">
        <v>0</v>
      </c>
      <c r="J4367" s="62">
        <f t="shared" si="29"/>
        <v>335845.75</v>
      </c>
    </row>
    <row r="4368" spans="1:10" x14ac:dyDescent="0.25">
      <c r="A4368" s="20">
        <v>45688</v>
      </c>
      <c r="B4368" t="str">
        <f>IFERROR(IF(VLOOKUP(C4368,Hoja1!$B$1:$C$6191,2,0)="",_xlfn.XLOOKUP(C4368,Hoja1!$B$2:$B$6191,Hoja1!$A$2:$A$6191),VLOOKUP(C4368,Hoja1!$B$1:$C$6191,2,0)),"No esta en Infor")</f>
        <v>NAC1212</v>
      </c>
      <c r="C4368" t="s">
        <v>285</v>
      </c>
      <c r="D4368" s="61">
        <v>16097.6</v>
      </c>
      <c r="F4368" s="61">
        <v>0</v>
      </c>
      <c r="G4368" s="61">
        <v>0</v>
      </c>
      <c r="H4368" s="61">
        <v>0</v>
      </c>
      <c r="I4368" s="61">
        <v>0</v>
      </c>
      <c r="J4368" s="62">
        <f t="shared" si="29"/>
        <v>16097.6</v>
      </c>
    </row>
    <row r="4369" spans="1:10" x14ac:dyDescent="0.25">
      <c r="A4369" s="20">
        <v>45688</v>
      </c>
      <c r="B4369" t="str">
        <f>IFERROR(IF(VLOOKUP(C4369,Hoja1!$B$1:$C$6191,2,0)="",_xlfn.XLOOKUP(C4369,Hoja1!$B$2:$B$6191,Hoja1!$A$2:$A$6191),VLOOKUP(C4369,Hoja1!$B$1:$C$6191,2,0)),"No esta en Infor")</f>
        <v>SH03840</v>
      </c>
      <c r="C4369" t="s">
        <v>952</v>
      </c>
      <c r="D4369" s="61">
        <v>124.34</v>
      </c>
      <c r="F4369" s="61">
        <v>0</v>
      </c>
      <c r="G4369" s="61">
        <v>0</v>
      </c>
      <c r="H4369" s="61">
        <v>0</v>
      </c>
      <c r="I4369" s="61">
        <v>0</v>
      </c>
      <c r="J4369" s="62">
        <f t="shared" si="29"/>
        <v>124.34</v>
      </c>
    </row>
    <row r="4370" spans="1:10" x14ac:dyDescent="0.25">
      <c r="A4370" s="20">
        <v>45688</v>
      </c>
      <c r="B4370" t="str">
        <f>IFERROR(IF(VLOOKUP(C4370,Hoja1!$B$1:$C$6191,2,0)="",_xlfn.XLOOKUP(C4370,Hoja1!$B$2:$B$6191,Hoja1!$A$2:$A$6191),VLOOKUP(C4370,Hoja1!$B$1:$C$6191,2,0)),"No esta en Infor")</f>
        <v>SH02013</v>
      </c>
      <c r="C4370" t="s">
        <v>754</v>
      </c>
      <c r="D4370" s="61">
        <v>0</v>
      </c>
      <c r="F4370" s="61">
        <v>-366.73</v>
      </c>
      <c r="G4370" s="61">
        <v>0</v>
      </c>
      <c r="H4370" s="61">
        <v>0</v>
      </c>
      <c r="I4370" s="61">
        <v>0</v>
      </c>
      <c r="J4370" s="62">
        <f t="shared" si="29"/>
        <v>-366.73</v>
      </c>
    </row>
    <row r="4371" spans="1:10" x14ac:dyDescent="0.25">
      <c r="A4371" s="20">
        <v>45688</v>
      </c>
      <c r="B4371" t="str">
        <f>IFERROR(IF(VLOOKUP(C4371,Hoja1!$B$1:$C$6191,2,0)="",_xlfn.XLOOKUP(C4371,Hoja1!$B$2:$B$6191,Hoja1!$A$2:$A$6191),VLOOKUP(C4371,Hoja1!$B$1:$C$6191,2,0)),"No esta en Infor")</f>
        <v>SH03662</v>
      </c>
      <c r="C4371" t="s">
        <v>953</v>
      </c>
      <c r="D4371" s="61">
        <v>-425.36</v>
      </c>
      <c r="F4371" s="61">
        <v>0</v>
      </c>
      <c r="G4371" s="61">
        <v>0</v>
      </c>
      <c r="H4371" s="61">
        <v>0</v>
      </c>
      <c r="I4371" s="61">
        <v>0</v>
      </c>
      <c r="J4371" s="62">
        <f t="shared" si="29"/>
        <v>-425.36</v>
      </c>
    </row>
    <row r="4372" spans="1:10" x14ac:dyDescent="0.25">
      <c r="A4372" s="20">
        <v>45688</v>
      </c>
      <c r="B4372" t="str">
        <f>IFERROR(IF(VLOOKUP(C4372,Hoja1!$B$1:$C$6191,2,0)="",_xlfn.XLOOKUP(C4372,Hoja1!$B$2:$B$6191,Hoja1!$A$2:$A$6191),VLOOKUP(C4372,Hoja1!$B$1:$C$6191,2,0)),"No esta en Infor")</f>
        <v>SH03554</v>
      </c>
      <c r="C4372" t="s">
        <v>954</v>
      </c>
      <c r="D4372" s="61">
        <v>77.2</v>
      </c>
      <c r="F4372" s="61">
        <v>0</v>
      </c>
      <c r="G4372" s="61">
        <v>0</v>
      </c>
      <c r="H4372" s="61">
        <v>0</v>
      </c>
      <c r="I4372" s="61">
        <v>0</v>
      </c>
      <c r="J4372" s="62">
        <f t="shared" si="29"/>
        <v>77.2</v>
      </c>
    </row>
    <row r="4373" spans="1:10" x14ac:dyDescent="0.25">
      <c r="A4373" s="20">
        <v>45688</v>
      </c>
      <c r="B4373" t="str">
        <f>IFERROR(IF(VLOOKUP(C4373,Hoja1!$B$1:$C$6191,2,0)="",_xlfn.XLOOKUP(C4373,Hoja1!$B$2:$B$6191,Hoja1!$A$2:$A$6191),VLOOKUP(C4373,Hoja1!$B$1:$C$6191,2,0)),"No esta en Infor")</f>
        <v>NAC1218</v>
      </c>
      <c r="C4373" t="s">
        <v>474</v>
      </c>
      <c r="D4373" s="61">
        <v>2264.9</v>
      </c>
      <c r="F4373" s="61">
        <v>0</v>
      </c>
      <c r="G4373" s="61">
        <v>0</v>
      </c>
      <c r="H4373" s="61">
        <v>0</v>
      </c>
      <c r="I4373" s="61">
        <v>0</v>
      </c>
      <c r="J4373" s="62">
        <f t="shared" si="29"/>
        <v>2264.9</v>
      </c>
    </row>
    <row r="4374" spans="1:10" x14ac:dyDescent="0.25">
      <c r="A4374" s="20">
        <v>45688</v>
      </c>
      <c r="B4374" t="str">
        <f>IFERROR(IF(VLOOKUP(C4374,Hoja1!$B$1:$C$6191,2,0)="",_xlfn.XLOOKUP(C4374,Hoja1!$B$2:$B$6191,Hoja1!$A$2:$A$6191),VLOOKUP(C4374,Hoja1!$B$1:$C$6191,2,0)),"No esta en Infor")</f>
        <v>NAC1219</v>
      </c>
      <c r="C4374" t="s">
        <v>475</v>
      </c>
      <c r="D4374" s="61">
        <v>0</v>
      </c>
      <c r="F4374" s="61">
        <v>0</v>
      </c>
      <c r="G4374" s="61">
        <v>0</v>
      </c>
      <c r="H4374" s="61">
        <v>-299.55</v>
      </c>
      <c r="I4374" s="61">
        <v>0</v>
      </c>
      <c r="J4374" s="62">
        <f t="shared" si="29"/>
        <v>-299.55</v>
      </c>
    </row>
    <row r="4375" spans="1:10" x14ac:dyDescent="0.25">
      <c r="A4375" s="20">
        <v>45688</v>
      </c>
      <c r="B4375" t="str">
        <f>IFERROR(IF(VLOOKUP(C4375,Hoja1!$B$1:$C$6191,2,0)="",_xlfn.XLOOKUP(C4375,Hoja1!$B$2:$B$6191,Hoja1!$A$2:$A$6191),VLOOKUP(C4375,Hoja1!$B$1:$C$6191,2,0)),"No esta en Infor")</f>
        <v>SH03526</v>
      </c>
      <c r="C4375" t="s">
        <v>885</v>
      </c>
      <c r="D4375" s="61">
        <v>22.55</v>
      </c>
      <c r="F4375" s="61">
        <v>0</v>
      </c>
      <c r="G4375" s="61">
        <v>0</v>
      </c>
      <c r="H4375" s="61">
        <v>0</v>
      </c>
      <c r="I4375" s="61">
        <v>0</v>
      </c>
      <c r="J4375" s="62">
        <f t="shared" si="29"/>
        <v>22.55</v>
      </c>
    </row>
    <row r="4376" spans="1:10" x14ac:dyDescent="0.25">
      <c r="A4376" s="20">
        <v>45688</v>
      </c>
      <c r="B4376" t="str">
        <f>IFERROR(IF(VLOOKUP(C4376,Hoja1!$B$1:$C$6191,2,0)="",_xlfn.XLOOKUP(C4376,Hoja1!$B$2:$B$6191,Hoja1!$A$2:$A$6191),VLOOKUP(C4376,Hoja1!$B$1:$C$6191,2,0)),"No esta en Infor")</f>
        <v>CAN0049</v>
      </c>
      <c r="C4376" t="s">
        <v>289</v>
      </c>
      <c r="D4376" s="61">
        <v>13257.9</v>
      </c>
      <c r="F4376" s="61">
        <v>-660.04</v>
      </c>
      <c r="G4376" s="61">
        <v>0</v>
      </c>
      <c r="H4376" s="61">
        <v>0</v>
      </c>
      <c r="I4376" s="61">
        <v>0</v>
      </c>
      <c r="J4376" s="62">
        <f t="shared" si="29"/>
        <v>12597.86</v>
      </c>
    </row>
    <row r="4377" spans="1:10" x14ac:dyDescent="0.25">
      <c r="A4377" s="20">
        <v>45688</v>
      </c>
      <c r="B4377" t="str">
        <f>IFERROR(IF(VLOOKUP(C4377,Hoja1!$B$1:$C$6191,2,0)="",_xlfn.XLOOKUP(C4377,Hoja1!$B$2:$B$6191,Hoja1!$A$2:$A$6191),VLOOKUP(C4377,Hoja1!$B$1:$C$6191,2,0)),"No esta en Infor")</f>
        <v>NAC1229</v>
      </c>
      <c r="C4377" t="s">
        <v>418</v>
      </c>
      <c r="D4377" s="61">
        <v>136.5</v>
      </c>
      <c r="F4377" s="61">
        <v>0</v>
      </c>
      <c r="G4377" s="61">
        <v>0</v>
      </c>
      <c r="H4377" s="61">
        <v>0</v>
      </c>
      <c r="I4377" s="61">
        <v>0</v>
      </c>
      <c r="J4377" s="62">
        <f t="shared" si="29"/>
        <v>136.5</v>
      </c>
    </row>
    <row r="4378" spans="1:10" x14ac:dyDescent="0.25">
      <c r="A4378" s="20">
        <v>45688</v>
      </c>
      <c r="B4378" t="str">
        <f>IFERROR(IF(VLOOKUP(C4378,Hoja1!$B$1:$C$6191,2,0)="",_xlfn.XLOOKUP(C4378,Hoja1!$B$2:$B$6191,Hoja1!$A$2:$A$6191),VLOOKUP(C4378,Hoja1!$B$1:$C$6191,2,0)),"No esta en Infor")</f>
        <v>NAC1231</v>
      </c>
      <c r="C4378" t="s">
        <v>290</v>
      </c>
      <c r="D4378" s="61">
        <v>39335.1</v>
      </c>
      <c r="F4378" s="61">
        <v>0</v>
      </c>
      <c r="G4378" s="61">
        <v>0</v>
      </c>
      <c r="H4378" s="61">
        <v>0</v>
      </c>
      <c r="I4378" s="61">
        <v>0</v>
      </c>
      <c r="J4378" s="62">
        <f t="shared" si="29"/>
        <v>39335.1</v>
      </c>
    </row>
    <row r="4379" spans="1:10" x14ac:dyDescent="0.25">
      <c r="A4379" s="20">
        <v>45688</v>
      </c>
      <c r="B4379" t="str">
        <f>IFERROR(IF(VLOOKUP(C4379,Hoja1!$B$1:$C$6191,2,0)="",_xlfn.XLOOKUP(C4379,Hoja1!$B$2:$B$6191,Hoja1!$A$2:$A$6191),VLOOKUP(C4379,Hoja1!$B$1:$C$6191,2,0)),"No esta en Infor")</f>
        <v>CAN0050</v>
      </c>
      <c r="C4379" t="s">
        <v>291</v>
      </c>
      <c r="D4379" s="61">
        <v>182262.36</v>
      </c>
      <c r="F4379" s="61">
        <v>0</v>
      </c>
      <c r="G4379" s="61">
        <v>0</v>
      </c>
      <c r="H4379" s="61">
        <v>0</v>
      </c>
      <c r="I4379" s="61">
        <v>0</v>
      </c>
      <c r="J4379" s="62">
        <f t="shared" si="29"/>
        <v>182262.36</v>
      </c>
    </row>
    <row r="4380" spans="1:10" x14ac:dyDescent="0.25">
      <c r="A4380" s="20">
        <v>45688</v>
      </c>
      <c r="B4380" t="str">
        <f>IFERROR(IF(VLOOKUP(C4380,Hoja1!$B$1:$C$6191,2,0)="",_xlfn.XLOOKUP(C4380,Hoja1!$B$2:$B$6191,Hoja1!$A$2:$A$6191),VLOOKUP(C4380,Hoja1!$B$1:$C$6191,2,0)),"No esta en Infor")</f>
        <v>NAC1234</v>
      </c>
      <c r="C4380" t="s">
        <v>293</v>
      </c>
      <c r="D4380" s="61">
        <v>100</v>
      </c>
      <c r="F4380" s="61">
        <v>0</v>
      </c>
      <c r="G4380" s="61">
        <v>0</v>
      </c>
      <c r="H4380" s="61">
        <v>0</v>
      </c>
      <c r="I4380" s="61">
        <v>0</v>
      </c>
      <c r="J4380" s="62">
        <f t="shared" si="29"/>
        <v>100</v>
      </c>
    </row>
    <row r="4381" spans="1:10" x14ac:dyDescent="0.25">
      <c r="A4381" s="20">
        <v>45688</v>
      </c>
      <c r="B4381" t="str">
        <f>IFERROR(IF(VLOOKUP(C4381,Hoja1!$B$1:$C$6191,2,0)="",_xlfn.XLOOKUP(C4381,Hoja1!$B$2:$B$6191,Hoja1!$A$2:$A$6191),VLOOKUP(C4381,Hoja1!$B$1:$C$6191,2,0)),"No esta en Infor")</f>
        <v>NAC1241</v>
      </c>
      <c r="C4381" t="s">
        <v>295</v>
      </c>
      <c r="D4381" s="61">
        <v>63342.36</v>
      </c>
      <c r="F4381" s="61">
        <v>0</v>
      </c>
      <c r="G4381" s="61">
        <v>0</v>
      </c>
      <c r="H4381" s="61">
        <v>0</v>
      </c>
      <c r="I4381" s="61">
        <v>0</v>
      </c>
      <c r="J4381" s="62">
        <f t="shared" si="29"/>
        <v>63342.36</v>
      </c>
    </row>
    <row r="4382" spans="1:10" x14ac:dyDescent="0.25">
      <c r="A4382" s="20">
        <v>45688</v>
      </c>
      <c r="B4382" t="str">
        <f>IFERROR(IF(VLOOKUP(C4382,Hoja1!$B$1:$C$6191,2,0)="",_xlfn.XLOOKUP(C4382,Hoja1!$B$2:$B$6191,Hoja1!$A$2:$A$6191),VLOOKUP(C4382,Hoja1!$B$1:$C$6191,2,0)),"No esta en Infor")</f>
        <v>NAC1247</v>
      </c>
      <c r="C4382" t="s">
        <v>298</v>
      </c>
      <c r="D4382" s="61">
        <v>19972.72</v>
      </c>
      <c r="F4382" s="61">
        <v>0</v>
      </c>
      <c r="G4382" s="61">
        <v>0</v>
      </c>
      <c r="H4382" s="61">
        <v>0</v>
      </c>
      <c r="I4382" s="61">
        <v>0</v>
      </c>
      <c r="J4382" s="62">
        <f t="shared" si="29"/>
        <v>19972.72</v>
      </c>
    </row>
    <row r="4383" spans="1:10" x14ac:dyDescent="0.25">
      <c r="A4383" s="20">
        <v>45688</v>
      </c>
      <c r="B4383" t="str">
        <f>IFERROR(IF(VLOOKUP(C4383,Hoja1!$B$1:$C$6191,2,0)="",_xlfn.XLOOKUP(C4383,Hoja1!$B$2:$B$6191,Hoja1!$A$2:$A$6191),VLOOKUP(C4383,Hoja1!$B$1:$C$6191,2,0)),"No esta en Infor")</f>
        <v>CAN0051</v>
      </c>
      <c r="C4383" t="s">
        <v>299</v>
      </c>
      <c r="D4383" s="61">
        <v>0</v>
      </c>
      <c r="F4383" s="61">
        <v>0</v>
      </c>
      <c r="G4383" s="61">
        <v>0</v>
      </c>
      <c r="H4383" s="61">
        <v>0</v>
      </c>
      <c r="I4383" s="61">
        <v>-0.34</v>
      </c>
      <c r="J4383" s="62">
        <f t="shared" si="29"/>
        <v>-0.34</v>
      </c>
    </row>
    <row r="4384" spans="1:10" x14ac:dyDescent="0.25">
      <c r="A4384" s="20">
        <v>45688</v>
      </c>
      <c r="B4384" t="str">
        <f>IFERROR(IF(VLOOKUP(C4384,Hoja1!$B$1:$C$6191,2,0)="",_xlfn.XLOOKUP(C4384,Hoja1!$B$2:$B$6191,Hoja1!$A$2:$A$6191),VLOOKUP(C4384,Hoja1!$B$1:$C$6191,2,0)),"No esta en Infor")</f>
        <v>NAC1249</v>
      </c>
      <c r="C4384" t="s">
        <v>300</v>
      </c>
      <c r="D4384" s="61">
        <v>94021.48</v>
      </c>
      <c r="F4384" s="61">
        <v>0</v>
      </c>
      <c r="G4384" s="61">
        <v>0</v>
      </c>
      <c r="H4384" s="61">
        <v>0</v>
      </c>
      <c r="I4384" s="61">
        <v>-17.760000000000002</v>
      </c>
      <c r="J4384" s="62">
        <f t="shared" si="29"/>
        <v>94003.72</v>
      </c>
    </row>
    <row r="4385" spans="1:10" x14ac:dyDescent="0.25">
      <c r="A4385" s="20">
        <v>45688</v>
      </c>
      <c r="B4385" t="str">
        <f>IFERROR(IF(VLOOKUP(C4385,Hoja1!$B$1:$C$6191,2,0)="",_xlfn.XLOOKUP(C4385,Hoja1!$B$2:$B$6191,Hoja1!$A$2:$A$6191),VLOOKUP(C4385,Hoja1!$B$1:$C$6191,2,0)),"No esta en Infor")</f>
        <v>NAC1251</v>
      </c>
      <c r="C4385" t="s">
        <v>519</v>
      </c>
      <c r="D4385" s="61">
        <v>1415.61</v>
      </c>
      <c r="F4385" s="61">
        <v>0</v>
      </c>
      <c r="G4385" s="61">
        <v>0</v>
      </c>
      <c r="H4385" s="61">
        <v>0</v>
      </c>
      <c r="I4385" s="61">
        <v>0</v>
      </c>
      <c r="J4385" s="62">
        <f t="shared" si="29"/>
        <v>1415.61</v>
      </c>
    </row>
    <row r="4386" spans="1:10" x14ac:dyDescent="0.25">
      <c r="A4386" s="20">
        <v>45688</v>
      </c>
      <c r="B4386" t="str">
        <f>IFERROR(IF(VLOOKUP(C4386,Hoja1!$B$1:$C$6191,2,0)="",_xlfn.XLOOKUP(C4386,Hoja1!$B$2:$B$6191,Hoja1!$A$2:$A$6191),VLOOKUP(C4386,Hoja1!$B$1:$C$6191,2,0)),"No esta en Infor")</f>
        <v>NAC1615</v>
      </c>
      <c r="C4386" t="s">
        <v>520</v>
      </c>
      <c r="D4386" s="61">
        <v>0</v>
      </c>
      <c r="F4386" s="61">
        <v>0</v>
      </c>
      <c r="G4386" s="61">
        <v>-17.64</v>
      </c>
      <c r="H4386" s="61">
        <v>-234.36</v>
      </c>
      <c r="I4386" s="61">
        <v>0</v>
      </c>
      <c r="J4386" s="62">
        <f t="shared" si="29"/>
        <v>-252</v>
      </c>
    </row>
    <row r="4387" spans="1:10" x14ac:dyDescent="0.25">
      <c r="A4387" s="20">
        <v>45688</v>
      </c>
      <c r="B4387" t="str">
        <f>IFERROR(IF(VLOOKUP(C4387,Hoja1!$B$1:$C$6191,2,0)="",_xlfn.XLOOKUP(C4387,Hoja1!$B$2:$B$6191,Hoja1!$A$2:$A$6191),VLOOKUP(C4387,Hoja1!$B$1:$C$6191,2,0)),"No esta en Infor")</f>
        <v>CAN0053</v>
      </c>
      <c r="C4387" t="s">
        <v>302</v>
      </c>
      <c r="D4387" s="61">
        <v>109952.87</v>
      </c>
      <c r="F4387" s="61">
        <v>0</v>
      </c>
      <c r="G4387" s="61">
        <v>0</v>
      </c>
      <c r="H4387" s="61">
        <v>0</v>
      </c>
      <c r="I4387" s="61">
        <v>0</v>
      </c>
      <c r="J4387" s="62">
        <f t="shared" si="29"/>
        <v>109952.87</v>
      </c>
    </row>
    <row r="4388" spans="1:10" x14ac:dyDescent="0.25">
      <c r="A4388" s="20">
        <v>45688</v>
      </c>
      <c r="B4388" t="str">
        <f>IFERROR(IF(VLOOKUP(C4388,Hoja1!$B$1:$C$6191,2,0)="",_xlfn.XLOOKUP(C4388,Hoja1!$B$2:$B$6191,Hoja1!$A$2:$A$6191),VLOOKUP(C4388,Hoja1!$B$1:$C$6191,2,0)),"No esta en Infor")</f>
        <v>SH03383</v>
      </c>
      <c r="C4388" t="s">
        <v>829</v>
      </c>
      <c r="D4388" s="61">
        <v>2.0699999999999998</v>
      </c>
      <c r="F4388" s="61">
        <v>0</v>
      </c>
      <c r="G4388" s="61">
        <v>0</v>
      </c>
      <c r="H4388" s="61">
        <v>0</v>
      </c>
      <c r="I4388" s="61">
        <v>0</v>
      </c>
      <c r="J4388" s="62">
        <f t="shared" si="29"/>
        <v>2.0699999999999998</v>
      </c>
    </row>
    <row r="4389" spans="1:10" x14ac:dyDescent="0.25">
      <c r="A4389" s="20">
        <v>45688</v>
      </c>
      <c r="B4389" t="str">
        <f>IFERROR(IF(VLOOKUP(C4389,Hoja1!$B$1:$C$6191,2,0)="",_xlfn.XLOOKUP(C4389,Hoja1!$B$2:$B$6191,Hoja1!$A$2:$A$6191),VLOOKUP(C4389,Hoja1!$B$1:$C$6191,2,0)),"No esta en Infor")</f>
        <v>SH03721</v>
      </c>
      <c r="C4389" t="s">
        <v>955</v>
      </c>
      <c r="D4389" s="61">
        <v>4.8</v>
      </c>
      <c r="F4389" s="61">
        <v>0</v>
      </c>
      <c r="G4389" s="61">
        <v>0</v>
      </c>
      <c r="H4389" s="61">
        <v>0</v>
      </c>
      <c r="I4389" s="61">
        <v>0</v>
      </c>
      <c r="J4389" s="62">
        <f t="shared" si="29"/>
        <v>4.8</v>
      </c>
    </row>
    <row r="4390" spans="1:10" x14ac:dyDescent="0.25">
      <c r="A4390" s="20">
        <v>45688</v>
      </c>
      <c r="B4390" t="str">
        <f>IFERROR(IF(VLOOKUP(C4390,Hoja1!$B$1:$C$6191,2,0)="",_xlfn.XLOOKUP(C4390,Hoja1!$B$2:$B$6191,Hoja1!$A$2:$A$6191),VLOOKUP(C4390,Hoja1!$B$1:$C$6191,2,0)),"No esta en Infor")</f>
        <v>NAC1260</v>
      </c>
      <c r="C4390" t="s">
        <v>571</v>
      </c>
      <c r="D4390" s="61">
        <v>96.96</v>
      </c>
      <c r="F4390" s="61">
        <v>0</v>
      </c>
      <c r="G4390" s="61">
        <v>-19694.63</v>
      </c>
      <c r="H4390" s="61">
        <v>0</v>
      </c>
      <c r="I4390" s="61">
        <v>0</v>
      </c>
      <c r="J4390" s="62">
        <f t="shared" si="29"/>
        <v>-19597.670000000002</v>
      </c>
    </row>
    <row r="4391" spans="1:10" x14ac:dyDescent="0.25">
      <c r="A4391" s="20">
        <v>45688</v>
      </c>
      <c r="B4391" t="str">
        <f>IFERROR(IF(VLOOKUP(C4391,Hoja1!$B$1:$C$6191,2,0)="",_xlfn.XLOOKUP(C4391,Hoja1!$B$2:$B$6191,Hoja1!$A$2:$A$6191),VLOOKUP(C4391,Hoja1!$B$1:$C$6191,2,0)),"No esta en Infor")</f>
        <v>NAC1261</v>
      </c>
      <c r="C4391" t="s">
        <v>303</v>
      </c>
      <c r="D4391" s="61">
        <v>1323</v>
      </c>
      <c r="F4391" s="61">
        <v>0</v>
      </c>
      <c r="G4391" s="61">
        <v>0</v>
      </c>
      <c r="H4391" s="61">
        <v>0</v>
      </c>
      <c r="I4391" s="61">
        <v>0</v>
      </c>
      <c r="J4391" s="62">
        <f t="shared" si="29"/>
        <v>1323</v>
      </c>
    </row>
    <row r="4392" spans="1:10" x14ac:dyDescent="0.25">
      <c r="A4392" s="20">
        <v>45688</v>
      </c>
      <c r="B4392" t="str">
        <f>IFERROR(IF(VLOOKUP(C4392,Hoja1!$B$1:$C$6191,2,0)="",_xlfn.XLOOKUP(C4392,Hoja1!$B$2:$B$6191,Hoja1!$A$2:$A$6191),VLOOKUP(C4392,Hoja1!$B$1:$C$6191,2,0)),"No esta en Infor")</f>
        <v>SH03164</v>
      </c>
      <c r="C4392" t="s">
        <v>801</v>
      </c>
      <c r="D4392" s="61">
        <v>13.34</v>
      </c>
      <c r="F4392" s="61">
        <v>0</v>
      </c>
      <c r="G4392" s="61">
        <v>0</v>
      </c>
      <c r="H4392" s="61">
        <v>0</v>
      </c>
      <c r="I4392" s="61">
        <v>0</v>
      </c>
      <c r="J4392" s="62">
        <f t="shared" si="29"/>
        <v>13.34</v>
      </c>
    </row>
    <row r="4393" spans="1:10" x14ac:dyDescent="0.25">
      <c r="A4393" s="20">
        <v>45688</v>
      </c>
      <c r="B4393" t="str">
        <f>IFERROR(IF(VLOOKUP(C4393,Hoja1!$B$1:$C$6191,2,0)="",_xlfn.XLOOKUP(C4393,Hoja1!$B$2:$B$6191,Hoja1!$A$2:$A$6191),VLOOKUP(C4393,Hoja1!$B$1:$C$6191,2,0)),"No esta en Infor")</f>
        <v>SH03538</v>
      </c>
      <c r="C4393" t="s">
        <v>956</v>
      </c>
      <c r="D4393" s="61">
        <v>114.53</v>
      </c>
      <c r="F4393" s="61">
        <v>0</v>
      </c>
      <c r="G4393" s="61">
        <v>0</v>
      </c>
      <c r="H4393" s="61">
        <v>0</v>
      </c>
      <c r="I4393" s="61">
        <v>0</v>
      </c>
      <c r="J4393" s="62">
        <f t="shared" si="29"/>
        <v>114.53</v>
      </c>
    </row>
    <row r="4394" spans="1:10" x14ac:dyDescent="0.25">
      <c r="A4394" s="20">
        <v>45688</v>
      </c>
      <c r="B4394" t="str">
        <f>IFERROR(IF(VLOOKUP(C4394,Hoja1!$B$1:$C$6191,2,0)="",_xlfn.XLOOKUP(C4394,Hoja1!$B$2:$B$6191,Hoja1!$A$2:$A$6191),VLOOKUP(C4394,Hoja1!$B$1:$C$6191,2,0)),"No esta en Infor")</f>
        <v>SH03858</v>
      </c>
      <c r="C4394" t="s">
        <v>957</v>
      </c>
      <c r="D4394" s="61">
        <v>61.99</v>
      </c>
      <c r="F4394" s="61">
        <v>0</v>
      </c>
      <c r="G4394" s="61">
        <v>0</v>
      </c>
      <c r="H4394" s="61">
        <v>0</v>
      </c>
      <c r="I4394" s="61">
        <v>0</v>
      </c>
      <c r="J4394" s="62">
        <f t="shared" si="29"/>
        <v>61.99</v>
      </c>
    </row>
    <row r="4395" spans="1:10" x14ac:dyDescent="0.25">
      <c r="A4395" s="20">
        <v>45688</v>
      </c>
      <c r="B4395" t="str">
        <f>IFERROR(IF(VLOOKUP(C4395,Hoja1!$B$1:$C$6191,2,0)="",_xlfn.XLOOKUP(C4395,Hoja1!$B$2:$B$6191,Hoja1!$A$2:$A$6191),VLOOKUP(C4395,Hoja1!$B$1:$C$6191,2,0)),"No esta en Infor")</f>
        <v>SH03367</v>
      </c>
      <c r="C4395" t="s">
        <v>826</v>
      </c>
      <c r="D4395" s="61">
        <v>12.09</v>
      </c>
      <c r="F4395" s="61">
        <v>0</v>
      </c>
      <c r="G4395" s="61">
        <v>0</v>
      </c>
      <c r="H4395" s="61">
        <v>0</v>
      </c>
      <c r="I4395" s="61">
        <v>0</v>
      </c>
      <c r="J4395" s="62">
        <f t="shared" si="29"/>
        <v>12.09</v>
      </c>
    </row>
    <row r="4396" spans="1:10" x14ac:dyDescent="0.25">
      <c r="A4396" s="20">
        <v>45688</v>
      </c>
      <c r="B4396" t="str">
        <f>IFERROR(IF(VLOOKUP(C4396,Hoja1!$B$1:$C$6191,2,0)="",_xlfn.XLOOKUP(C4396,Hoja1!$B$2:$B$6191,Hoja1!$A$2:$A$6191),VLOOKUP(C4396,Hoja1!$B$1:$C$6191,2,0)),"No esta en Infor")</f>
        <v>SH03124</v>
      </c>
      <c r="C4396" t="s">
        <v>798</v>
      </c>
      <c r="D4396" s="61">
        <v>228.83</v>
      </c>
      <c r="F4396" s="61">
        <v>0</v>
      </c>
      <c r="G4396" s="61">
        <v>0</v>
      </c>
      <c r="H4396" s="61">
        <v>0</v>
      </c>
      <c r="I4396" s="61">
        <v>0</v>
      </c>
      <c r="J4396" s="62">
        <f t="shared" si="29"/>
        <v>228.83</v>
      </c>
    </row>
    <row r="4397" spans="1:10" x14ac:dyDescent="0.25">
      <c r="A4397" s="20">
        <v>45688</v>
      </c>
      <c r="B4397" t="str">
        <f>IFERROR(IF(VLOOKUP(C4397,Hoja1!$B$1:$C$6191,2,0)="",_xlfn.XLOOKUP(C4397,Hoja1!$B$2:$B$6191,Hoja1!$A$2:$A$6191),VLOOKUP(C4397,Hoja1!$B$1:$C$6191,2,0)),"No esta en Infor")</f>
        <v>SH03577</v>
      </c>
      <c r="C4397" t="s">
        <v>958</v>
      </c>
      <c r="D4397" s="61">
        <v>17.27</v>
      </c>
      <c r="F4397" s="61">
        <v>0</v>
      </c>
      <c r="G4397" s="61">
        <v>0</v>
      </c>
      <c r="H4397" s="61">
        <v>0</v>
      </c>
      <c r="I4397" s="61">
        <v>0</v>
      </c>
      <c r="J4397" s="62">
        <f t="shared" si="29"/>
        <v>17.27</v>
      </c>
    </row>
    <row r="4398" spans="1:10" x14ac:dyDescent="0.25">
      <c r="A4398" s="20">
        <v>45688</v>
      </c>
      <c r="B4398" t="str">
        <f>IFERROR(IF(VLOOKUP(C4398,Hoja1!$B$1:$C$6191,2,0)="",_xlfn.XLOOKUP(C4398,Hoja1!$B$2:$B$6191,Hoja1!$A$2:$A$6191),VLOOKUP(C4398,Hoja1!$B$1:$C$6191,2,0)),"No esta en Infor")</f>
        <v>SH03839</v>
      </c>
      <c r="C4398" t="s">
        <v>959</v>
      </c>
      <c r="D4398" s="61">
        <v>126.04</v>
      </c>
      <c r="F4398" s="61">
        <v>0</v>
      </c>
      <c r="G4398" s="61">
        <v>0</v>
      </c>
      <c r="H4398" s="61">
        <v>0</v>
      </c>
      <c r="I4398" s="61">
        <v>0</v>
      </c>
      <c r="J4398" s="62">
        <f t="shared" si="29"/>
        <v>126.04</v>
      </c>
    </row>
    <row r="4399" spans="1:10" x14ac:dyDescent="0.25">
      <c r="A4399" s="20">
        <v>45688</v>
      </c>
      <c r="B4399" t="str">
        <f>IFERROR(IF(VLOOKUP(C4399,Hoja1!$B$1:$C$6191,2,0)="",_xlfn.XLOOKUP(C4399,Hoja1!$B$2:$B$6191,Hoja1!$A$2:$A$6191),VLOOKUP(C4399,Hoja1!$B$1:$C$6191,2,0)),"No esta en Infor")</f>
        <v>NAC1288</v>
      </c>
      <c r="C4399" t="s">
        <v>787</v>
      </c>
      <c r="D4399" s="61">
        <v>44</v>
      </c>
      <c r="F4399" s="61">
        <v>0</v>
      </c>
      <c r="G4399" s="61">
        <v>0</v>
      </c>
      <c r="H4399" s="61">
        <v>0</v>
      </c>
      <c r="I4399" s="61">
        <v>0</v>
      </c>
      <c r="J4399" s="62">
        <f t="shared" si="29"/>
        <v>44</v>
      </c>
    </row>
    <row r="4400" spans="1:10" x14ac:dyDescent="0.25">
      <c r="A4400" s="20">
        <v>45688</v>
      </c>
      <c r="B4400" t="str">
        <f>IFERROR(IF(VLOOKUP(C4400,Hoja1!$B$1:$C$6191,2,0)="",_xlfn.XLOOKUP(C4400,Hoja1!$B$2:$B$6191,Hoja1!$A$2:$A$6191),VLOOKUP(C4400,Hoja1!$B$1:$C$6191,2,0)),"No esta en Infor")</f>
        <v>NAC1292</v>
      </c>
      <c r="C4400" t="s">
        <v>46</v>
      </c>
      <c r="D4400" s="61">
        <v>27188.5</v>
      </c>
      <c r="F4400" s="61">
        <v>0</v>
      </c>
      <c r="G4400" s="61">
        <v>0</v>
      </c>
      <c r="H4400" s="61">
        <v>0</v>
      </c>
      <c r="I4400" s="61">
        <v>0</v>
      </c>
      <c r="J4400" s="62">
        <f t="shared" si="29"/>
        <v>27188.5</v>
      </c>
    </row>
    <row r="4401" spans="1:10" x14ac:dyDescent="0.25">
      <c r="A4401" s="20">
        <v>45688</v>
      </c>
      <c r="B4401" t="str">
        <f>IFERROR(IF(VLOOKUP(C4401,Hoja1!$B$1:$C$6191,2,0)="",_xlfn.XLOOKUP(C4401,Hoja1!$B$2:$B$6191,Hoja1!$A$2:$A$6191),VLOOKUP(C4401,Hoja1!$B$1:$C$6191,2,0)),"No esta en Infor")</f>
        <v>CAN0056</v>
      </c>
      <c r="C4401" t="s">
        <v>590</v>
      </c>
      <c r="D4401" s="61">
        <v>2027.22</v>
      </c>
      <c r="F4401" s="61">
        <v>0</v>
      </c>
      <c r="G4401" s="61">
        <v>0</v>
      </c>
      <c r="H4401" s="61">
        <v>0</v>
      </c>
      <c r="I4401" s="61">
        <v>0</v>
      </c>
      <c r="J4401" s="62">
        <f t="shared" si="29"/>
        <v>2027.22</v>
      </c>
    </row>
    <row r="4402" spans="1:10" x14ac:dyDescent="0.25">
      <c r="A4402" s="20">
        <v>45688</v>
      </c>
      <c r="B4402" t="str">
        <f>IFERROR(IF(VLOOKUP(C4402,Hoja1!$B$1:$C$6191,2,0)="",_xlfn.XLOOKUP(C4402,Hoja1!$B$2:$B$6191,Hoja1!$A$2:$A$6191),VLOOKUP(C4402,Hoja1!$B$1:$C$6191,2,0)),"No esta en Infor")</f>
        <v>SH02984</v>
      </c>
      <c r="C4402" t="s">
        <v>794</v>
      </c>
      <c r="D4402" s="63">
        <v>0</v>
      </c>
      <c r="F4402" s="63">
        <v>2.25</v>
      </c>
      <c r="G4402" s="63">
        <v>0</v>
      </c>
      <c r="H4402" s="63">
        <v>0</v>
      </c>
      <c r="I4402" s="63">
        <v>0</v>
      </c>
      <c r="J4402" s="62">
        <f t="shared" si="29"/>
        <v>2.25</v>
      </c>
    </row>
    <row r="4403" spans="1:10" x14ac:dyDescent="0.25">
      <c r="A4403" s="20">
        <v>45688</v>
      </c>
      <c r="B4403" t="str">
        <f>IFERROR(IF(VLOOKUP(C4403,Hoja1!$B$1:$C$6191,2,0)="",_xlfn.XLOOKUP(C4403,Hoja1!$B$2:$B$6191,Hoja1!$A$2:$A$6191),VLOOKUP(C4403,Hoja1!$B$1:$C$6191,2,0)),"No esta en Infor")</f>
        <v>SH03791</v>
      </c>
      <c r="C4403" t="s">
        <v>960</v>
      </c>
      <c r="D4403" s="61">
        <v>11.74</v>
      </c>
      <c r="F4403" s="61">
        <v>0</v>
      </c>
      <c r="G4403" s="61">
        <v>0</v>
      </c>
      <c r="H4403" s="61">
        <v>0</v>
      </c>
      <c r="I4403" s="61">
        <v>0</v>
      </c>
      <c r="J4403" s="62">
        <f t="shared" si="29"/>
        <v>11.74</v>
      </c>
    </row>
    <row r="4404" spans="1:10" x14ac:dyDescent="0.25">
      <c r="A4404" s="20">
        <v>45688</v>
      </c>
      <c r="B4404" t="str">
        <f>IFERROR(IF(VLOOKUP(C4404,Hoja1!$B$1:$C$6191,2,0)="",_xlfn.XLOOKUP(C4404,Hoja1!$B$2:$B$6191,Hoja1!$A$2:$A$6191),VLOOKUP(C4404,Hoja1!$B$1:$C$6191,2,0)),"No esta en Infor")</f>
        <v>NAC1297</v>
      </c>
      <c r="C4404" t="s">
        <v>961</v>
      </c>
      <c r="D4404" s="61">
        <v>541</v>
      </c>
      <c r="F4404" s="61">
        <v>0</v>
      </c>
      <c r="G4404" s="61">
        <v>0</v>
      </c>
      <c r="H4404" s="61">
        <v>0</v>
      </c>
      <c r="I4404" s="61">
        <v>0</v>
      </c>
      <c r="J4404" s="62">
        <f t="shared" si="29"/>
        <v>541</v>
      </c>
    </row>
    <row r="4405" spans="1:10" x14ac:dyDescent="0.25">
      <c r="A4405" s="20">
        <v>45688</v>
      </c>
      <c r="B4405" t="str">
        <f>IFERROR(IF(VLOOKUP(C4405,Hoja1!$B$1:$C$6191,2,0)="",_xlfn.XLOOKUP(C4405,Hoja1!$B$2:$B$6191,Hoja1!$A$2:$A$6191),VLOOKUP(C4405,Hoja1!$B$1:$C$6191,2,0)),"No esta en Infor")</f>
        <v>SH03845</v>
      </c>
      <c r="C4405" t="s">
        <v>962</v>
      </c>
      <c r="D4405" s="61">
        <v>63.3</v>
      </c>
      <c r="F4405" s="61">
        <v>0</v>
      </c>
      <c r="G4405" s="61">
        <v>0</v>
      </c>
      <c r="H4405" s="61">
        <v>0</v>
      </c>
      <c r="I4405" s="61">
        <v>0</v>
      </c>
      <c r="J4405" s="62">
        <f t="shared" si="29"/>
        <v>63.3</v>
      </c>
    </row>
    <row r="4406" spans="1:10" x14ac:dyDescent="0.25">
      <c r="A4406" s="20">
        <v>45688</v>
      </c>
      <c r="B4406" t="str">
        <f>IFERROR(IF(VLOOKUP(C4406,Hoja1!$B$1:$C$6191,2,0)="",_xlfn.XLOOKUP(C4406,Hoja1!$B$2:$B$6191,Hoja1!$A$2:$A$6191),VLOOKUP(C4406,Hoja1!$B$1:$C$6191,2,0)),"No esta en Infor")</f>
        <v>NAC1312</v>
      </c>
      <c r="C4406" t="s">
        <v>314</v>
      </c>
      <c r="D4406" s="63">
        <v>5373.13</v>
      </c>
      <c r="F4406" s="63">
        <v>91392.47</v>
      </c>
      <c r="G4406" s="63">
        <v>105460.03</v>
      </c>
      <c r="H4406" s="63">
        <v>130737.91</v>
      </c>
      <c r="I4406" s="63">
        <v>6392.93</v>
      </c>
      <c r="J4406" s="62">
        <f t="shared" si="29"/>
        <v>339356.47000000003</v>
      </c>
    </row>
    <row r="4407" spans="1:10" x14ac:dyDescent="0.25">
      <c r="A4407" s="20">
        <v>45688</v>
      </c>
      <c r="B4407" t="str">
        <f>IFERROR(IF(VLOOKUP(C4407,Hoja1!$B$1:$C$6191,2,0)="",_xlfn.XLOOKUP(C4407,Hoja1!$B$2:$B$6191,Hoja1!$A$2:$A$6191),VLOOKUP(C4407,Hoja1!$B$1:$C$6191,2,0)),"No esta en Infor")</f>
        <v>NAC1313</v>
      </c>
      <c r="C4407" t="s">
        <v>315</v>
      </c>
      <c r="D4407" s="61">
        <v>8575.73</v>
      </c>
      <c r="F4407" s="61">
        <v>0</v>
      </c>
      <c r="G4407" s="61">
        <v>0</v>
      </c>
      <c r="H4407" s="61">
        <v>0</v>
      </c>
      <c r="I4407" s="61">
        <v>0</v>
      </c>
      <c r="J4407" s="62">
        <f t="shared" ref="J4407:J4470" si="30">SUM(D4407:I4407)</f>
        <v>8575.73</v>
      </c>
    </row>
    <row r="4408" spans="1:10" x14ac:dyDescent="0.25">
      <c r="A4408" s="20">
        <v>45688</v>
      </c>
      <c r="B4408" t="str">
        <f>IFERROR(IF(VLOOKUP(C4408,Hoja1!$B$1:$C$6191,2,0)="",_xlfn.XLOOKUP(C4408,Hoja1!$B$2:$B$6191,Hoja1!$A$2:$A$6191),VLOOKUP(C4408,Hoja1!$B$1:$C$6191,2,0)),"No esta en Infor")</f>
        <v>NAC1326</v>
      </c>
      <c r="C4408" t="s">
        <v>763</v>
      </c>
      <c r="D4408" s="61">
        <v>994.63</v>
      </c>
      <c r="F4408" s="61">
        <v>0</v>
      </c>
      <c r="G4408" s="61">
        <v>0</v>
      </c>
      <c r="H4408" s="61">
        <v>0</v>
      </c>
      <c r="I4408" s="61">
        <v>0</v>
      </c>
      <c r="J4408" s="62">
        <f t="shared" si="30"/>
        <v>994.63</v>
      </c>
    </row>
    <row r="4409" spans="1:10" x14ac:dyDescent="0.25">
      <c r="A4409" s="20">
        <v>45688</v>
      </c>
      <c r="B4409" t="str">
        <f>IFERROR(IF(VLOOKUP(C4409,Hoja1!$B$1:$C$6191,2,0)="",_xlfn.XLOOKUP(C4409,Hoja1!$B$2:$B$6191,Hoja1!$A$2:$A$6191),VLOOKUP(C4409,Hoja1!$B$1:$C$6191,2,0)),"No esta en Infor")</f>
        <v>CAN0060</v>
      </c>
      <c r="C4409" t="s">
        <v>422</v>
      </c>
      <c r="D4409" s="61">
        <v>2081.46</v>
      </c>
      <c r="F4409" s="61">
        <v>0</v>
      </c>
      <c r="G4409" s="61">
        <v>0</v>
      </c>
      <c r="H4409" s="61">
        <v>-28.5</v>
      </c>
      <c r="I4409" s="61">
        <v>0</v>
      </c>
      <c r="J4409" s="62">
        <f t="shared" si="30"/>
        <v>2052.96</v>
      </c>
    </row>
    <row r="4410" spans="1:10" x14ac:dyDescent="0.25">
      <c r="A4410" s="20">
        <v>45688</v>
      </c>
      <c r="B4410" t="str">
        <f>IFERROR(IF(VLOOKUP(C4410,Hoja1!$B$1:$C$6191,2,0)="",_xlfn.XLOOKUP(C4410,Hoja1!$B$2:$B$6191,Hoja1!$A$2:$A$6191),VLOOKUP(C4410,Hoja1!$B$1:$C$6191,2,0)),"No esta en Infor")</f>
        <v>SH03851</v>
      </c>
      <c r="C4410" t="s">
        <v>963</v>
      </c>
      <c r="D4410" s="61">
        <v>119.94</v>
      </c>
      <c r="F4410" s="61">
        <v>0</v>
      </c>
      <c r="G4410" s="61">
        <v>0</v>
      </c>
      <c r="H4410" s="61">
        <v>0</v>
      </c>
      <c r="I4410" s="61">
        <v>0</v>
      </c>
      <c r="J4410" s="62">
        <f t="shared" si="30"/>
        <v>119.94</v>
      </c>
    </row>
    <row r="4411" spans="1:10" x14ac:dyDescent="0.25">
      <c r="A4411" s="20">
        <v>45688</v>
      </c>
      <c r="B4411" t="str">
        <f>IFERROR(IF(VLOOKUP(C4411,Hoja1!$B$1:$C$6191,2,0)="",_xlfn.XLOOKUP(C4411,Hoja1!$B$2:$B$6191,Hoja1!$A$2:$A$6191),VLOOKUP(C4411,Hoja1!$B$1:$C$6191,2,0)),"No esta en Infor")</f>
        <v>NAC1332</v>
      </c>
      <c r="C4411" t="s">
        <v>317</v>
      </c>
      <c r="D4411" s="61">
        <v>2721.6</v>
      </c>
      <c r="F4411" s="61">
        <v>0</v>
      </c>
      <c r="G4411" s="61">
        <v>0</v>
      </c>
      <c r="H4411" s="61">
        <v>0</v>
      </c>
      <c r="I4411" s="61">
        <v>0</v>
      </c>
      <c r="J4411" s="62">
        <f t="shared" si="30"/>
        <v>2721.6</v>
      </c>
    </row>
    <row r="4412" spans="1:10" x14ac:dyDescent="0.25">
      <c r="A4412" s="20">
        <v>45688</v>
      </c>
      <c r="B4412" t="str">
        <f>IFERROR(IF(VLOOKUP(C4412,Hoja1!$B$1:$C$6191,2,0)="",_xlfn.XLOOKUP(C4412,Hoja1!$B$2:$B$6191,Hoja1!$A$2:$A$6191),VLOOKUP(C4412,Hoja1!$B$1:$C$6191,2,0)),"No esta en Infor")</f>
        <v>SH02288</v>
      </c>
      <c r="C4412" t="s">
        <v>698</v>
      </c>
      <c r="D4412" s="63">
        <v>0</v>
      </c>
      <c r="F4412" s="63">
        <v>0</v>
      </c>
      <c r="G4412" s="63">
        <v>0</v>
      </c>
      <c r="H4412" s="63">
        <v>0</v>
      </c>
      <c r="I4412" s="63">
        <v>48.29</v>
      </c>
      <c r="J4412" s="62">
        <f t="shared" si="30"/>
        <v>48.29</v>
      </c>
    </row>
    <row r="4413" spans="1:10" x14ac:dyDescent="0.25">
      <c r="A4413" s="20">
        <v>45688</v>
      </c>
      <c r="B4413" t="str">
        <f>IFERROR(IF(VLOOKUP(C4413,Hoja1!$B$1:$C$6191,2,0)="",_xlfn.XLOOKUP(C4413,Hoja1!$B$2:$B$6191,Hoja1!$A$2:$A$6191),VLOOKUP(C4413,Hoja1!$B$1:$C$6191,2,0)),"No esta en Infor")</f>
        <v>SH02293</v>
      </c>
      <c r="C4413" t="s">
        <v>699</v>
      </c>
      <c r="D4413" s="63">
        <v>0</v>
      </c>
      <c r="F4413" s="63">
        <v>7.3</v>
      </c>
      <c r="G4413" s="63">
        <v>0</v>
      </c>
      <c r="H4413" s="63">
        <v>0</v>
      </c>
      <c r="I4413" s="63">
        <v>0</v>
      </c>
      <c r="J4413" s="62">
        <f t="shared" si="30"/>
        <v>7.3</v>
      </c>
    </row>
    <row r="4414" spans="1:10" x14ac:dyDescent="0.25">
      <c r="A4414" s="20">
        <v>45688</v>
      </c>
      <c r="B4414" t="str">
        <f>IFERROR(IF(VLOOKUP(C4414,Hoja1!$B$1:$C$6191,2,0)="",_xlfn.XLOOKUP(C4414,Hoja1!$B$2:$B$6191,Hoja1!$A$2:$A$6191),VLOOKUP(C4414,Hoja1!$B$1:$C$6191,2,0)),"No esta en Infor")</f>
        <v>SH03338</v>
      </c>
      <c r="C4414" t="s">
        <v>886</v>
      </c>
      <c r="D4414" s="61">
        <v>35.880000000000003</v>
      </c>
      <c r="F4414" s="61">
        <v>0</v>
      </c>
      <c r="G4414" s="61">
        <v>0</v>
      </c>
      <c r="H4414" s="61">
        <v>0</v>
      </c>
      <c r="I4414" s="61">
        <v>0</v>
      </c>
      <c r="J4414" s="62">
        <f t="shared" si="30"/>
        <v>35.880000000000003</v>
      </c>
    </row>
    <row r="4415" spans="1:10" x14ac:dyDescent="0.25">
      <c r="A4415" s="20">
        <v>45688</v>
      </c>
      <c r="B4415" t="str">
        <f>IFERROR(IF(VLOOKUP(C4415,Hoja1!$B$1:$C$6191,2,0)="",_xlfn.XLOOKUP(C4415,Hoja1!$B$2:$B$6191,Hoja1!$A$2:$A$6191),VLOOKUP(C4415,Hoja1!$B$1:$C$6191,2,0)),"No esta en Infor")</f>
        <v>SH03517</v>
      </c>
      <c r="C4415" t="s">
        <v>964</v>
      </c>
      <c r="D4415" s="61">
        <v>469.78</v>
      </c>
      <c r="F4415" s="61">
        <v>0</v>
      </c>
      <c r="G4415" s="61">
        <v>0</v>
      </c>
      <c r="H4415" s="61">
        <v>0</v>
      </c>
      <c r="I4415" s="61">
        <v>0</v>
      </c>
      <c r="J4415" s="62">
        <f t="shared" si="30"/>
        <v>469.78</v>
      </c>
    </row>
    <row r="4416" spans="1:10" x14ac:dyDescent="0.25">
      <c r="A4416" s="20">
        <v>45688</v>
      </c>
      <c r="B4416" t="str">
        <f>IFERROR(IF(VLOOKUP(C4416,Hoja1!$B$1:$C$6191,2,0)="",_xlfn.XLOOKUP(C4416,Hoja1!$B$2:$B$6191,Hoja1!$A$2:$A$6191),VLOOKUP(C4416,Hoja1!$B$1:$C$6191,2,0)),"No esta en Infor")</f>
        <v>NAC1346</v>
      </c>
      <c r="C4416" t="s">
        <v>321</v>
      </c>
      <c r="D4416" s="61">
        <v>1435.38</v>
      </c>
      <c r="F4416" s="61">
        <v>-47.94</v>
      </c>
      <c r="G4416" s="61">
        <v>0</v>
      </c>
      <c r="H4416" s="61">
        <v>0</v>
      </c>
      <c r="I4416" s="61">
        <v>0</v>
      </c>
      <c r="J4416" s="62">
        <f t="shared" si="30"/>
        <v>1387.44</v>
      </c>
    </row>
    <row r="4417" spans="1:10" x14ac:dyDescent="0.25">
      <c r="A4417" s="20">
        <v>45688</v>
      </c>
      <c r="B4417" t="str">
        <f>IFERROR(IF(VLOOKUP(C4417,Hoja1!$B$1:$C$6191,2,0)="",_xlfn.XLOOKUP(C4417,Hoja1!$B$2:$B$6191,Hoja1!$A$2:$A$6191),VLOOKUP(C4417,Hoja1!$B$1:$C$6191,2,0)),"No esta en Infor")</f>
        <v>NAC1349</v>
      </c>
      <c r="C4417" t="s">
        <v>322</v>
      </c>
      <c r="D4417" s="61">
        <v>0</v>
      </c>
      <c r="F4417" s="61">
        <v>0</v>
      </c>
      <c r="G4417" s="61">
        <v>0</v>
      </c>
      <c r="H4417" s="61">
        <v>-178.85</v>
      </c>
      <c r="I4417" s="61">
        <v>-169.96</v>
      </c>
      <c r="J4417" s="62">
        <f t="shared" si="30"/>
        <v>-348.81</v>
      </c>
    </row>
    <row r="4418" spans="1:10" x14ac:dyDescent="0.25">
      <c r="A4418" s="20">
        <v>45688</v>
      </c>
      <c r="B4418" t="str">
        <f>IFERROR(IF(VLOOKUP(C4418,Hoja1!$B$1:$C$6191,2,0)="",_xlfn.XLOOKUP(C4418,Hoja1!$B$2:$B$6191,Hoja1!$A$2:$A$6191),VLOOKUP(C4418,Hoja1!$B$1:$C$6191,2,0)),"No esta en Infor")</f>
        <v>SH03728</v>
      </c>
      <c r="C4418" t="s">
        <v>965</v>
      </c>
      <c r="D4418" s="61">
        <v>58.73</v>
      </c>
      <c r="F4418" s="61">
        <v>0</v>
      </c>
      <c r="G4418" s="61">
        <v>0</v>
      </c>
      <c r="H4418" s="61">
        <v>0</v>
      </c>
      <c r="I4418" s="61">
        <v>0</v>
      </c>
      <c r="J4418" s="62">
        <f t="shared" si="30"/>
        <v>58.73</v>
      </c>
    </row>
    <row r="4419" spans="1:10" x14ac:dyDescent="0.25">
      <c r="A4419" s="20">
        <v>45688</v>
      </c>
      <c r="B4419" t="str">
        <f>IFERROR(IF(VLOOKUP(C4419,Hoja1!$B$1:$C$6191,2,0)="",_xlfn.XLOOKUP(C4419,Hoja1!$B$2:$B$6191,Hoja1!$A$2:$A$6191),VLOOKUP(C4419,Hoja1!$B$1:$C$6191,2,0)),"No esta en Infor")</f>
        <v>SH03525</v>
      </c>
      <c r="C4419" t="s">
        <v>966</v>
      </c>
      <c r="D4419" s="61">
        <v>35.200000000000003</v>
      </c>
      <c r="F4419" s="61">
        <v>0</v>
      </c>
      <c r="G4419" s="61">
        <v>0</v>
      </c>
      <c r="H4419" s="61">
        <v>0</v>
      </c>
      <c r="I4419" s="61">
        <v>0</v>
      </c>
      <c r="J4419" s="62">
        <f t="shared" si="30"/>
        <v>35.200000000000003</v>
      </c>
    </row>
    <row r="4420" spans="1:10" x14ac:dyDescent="0.25">
      <c r="A4420" s="20">
        <v>45688</v>
      </c>
      <c r="B4420" t="str">
        <f>IFERROR(IF(VLOOKUP(C4420,Hoja1!$B$1:$C$6191,2,0)="",_xlfn.XLOOKUP(C4420,Hoja1!$B$2:$B$6191,Hoja1!$A$2:$A$6191),VLOOKUP(C4420,Hoja1!$B$1:$C$6191,2,0)),"No esta en Infor")</f>
        <v>NAC1356</v>
      </c>
      <c r="C4420" t="s">
        <v>325</v>
      </c>
      <c r="D4420" s="61">
        <v>0</v>
      </c>
      <c r="F4420" s="61">
        <v>0</v>
      </c>
      <c r="G4420" s="61">
        <v>0</v>
      </c>
      <c r="H4420" s="61">
        <v>0</v>
      </c>
      <c r="I4420" s="61">
        <v>-421.28</v>
      </c>
      <c r="J4420" s="62">
        <f t="shared" si="30"/>
        <v>-421.28</v>
      </c>
    </row>
    <row r="4421" spans="1:10" x14ac:dyDescent="0.25">
      <c r="A4421" s="20">
        <v>45688</v>
      </c>
      <c r="B4421" t="str">
        <f>IFERROR(IF(VLOOKUP(C4421,Hoja1!$B$1:$C$6191,2,0)="",_xlfn.XLOOKUP(C4421,Hoja1!$B$2:$B$6191,Hoja1!$A$2:$A$6191),VLOOKUP(C4421,Hoja1!$B$1:$C$6191,2,0)),"No esta en Infor")</f>
        <v>NAC1357</v>
      </c>
      <c r="C4421" t="s">
        <v>423</v>
      </c>
      <c r="D4421" s="61">
        <v>-359</v>
      </c>
      <c r="F4421" s="61">
        <v>0</v>
      </c>
      <c r="G4421" s="61">
        <v>0</v>
      </c>
      <c r="H4421" s="61">
        <v>0</v>
      </c>
      <c r="I4421" s="61">
        <v>0</v>
      </c>
      <c r="J4421" s="62">
        <f t="shared" si="30"/>
        <v>-359</v>
      </c>
    </row>
    <row r="4422" spans="1:10" x14ac:dyDescent="0.25">
      <c r="A4422" s="20">
        <v>45688</v>
      </c>
      <c r="B4422" t="str">
        <f>IFERROR(IF(VLOOKUP(C4422,Hoja1!$B$1:$C$6191,2,0)="",_xlfn.XLOOKUP(C4422,Hoja1!$B$2:$B$6191,Hoja1!$A$2:$A$6191),VLOOKUP(C4422,Hoja1!$B$1:$C$6191,2,0)),"No esta en Infor")</f>
        <v>SH03844</v>
      </c>
      <c r="C4422" t="s">
        <v>967</v>
      </c>
      <c r="D4422" s="61">
        <v>58.78</v>
      </c>
      <c r="F4422" s="61">
        <v>0</v>
      </c>
      <c r="G4422" s="61">
        <v>0</v>
      </c>
      <c r="H4422" s="61">
        <v>0</v>
      </c>
      <c r="I4422" s="61">
        <v>0</v>
      </c>
      <c r="J4422" s="62">
        <f t="shared" si="30"/>
        <v>58.78</v>
      </c>
    </row>
    <row r="4423" spans="1:10" x14ac:dyDescent="0.25">
      <c r="A4423" s="20">
        <v>45688</v>
      </c>
      <c r="B4423" t="str">
        <f>IFERROR(IF(VLOOKUP(C4423,Hoja1!$B$1:$C$6191,2,0)="",_xlfn.XLOOKUP(C4423,Hoja1!$B$2:$B$6191,Hoja1!$A$2:$A$6191),VLOOKUP(C4423,Hoja1!$B$1:$C$6191,2,0)),"No esta en Infor")</f>
        <v>SH03727</v>
      </c>
      <c r="C4423" t="s">
        <v>968</v>
      </c>
      <c r="D4423" s="61">
        <v>-445.67</v>
      </c>
      <c r="F4423" s="61">
        <v>0</v>
      </c>
      <c r="G4423" s="61">
        <v>0</v>
      </c>
      <c r="H4423" s="61">
        <v>0</v>
      </c>
      <c r="I4423" s="61">
        <v>0</v>
      </c>
      <c r="J4423" s="62">
        <f t="shared" si="30"/>
        <v>-445.67</v>
      </c>
    </row>
    <row r="4424" spans="1:10" x14ac:dyDescent="0.25">
      <c r="A4424" s="20">
        <v>45688</v>
      </c>
      <c r="B4424" t="str">
        <f>IFERROR(IF(VLOOKUP(C4424,Hoja1!$B$1:$C$6191,2,0)="",_xlfn.XLOOKUP(C4424,Hoja1!$B$2:$B$6191,Hoja1!$A$2:$A$6191),VLOOKUP(C4424,Hoja1!$B$1:$C$6191,2,0)),"No esta en Infor")</f>
        <v>NAC1372</v>
      </c>
      <c r="C4424" t="s">
        <v>607</v>
      </c>
      <c r="D4424" s="61">
        <v>420.12</v>
      </c>
      <c r="F4424" s="61">
        <v>0</v>
      </c>
      <c r="G4424" s="61">
        <v>0</v>
      </c>
      <c r="H4424" s="61">
        <v>0</v>
      </c>
      <c r="I4424" s="61">
        <v>0</v>
      </c>
      <c r="J4424" s="62">
        <f t="shared" si="30"/>
        <v>420.12</v>
      </c>
    </row>
    <row r="4425" spans="1:10" x14ac:dyDescent="0.25">
      <c r="A4425" s="20">
        <v>45688</v>
      </c>
      <c r="B4425" t="str">
        <f>IFERROR(IF(VLOOKUP(C4425,Hoja1!$B$1:$C$6191,2,0)="",_xlfn.XLOOKUP(C4425,Hoja1!$B$2:$B$6191,Hoja1!$A$2:$A$6191),VLOOKUP(C4425,Hoja1!$B$1:$C$6191,2,0)),"No esta en Infor")</f>
        <v>CAN0066</v>
      </c>
      <c r="C4425" t="s">
        <v>330</v>
      </c>
      <c r="D4425" s="61">
        <v>-73.41</v>
      </c>
      <c r="F4425" s="61">
        <v>0</v>
      </c>
      <c r="G4425" s="61">
        <v>0</v>
      </c>
      <c r="H4425" s="61">
        <v>0</v>
      </c>
      <c r="I4425" s="61">
        <v>0</v>
      </c>
      <c r="J4425" s="62">
        <f t="shared" si="30"/>
        <v>-73.41</v>
      </c>
    </row>
    <row r="4426" spans="1:10" x14ac:dyDescent="0.25">
      <c r="A4426" s="20">
        <v>45688</v>
      </c>
      <c r="B4426" t="str">
        <f>IFERROR(IF(VLOOKUP(C4426,Hoja1!$B$1:$C$6191,2,0)="",_xlfn.XLOOKUP(C4426,Hoja1!$B$2:$B$6191,Hoja1!$A$2:$A$6191),VLOOKUP(C4426,Hoja1!$B$1:$C$6191,2,0)),"No esta en Infor")</f>
        <v>NAC1377</v>
      </c>
      <c r="C4426" t="s">
        <v>525</v>
      </c>
      <c r="D4426" s="61">
        <v>356.67</v>
      </c>
      <c r="F4426" s="61">
        <v>0</v>
      </c>
      <c r="G4426" s="61">
        <v>0</v>
      </c>
      <c r="H4426" s="61">
        <v>0</v>
      </c>
      <c r="I4426" s="61">
        <v>0</v>
      </c>
      <c r="J4426" s="62">
        <f t="shared" si="30"/>
        <v>356.67</v>
      </c>
    </row>
    <row r="4427" spans="1:10" x14ac:dyDescent="0.25">
      <c r="A4427" s="20">
        <v>45688</v>
      </c>
      <c r="B4427" t="str">
        <f>IFERROR(IF(VLOOKUP(C4427,Hoja1!$B$1:$C$6191,2,0)="",_xlfn.XLOOKUP(C4427,Hoja1!$B$2:$B$6191,Hoja1!$A$2:$A$6191),VLOOKUP(C4427,Hoja1!$B$1:$C$6191,2,0)),"No esta en Infor")</f>
        <v>NAC1380</v>
      </c>
      <c r="C4427" t="s">
        <v>427</v>
      </c>
      <c r="D4427" s="61">
        <v>5280</v>
      </c>
      <c r="F4427" s="61">
        <v>0</v>
      </c>
      <c r="G4427" s="61">
        <v>0</v>
      </c>
      <c r="H4427" s="61">
        <v>0</v>
      </c>
      <c r="I4427" s="61">
        <v>0</v>
      </c>
      <c r="J4427" s="62">
        <f t="shared" si="30"/>
        <v>5280</v>
      </c>
    </row>
    <row r="4428" spans="1:10" x14ac:dyDescent="0.25">
      <c r="A4428" s="20">
        <v>45688</v>
      </c>
      <c r="B4428" t="str">
        <f>IFERROR(IF(VLOOKUP(C4428,Hoja1!$B$1:$C$6191,2,0)="",_xlfn.XLOOKUP(C4428,Hoja1!$B$2:$B$6191,Hoja1!$A$2:$A$6191),VLOOKUP(C4428,Hoja1!$B$1:$C$6191,2,0)),"No esta en Infor")</f>
        <v>NAC1381</v>
      </c>
      <c r="C4428" t="s">
        <v>478</v>
      </c>
      <c r="D4428" s="61">
        <v>0</v>
      </c>
      <c r="F4428" s="61">
        <v>0</v>
      </c>
      <c r="G4428" s="61">
        <v>0</v>
      </c>
      <c r="H4428" s="61">
        <v>-5.28</v>
      </c>
      <c r="I4428" s="61">
        <v>0</v>
      </c>
      <c r="J4428" s="62">
        <f t="shared" si="30"/>
        <v>-5.28</v>
      </c>
    </row>
    <row r="4429" spans="1:10" x14ac:dyDescent="0.25">
      <c r="A4429" s="20">
        <v>45688</v>
      </c>
      <c r="B4429" t="str">
        <f>IFERROR(IF(VLOOKUP(C4429,Hoja1!$B$1:$C$6191,2,0)="",_xlfn.XLOOKUP(C4429,Hoja1!$B$2:$B$6191,Hoja1!$A$2:$A$6191),VLOOKUP(C4429,Hoja1!$B$1:$C$6191,2,0)),"No esta en Infor")</f>
        <v>CAN0067</v>
      </c>
      <c r="C4429" t="s">
        <v>775</v>
      </c>
      <c r="D4429" s="61">
        <v>113</v>
      </c>
      <c r="F4429" s="61">
        <v>0</v>
      </c>
      <c r="G4429" s="61">
        <v>0</v>
      </c>
      <c r="H4429" s="61">
        <v>0</v>
      </c>
      <c r="I4429" s="61">
        <v>0</v>
      </c>
      <c r="J4429" s="62">
        <f t="shared" si="30"/>
        <v>113</v>
      </c>
    </row>
    <row r="4430" spans="1:10" x14ac:dyDescent="0.25">
      <c r="A4430" s="20">
        <v>45688</v>
      </c>
      <c r="B4430" t="str">
        <f>IFERROR(IF(VLOOKUP(C4430,Hoja1!$B$1:$C$6191,2,0)="",_xlfn.XLOOKUP(C4430,Hoja1!$B$2:$B$6191,Hoja1!$A$2:$A$6191),VLOOKUP(C4430,Hoja1!$B$1:$C$6191,2,0)),"No esta en Infor")</f>
        <v>NAC1382</v>
      </c>
      <c r="C4430" t="s">
        <v>332</v>
      </c>
      <c r="D4430" s="61">
        <v>295708.51</v>
      </c>
      <c r="F4430" s="61">
        <v>0</v>
      </c>
      <c r="G4430" s="61">
        <v>0</v>
      </c>
      <c r="H4430" s="61">
        <v>0</v>
      </c>
      <c r="I4430" s="61">
        <v>0</v>
      </c>
      <c r="J4430" s="62">
        <f t="shared" si="30"/>
        <v>295708.51</v>
      </c>
    </row>
    <row r="4431" spans="1:10" x14ac:dyDescent="0.25">
      <c r="A4431" s="20">
        <v>45688</v>
      </c>
      <c r="B4431" t="str">
        <f>IFERROR(IF(VLOOKUP(C4431,Hoja1!$B$1:$C$6191,2,0)="",_xlfn.XLOOKUP(C4431,Hoja1!$B$2:$B$6191,Hoja1!$A$2:$A$6191),VLOOKUP(C4431,Hoja1!$B$1:$C$6191,2,0)),"No esta en Infor")</f>
        <v>NAC1385</v>
      </c>
      <c r="C4431" t="s">
        <v>428</v>
      </c>
      <c r="D4431" s="61">
        <v>209.82</v>
      </c>
      <c r="F4431" s="61">
        <v>0</v>
      </c>
      <c r="G4431" s="61">
        <v>0</v>
      </c>
      <c r="H4431" s="61">
        <v>0</v>
      </c>
      <c r="I4431" s="61">
        <v>0</v>
      </c>
      <c r="J4431" s="62">
        <f t="shared" si="30"/>
        <v>209.82</v>
      </c>
    </row>
    <row r="4432" spans="1:10" x14ac:dyDescent="0.25">
      <c r="A4432" s="20">
        <v>45688</v>
      </c>
      <c r="B4432" t="str">
        <f>IFERROR(IF(VLOOKUP(C4432,Hoja1!$B$1:$C$6191,2,0)="",_xlfn.XLOOKUP(C4432,Hoja1!$B$2:$B$6191,Hoja1!$A$2:$A$6191),VLOOKUP(C4432,Hoja1!$B$1:$C$6191,2,0)),"No esta en Infor")</f>
        <v>NAC1394</v>
      </c>
      <c r="C4432" t="s">
        <v>767</v>
      </c>
      <c r="D4432" s="61">
        <v>-97.5</v>
      </c>
      <c r="F4432" s="61">
        <v>-29.26</v>
      </c>
      <c r="G4432" s="61">
        <v>0</v>
      </c>
      <c r="H4432" s="61">
        <v>0</v>
      </c>
      <c r="I4432" s="61">
        <v>0</v>
      </c>
      <c r="J4432" s="62">
        <f t="shared" si="30"/>
        <v>-126.76</v>
      </c>
    </row>
    <row r="4433" spans="1:10" x14ac:dyDescent="0.25">
      <c r="A4433" s="20">
        <v>45688</v>
      </c>
      <c r="B4433" t="str">
        <f>IFERROR(IF(VLOOKUP(C4433,Hoja1!$B$1:$C$6191,2,0)="",_xlfn.XLOOKUP(C4433,Hoja1!$B$2:$B$6191,Hoja1!$A$2:$A$6191),VLOOKUP(C4433,Hoja1!$B$1:$C$6191,2,0)),"No esta en Infor")</f>
        <v>NAC1395</v>
      </c>
      <c r="C4433" t="s">
        <v>337</v>
      </c>
      <c r="D4433" s="61">
        <v>61160.5</v>
      </c>
      <c r="F4433" s="61">
        <v>0</v>
      </c>
      <c r="G4433" s="61">
        <v>0</v>
      </c>
      <c r="H4433" s="61">
        <v>0</v>
      </c>
      <c r="I4433" s="61">
        <v>0</v>
      </c>
      <c r="J4433" s="62">
        <f t="shared" si="30"/>
        <v>61160.5</v>
      </c>
    </row>
    <row r="4434" spans="1:10" x14ac:dyDescent="0.25">
      <c r="A4434" s="20">
        <v>45688</v>
      </c>
      <c r="B4434" t="str">
        <f>IFERROR(IF(VLOOKUP(C4434,Hoja1!$B$1:$C$6191,2,0)="",_xlfn.XLOOKUP(C4434,Hoja1!$B$2:$B$6191,Hoja1!$A$2:$A$6191),VLOOKUP(C4434,Hoja1!$B$1:$C$6191,2,0)),"No esta en Infor")</f>
        <v>SH03666</v>
      </c>
      <c r="C4434" t="s">
        <v>969</v>
      </c>
      <c r="D4434" s="61">
        <v>8.7899999999999991</v>
      </c>
      <c r="F4434" s="61">
        <v>0</v>
      </c>
      <c r="G4434" s="61">
        <v>0</v>
      </c>
      <c r="H4434" s="61">
        <v>0</v>
      </c>
      <c r="I4434" s="61">
        <v>0</v>
      </c>
      <c r="J4434" s="62">
        <f t="shared" si="30"/>
        <v>8.7899999999999991</v>
      </c>
    </row>
    <row r="4435" spans="1:10" x14ac:dyDescent="0.25">
      <c r="A4435" s="20">
        <v>45688</v>
      </c>
      <c r="B4435" t="str">
        <f>IFERROR(IF(VLOOKUP(C4435,Hoja1!$B$1:$C$6191,2,0)="",_xlfn.XLOOKUP(C4435,Hoja1!$B$2:$B$6191,Hoja1!$A$2:$A$6191),VLOOKUP(C4435,Hoja1!$B$1:$C$6191,2,0)),"No esta en Infor")</f>
        <v>NAC1404</v>
      </c>
      <c r="C4435" t="s">
        <v>592</v>
      </c>
      <c r="D4435" s="61">
        <v>0</v>
      </c>
      <c r="F4435" s="61">
        <v>0</v>
      </c>
      <c r="G4435" s="61">
        <v>-85.32</v>
      </c>
      <c r="H4435" s="61">
        <v>0</v>
      </c>
      <c r="I4435" s="61">
        <v>0</v>
      </c>
      <c r="J4435" s="62">
        <f t="shared" si="30"/>
        <v>-85.32</v>
      </c>
    </row>
    <row r="4436" spans="1:10" x14ac:dyDescent="0.25">
      <c r="A4436" s="20">
        <v>45688</v>
      </c>
      <c r="B4436" t="str">
        <f>IFERROR(IF(VLOOKUP(C4436,Hoja1!$B$1:$C$6191,2,0)="",_xlfn.XLOOKUP(C4436,Hoja1!$B$2:$B$6191,Hoja1!$A$2:$A$6191),VLOOKUP(C4436,Hoja1!$B$1:$C$6191,2,0)),"No esta en Infor")</f>
        <v>CAN0090</v>
      </c>
      <c r="C4436" t="s">
        <v>574</v>
      </c>
      <c r="D4436" s="61">
        <v>1264.98</v>
      </c>
      <c r="F4436" s="61">
        <v>0</v>
      </c>
      <c r="G4436" s="61">
        <v>0</v>
      </c>
      <c r="H4436" s="61">
        <v>0</v>
      </c>
      <c r="I4436" s="61">
        <v>0</v>
      </c>
      <c r="J4436" s="62">
        <f t="shared" si="30"/>
        <v>1264.98</v>
      </c>
    </row>
    <row r="4437" spans="1:10" x14ac:dyDescent="0.25">
      <c r="A4437" s="20">
        <v>45688</v>
      </c>
      <c r="B4437" t="str">
        <f>IFERROR(IF(VLOOKUP(C4437,Hoja1!$B$1:$C$6191,2,0)="",_xlfn.XLOOKUP(C4437,Hoja1!$B$2:$B$6191,Hoja1!$A$2:$A$6191),VLOOKUP(C4437,Hoja1!$B$1:$C$6191,2,0)),"No esta en Infor")</f>
        <v>NAC1413</v>
      </c>
      <c r="C4437" t="s">
        <v>342</v>
      </c>
      <c r="D4437" s="61">
        <v>32210.75</v>
      </c>
      <c r="F4437" s="61">
        <v>0</v>
      </c>
      <c r="G4437" s="61">
        <v>0</v>
      </c>
      <c r="H4437" s="61">
        <v>0</v>
      </c>
      <c r="I4437" s="61">
        <v>0</v>
      </c>
      <c r="J4437" s="62">
        <f t="shared" si="30"/>
        <v>32210.75</v>
      </c>
    </row>
    <row r="4438" spans="1:10" x14ac:dyDescent="0.25">
      <c r="A4438" s="20">
        <v>45688</v>
      </c>
      <c r="B4438" t="str">
        <f>IFERROR(IF(VLOOKUP(C4438,Hoja1!$B$1:$C$6191,2,0)="",_xlfn.XLOOKUP(C4438,Hoja1!$B$2:$B$6191,Hoja1!$A$2:$A$6191),VLOOKUP(C4438,Hoja1!$B$1:$C$6191,2,0)),"No esta en Infor")</f>
        <v>NAC1417</v>
      </c>
      <c r="C4438" t="s">
        <v>645</v>
      </c>
      <c r="D4438" s="61">
        <v>-3189.87</v>
      </c>
      <c r="F4438" s="61">
        <v>0</v>
      </c>
      <c r="G4438" s="61">
        <v>0</v>
      </c>
      <c r="H4438" s="61">
        <v>0</v>
      </c>
      <c r="I4438" s="61">
        <v>0</v>
      </c>
      <c r="J4438" s="62">
        <f t="shared" si="30"/>
        <v>-3189.87</v>
      </c>
    </row>
    <row r="4439" spans="1:10" x14ac:dyDescent="0.25">
      <c r="A4439" s="20">
        <v>45688</v>
      </c>
      <c r="B4439" t="str">
        <f>IFERROR(IF(VLOOKUP(C4439,Hoja1!$B$1:$C$6191,2,0)="",_xlfn.XLOOKUP(C4439,Hoja1!$B$2:$B$6191,Hoja1!$A$2:$A$6191),VLOOKUP(C4439,Hoja1!$B$1:$C$6191,2,0)),"No esta en Infor")</f>
        <v>NAC1420</v>
      </c>
      <c r="C4439" t="s">
        <v>480</v>
      </c>
      <c r="D4439" s="61">
        <v>901.42</v>
      </c>
      <c r="F4439" s="61">
        <v>0</v>
      </c>
      <c r="G4439" s="61">
        <v>0</v>
      </c>
      <c r="H4439" s="61">
        <v>0</v>
      </c>
      <c r="I4439" s="61">
        <v>0</v>
      </c>
      <c r="J4439" s="62">
        <f t="shared" si="30"/>
        <v>901.42</v>
      </c>
    </row>
    <row r="4440" spans="1:10" x14ac:dyDescent="0.25">
      <c r="A4440" s="20">
        <v>45688</v>
      </c>
      <c r="B4440" t="str">
        <f>IFERROR(IF(VLOOKUP(C4440,Hoja1!$B$1:$C$6191,2,0)="",_xlfn.XLOOKUP(C4440,Hoja1!$B$2:$B$6191,Hoja1!$A$2:$A$6191),VLOOKUP(C4440,Hoja1!$B$1:$C$6191,2,0)),"No esta en Infor")</f>
        <v>NAC1424</v>
      </c>
      <c r="C4440" t="s">
        <v>345</v>
      </c>
      <c r="D4440" s="61">
        <v>73340.350000000006</v>
      </c>
      <c r="F4440" s="61">
        <v>0</v>
      </c>
      <c r="G4440" s="61">
        <v>0</v>
      </c>
      <c r="H4440" s="61">
        <v>0</v>
      </c>
      <c r="I4440" s="61">
        <v>0</v>
      </c>
      <c r="J4440" s="62">
        <f t="shared" si="30"/>
        <v>73340.350000000006</v>
      </c>
    </row>
    <row r="4441" spans="1:10" x14ac:dyDescent="0.25">
      <c r="A4441" s="20">
        <v>45688</v>
      </c>
      <c r="B4441" t="str">
        <f>IFERROR(IF(VLOOKUP(C4441,Hoja1!$B$1:$C$6191,2,0)="",_xlfn.XLOOKUP(C4441,Hoja1!$B$2:$B$6191,Hoja1!$A$2:$A$6191),VLOOKUP(C4441,Hoja1!$B$1:$C$6191,2,0)),"No esta en Infor")</f>
        <v>NAC1426</v>
      </c>
      <c r="C4441" t="s">
        <v>531</v>
      </c>
      <c r="D4441" s="61">
        <v>466</v>
      </c>
      <c r="F4441" s="61">
        <v>0</v>
      </c>
      <c r="G4441" s="61">
        <v>0</v>
      </c>
      <c r="H4441" s="61">
        <v>0</v>
      </c>
      <c r="I4441" s="61">
        <v>0</v>
      </c>
      <c r="J4441" s="62">
        <f t="shared" si="30"/>
        <v>466</v>
      </c>
    </row>
    <row r="4442" spans="1:10" x14ac:dyDescent="0.25">
      <c r="A4442" s="20">
        <v>45688</v>
      </c>
      <c r="B4442" t="str">
        <f>IFERROR(IF(VLOOKUP(C4442,Hoja1!$B$1:$C$6191,2,0)="",_xlfn.XLOOKUP(C4442,Hoja1!$B$2:$B$6191,Hoja1!$A$2:$A$6191),VLOOKUP(C4442,Hoja1!$B$1:$C$6191,2,0)),"No esta en Infor")</f>
        <v>SH03821</v>
      </c>
      <c r="C4442" t="s">
        <v>970</v>
      </c>
      <c r="D4442" s="61">
        <v>53.25</v>
      </c>
      <c r="F4442" s="61">
        <v>0</v>
      </c>
      <c r="G4442" s="61">
        <v>0</v>
      </c>
      <c r="H4442" s="61">
        <v>0</v>
      </c>
      <c r="I4442" s="61">
        <v>0</v>
      </c>
      <c r="J4442" s="62">
        <f t="shared" si="30"/>
        <v>53.25</v>
      </c>
    </row>
    <row r="4443" spans="1:10" x14ac:dyDescent="0.25">
      <c r="A4443" s="20">
        <v>45688</v>
      </c>
      <c r="B4443" t="str">
        <f>IFERROR(IF(VLOOKUP(C4443,Hoja1!$B$1:$C$6191,2,0)="",_xlfn.XLOOKUP(C4443,Hoja1!$B$2:$B$6191,Hoja1!$A$2:$A$6191),VLOOKUP(C4443,Hoja1!$B$1:$C$6191,2,0)),"No esta en Infor")</f>
        <v>NAC1432</v>
      </c>
      <c r="C4443" t="s">
        <v>575</v>
      </c>
      <c r="D4443" s="61">
        <v>0</v>
      </c>
      <c r="F4443" s="61">
        <v>0</v>
      </c>
      <c r="G4443" s="61">
        <v>-536.64</v>
      </c>
      <c r="H4443" s="61">
        <v>0</v>
      </c>
      <c r="I4443" s="61">
        <v>0</v>
      </c>
      <c r="J4443" s="62">
        <f t="shared" si="30"/>
        <v>-536.64</v>
      </c>
    </row>
    <row r="4444" spans="1:10" x14ac:dyDescent="0.25">
      <c r="A4444" s="20">
        <v>45688</v>
      </c>
      <c r="B4444" t="str">
        <f>IFERROR(IF(VLOOKUP(C4444,Hoja1!$B$1:$C$6191,2,0)="",_xlfn.XLOOKUP(C4444,Hoja1!$B$2:$B$6191,Hoja1!$A$2:$A$6191),VLOOKUP(C4444,Hoja1!$B$1:$C$6191,2,0)),"No esta en Infor")</f>
        <v>NAC1434</v>
      </c>
      <c r="C4444" t="s">
        <v>348</v>
      </c>
      <c r="D4444" s="61">
        <v>11867</v>
      </c>
      <c r="F4444" s="61">
        <v>0</v>
      </c>
      <c r="G4444" s="61">
        <v>0</v>
      </c>
      <c r="H4444" s="61">
        <v>0</v>
      </c>
      <c r="I4444" s="61">
        <v>0</v>
      </c>
      <c r="J4444" s="62">
        <f t="shared" si="30"/>
        <v>11867</v>
      </c>
    </row>
    <row r="4445" spans="1:10" x14ac:dyDescent="0.25">
      <c r="A4445" s="20">
        <v>45688</v>
      </c>
      <c r="B4445" t="str">
        <f>IFERROR(IF(VLOOKUP(C4445,Hoja1!$B$1:$C$6191,2,0)="",_xlfn.XLOOKUP(C4445,Hoja1!$B$2:$B$6191,Hoja1!$A$2:$A$6191),VLOOKUP(C4445,Hoja1!$B$1:$C$6191,2,0)),"No esta en Infor")</f>
        <v>NAC1445</v>
      </c>
      <c r="C4445" t="s">
        <v>481</v>
      </c>
      <c r="D4445" s="61">
        <v>36.21</v>
      </c>
      <c r="F4445" s="61">
        <v>0</v>
      </c>
      <c r="G4445" s="61">
        <v>0</v>
      </c>
      <c r="H4445" s="61">
        <v>0</v>
      </c>
      <c r="I4445" s="61">
        <v>0</v>
      </c>
      <c r="J4445" s="62">
        <f t="shared" si="30"/>
        <v>36.21</v>
      </c>
    </row>
    <row r="4446" spans="1:10" x14ac:dyDescent="0.25">
      <c r="A4446" s="20">
        <v>45688</v>
      </c>
      <c r="B4446" t="str">
        <f>IFERROR(IF(VLOOKUP(C4446,Hoja1!$B$1:$C$6191,2,0)="",_xlfn.XLOOKUP(C4446,Hoja1!$B$2:$B$6191,Hoja1!$A$2:$A$6191),VLOOKUP(C4446,Hoja1!$B$1:$C$6191,2,0)),"No esta en Infor")</f>
        <v>CAN0074</v>
      </c>
      <c r="C4446" t="s">
        <v>350</v>
      </c>
      <c r="D4446" s="61">
        <v>2790</v>
      </c>
      <c r="F4446" s="61">
        <v>-2282.2600000000002</v>
      </c>
      <c r="G4446" s="61">
        <v>0</v>
      </c>
      <c r="H4446" s="61">
        <v>0</v>
      </c>
      <c r="I4446" s="61">
        <v>0</v>
      </c>
      <c r="J4446" s="62">
        <f t="shared" si="30"/>
        <v>507.73999999999978</v>
      </c>
    </row>
    <row r="4447" spans="1:10" x14ac:dyDescent="0.25">
      <c r="A4447" s="20">
        <v>45688</v>
      </c>
      <c r="B4447" t="str">
        <f>IFERROR(IF(VLOOKUP(C4447,Hoja1!$B$1:$C$6191,2,0)="",_xlfn.XLOOKUP(C4447,Hoja1!$B$2:$B$6191,Hoja1!$A$2:$A$6191),VLOOKUP(C4447,Hoja1!$B$1:$C$6191,2,0)),"No esta en Infor")</f>
        <v>NAC1471</v>
      </c>
      <c r="C4447" t="s">
        <v>351</v>
      </c>
      <c r="D4447" s="61">
        <v>104596.8</v>
      </c>
      <c r="F4447" s="61">
        <v>0</v>
      </c>
      <c r="G4447" s="61">
        <v>0</v>
      </c>
      <c r="H4447" s="61">
        <v>0</v>
      </c>
      <c r="I4447" s="61">
        <v>0</v>
      </c>
      <c r="J4447" s="62">
        <f t="shared" si="30"/>
        <v>104596.8</v>
      </c>
    </row>
    <row r="4448" spans="1:10" x14ac:dyDescent="0.25">
      <c r="A4448" s="20">
        <v>45688</v>
      </c>
      <c r="B4448" t="str">
        <f>IFERROR(IF(VLOOKUP(C4448,Hoja1!$B$1:$C$6191,2,0)="",_xlfn.XLOOKUP(C4448,Hoja1!$B$2:$B$6191,Hoja1!$A$2:$A$6191),VLOOKUP(C4448,Hoja1!$B$1:$C$6191,2,0)),"No esta en Infor")</f>
        <v>NAC1473</v>
      </c>
      <c r="C4448" t="s">
        <v>532</v>
      </c>
      <c r="D4448" s="61">
        <v>3665</v>
      </c>
      <c r="F4448" s="61">
        <v>0</v>
      </c>
      <c r="G4448" s="61">
        <v>0</v>
      </c>
      <c r="H4448" s="61">
        <v>0</v>
      </c>
      <c r="I4448" s="61">
        <v>0</v>
      </c>
      <c r="J4448" s="62">
        <f t="shared" si="30"/>
        <v>3665</v>
      </c>
    </row>
    <row r="4449" spans="1:10" x14ac:dyDescent="0.25">
      <c r="A4449" s="20">
        <v>45688</v>
      </c>
      <c r="B4449" t="str">
        <f>IFERROR(IF(VLOOKUP(C4449,Hoja1!$B$1:$C$6191,2,0)="",_xlfn.XLOOKUP(C4449,Hoja1!$B$2:$B$6191,Hoja1!$A$2:$A$6191),VLOOKUP(C4449,Hoja1!$B$1:$C$6191,2,0)),"No esta en Infor")</f>
        <v>NAC1474</v>
      </c>
      <c r="C4449" t="s">
        <v>352</v>
      </c>
      <c r="D4449" s="61">
        <v>51359</v>
      </c>
      <c r="F4449" s="61">
        <v>0</v>
      </c>
      <c r="G4449" s="61">
        <v>0</v>
      </c>
      <c r="H4449" s="61">
        <v>0</v>
      </c>
      <c r="I4449" s="61">
        <v>0</v>
      </c>
      <c r="J4449" s="62">
        <f t="shared" si="30"/>
        <v>51359</v>
      </c>
    </row>
    <row r="4450" spans="1:10" x14ac:dyDescent="0.25">
      <c r="A4450" s="20">
        <v>45688</v>
      </c>
      <c r="B4450" t="str">
        <f>IFERROR(IF(VLOOKUP(C4450,Hoja1!$B$1:$C$6191,2,0)="",_xlfn.XLOOKUP(C4450,Hoja1!$B$2:$B$6191,Hoja1!$A$2:$A$6191),VLOOKUP(C4450,Hoja1!$B$1:$C$6191,2,0)),"No esta en Infor")</f>
        <v>CAN0080</v>
      </c>
      <c r="C4450" t="s">
        <v>533</v>
      </c>
      <c r="D4450" s="61">
        <v>6044.29</v>
      </c>
      <c r="F4450" s="61">
        <v>0</v>
      </c>
      <c r="G4450" s="61">
        <v>0</v>
      </c>
      <c r="H4450" s="61">
        <v>-93.6</v>
      </c>
      <c r="I4450" s="61">
        <v>0</v>
      </c>
      <c r="J4450" s="62">
        <f t="shared" si="30"/>
        <v>5950.69</v>
      </c>
    </row>
    <row r="4451" spans="1:10" x14ac:dyDescent="0.25">
      <c r="A4451" s="20">
        <v>45688</v>
      </c>
      <c r="B4451" t="str">
        <f>IFERROR(IF(VLOOKUP(C4451,Hoja1!$B$1:$C$6191,2,0)="",_xlfn.XLOOKUP(C4451,Hoja1!$B$2:$B$6191,Hoja1!$A$2:$A$6191),VLOOKUP(C4451,Hoja1!$B$1:$C$6191,2,0)),"No esta en Infor")</f>
        <v>SH03506</v>
      </c>
      <c r="C4451" t="s">
        <v>887</v>
      </c>
      <c r="D4451" s="61">
        <v>-100.03</v>
      </c>
      <c r="F4451" s="61">
        <v>0</v>
      </c>
      <c r="G4451" s="61">
        <v>0</v>
      </c>
      <c r="H4451" s="61">
        <v>0</v>
      </c>
      <c r="I4451" s="61">
        <v>0</v>
      </c>
      <c r="J4451" s="62">
        <f t="shared" si="30"/>
        <v>-100.03</v>
      </c>
    </row>
    <row r="4452" spans="1:10" x14ac:dyDescent="0.25">
      <c r="A4452" s="20">
        <v>45688</v>
      </c>
      <c r="B4452" t="str">
        <f>IFERROR(IF(VLOOKUP(C4452,Hoja1!$B$1:$C$6191,2,0)="",_xlfn.XLOOKUP(C4452,Hoja1!$B$2:$B$6191,Hoja1!$A$2:$A$6191),VLOOKUP(C4452,Hoja1!$B$1:$C$6191,2,0)),"No esta en Infor")</f>
        <v>SH03637</v>
      </c>
      <c r="C4452" t="s">
        <v>971</v>
      </c>
      <c r="D4452" s="61">
        <v>7.55</v>
      </c>
      <c r="F4452" s="61">
        <v>0</v>
      </c>
      <c r="G4452" s="61">
        <v>0</v>
      </c>
      <c r="H4452" s="61">
        <v>0</v>
      </c>
      <c r="I4452" s="61">
        <v>0</v>
      </c>
      <c r="J4452" s="62">
        <f t="shared" si="30"/>
        <v>7.55</v>
      </c>
    </row>
    <row r="4453" spans="1:10" x14ac:dyDescent="0.25">
      <c r="A4453" s="20">
        <v>45688</v>
      </c>
      <c r="B4453" t="str">
        <f>IFERROR(IF(VLOOKUP(C4453,Hoja1!$B$1:$C$6191,2,0)="",_xlfn.XLOOKUP(C4453,Hoja1!$B$2:$B$6191,Hoja1!$A$2:$A$6191),VLOOKUP(C4453,Hoja1!$B$1:$C$6191,2,0)),"No esta en Infor")</f>
        <v>SH03339</v>
      </c>
      <c r="C4453" t="s">
        <v>819</v>
      </c>
      <c r="D4453" s="61">
        <v>62.31</v>
      </c>
      <c r="F4453" s="61">
        <v>0</v>
      </c>
      <c r="G4453" s="61">
        <v>0</v>
      </c>
      <c r="H4453" s="61">
        <v>0</v>
      </c>
      <c r="I4453" s="61">
        <v>0</v>
      </c>
      <c r="J4453" s="62">
        <f t="shared" si="30"/>
        <v>62.31</v>
      </c>
    </row>
    <row r="4454" spans="1:10" x14ac:dyDescent="0.25">
      <c r="A4454" s="20">
        <v>45688</v>
      </c>
      <c r="B4454" t="str">
        <f>IFERROR(IF(VLOOKUP(C4454,Hoja1!$B$1:$C$6191,2,0)="",_xlfn.XLOOKUP(C4454,Hoja1!$B$2:$B$6191,Hoja1!$A$2:$A$6191),VLOOKUP(C4454,Hoja1!$B$1:$C$6191,2,0)),"No esta en Infor")</f>
        <v>NAC1483</v>
      </c>
      <c r="C4454" t="s">
        <v>357</v>
      </c>
      <c r="D4454" s="61">
        <v>16213.92</v>
      </c>
      <c r="F4454" s="61">
        <v>0</v>
      </c>
      <c r="G4454" s="61">
        <v>0</v>
      </c>
      <c r="H4454" s="61">
        <v>0</v>
      </c>
      <c r="I4454" s="61">
        <v>0</v>
      </c>
      <c r="J4454" s="62">
        <f t="shared" si="30"/>
        <v>16213.92</v>
      </c>
    </row>
    <row r="4455" spans="1:10" x14ac:dyDescent="0.25">
      <c r="A4455" s="20">
        <v>45688</v>
      </c>
      <c r="B4455" t="str">
        <f>IFERROR(IF(VLOOKUP(C4455,Hoja1!$B$1:$C$6191,2,0)="",_xlfn.XLOOKUP(C4455,Hoja1!$B$2:$B$6191,Hoja1!$A$2:$A$6191),VLOOKUP(C4455,Hoja1!$B$1:$C$6191,2,0)),"No esta en Infor")</f>
        <v>NAC1486</v>
      </c>
      <c r="C4455" t="s">
        <v>609</v>
      </c>
      <c r="D4455" s="61">
        <v>531</v>
      </c>
      <c r="F4455" s="61">
        <v>0</v>
      </c>
      <c r="G4455" s="61">
        <v>0</v>
      </c>
      <c r="H4455" s="61">
        <v>0</v>
      </c>
      <c r="I4455" s="61">
        <v>0</v>
      </c>
      <c r="J4455" s="62">
        <f t="shared" si="30"/>
        <v>531</v>
      </c>
    </row>
    <row r="4456" spans="1:10" x14ac:dyDescent="0.25">
      <c r="A4456" s="20">
        <v>45688</v>
      </c>
      <c r="B4456" t="str">
        <f>IFERROR(IF(VLOOKUP(C4456,Hoja1!$B$1:$C$6191,2,0)="",_xlfn.XLOOKUP(C4456,Hoja1!$B$2:$B$6191,Hoja1!$A$2:$A$6191),VLOOKUP(C4456,Hoja1!$B$1:$C$6191,2,0)),"No esta en Infor")</f>
        <v>NAC1494</v>
      </c>
      <c r="C4456" t="s">
        <v>360</v>
      </c>
      <c r="D4456" s="61">
        <v>2528</v>
      </c>
      <c r="F4456" s="61">
        <v>0</v>
      </c>
      <c r="G4456" s="61">
        <v>0</v>
      </c>
      <c r="H4456" s="61">
        <v>0</v>
      </c>
      <c r="I4456" s="61">
        <v>0</v>
      </c>
      <c r="J4456" s="62">
        <f t="shared" si="30"/>
        <v>2528</v>
      </c>
    </row>
    <row r="4457" spans="1:10" x14ac:dyDescent="0.25">
      <c r="A4457" s="20">
        <v>45688</v>
      </c>
      <c r="B4457" t="str">
        <f>IFERROR(IF(VLOOKUP(C4457,Hoja1!$B$1:$C$6191,2,0)="",_xlfn.XLOOKUP(C4457,Hoja1!$B$2:$B$6191,Hoja1!$A$2:$A$6191),VLOOKUP(C4457,Hoja1!$B$1:$C$6191,2,0)),"No esta en Infor")</f>
        <v>CAN0082</v>
      </c>
      <c r="C4457" t="s">
        <v>362</v>
      </c>
      <c r="D4457" s="61">
        <v>1064.46</v>
      </c>
      <c r="F4457" s="61">
        <v>0</v>
      </c>
      <c r="G4457" s="61">
        <v>0</v>
      </c>
      <c r="H4457" s="61">
        <v>0</v>
      </c>
      <c r="I4457" s="61">
        <v>0</v>
      </c>
      <c r="J4457" s="62">
        <f t="shared" si="30"/>
        <v>1064.46</v>
      </c>
    </row>
    <row r="4458" spans="1:10" x14ac:dyDescent="0.25">
      <c r="A4458" s="20">
        <v>45688</v>
      </c>
      <c r="B4458" t="str">
        <f>IFERROR(IF(VLOOKUP(C4458,Hoja1!$B$1:$C$6191,2,0)="",_xlfn.XLOOKUP(C4458,Hoja1!$B$2:$B$6191,Hoja1!$A$2:$A$6191),VLOOKUP(C4458,Hoja1!$B$1:$C$6191,2,0)),"No esta en Infor")</f>
        <v>NAC1504</v>
      </c>
      <c r="C4458" t="s">
        <v>363</v>
      </c>
      <c r="D4458" s="61">
        <v>2207.41</v>
      </c>
      <c r="F4458" s="61">
        <v>0</v>
      </c>
      <c r="G4458" s="61">
        <v>0</v>
      </c>
      <c r="H4458" s="61">
        <v>0</v>
      </c>
      <c r="I4458" s="61">
        <v>0</v>
      </c>
      <c r="J4458" s="62">
        <f t="shared" si="30"/>
        <v>2207.41</v>
      </c>
    </row>
    <row r="4459" spans="1:10" x14ac:dyDescent="0.25">
      <c r="A4459" s="20">
        <v>45688</v>
      </c>
      <c r="B4459" t="str">
        <f>IFERROR(IF(VLOOKUP(C4459,Hoja1!$B$1:$C$6191,2,0)="",_xlfn.XLOOKUP(C4459,Hoja1!$B$2:$B$6191,Hoja1!$A$2:$A$6191),VLOOKUP(C4459,Hoja1!$B$1:$C$6191,2,0)),"No esta en Infor")</f>
        <v>SH03653</v>
      </c>
      <c r="C4459" t="s">
        <v>972</v>
      </c>
      <c r="D4459" s="61">
        <v>-98.43</v>
      </c>
      <c r="F4459" s="61">
        <v>0</v>
      </c>
      <c r="G4459" s="61">
        <v>0</v>
      </c>
      <c r="H4459" s="61">
        <v>0</v>
      </c>
      <c r="I4459" s="61">
        <v>0</v>
      </c>
      <c r="J4459" s="62">
        <f t="shared" si="30"/>
        <v>-98.43</v>
      </c>
    </row>
    <row r="4460" spans="1:10" x14ac:dyDescent="0.25">
      <c r="A4460" s="20">
        <v>45688</v>
      </c>
      <c r="B4460" t="str">
        <f>IFERROR(IF(VLOOKUP(C4460,Hoja1!$B$1:$C$6191,2,0)="",_xlfn.XLOOKUP(C4460,Hoja1!$B$2:$B$6191,Hoja1!$A$2:$A$6191),VLOOKUP(C4460,Hoja1!$B$1:$C$6191,2,0)),"No esta en Infor")</f>
        <v>CAN0083</v>
      </c>
      <c r="C4460" t="s">
        <v>433</v>
      </c>
      <c r="D4460" s="61">
        <v>562.74</v>
      </c>
      <c r="F4460" s="61">
        <v>0</v>
      </c>
      <c r="G4460" s="61">
        <v>0</v>
      </c>
      <c r="H4460" s="61">
        <v>0</v>
      </c>
      <c r="I4460" s="61">
        <v>0</v>
      </c>
      <c r="J4460" s="62">
        <f t="shared" si="30"/>
        <v>562.74</v>
      </c>
    </row>
    <row r="4461" spans="1:10" x14ac:dyDescent="0.25">
      <c r="A4461" s="20">
        <v>45688</v>
      </c>
      <c r="B4461" t="str">
        <f>IFERROR(IF(VLOOKUP(C4461,Hoja1!$B$1:$C$6191,2,0)="",_xlfn.XLOOKUP(C4461,Hoja1!$B$2:$B$6191,Hoja1!$A$2:$A$6191),VLOOKUP(C4461,Hoja1!$B$1:$C$6191,2,0)),"No esta en Infor")</f>
        <v>NAC1637</v>
      </c>
      <c r="C4461" t="s">
        <v>973</v>
      </c>
      <c r="D4461" s="61">
        <v>5407.5</v>
      </c>
      <c r="F4461" s="61">
        <v>0</v>
      </c>
      <c r="G4461" s="61">
        <v>0</v>
      </c>
      <c r="H4461" s="61">
        <v>0</v>
      </c>
      <c r="I4461" s="61">
        <v>0</v>
      </c>
      <c r="J4461" s="62">
        <f t="shared" si="30"/>
        <v>5407.5</v>
      </c>
    </row>
    <row r="4462" spans="1:10" x14ac:dyDescent="0.25">
      <c r="A4462" s="20">
        <v>45688</v>
      </c>
      <c r="B4462" t="str">
        <f>IFERROR(IF(VLOOKUP(C4462,Hoja1!$B$1:$C$6191,2,0)="",_xlfn.XLOOKUP(C4462,Hoja1!$B$2:$B$6191,Hoja1!$A$2:$A$6191),VLOOKUP(C4462,Hoja1!$B$1:$C$6191,2,0)),"No esta en Infor")</f>
        <v>NAC1521</v>
      </c>
      <c r="C4462" t="s">
        <v>593</v>
      </c>
      <c r="D4462" s="61">
        <v>0</v>
      </c>
      <c r="F4462" s="61">
        <v>0</v>
      </c>
      <c r="G4462" s="61">
        <v>-100</v>
      </c>
      <c r="H4462" s="61">
        <v>0</v>
      </c>
      <c r="I4462" s="61">
        <v>0</v>
      </c>
      <c r="J4462" s="62">
        <f t="shared" si="30"/>
        <v>-100</v>
      </c>
    </row>
    <row r="4463" spans="1:10" x14ac:dyDescent="0.25">
      <c r="A4463" s="20">
        <v>45688</v>
      </c>
      <c r="B4463" t="str">
        <f>IFERROR(IF(VLOOKUP(C4463,Hoja1!$B$1:$C$6191,2,0)="",_xlfn.XLOOKUP(C4463,Hoja1!$B$2:$B$6191,Hoja1!$A$2:$A$6191),VLOOKUP(C4463,Hoja1!$B$1:$C$6191,2,0)),"No esta en Infor")</f>
        <v>NAC1522</v>
      </c>
      <c r="C4463" t="s">
        <v>366</v>
      </c>
      <c r="D4463" s="61">
        <v>502.82</v>
      </c>
      <c r="F4463" s="61">
        <v>0</v>
      </c>
      <c r="G4463" s="61">
        <v>0</v>
      </c>
      <c r="H4463" s="61">
        <v>0</v>
      </c>
      <c r="I4463" s="61">
        <v>0</v>
      </c>
      <c r="J4463" s="62">
        <f t="shared" si="30"/>
        <v>502.82</v>
      </c>
    </row>
    <row r="4464" spans="1:10" x14ac:dyDescent="0.25">
      <c r="A4464" s="20">
        <v>45688</v>
      </c>
      <c r="B4464" t="str">
        <f>IFERROR(IF(VLOOKUP(C4464,Hoja1!$B$1:$C$6191,2,0)="",_xlfn.XLOOKUP(C4464,Hoja1!$B$2:$B$6191,Hoja1!$A$2:$A$6191),VLOOKUP(C4464,Hoja1!$B$1:$C$6191,2,0)),"No esta en Infor")</f>
        <v>NAC1527</v>
      </c>
      <c r="C4464" t="s">
        <v>790</v>
      </c>
      <c r="D4464" s="61">
        <v>-103.5</v>
      </c>
      <c r="F4464" s="61">
        <v>0</v>
      </c>
      <c r="G4464" s="61">
        <v>0</v>
      </c>
      <c r="H4464" s="61">
        <v>0</v>
      </c>
      <c r="I4464" s="61">
        <v>0</v>
      </c>
      <c r="J4464" s="62">
        <f t="shared" si="30"/>
        <v>-103.5</v>
      </c>
    </row>
    <row r="4465" spans="1:10" x14ac:dyDescent="0.25">
      <c r="A4465" s="20">
        <v>45688</v>
      </c>
      <c r="B4465" t="str">
        <f>IFERROR(IF(VLOOKUP(C4465,Hoja1!$B$1:$C$6191,2,0)="",_xlfn.XLOOKUP(C4465,Hoja1!$B$2:$B$6191,Hoja1!$A$2:$A$6191),VLOOKUP(C4465,Hoja1!$B$1:$C$6191,2,0)),"No esta en Infor")</f>
        <v>NAC1528</v>
      </c>
      <c r="C4465" t="s">
        <v>974</v>
      </c>
      <c r="D4465" s="61">
        <v>232</v>
      </c>
      <c r="F4465" s="61">
        <v>0</v>
      </c>
      <c r="G4465" s="61">
        <v>0</v>
      </c>
      <c r="H4465" s="61">
        <v>0</v>
      </c>
      <c r="I4465" s="61">
        <v>0</v>
      </c>
      <c r="J4465" s="62">
        <f t="shared" si="30"/>
        <v>232</v>
      </c>
    </row>
    <row r="4466" spans="1:10" x14ac:dyDescent="0.25">
      <c r="A4466" s="20">
        <v>45688</v>
      </c>
      <c r="B4466" t="str">
        <f>IFERROR(IF(VLOOKUP(C4466,Hoja1!$B$1:$C$6191,2,0)="",_xlfn.XLOOKUP(C4466,Hoja1!$B$2:$B$6191,Hoja1!$A$2:$A$6191),VLOOKUP(C4466,Hoja1!$B$1:$C$6191,2,0)),"No esta en Infor")</f>
        <v>NAC1529</v>
      </c>
      <c r="C4466" t="s">
        <v>368</v>
      </c>
      <c r="D4466" s="61">
        <v>2743.6</v>
      </c>
      <c r="F4466" s="61">
        <v>0</v>
      </c>
      <c r="G4466" s="61">
        <v>0</v>
      </c>
      <c r="H4466" s="61">
        <v>0</v>
      </c>
      <c r="I4466" s="61">
        <v>0</v>
      </c>
      <c r="J4466" s="62">
        <f t="shared" si="30"/>
        <v>2743.6</v>
      </c>
    </row>
    <row r="4467" spans="1:10" x14ac:dyDescent="0.25">
      <c r="A4467" s="20">
        <v>45688</v>
      </c>
      <c r="B4467" t="str">
        <f>IFERROR(IF(VLOOKUP(C4467,Hoja1!$B$1:$C$6191,2,0)="",_xlfn.XLOOKUP(C4467,Hoja1!$B$2:$B$6191,Hoja1!$A$2:$A$6191),VLOOKUP(C4467,Hoja1!$B$1:$C$6191,2,0)),"No esta en Infor")</f>
        <v>CAN0088</v>
      </c>
      <c r="C4467" t="s">
        <v>369</v>
      </c>
      <c r="D4467" s="61">
        <v>3100</v>
      </c>
      <c r="F4467" s="61">
        <v>0</v>
      </c>
      <c r="G4467" s="61">
        <v>0</v>
      </c>
      <c r="H4467" s="61">
        <v>0</v>
      </c>
      <c r="I4467" s="61">
        <v>-891</v>
      </c>
      <c r="J4467" s="62">
        <f t="shared" si="30"/>
        <v>2209</v>
      </c>
    </row>
    <row r="4468" spans="1:10" x14ac:dyDescent="0.25">
      <c r="A4468" s="20">
        <v>45688</v>
      </c>
      <c r="B4468" t="str">
        <f>IFERROR(IF(VLOOKUP(C4468,Hoja1!$B$1:$C$6191,2,0)="",_xlfn.XLOOKUP(C4468,Hoja1!$B$2:$B$6191,Hoja1!$A$2:$A$6191),VLOOKUP(C4468,Hoja1!$B$1:$C$6191,2,0)),"No esta en Infor")</f>
        <v>CAN0088</v>
      </c>
      <c r="C4468" t="s">
        <v>369</v>
      </c>
      <c r="D4468" s="61">
        <v>3100</v>
      </c>
      <c r="F4468" s="61">
        <v>0</v>
      </c>
      <c r="G4468" s="61">
        <v>0</v>
      </c>
      <c r="H4468" s="61">
        <v>0</v>
      </c>
      <c r="I4468" s="61">
        <v>-891</v>
      </c>
      <c r="J4468" s="62">
        <f t="shared" si="30"/>
        <v>2209</v>
      </c>
    </row>
    <row r="4469" spans="1:10" x14ac:dyDescent="0.25">
      <c r="A4469" s="20">
        <v>45688</v>
      </c>
      <c r="B4469" t="str">
        <f>IFERROR(IF(VLOOKUP(C4469,Hoja1!$B$1:$C$6191,2,0)="",_xlfn.XLOOKUP(C4469,Hoja1!$B$2:$B$6191,Hoja1!$A$2:$A$6191),VLOOKUP(C4469,Hoja1!$B$1:$C$6191,2,0)),"No esta en Infor")</f>
        <v>NAC1530</v>
      </c>
      <c r="C4469" t="s">
        <v>611</v>
      </c>
      <c r="D4469" s="61">
        <v>284.7</v>
      </c>
      <c r="F4469" s="61">
        <v>-0.01</v>
      </c>
      <c r="G4469" s="61">
        <v>0</v>
      </c>
      <c r="H4469" s="61">
        <v>0</v>
      </c>
      <c r="I4469" s="61">
        <v>0</v>
      </c>
      <c r="J4469" s="62">
        <f t="shared" si="30"/>
        <v>284.69</v>
      </c>
    </row>
    <row r="4470" spans="1:10" ht="15.75" thickBot="1" x14ac:dyDescent="0.3">
      <c r="A4470" s="20">
        <v>45688</v>
      </c>
      <c r="B4470" t="str">
        <f>IFERROR(IF(VLOOKUP(C4470,Hoja1!$B$1:$C$6191,2,0)="",_xlfn.XLOOKUP(C4470,Hoja1!$B$2:$B$6191,Hoja1!$A$2:$A$6191),VLOOKUP(C4470,Hoja1!$B$1:$C$6191,2,0)),"No esta en Infor")</f>
        <v>NAC1542</v>
      </c>
      <c r="C4470" t="s">
        <v>374</v>
      </c>
      <c r="D4470" s="61">
        <v>666.37</v>
      </c>
      <c r="F4470" s="61">
        <v>0</v>
      </c>
      <c r="G4470" s="61">
        <v>0</v>
      </c>
      <c r="H4470" s="61">
        <v>0</v>
      </c>
      <c r="I4470" s="61">
        <v>0</v>
      </c>
      <c r="J4470" s="62">
        <f t="shared" si="30"/>
        <v>666.37</v>
      </c>
    </row>
    <row r="4471" spans="1:10" x14ac:dyDescent="0.25">
      <c r="A4471" s="67">
        <v>45716</v>
      </c>
      <c r="B4471" s="68" t="str">
        <f>IFERROR(IF(VLOOKUP(C4471,Hoja1!$B$1:$C$6191,2,0)="",_xlfn.XLOOKUP(C4471,Hoja1!$B$2:$B$6191,Hoja1!$A$2:$A$6191),VLOOKUP(C4471,Hoja1!$B$1:$C$6191,2,0)),"No esta en Infor")</f>
        <v>NAC1323</v>
      </c>
      <c r="C4471" s="69" t="s">
        <v>49</v>
      </c>
      <c r="D4471" s="70">
        <v>128371.4</v>
      </c>
      <c r="E4471" s="68"/>
      <c r="F4471" s="70">
        <v>4081.07</v>
      </c>
      <c r="G4471" s="70">
        <v>2870.1</v>
      </c>
      <c r="H4471" s="70">
        <v>23788.28</v>
      </c>
      <c r="I4471" s="70">
        <v>18561.04</v>
      </c>
      <c r="J4471" s="71">
        <f t="shared" ref="J4471:J4534" si="31">SUM(D4471:I4471)</f>
        <v>177671.89</v>
      </c>
    </row>
    <row r="4472" spans="1:10" x14ac:dyDescent="0.25">
      <c r="A4472" s="67">
        <v>45716</v>
      </c>
      <c r="B4472" t="str">
        <f>IFERROR(IF(VLOOKUP(C4472,Hoja1!$B$1:$C$6191,2,0)="",_xlfn.XLOOKUP(C4472,Hoja1!$B$2:$B$6191,Hoja1!$A$2:$A$6191),VLOOKUP(C4472,Hoja1!$B$1:$C$6191,2,0)),"No esta en Infor")</f>
        <v>NAC1512</v>
      </c>
      <c r="C4472" s="3" t="s">
        <v>56</v>
      </c>
      <c r="D4472" s="31">
        <v>0</v>
      </c>
      <c r="F4472" s="31">
        <v>0</v>
      </c>
      <c r="G4472" s="31">
        <v>0</v>
      </c>
      <c r="H4472" s="31">
        <v>0</v>
      </c>
      <c r="I4472" s="31">
        <v>12490</v>
      </c>
      <c r="J4472" s="62">
        <f t="shared" si="31"/>
        <v>12490</v>
      </c>
    </row>
    <row r="4473" spans="1:10" x14ac:dyDescent="0.25">
      <c r="A4473" s="67">
        <v>45716</v>
      </c>
      <c r="B4473" t="str">
        <f>IFERROR(IF(VLOOKUP(C4473,Hoja1!$B$1:$C$6191,2,0)="",_xlfn.XLOOKUP(C4473,Hoja1!$B$2:$B$6191,Hoja1!$A$2:$A$6191),VLOOKUP(C4473,Hoja1!$B$1:$C$6191,2,0)),"No esta en Infor")</f>
        <v>CAN0018</v>
      </c>
      <c r="C4473" s="3" t="s">
        <v>21</v>
      </c>
      <c r="D4473" s="31">
        <v>15608.74</v>
      </c>
      <c r="F4473" s="31">
        <v>21732.5</v>
      </c>
      <c r="G4473" s="31">
        <v>21588.880000000001</v>
      </c>
      <c r="H4473" s="31">
        <v>0</v>
      </c>
      <c r="I4473" s="31">
        <v>0</v>
      </c>
      <c r="J4473" s="62">
        <f t="shared" si="31"/>
        <v>58930.119999999995</v>
      </c>
    </row>
    <row r="4474" spans="1:10" x14ac:dyDescent="0.25">
      <c r="A4474" s="67">
        <v>45716</v>
      </c>
      <c r="B4474" t="str">
        <f>IFERROR(IF(VLOOKUP(C4474,Hoja1!$B$1:$C$6191,2,0)="",_xlfn.XLOOKUP(C4474,Hoja1!$B$2:$B$6191,Hoja1!$A$2:$A$6191),VLOOKUP(C4474,Hoja1!$B$1:$C$6191,2,0)),"No esta en Infor")</f>
        <v>NAC1281</v>
      </c>
      <c r="C4474" s="3" t="s">
        <v>37</v>
      </c>
      <c r="D4474" s="31">
        <v>13978.4</v>
      </c>
      <c r="F4474" s="31">
        <v>2494.35</v>
      </c>
      <c r="G4474" s="31">
        <v>761.26</v>
      </c>
      <c r="H4474" s="31">
        <v>1184.42</v>
      </c>
      <c r="I4474" s="31">
        <v>9538.89</v>
      </c>
      <c r="J4474" s="62">
        <f t="shared" si="31"/>
        <v>27957.32</v>
      </c>
    </row>
    <row r="4475" spans="1:10" x14ac:dyDescent="0.25">
      <c r="A4475" s="67">
        <v>45716</v>
      </c>
      <c r="B4475" t="str">
        <f>IFERROR(IF(VLOOKUP(C4475,Hoja1!$B$1:$C$6191,2,0)="",_xlfn.XLOOKUP(C4475,Hoja1!$B$2:$B$6191,Hoja1!$A$2:$A$6191),VLOOKUP(C4475,Hoja1!$B$1:$C$6191,2,0)),"No esta en Infor")</f>
        <v>NAC0988</v>
      </c>
      <c r="C4475" s="3" t="s">
        <v>29</v>
      </c>
      <c r="D4475" s="31">
        <v>38674.85</v>
      </c>
      <c r="F4475" s="31">
        <v>9475</v>
      </c>
      <c r="G4475" s="31">
        <v>106</v>
      </c>
      <c r="H4475" s="31">
        <v>0</v>
      </c>
      <c r="I4475" s="31">
        <v>8840</v>
      </c>
      <c r="J4475" s="62">
        <f t="shared" si="31"/>
        <v>57095.85</v>
      </c>
    </row>
    <row r="4476" spans="1:10" x14ac:dyDescent="0.25">
      <c r="A4476" s="67">
        <v>45716</v>
      </c>
      <c r="B4476" t="str">
        <f>IFERROR(IF(VLOOKUP(C4476,Hoja1!$B$1:$C$6191,2,0)="",_xlfn.XLOOKUP(C4476,Hoja1!$B$2:$B$6191,Hoja1!$A$2:$A$6191),VLOOKUP(C4476,Hoja1!$B$1:$C$6191,2,0)),"No esta en Infor")</f>
        <v>CAN0030</v>
      </c>
      <c r="C4476" s="3" t="s">
        <v>210</v>
      </c>
      <c r="D4476" s="31">
        <v>2593.35</v>
      </c>
      <c r="F4476" s="31">
        <v>0</v>
      </c>
      <c r="G4476" s="31">
        <v>0</v>
      </c>
      <c r="H4476" s="31">
        <v>8855.2800000000007</v>
      </c>
      <c r="I4476" s="31">
        <v>0</v>
      </c>
      <c r="J4476" s="62">
        <f t="shared" si="31"/>
        <v>11448.630000000001</v>
      </c>
    </row>
    <row r="4477" spans="1:10" x14ac:dyDescent="0.25">
      <c r="A4477" s="67">
        <v>45716</v>
      </c>
      <c r="B4477" t="str">
        <f>IFERROR(IF(VLOOKUP(C4477,Hoja1!$B$1:$C$6191,2,0)="",_xlfn.XLOOKUP(C4477,Hoja1!$B$2:$B$6191,Hoja1!$A$2:$A$6191),VLOOKUP(C4477,Hoja1!$B$1:$C$6191,2,0)),"No esta en Infor")</f>
        <v>NAC1040</v>
      </c>
      <c r="C4477" s="3" t="s">
        <v>30</v>
      </c>
      <c r="D4477" s="31">
        <v>770868.83</v>
      </c>
      <c r="F4477" s="31">
        <v>1299.54</v>
      </c>
      <c r="G4477" s="31">
        <v>0</v>
      </c>
      <c r="H4477" s="31">
        <v>6753.86</v>
      </c>
      <c r="I4477" s="31">
        <v>0</v>
      </c>
      <c r="J4477" s="62">
        <f t="shared" si="31"/>
        <v>778922.23</v>
      </c>
    </row>
    <row r="4478" spans="1:10" x14ac:dyDescent="0.25">
      <c r="A4478" s="67">
        <v>45716</v>
      </c>
      <c r="B4478" t="str">
        <f>IFERROR(IF(VLOOKUP(C4478,Hoja1!$B$1:$C$6191,2,0)="",_xlfn.XLOOKUP(C4478,Hoja1!$B$2:$B$6191,Hoja1!$A$2:$A$6191),VLOOKUP(C4478,Hoja1!$B$1:$C$6191,2,0)),"No esta en Infor")</f>
        <v>NAC1448</v>
      </c>
      <c r="C4478" s="3" t="s">
        <v>9</v>
      </c>
      <c r="D4478" s="31">
        <v>36402.239999999998</v>
      </c>
      <c r="F4478" s="31">
        <v>480</v>
      </c>
      <c r="G4478" s="31">
        <v>8890</v>
      </c>
      <c r="H4478" s="31">
        <v>0</v>
      </c>
      <c r="I4478" s="31">
        <v>300</v>
      </c>
      <c r="J4478" s="62">
        <f t="shared" si="31"/>
        <v>46072.24</v>
      </c>
    </row>
    <row r="4479" spans="1:10" x14ac:dyDescent="0.25">
      <c r="A4479" s="67">
        <v>45716</v>
      </c>
      <c r="B4479" t="str">
        <f>IFERROR(IF(VLOOKUP(C4479,Hoja1!$B$1:$C$6191,2,0)="",_xlfn.XLOOKUP(C4479,Hoja1!$B$2:$B$6191,Hoja1!$A$2:$A$6191),VLOOKUP(C4479,Hoja1!$B$1:$C$6191,2,0)),"No esta en Infor")</f>
        <v>CAN0025</v>
      </c>
      <c r="C4479" s="3" t="s">
        <v>26</v>
      </c>
      <c r="D4479" s="31">
        <v>18261.599999999999</v>
      </c>
      <c r="F4479" s="31">
        <v>815.29</v>
      </c>
      <c r="G4479" s="31">
        <v>0</v>
      </c>
      <c r="H4479" s="31">
        <v>3757.41</v>
      </c>
      <c r="I4479" s="31">
        <v>161.44999999999999</v>
      </c>
      <c r="J4479" s="62">
        <f t="shared" si="31"/>
        <v>22995.75</v>
      </c>
    </row>
    <row r="4480" spans="1:10" x14ac:dyDescent="0.25">
      <c r="A4480" s="67">
        <v>45716</v>
      </c>
      <c r="B4480" t="str">
        <f>IFERROR(IF(VLOOKUP(C4480,Hoja1!$B$1:$C$6191,2,0)="",_xlfn.XLOOKUP(C4480,Hoja1!$B$2:$B$6191,Hoja1!$A$2:$A$6191),VLOOKUP(C4480,Hoja1!$B$1:$C$6191,2,0)),"No esta en Infor")</f>
        <v>CAN0011</v>
      </c>
      <c r="C4480" s="3" t="s">
        <v>121</v>
      </c>
      <c r="D4480" s="31">
        <v>344.83</v>
      </c>
      <c r="F4480" s="31">
        <v>589.86</v>
      </c>
      <c r="G4480" s="31">
        <v>0</v>
      </c>
      <c r="H4480" s="31">
        <v>2709.74</v>
      </c>
      <c r="I4480" s="31">
        <v>381.94</v>
      </c>
      <c r="J4480" s="62">
        <f t="shared" si="31"/>
        <v>4026.37</v>
      </c>
    </row>
    <row r="4481" spans="1:10" x14ac:dyDescent="0.25">
      <c r="A4481" s="67">
        <v>45716</v>
      </c>
      <c r="B4481" t="str">
        <f>IFERROR(IF(VLOOKUP(C4481,Hoja1!$B$1:$C$6191,2,0)="",_xlfn.XLOOKUP(C4481,Hoja1!$B$2:$B$6191,Hoja1!$A$2:$A$6191),VLOOKUP(C4481,Hoja1!$B$1:$C$6191,2,0)),"No esta en Infor")</f>
        <v>NAC1105</v>
      </c>
      <c r="C4481" s="3" t="s">
        <v>32</v>
      </c>
      <c r="D4481" s="31">
        <v>1882.59</v>
      </c>
      <c r="F4481" s="31">
        <v>421.64</v>
      </c>
      <c r="G4481" s="31">
        <v>-155.25</v>
      </c>
      <c r="H4481" s="31">
        <v>0</v>
      </c>
      <c r="I4481" s="31">
        <v>2890.5</v>
      </c>
      <c r="J4481" s="62">
        <f t="shared" si="31"/>
        <v>5039.4799999999996</v>
      </c>
    </row>
    <row r="4482" spans="1:10" x14ac:dyDescent="0.25">
      <c r="A4482" s="67">
        <v>45716</v>
      </c>
      <c r="B4482" t="str">
        <f>IFERROR(IF(VLOOKUP(C4482,Hoja1!$B$1:$C$6191,2,0)="",_xlfn.XLOOKUP(C4482,Hoja1!$B$2:$B$6191,Hoja1!$A$2:$A$6191),VLOOKUP(C4482,Hoja1!$B$1:$C$6191,2,0)),"No esta en Infor")</f>
        <v>NAC0476</v>
      </c>
      <c r="C4482" s="3" t="s">
        <v>11</v>
      </c>
      <c r="D4482" s="31">
        <v>349170.83</v>
      </c>
      <c r="F4482" s="31">
        <v>578.38</v>
      </c>
      <c r="G4482" s="31">
        <v>324.08</v>
      </c>
      <c r="H4482" s="31">
        <v>2700</v>
      </c>
      <c r="I4482" s="31">
        <v>-345.39</v>
      </c>
      <c r="J4482" s="62">
        <f t="shared" si="31"/>
        <v>352427.9</v>
      </c>
    </row>
    <row r="4483" spans="1:10" x14ac:dyDescent="0.25">
      <c r="A4483" s="67">
        <v>45716</v>
      </c>
      <c r="B4483" t="str">
        <f>IFERROR(IF(VLOOKUP(C4483,Hoja1!$B$1:$C$6191,2,0)="",_xlfn.XLOOKUP(C4483,Hoja1!$B$2:$B$6191,Hoja1!$A$2:$A$6191),VLOOKUP(C4483,Hoja1!$B$1:$C$6191,2,0)),"No esta en Infor")</f>
        <v>NAC1327</v>
      </c>
      <c r="C4483" s="3" t="s">
        <v>50</v>
      </c>
      <c r="D4483" s="31">
        <v>263136.90000000002</v>
      </c>
      <c r="F4483" s="31">
        <v>-141.44</v>
      </c>
      <c r="G4483" s="31">
        <v>3869.28</v>
      </c>
      <c r="H4483" s="31">
        <v>0</v>
      </c>
      <c r="I4483" s="31">
        <v>-77.7</v>
      </c>
      <c r="J4483" s="62">
        <f t="shared" si="31"/>
        <v>266787.04000000004</v>
      </c>
    </row>
    <row r="4484" spans="1:10" x14ac:dyDescent="0.25">
      <c r="A4484" s="67">
        <v>45716</v>
      </c>
      <c r="B4484" t="str">
        <f>IFERROR(IF(VLOOKUP(C4484,Hoja1!$B$1:$C$6191,2,0)="",_xlfn.XLOOKUP(C4484,Hoja1!$B$2:$B$6191,Hoja1!$A$2:$A$6191),VLOOKUP(C4484,Hoja1!$B$1:$C$6191,2,0)),"No esta en Infor")</f>
        <v>No esta en Infor</v>
      </c>
      <c r="C4484" s="3" t="s">
        <v>12390</v>
      </c>
      <c r="D4484" s="31">
        <v>0</v>
      </c>
      <c r="F4484" s="31">
        <v>0</v>
      </c>
      <c r="G4484" s="31">
        <v>3483.79</v>
      </c>
      <c r="H4484" s="31">
        <v>-1160.8900000000001</v>
      </c>
      <c r="I4484" s="31">
        <v>0</v>
      </c>
      <c r="J4484" s="62">
        <f t="shared" si="31"/>
        <v>2322.8999999999996</v>
      </c>
    </row>
    <row r="4485" spans="1:10" x14ac:dyDescent="0.25">
      <c r="A4485" s="67">
        <v>45716</v>
      </c>
      <c r="B4485" t="str">
        <f>IFERROR(IF(VLOOKUP(C4485,Hoja1!$B$1:$C$6191,2,0)="",_xlfn.XLOOKUP(C4485,Hoja1!$B$2:$B$6191,Hoja1!$A$2:$A$6191),VLOOKUP(C4485,Hoja1!$B$1:$C$6191,2,0)),"No esta en Infor")</f>
        <v>NAC1146</v>
      </c>
      <c r="C4485" s="3" t="s">
        <v>33</v>
      </c>
      <c r="D4485" s="31">
        <v>2147.19</v>
      </c>
      <c r="F4485" s="31">
        <v>1198.76</v>
      </c>
      <c r="G4485" s="31">
        <v>0</v>
      </c>
      <c r="H4485" s="31">
        <v>0</v>
      </c>
      <c r="I4485" s="31">
        <v>1638.58</v>
      </c>
      <c r="J4485" s="62">
        <f t="shared" si="31"/>
        <v>4984.53</v>
      </c>
    </row>
    <row r="4486" spans="1:10" x14ac:dyDescent="0.25">
      <c r="A4486" s="67">
        <v>45716</v>
      </c>
      <c r="B4486" t="str">
        <f>IFERROR(IF(VLOOKUP(C4486,Hoja1!$B$1:$C$6191,2,0)="",_xlfn.XLOOKUP(C4486,Hoja1!$B$2:$B$6191,Hoja1!$A$2:$A$6191),VLOOKUP(C4486,Hoja1!$B$1:$C$6191,2,0)),"No esta en Infor")</f>
        <v>CAN0073</v>
      </c>
      <c r="C4486" s="3" t="s">
        <v>349</v>
      </c>
      <c r="D4486" s="31">
        <v>248.6</v>
      </c>
      <c r="F4486" s="31">
        <v>2428.7199999999998</v>
      </c>
      <c r="G4486" s="31">
        <v>82.11</v>
      </c>
      <c r="H4486" s="31">
        <v>1032.0899999999999</v>
      </c>
      <c r="I4486" s="31">
        <v>240.07</v>
      </c>
      <c r="J4486" s="62">
        <f t="shared" si="31"/>
        <v>4031.5899999999997</v>
      </c>
    </row>
    <row r="4487" spans="1:10" x14ac:dyDescent="0.25">
      <c r="A4487" s="67">
        <v>45716</v>
      </c>
      <c r="B4487" t="str">
        <f>IFERROR(IF(VLOOKUP(C4487,Hoja1!$B$1:$C$6191,2,0)="",_xlfn.XLOOKUP(C4487,Hoja1!$B$2:$B$6191,Hoja1!$A$2:$A$6191),VLOOKUP(C4487,Hoja1!$B$1:$C$6191,2,0)),"No esta en Infor")</f>
        <v>NAC1187</v>
      </c>
      <c r="C4487" s="3" t="s">
        <v>471</v>
      </c>
      <c r="D4487" s="31">
        <v>0</v>
      </c>
      <c r="F4487" s="31">
        <v>0</v>
      </c>
      <c r="G4487" s="31">
        <v>0</v>
      </c>
      <c r="H4487" s="31">
        <v>882</v>
      </c>
      <c r="I4487" s="31">
        <v>0</v>
      </c>
      <c r="J4487" s="62">
        <f t="shared" si="31"/>
        <v>882</v>
      </c>
    </row>
    <row r="4488" spans="1:10" x14ac:dyDescent="0.25">
      <c r="A4488" s="67">
        <v>45716</v>
      </c>
      <c r="B4488" t="str">
        <f>IFERROR(IF(VLOOKUP(C4488,Hoja1!$B$1:$C$6191,2,0)="",_xlfn.XLOOKUP(C4488,Hoja1!$B$2:$B$6191,Hoja1!$A$2:$A$6191),VLOOKUP(C4488,Hoja1!$B$1:$C$6191,2,0)),"No esta en Infor")</f>
        <v>NAC1207</v>
      </c>
      <c r="C4488" s="3" t="s">
        <v>417</v>
      </c>
      <c r="D4488" s="31">
        <v>0</v>
      </c>
      <c r="F4488" s="31">
        <v>0</v>
      </c>
      <c r="G4488" s="31">
        <v>1505.05</v>
      </c>
      <c r="H4488" s="31">
        <v>0</v>
      </c>
      <c r="I4488" s="31">
        <v>0</v>
      </c>
      <c r="J4488" s="62">
        <f t="shared" si="31"/>
        <v>1505.05</v>
      </c>
    </row>
    <row r="4489" spans="1:10" x14ac:dyDescent="0.25">
      <c r="A4489" s="67">
        <v>45716</v>
      </c>
      <c r="B4489" t="str">
        <f>IFERROR(IF(VLOOKUP(C4489,Hoja1!$B$1:$C$6191,2,0)="",_xlfn.XLOOKUP(C4489,Hoja1!$B$2:$B$6191,Hoja1!$A$2:$A$6191),VLOOKUP(C4489,Hoja1!$B$1:$C$6191,2,0)),"No esta en Infor")</f>
        <v>NAC1449</v>
      </c>
      <c r="C4489" s="3" t="s">
        <v>706</v>
      </c>
      <c r="D4489" s="31">
        <v>0</v>
      </c>
      <c r="F4489" s="31">
        <v>14489.94</v>
      </c>
      <c r="G4489" s="31">
        <v>421.21</v>
      </c>
      <c r="H4489" s="31">
        <v>0</v>
      </c>
      <c r="I4489" s="31">
        <v>0</v>
      </c>
      <c r="J4489" s="62">
        <f t="shared" si="31"/>
        <v>14911.15</v>
      </c>
    </row>
    <row r="4490" spans="1:10" x14ac:dyDescent="0.25">
      <c r="A4490" s="67">
        <v>45716</v>
      </c>
      <c r="B4490" t="str">
        <f>IFERROR(IF(VLOOKUP(C4490,Hoja1!$B$1:$C$6191,2,0)="",_xlfn.XLOOKUP(C4490,Hoja1!$B$2:$B$6191,Hoja1!$A$2:$A$6191),VLOOKUP(C4490,Hoja1!$B$1:$C$6191,2,0)),"No esta en Infor")</f>
        <v>CAN0069</v>
      </c>
      <c r="C4490" s="3" t="s">
        <v>340</v>
      </c>
      <c r="D4490" s="31">
        <v>991.58</v>
      </c>
      <c r="F4490" s="31">
        <v>0</v>
      </c>
      <c r="G4490" s="31">
        <v>0</v>
      </c>
      <c r="H4490" s="31">
        <v>0</v>
      </c>
      <c r="I4490" s="31">
        <v>540.15</v>
      </c>
      <c r="J4490" s="62">
        <f t="shared" si="31"/>
        <v>1531.73</v>
      </c>
    </row>
    <row r="4491" spans="1:10" x14ac:dyDescent="0.25">
      <c r="A4491" s="67">
        <v>45716</v>
      </c>
      <c r="B4491" t="str">
        <f>IFERROR(IF(VLOOKUP(C4491,Hoja1!$B$1:$C$6191,2,0)="",_xlfn.XLOOKUP(C4491,Hoja1!$B$2:$B$6191,Hoja1!$A$2:$A$6191),VLOOKUP(C4491,Hoja1!$B$1:$C$6191,2,0)),"No esta en Infor")</f>
        <v>NAC0869</v>
      </c>
      <c r="C4491" s="3" t="s">
        <v>192</v>
      </c>
      <c r="D4491" s="31">
        <v>0</v>
      </c>
      <c r="F4491" s="31">
        <v>0</v>
      </c>
      <c r="G4491" s="31">
        <v>-0.4</v>
      </c>
      <c r="H4491" s="31">
        <v>243.5</v>
      </c>
      <c r="I4491" s="31">
        <v>289.39999999999998</v>
      </c>
      <c r="J4491" s="62">
        <f t="shared" si="31"/>
        <v>532.5</v>
      </c>
    </row>
    <row r="4492" spans="1:10" x14ac:dyDescent="0.25">
      <c r="A4492" s="67">
        <v>45716</v>
      </c>
      <c r="B4492" t="str">
        <f>IFERROR(IF(VLOOKUP(C4492,Hoja1!$B$1:$C$6191,2,0)="",_xlfn.XLOOKUP(C4492,Hoja1!$B$2:$B$6191,Hoja1!$A$2:$A$6191),VLOOKUP(C4492,Hoja1!$B$1:$C$6191,2,0)),"No esta en Infor")</f>
        <v>NAC0483</v>
      </c>
      <c r="C4492" s="3" t="s">
        <v>12</v>
      </c>
      <c r="D4492" s="31">
        <v>0</v>
      </c>
      <c r="F4492" s="31">
        <v>-96.77</v>
      </c>
      <c r="G4492" s="31">
        <v>-50.06</v>
      </c>
      <c r="H4492" s="31">
        <v>0</v>
      </c>
      <c r="I4492" s="31">
        <v>474.11</v>
      </c>
      <c r="J4492" s="62">
        <f t="shared" si="31"/>
        <v>327.28000000000003</v>
      </c>
    </row>
    <row r="4493" spans="1:10" x14ac:dyDescent="0.25">
      <c r="A4493" s="67">
        <v>45716</v>
      </c>
      <c r="B4493" t="str">
        <f>IFERROR(IF(VLOOKUP(C4493,Hoja1!$B$1:$C$6191,2,0)="",_xlfn.XLOOKUP(C4493,Hoja1!$B$2:$B$6191,Hoja1!$A$2:$A$6191),VLOOKUP(C4493,Hoja1!$B$1:$C$6191,2,0)),"No esta en Infor")</f>
        <v>CAN0006</v>
      </c>
      <c r="C4493" s="3" t="s">
        <v>17</v>
      </c>
      <c r="D4493" s="31">
        <v>52342.5</v>
      </c>
      <c r="F4493" s="31">
        <v>367.5</v>
      </c>
      <c r="G4493" s="31">
        <v>893.02</v>
      </c>
      <c r="H4493" s="31">
        <v>0</v>
      </c>
      <c r="I4493" s="31">
        <v>-1036.68</v>
      </c>
      <c r="J4493" s="62">
        <f t="shared" si="31"/>
        <v>52566.34</v>
      </c>
    </row>
    <row r="4494" spans="1:10" x14ac:dyDescent="0.25">
      <c r="A4494" s="67">
        <v>45716</v>
      </c>
      <c r="B4494" t="str">
        <f>IFERROR(IF(VLOOKUP(C4494,Hoja1!$B$1:$C$6191,2,0)="",_xlfn.XLOOKUP(C4494,Hoja1!$B$2:$B$6191,Hoja1!$A$2:$A$6191),VLOOKUP(C4494,Hoja1!$B$1:$C$6191,2,0)),"No esta en Infor")</f>
        <v>NAC0672</v>
      </c>
      <c r="C4494" s="3" t="s">
        <v>122</v>
      </c>
      <c r="D4494" s="31">
        <v>7357.7</v>
      </c>
      <c r="F4494" s="31">
        <v>12968.64</v>
      </c>
      <c r="G4494" s="31">
        <v>0</v>
      </c>
      <c r="H4494" s="31">
        <v>0</v>
      </c>
      <c r="I4494" s="31">
        <v>0</v>
      </c>
      <c r="J4494" s="62">
        <f t="shared" si="31"/>
        <v>20326.34</v>
      </c>
    </row>
    <row r="4495" spans="1:10" x14ac:dyDescent="0.25">
      <c r="A4495" s="67">
        <v>45716</v>
      </c>
      <c r="B4495" t="str">
        <f>IFERROR(IF(VLOOKUP(C4495,Hoja1!$B$1:$C$6191,2,0)="",_xlfn.XLOOKUP(C4495,Hoja1!$B$2:$B$6191,Hoja1!$A$2:$A$6191),VLOOKUP(C4495,Hoja1!$B$1:$C$6191,2,0)),"No esta en Infor")</f>
        <v>CAN0035</v>
      </c>
      <c r="C4495" s="3" t="s">
        <v>31</v>
      </c>
      <c r="D4495" s="31">
        <v>7998.56</v>
      </c>
      <c r="F4495" s="31">
        <v>0</v>
      </c>
      <c r="G4495" s="31">
        <v>0</v>
      </c>
      <c r="H4495" s="31">
        <v>0</v>
      </c>
      <c r="I4495" s="31">
        <v>374.36</v>
      </c>
      <c r="J4495" s="62">
        <f t="shared" si="31"/>
        <v>8372.92</v>
      </c>
    </row>
    <row r="4496" spans="1:10" x14ac:dyDescent="0.25">
      <c r="A4496" s="67">
        <v>45716</v>
      </c>
      <c r="B4496" t="str">
        <f>IFERROR(IF(VLOOKUP(C4496,Hoja1!$B$1:$C$6191,2,0)="",_xlfn.XLOOKUP(C4496,Hoja1!$B$2:$B$6191,Hoja1!$A$2:$A$6191),VLOOKUP(C4496,Hoja1!$B$1:$C$6191,2,0)),"No esta en Infor")</f>
        <v>NAC0914</v>
      </c>
      <c r="C4496" s="3" t="s">
        <v>202</v>
      </c>
      <c r="D4496" s="31">
        <v>2896.3</v>
      </c>
      <c r="F4496" s="31">
        <v>0</v>
      </c>
      <c r="G4496" s="31">
        <v>0</v>
      </c>
      <c r="H4496" s="31">
        <v>354.79</v>
      </c>
      <c r="I4496" s="31">
        <v>0</v>
      </c>
      <c r="J4496" s="62">
        <f t="shared" si="31"/>
        <v>3251.09</v>
      </c>
    </row>
    <row r="4497" spans="1:10" x14ac:dyDescent="0.25">
      <c r="A4497" s="67">
        <v>45716</v>
      </c>
      <c r="B4497" t="str">
        <f>IFERROR(IF(VLOOKUP(C4497,Hoja1!$B$1:$C$6191,2,0)="",_xlfn.XLOOKUP(C4497,Hoja1!$B$2:$B$6191,Hoja1!$A$2:$A$6191),VLOOKUP(C4497,Hoja1!$B$1:$C$6191,2,0)),"No esta en Infor")</f>
        <v>NAC1517</v>
      </c>
      <c r="C4497" s="3" t="s">
        <v>365</v>
      </c>
      <c r="D4497" s="31">
        <v>231903.87</v>
      </c>
      <c r="F4497" s="31">
        <v>11570.8</v>
      </c>
      <c r="G4497" s="31">
        <v>-829.25</v>
      </c>
      <c r="H4497" s="31">
        <v>-515.5</v>
      </c>
      <c r="I4497" s="31">
        <v>-194.5</v>
      </c>
      <c r="J4497" s="62">
        <f t="shared" si="31"/>
        <v>241935.41999999998</v>
      </c>
    </row>
    <row r="4498" spans="1:10" x14ac:dyDescent="0.25">
      <c r="A4498" s="67">
        <v>45716</v>
      </c>
      <c r="B4498" t="str">
        <f>IFERROR(IF(VLOOKUP(C4498,Hoja1!$B$1:$C$6191,2,0)="",_xlfn.XLOOKUP(C4498,Hoja1!$B$2:$B$6191,Hoja1!$A$2:$A$6191),VLOOKUP(C4498,Hoja1!$B$1:$C$6191,2,0)),"No esta en Infor")</f>
        <v>NAC1122</v>
      </c>
      <c r="C4498" s="3" t="s">
        <v>515</v>
      </c>
      <c r="D4498" s="31">
        <v>15038.24</v>
      </c>
      <c r="F4498" s="31">
        <v>11536</v>
      </c>
      <c r="G4498" s="31">
        <v>-1</v>
      </c>
      <c r="H4498" s="31">
        <v>0</v>
      </c>
      <c r="I4498" s="31">
        <v>0</v>
      </c>
      <c r="J4498" s="62">
        <f t="shared" si="31"/>
        <v>26573.239999999998</v>
      </c>
    </row>
    <row r="4499" spans="1:10" x14ac:dyDescent="0.25">
      <c r="A4499" s="67">
        <v>45716</v>
      </c>
      <c r="B4499" t="str">
        <f>IFERROR(IF(VLOOKUP(C4499,Hoja1!$B$1:$C$6191,2,0)="",_xlfn.XLOOKUP(C4499,Hoja1!$B$2:$B$6191,Hoja1!$A$2:$A$6191),VLOOKUP(C4499,Hoja1!$B$1:$C$6191,2,0)),"No esta en Infor")</f>
        <v>NAC0924</v>
      </c>
      <c r="C4499" s="3" t="s">
        <v>205</v>
      </c>
      <c r="D4499" s="31">
        <v>63915.99</v>
      </c>
      <c r="F4499" s="31">
        <v>0</v>
      </c>
      <c r="G4499" s="31">
        <v>0</v>
      </c>
      <c r="H4499" s="31">
        <v>336.28</v>
      </c>
      <c r="I4499" s="31">
        <v>0</v>
      </c>
      <c r="J4499" s="62">
        <f t="shared" si="31"/>
        <v>64252.27</v>
      </c>
    </row>
    <row r="4500" spans="1:10" x14ac:dyDescent="0.25">
      <c r="A4500" s="67">
        <v>45716</v>
      </c>
      <c r="B4500" t="str">
        <f>IFERROR(IF(VLOOKUP(C4500,Hoja1!$B$1:$C$6191,2,0)="",_xlfn.XLOOKUP(C4500,Hoja1!$B$2:$B$6191,Hoja1!$A$2:$A$6191),VLOOKUP(C4500,Hoja1!$B$1:$C$6191,2,0)),"No esta en Infor")</f>
        <v>NAC0726</v>
      </c>
      <c r="C4500" s="3" t="s">
        <v>147</v>
      </c>
      <c r="D4500" s="31">
        <v>48858.75</v>
      </c>
      <c r="F4500" s="31">
        <v>11040</v>
      </c>
      <c r="G4500" s="31">
        <v>0</v>
      </c>
      <c r="H4500" s="31">
        <v>0</v>
      </c>
      <c r="I4500" s="31">
        <v>0</v>
      </c>
      <c r="J4500" s="62">
        <f t="shared" si="31"/>
        <v>59898.75</v>
      </c>
    </row>
    <row r="4501" spans="1:10" x14ac:dyDescent="0.25">
      <c r="A4501" s="67">
        <v>45716</v>
      </c>
      <c r="B4501" t="str">
        <f>IFERROR(IF(VLOOKUP(C4501,Hoja1!$B$1:$C$6191,2,0)="",_xlfn.XLOOKUP(C4501,Hoja1!$B$2:$B$6191,Hoja1!$A$2:$A$6191),VLOOKUP(C4501,Hoja1!$B$1:$C$6191,2,0)),"No esta en Infor")</f>
        <v>NAC0573</v>
      </c>
      <c r="C4501" s="3" t="s">
        <v>15</v>
      </c>
      <c r="D4501" s="31">
        <v>4209.1899999999996</v>
      </c>
      <c r="F4501" s="31">
        <v>172.5</v>
      </c>
      <c r="G4501" s="31">
        <v>81.5</v>
      </c>
      <c r="H4501" s="31">
        <v>0</v>
      </c>
      <c r="I4501" s="31">
        <v>283.5</v>
      </c>
      <c r="J4501" s="62">
        <f t="shared" si="31"/>
        <v>4746.6899999999996</v>
      </c>
    </row>
    <row r="4502" spans="1:10" x14ac:dyDescent="0.25">
      <c r="A4502" s="67">
        <v>45716</v>
      </c>
      <c r="B4502" t="str">
        <f>IFERROR(IF(VLOOKUP(C4502,Hoja1!$B$1:$C$6191,2,0)="",_xlfn.XLOOKUP(C4502,Hoja1!$B$2:$B$6191,Hoja1!$A$2:$A$6191),VLOOKUP(C4502,Hoja1!$B$1:$C$6191,2,0)),"No esta en Infor")</f>
        <v>NAC0729</v>
      </c>
      <c r="C4502" s="3" t="s">
        <v>148</v>
      </c>
      <c r="D4502" s="31">
        <v>0</v>
      </c>
      <c r="F4502" s="31">
        <v>0</v>
      </c>
      <c r="G4502" s="31">
        <v>0</v>
      </c>
      <c r="H4502" s="31">
        <v>0</v>
      </c>
      <c r="I4502" s="31">
        <v>316</v>
      </c>
      <c r="J4502" s="62">
        <f t="shared" si="31"/>
        <v>316</v>
      </c>
    </row>
    <row r="4503" spans="1:10" x14ac:dyDescent="0.25">
      <c r="A4503" s="67">
        <v>45716</v>
      </c>
      <c r="B4503" t="str">
        <f>IFERROR(IF(VLOOKUP(C4503,Hoja1!$B$1:$C$6191,2,0)="",_xlfn.XLOOKUP(C4503,Hoja1!$B$2:$B$6191,Hoja1!$A$2:$A$6191),VLOOKUP(C4503,Hoja1!$B$1:$C$6191,2,0)),"No esta en Infor")</f>
        <v>NAC0972</v>
      </c>
      <c r="C4503" s="3" t="s">
        <v>221</v>
      </c>
      <c r="D4503" s="31">
        <v>0</v>
      </c>
      <c r="F4503" s="31">
        <v>173.58</v>
      </c>
      <c r="G4503" s="31">
        <v>0</v>
      </c>
      <c r="H4503" s="31">
        <v>0</v>
      </c>
      <c r="I4503" s="31">
        <v>217.86</v>
      </c>
      <c r="J4503" s="62">
        <f t="shared" si="31"/>
        <v>391.44000000000005</v>
      </c>
    </row>
    <row r="4504" spans="1:10" x14ac:dyDescent="0.25">
      <c r="A4504" s="67">
        <v>45716</v>
      </c>
      <c r="B4504" t="str">
        <f>IFERROR(IF(VLOOKUP(C4504,Hoja1!$B$1:$C$6191,2,0)="",_xlfn.XLOOKUP(C4504,Hoja1!$B$2:$B$6191,Hoja1!$A$2:$A$6191),VLOOKUP(C4504,Hoja1!$B$1:$C$6191,2,0)),"No esta en Infor")</f>
        <v>NAC1108</v>
      </c>
      <c r="C4504" s="3" t="s">
        <v>468</v>
      </c>
      <c r="D4504" s="31">
        <v>104.63</v>
      </c>
      <c r="F4504" s="31">
        <v>0</v>
      </c>
      <c r="G4504" s="31">
        <v>0</v>
      </c>
      <c r="H4504" s="31">
        <v>194.84</v>
      </c>
      <c r="I4504" s="31">
        <v>0</v>
      </c>
      <c r="J4504" s="62">
        <f t="shared" si="31"/>
        <v>299.47000000000003</v>
      </c>
    </row>
    <row r="4505" spans="1:10" x14ac:dyDescent="0.25">
      <c r="A4505" s="67">
        <v>45716</v>
      </c>
      <c r="B4505" t="str">
        <f>IFERROR(IF(VLOOKUP(C4505,Hoja1!$B$1:$C$6191,2,0)="",_xlfn.XLOOKUP(C4505,Hoja1!$B$2:$B$6191,Hoja1!$A$2:$A$6191),VLOOKUP(C4505,Hoja1!$B$1:$C$6191,2,0)),"No esta en Infor")</f>
        <v>NAC0733</v>
      </c>
      <c r="C4505" s="3" t="s">
        <v>660</v>
      </c>
      <c r="D4505" s="31">
        <v>0</v>
      </c>
      <c r="F4505" s="31">
        <v>6357</v>
      </c>
      <c r="G4505" s="31">
        <v>0</v>
      </c>
      <c r="H4505" s="31">
        <v>0</v>
      </c>
      <c r="I4505" s="31">
        <v>0</v>
      </c>
      <c r="J4505" s="62">
        <f t="shared" si="31"/>
        <v>6357</v>
      </c>
    </row>
    <row r="4506" spans="1:10" x14ac:dyDescent="0.25">
      <c r="A4506" s="67">
        <v>45716</v>
      </c>
      <c r="B4506" t="str">
        <f>IFERROR(IF(VLOOKUP(C4506,Hoja1!$B$1:$C$6191,2,0)="",_xlfn.XLOOKUP(C4506,Hoja1!$B$2:$B$6191,Hoja1!$A$2:$A$6191),VLOOKUP(C4506,Hoja1!$B$1:$C$6191,2,0)),"No esta en Infor")</f>
        <v>NAC1007</v>
      </c>
      <c r="C4506" s="3" t="s">
        <v>233</v>
      </c>
      <c r="D4506" s="31">
        <v>3961</v>
      </c>
      <c r="F4506" s="31">
        <v>6272</v>
      </c>
      <c r="G4506" s="31">
        <v>0</v>
      </c>
      <c r="H4506" s="31">
        <v>0</v>
      </c>
      <c r="I4506" s="31">
        <v>-1440</v>
      </c>
      <c r="J4506" s="62">
        <f t="shared" si="31"/>
        <v>8793</v>
      </c>
    </row>
    <row r="4507" spans="1:10" x14ac:dyDescent="0.25">
      <c r="A4507" s="67">
        <v>45716</v>
      </c>
      <c r="B4507" t="str">
        <f>IFERROR(IF(VLOOKUP(C4507,Hoja1!$B$1:$C$6191,2,0)="",_xlfn.XLOOKUP(C4507,Hoja1!$B$2:$B$6191,Hoja1!$A$2:$A$6191),VLOOKUP(C4507,Hoja1!$B$1:$C$6191,2,0)),"No esta en Infor")</f>
        <v>NAC1545</v>
      </c>
      <c r="C4507" s="3" t="s">
        <v>769</v>
      </c>
      <c r="D4507" s="31">
        <v>0</v>
      </c>
      <c r="F4507" s="31">
        <v>4230</v>
      </c>
      <c r="G4507" s="31">
        <v>0</v>
      </c>
      <c r="H4507" s="31">
        <v>0</v>
      </c>
      <c r="I4507" s="31">
        <v>0</v>
      </c>
      <c r="J4507" s="62">
        <f t="shared" si="31"/>
        <v>4230</v>
      </c>
    </row>
    <row r="4508" spans="1:10" x14ac:dyDescent="0.25">
      <c r="A4508" s="67">
        <v>45716</v>
      </c>
      <c r="B4508" t="str">
        <f>IFERROR(IF(VLOOKUP(C4508,Hoja1!$B$1:$C$6191,2,0)="",_xlfn.XLOOKUP(C4508,Hoja1!$B$2:$B$6191,Hoja1!$A$2:$A$6191),VLOOKUP(C4508,Hoja1!$B$1:$C$6191,2,0)),"No esta en Infor")</f>
        <v>NAC0618</v>
      </c>
      <c r="C4508" s="3" t="s">
        <v>488</v>
      </c>
      <c r="D4508" s="31">
        <v>0</v>
      </c>
      <c r="F4508" s="31">
        <v>0</v>
      </c>
      <c r="G4508" s="31">
        <v>0</v>
      </c>
      <c r="H4508" s="31">
        <v>120.02</v>
      </c>
      <c r="I4508" s="31">
        <v>0</v>
      </c>
      <c r="J4508" s="62">
        <f t="shared" si="31"/>
        <v>120.02</v>
      </c>
    </row>
    <row r="4509" spans="1:10" x14ac:dyDescent="0.25">
      <c r="A4509" s="67">
        <v>45716</v>
      </c>
      <c r="B4509" t="str">
        <f>IFERROR(IF(VLOOKUP(C4509,Hoja1!$B$1:$C$6191,2,0)="",_xlfn.XLOOKUP(C4509,Hoja1!$B$2:$B$6191,Hoja1!$A$2:$A$6191),VLOOKUP(C4509,Hoja1!$B$1:$C$6191,2,0)),"No esta en Infor")</f>
        <v>CAN0074</v>
      </c>
      <c r="C4509" s="3" t="s">
        <v>350</v>
      </c>
      <c r="D4509" s="31">
        <v>2790</v>
      </c>
      <c r="F4509" s="31">
        <v>-2515.36</v>
      </c>
      <c r="G4509" s="31">
        <v>233.1</v>
      </c>
      <c r="H4509" s="31">
        <v>0</v>
      </c>
      <c r="I4509" s="31">
        <v>0</v>
      </c>
      <c r="J4509" s="62">
        <f t="shared" si="31"/>
        <v>507.7399999999999</v>
      </c>
    </row>
    <row r="4510" spans="1:10" x14ac:dyDescent="0.25">
      <c r="A4510" s="67">
        <v>45716</v>
      </c>
      <c r="B4510" t="str">
        <f>IFERROR(IF(VLOOKUP(C4510,Hoja1!$B$1:$C$6191,2,0)="",_xlfn.XLOOKUP(C4510,Hoja1!$B$2:$B$6191,Hoja1!$A$2:$A$6191),VLOOKUP(C4510,Hoja1!$B$1:$C$6191,2,0)),"No esta en Infor")</f>
        <v>NAC1362</v>
      </c>
      <c r="C4510" s="3" t="s">
        <v>701</v>
      </c>
      <c r="D4510" s="31">
        <v>0</v>
      </c>
      <c r="F4510" s="31">
        <v>3780</v>
      </c>
      <c r="G4510" s="31">
        <v>0</v>
      </c>
      <c r="H4510" s="31">
        <v>0</v>
      </c>
      <c r="I4510" s="31">
        <v>0</v>
      </c>
      <c r="J4510" s="62">
        <f t="shared" si="31"/>
        <v>3780</v>
      </c>
    </row>
    <row r="4511" spans="1:10" x14ac:dyDescent="0.25">
      <c r="A4511" s="67">
        <v>45716</v>
      </c>
      <c r="B4511" t="str">
        <f>IFERROR(IF(VLOOKUP(C4511,Hoja1!$B$1:$C$6191,2,0)="",_xlfn.XLOOKUP(C4511,Hoja1!$B$2:$B$6191,Hoja1!$A$2:$A$6191),VLOOKUP(C4511,Hoja1!$B$1:$C$6191,2,0)),"No esta en Infor")</f>
        <v>NAC0862</v>
      </c>
      <c r="C4511" s="3" t="s">
        <v>190</v>
      </c>
      <c r="D4511" s="31">
        <v>7014.1</v>
      </c>
      <c r="F4511" s="31">
        <v>0</v>
      </c>
      <c r="G4511" s="31">
        <v>0</v>
      </c>
      <c r="H4511" s="31">
        <v>96.3</v>
      </c>
      <c r="I4511" s="31">
        <v>0</v>
      </c>
      <c r="J4511" s="62">
        <f t="shared" si="31"/>
        <v>7110.4000000000005</v>
      </c>
    </row>
    <row r="4512" spans="1:10" x14ac:dyDescent="0.25">
      <c r="A4512" s="67">
        <v>45716</v>
      </c>
      <c r="B4512" t="str">
        <f>IFERROR(IF(VLOOKUP(C4512,Hoja1!$B$1:$C$6191,2,0)="",_xlfn.XLOOKUP(C4512,Hoja1!$B$2:$B$6191,Hoja1!$A$2:$A$6191),VLOOKUP(C4512,Hoja1!$B$1:$C$6191,2,0)),"No esta en Infor")</f>
        <v>NAC1614</v>
      </c>
      <c r="C4512" s="3" t="s">
        <v>563</v>
      </c>
      <c r="D4512" s="31">
        <v>0</v>
      </c>
      <c r="F4512" s="31">
        <v>0</v>
      </c>
      <c r="G4512" s="31">
        <v>71.900000000000006</v>
      </c>
      <c r="H4512" s="31">
        <v>58.13</v>
      </c>
      <c r="I4512" s="31">
        <v>0</v>
      </c>
      <c r="J4512" s="62">
        <f t="shared" si="31"/>
        <v>130.03</v>
      </c>
    </row>
    <row r="4513" spans="1:10" x14ac:dyDescent="0.25">
      <c r="A4513" s="67">
        <v>45716</v>
      </c>
      <c r="B4513" t="str">
        <f>IFERROR(IF(VLOOKUP(C4513,Hoja1!$B$1:$C$6191,2,0)="",_xlfn.XLOOKUP(C4513,Hoja1!$B$2:$B$6191,Hoja1!$A$2:$A$6191),VLOOKUP(C4513,Hoja1!$B$1:$C$6191,2,0)),"No esta en Infor")</f>
        <v>NAC0556</v>
      </c>
      <c r="C4513" s="3" t="s">
        <v>14</v>
      </c>
      <c r="D4513" s="31">
        <v>45413.5</v>
      </c>
      <c r="F4513" s="31">
        <v>2739.13</v>
      </c>
      <c r="G4513" s="31">
        <v>-226.8</v>
      </c>
      <c r="H4513" s="31">
        <v>0</v>
      </c>
      <c r="I4513" s="31">
        <v>0</v>
      </c>
      <c r="J4513" s="62">
        <f t="shared" si="31"/>
        <v>47925.829999999994</v>
      </c>
    </row>
    <row r="4514" spans="1:10" x14ac:dyDescent="0.25">
      <c r="A4514" s="67">
        <v>45716</v>
      </c>
      <c r="B4514" t="str">
        <f>IFERROR(IF(VLOOKUP(C4514,Hoja1!$B$1:$C$6191,2,0)="",_xlfn.XLOOKUP(C4514,Hoja1!$B$2:$B$6191,Hoja1!$A$2:$A$6191),VLOOKUP(C4514,Hoja1!$B$1:$C$6191,2,0)),"No esta en Infor")</f>
        <v>NAC1642</v>
      </c>
      <c r="C4514" s="3" t="s">
        <v>772</v>
      </c>
      <c r="D4514" s="31">
        <v>0</v>
      </c>
      <c r="F4514" s="31">
        <v>2310</v>
      </c>
      <c r="G4514" s="31">
        <v>0</v>
      </c>
      <c r="H4514" s="31">
        <v>0</v>
      </c>
      <c r="I4514" s="31">
        <v>0</v>
      </c>
      <c r="J4514" s="62">
        <f t="shared" si="31"/>
        <v>2310</v>
      </c>
    </row>
    <row r="4515" spans="1:10" x14ac:dyDescent="0.25">
      <c r="A4515" s="67">
        <v>45716</v>
      </c>
      <c r="B4515" t="str">
        <f>IFERROR(IF(VLOOKUP(C4515,Hoja1!$B$1:$C$6191,2,0)="",_xlfn.XLOOKUP(C4515,Hoja1!$B$2:$B$6191,Hoja1!$A$2:$A$6191),VLOOKUP(C4515,Hoja1!$B$1:$C$6191,2,0)),"No esta en Infor")</f>
        <v>NAC0823</v>
      </c>
      <c r="C4515" s="3" t="s">
        <v>497</v>
      </c>
      <c r="D4515" s="31">
        <v>991.85</v>
      </c>
      <c r="F4515" s="31">
        <v>0</v>
      </c>
      <c r="G4515" s="31">
        <v>0</v>
      </c>
      <c r="H4515" s="31">
        <v>64.489999999999995</v>
      </c>
      <c r="I4515" s="31">
        <v>0</v>
      </c>
      <c r="J4515" s="62">
        <f t="shared" si="31"/>
        <v>1056.3399999999999</v>
      </c>
    </row>
    <row r="4516" spans="1:10" x14ac:dyDescent="0.25">
      <c r="A4516" s="67">
        <v>45716</v>
      </c>
      <c r="B4516" t="str">
        <f>IFERROR(IF(VLOOKUP(C4516,Hoja1!$B$1:$C$6191,2,0)="",_xlfn.XLOOKUP(C4516,Hoja1!$B$2:$B$6191,Hoja1!$A$2:$A$6191),VLOOKUP(C4516,Hoja1!$B$1:$C$6191,2,0)),"No esta en Infor")</f>
        <v>NAC1170</v>
      </c>
      <c r="C4516" s="3" t="s">
        <v>278</v>
      </c>
      <c r="D4516" s="31">
        <v>5521.15</v>
      </c>
      <c r="F4516" s="31">
        <v>2126.4699999999998</v>
      </c>
      <c r="G4516" s="31">
        <v>0</v>
      </c>
      <c r="H4516" s="31">
        <v>0</v>
      </c>
      <c r="I4516" s="31">
        <v>0</v>
      </c>
      <c r="J4516" s="62">
        <f t="shared" si="31"/>
        <v>7647.619999999999</v>
      </c>
    </row>
    <row r="4517" spans="1:10" x14ac:dyDescent="0.25">
      <c r="A4517" s="67">
        <v>45716</v>
      </c>
      <c r="B4517" t="str">
        <f>IFERROR(IF(VLOOKUP(C4517,Hoja1!$B$1:$C$6191,2,0)="",_xlfn.XLOOKUP(C4517,Hoja1!$B$2:$B$6191,Hoja1!$A$2:$A$6191),VLOOKUP(C4517,Hoja1!$B$1:$C$6191,2,0)),"No esta en Infor")</f>
        <v>NAC0641</v>
      </c>
      <c r="C4517" s="3" t="s">
        <v>18</v>
      </c>
      <c r="D4517" s="31">
        <v>0</v>
      </c>
      <c r="F4517" s="31">
        <v>2092.4</v>
      </c>
      <c r="G4517" s="31">
        <v>-10</v>
      </c>
      <c r="H4517" s="31">
        <v>0</v>
      </c>
      <c r="I4517" s="31">
        <v>0</v>
      </c>
      <c r="J4517" s="62">
        <f t="shared" si="31"/>
        <v>2082.4</v>
      </c>
    </row>
    <row r="4518" spans="1:10" x14ac:dyDescent="0.25">
      <c r="A4518" s="67">
        <v>45716</v>
      </c>
      <c r="B4518" t="str">
        <f>IFERROR(IF(VLOOKUP(C4518,Hoja1!$B$1:$C$6191,2,0)="",_xlfn.XLOOKUP(C4518,Hoja1!$B$2:$B$6191,Hoja1!$A$2:$A$6191),VLOOKUP(C4518,Hoja1!$B$1:$C$6191,2,0)),"No esta en Infor")</f>
        <v>CAN0060</v>
      </c>
      <c r="C4518" s="3" t="s">
        <v>422</v>
      </c>
      <c r="D4518" s="31">
        <v>149.16</v>
      </c>
      <c r="F4518" s="31">
        <v>1932.3</v>
      </c>
      <c r="G4518" s="31">
        <v>0</v>
      </c>
      <c r="H4518" s="31">
        <v>-28.5</v>
      </c>
      <c r="I4518" s="31">
        <v>0</v>
      </c>
      <c r="J4518" s="62">
        <f t="shared" si="31"/>
        <v>2052.96</v>
      </c>
    </row>
    <row r="4519" spans="1:10" x14ac:dyDescent="0.25">
      <c r="A4519" s="67">
        <v>45716</v>
      </c>
      <c r="B4519" t="str">
        <f>IFERROR(IF(VLOOKUP(C4519,Hoja1!$B$1:$C$6191,2,0)="",_xlfn.XLOOKUP(C4519,Hoja1!$B$2:$B$6191,Hoja1!$A$2:$A$6191),VLOOKUP(C4519,Hoja1!$B$1:$C$6191,2,0)),"No esta en Infor")</f>
        <v>NAC0838</v>
      </c>
      <c r="C4519" s="3" t="s">
        <v>396</v>
      </c>
      <c r="D4519" s="31">
        <v>517.5</v>
      </c>
      <c r="F4519" s="31">
        <v>0</v>
      </c>
      <c r="G4519" s="31">
        <v>0</v>
      </c>
      <c r="H4519" s="31">
        <v>0</v>
      </c>
      <c r="I4519" s="31">
        <v>54</v>
      </c>
      <c r="J4519" s="62">
        <f t="shared" si="31"/>
        <v>571.5</v>
      </c>
    </row>
    <row r="4520" spans="1:10" x14ac:dyDescent="0.25">
      <c r="A4520" s="67">
        <v>45716</v>
      </c>
      <c r="B4520" t="str">
        <f>IFERROR(IF(VLOOKUP(C4520,Hoja1!$B$1:$C$6191,2,0)="",_xlfn.XLOOKUP(C4520,Hoja1!$B$2:$B$6191,Hoja1!$A$2:$A$6191),VLOOKUP(C4520,Hoja1!$B$1:$C$6191,2,0)),"No esta en Infor")</f>
        <v>NAC1500</v>
      </c>
      <c r="C4520" s="3" t="s">
        <v>432</v>
      </c>
      <c r="D4520" s="31">
        <v>56</v>
      </c>
      <c r="F4520" s="31">
        <v>-0.06</v>
      </c>
      <c r="G4520" s="31">
        <v>0</v>
      </c>
      <c r="H4520" s="31">
        <v>51.8</v>
      </c>
      <c r="I4520" s="31">
        <v>0</v>
      </c>
      <c r="J4520" s="62">
        <f t="shared" si="31"/>
        <v>107.74</v>
      </c>
    </row>
    <row r="4521" spans="1:10" x14ac:dyDescent="0.25">
      <c r="A4521" s="67">
        <v>45716</v>
      </c>
      <c r="B4521" t="str">
        <f>IFERROR(IF(VLOOKUP(C4521,Hoja1!$B$1:$C$6191,2,0)="",_xlfn.XLOOKUP(C4521,Hoja1!$B$2:$B$6191,Hoja1!$A$2:$A$6191),VLOOKUP(C4521,Hoja1!$B$1:$C$6191,2,0)),"No esta en Infor")</f>
        <v>CAN0059</v>
      </c>
      <c r="C4521" s="3" t="s">
        <v>51</v>
      </c>
      <c r="D4521" s="31">
        <v>33591.870000000003</v>
      </c>
      <c r="F4521" s="31">
        <v>0</v>
      </c>
      <c r="G4521" s="31">
        <v>0</v>
      </c>
      <c r="H4521" s="31">
        <v>49.14</v>
      </c>
      <c r="I4521" s="31">
        <v>0</v>
      </c>
      <c r="J4521" s="62">
        <f t="shared" si="31"/>
        <v>33641.01</v>
      </c>
    </row>
    <row r="4522" spans="1:10" x14ac:dyDescent="0.25">
      <c r="A4522" s="67">
        <v>45716</v>
      </c>
      <c r="B4522" t="str">
        <f>IFERROR(IF(VLOOKUP(C4522,Hoja1!$B$1:$C$6191,2,0)="",_xlfn.XLOOKUP(C4522,Hoja1!$B$2:$B$6191,Hoja1!$A$2:$A$6191),VLOOKUP(C4522,Hoja1!$B$1:$C$6191,2,0)),"No esta en Infor")</f>
        <v>NAC1608</v>
      </c>
      <c r="C4522" s="3" t="s">
        <v>538</v>
      </c>
      <c r="D4522" s="31">
        <v>0</v>
      </c>
      <c r="F4522" s="31">
        <v>1596.92</v>
      </c>
      <c r="G4522" s="31">
        <v>0</v>
      </c>
      <c r="H4522" s="31">
        <v>-62.57</v>
      </c>
      <c r="I4522" s="31">
        <v>-308</v>
      </c>
      <c r="J4522" s="62">
        <f t="shared" si="31"/>
        <v>1226.3500000000001</v>
      </c>
    </row>
    <row r="4523" spans="1:10" x14ac:dyDescent="0.25">
      <c r="A4523" s="67">
        <v>45716</v>
      </c>
      <c r="B4523" t="str">
        <f>IFERROR(IF(VLOOKUP(C4523,Hoja1!$B$1:$C$6191,2,0)="",_xlfn.XLOOKUP(C4523,Hoja1!$B$2:$B$6191,Hoja1!$A$2:$A$6191),VLOOKUP(C4523,Hoja1!$B$1:$C$6191,2,0)),"No esta en Infor")</f>
        <v>NAC1611</v>
      </c>
      <c r="C4523" s="3" t="s">
        <v>565</v>
      </c>
      <c r="D4523" s="31">
        <v>65248.49</v>
      </c>
      <c r="F4523" s="31">
        <v>1303.5</v>
      </c>
      <c r="G4523" s="31">
        <v>0</v>
      </c>
      <c r="H4523" s="31">
        <v>-3620.52</v>
      </c>
      <c r="I4523" s="31">
        <v>-184</v>
      </c>
      <c r="J4523" s="62">
        <f t="shared" si="31"/>
        <v>62747.469999999994</v>
      </c>
    </row>
    <row r="4524" spans="1:10" x14ac:dyDescent="0.25">
      <c r="A4524" s="67">
        <v>45716</v>
      </c>
      <c r="B4524" t="str">
        <f>IFERROR(IF(VLOOKUP(C4524,Hoja1!$B$1:$C$6191,2,0)="",_xlfn.XLOOKUP(C4524,Hoja1!$B$2:$B$6191,Hoja1!$A$2:$A$6191),VLOOKUP(C4524,Hoja1!$B$1:$C$6191,2,0)),"No esta en Infor")</f>
        <v>NAC0613</v>
      </c>
      <c r="C4524" s="3" t="s">
        <v>101</v>
      </c>
      <c r="D4524" s="31">
        <v>-411.47</v>
      </c>
      <c r="F4524" s="31">
        <v>1301.06</v>
      </c>
      <c r="G4524" s="31">
        <v>0</v>
      </c>
      <c r="H4524" s="31">
        <v>0</v>
      </c>
      <c r="I4524" s="31">
        <v>-81.599999999999994</v>
      </c>
      <c r="J4524" s="62">
        <f t="shared" si="31"/>
        <v>807.9899999999999</v>
      </c>
    </row>
    <row r="4525" spans="1:10" x14ac:dyDescent="0.25">
      <c r="A4525" s="67">
        <v>45716</v>
      </c>
      <c r="B4525" t="str">
        <f>IFERROR(IF(VLOOKUP(C4525,Hoja1!$B$1:$C$6191,2,0)="",_xlfn.XLOOKUP(C4525,Hoja1!$B$2:$B$6191,Hoja1!$A$2:$A$6191),VLOOKUP(C4525,Hoja1!$B$1:$C$6191,2,0)),"No esta en Infor")</f>
        <v>NAC1200</v>
      </c>
      <c r="C4525" s="3" t="s">
        <v>473</v>
      </c>
      <c r="D4525" s="31">
        <v>0</v>
      </c>
      <c r="F4525" s="31">
        <v>397.36</v>
      </c>
      <c r="G4525" s="31">
        <v>0</v>
      </c>
      <c r="H4525" s="31">
        <v>24.37</v>
      </c>
      <c r="I4525" s="31">
        <v>0</v>
      </c>
      <c r="J4525" s="62">
        <f t="shared" si="31"/>
        <v>421.73</v>
      </c>
    </row>
    <row r="4526" spans="1:10" x14ac:dyDescent="0.25">
      <c r="A4526" s="67">
        <v>45716</v>
      </c>
      <c r="B4526" t="str">
        <f>IFERROR(IF(VLOOKUP(C4526,Hoja1!$B$1:$C$6191,2,0)="",_xlfn.XLOOKUP(C4526,Hoja1!$B$2:$B$6191,Hoja1!$A$2:$A$6191),VLOOKUP(C4526,Hoja1!$B$1:$C$6191,2,0)),"No esta en Infor")</f>
        <v>NAC1326</v>
      </c>
      <c r="C4526" s="3" t="s">
        <v>763</v>
      </c>
      <c r="D4526" s="31">
        <v>0</v>
      </c>
      <c r="F4526" s="31">
        <v>994.63</v>
      </c>
      <c r="G4526" s="31">
        <v>0</v>
      </c>
      <c r="H4526" s="31">
        <v>0</v>
      </c>
      <c r="I4526" s="31">
        <v>0</v>
      </c>
      <c r="J4526" s="62">
        <f t="shared" si="31"/>
        <v>994.63</v>
      </c>
    </row>
    <row r="4527" spans="1:10" x14ac:dyDescent="0.25">
      <c r="A4527" s="67">
        <v>45716</v>
      </c>
      <c r="B4527" t="str">
        <f>IFERROR(IF(VLOOKUP(C4527,Hoja1!$B$1:$C$6191,2,0)="",_xlfn.XLOOKUP(C4527,Hoja1!$B$2:$B$6191,Hoja1!$A$2:$A$6191),VLOOKUP(C4527,Hoja1!$B$1:$C$6191,2,0)),"No esta en Infor")</f>
        <v>NAC1144</v>
      </c>
      <c r="C4527" s="3" t="s">
        <v>411</v>
      </c>
      <c r="D4527" s="31">
        <v>0</v>
      </c>
      <c r="F4527" s="31">
        <v>0</v>
      </c>
      <c r="G4527" s="31">
        <v>0</v>
      </c>
      <c r="H4527" s="31">
        <v>29.71</v>
      </c>
      <c r="I4527" s="31">
        <v>0</v>
      </c>
      <c r="J4527" s="62">
        <f t="shared" si="31"/>
        <v>29.71</v>
      </c>
    </row>
    <row r="4528" spans="1:10" x14ac:dyDescent="0.25">
      <c r="A4528" s="67">
        <v>45716</v>
      </c>
      <c r="B4528" t="str">
        <f>IFERROR(IF(VLOOKUP(C4528,Hoja1!$B$1:$C$6191,2,0)="",_xlfn.XLOOKUP(C4528,Hoja1!$B$2:$B$6191,Hoja1!$A$2:$A$6191),VLOOKUP(C4528,Hoja1!$B$1:$C$6191,2,0)),"No esta en Infor")</f>
        <v>NAC1087</v>
      </c>
      <c r="C4528" s="3" t="s">
        <v>631</v>
      </c>
      <c r="D4528" s="31">
        <v>0</v>
      </c>
      <c r="F4528" s="31">
        <v>908</v>
      </c>
      <c r="G4528" s="31">
        <v>0</v>
      </c>
      <c r="H4528" s="31">
        <v>0</v>
      </c>
      <c r="I4528" s="31">
        <v>0</v>
      </c>
      <c r="J4528" s="62">
        <f t="shared" si="31"/>
        <v>908</v>
      </c>
    </row>
    <row r="4529" spans="1:10" x14ac:dyDescent="0.25">
      <c r="A4529" s="67">
        <v>45716</v>
      </c>
      <c r="B4529" t="str">
        <f>IFERROR(IF(VLOOKUP(C4529,Hoja1!$B$1:$C$6191,2,0)="",_xlfn.XLOOKUP(C4529,Hoja1!$B$2:$B$6191,Hoja1!$A$2:$A$6191),VLOOKUP(C4529,Hoja1!$B$1:$C$6191,2,0)),"No esta en Infor")</f>
        <v>NAC0848</v>
      </c>
      <c r="C4529" s="3" t="s">
        <v>498</v>
      </c>
      <c r="D4529" s="31">
        <v>954.09</v>
      </c>
      <c r="F4529" s="31">
        <v>842.34</v>
      </c>
      <c r="G4529" s="31">
        <v>0</v>
      </c>
      <c r="H4529" s="31">
        <v>0</v>
      </c>
      <c r="I4529" s="31">
        <v>0</v>
      </c>
      <c r="J4529" s="62">
        <f t="shared" si="31"/>
        <v>1796.43</v>
      </c>
    </row>
    <row r="4530" spans="1:10" x14ac:dyDescent="0.25">
      <c r="A4530" s="67">
        <v>45716</v>
      </c>
      <c r="B4530" t="str">
        <f>IFERROR(IF(VLOOKUP(C4530,Hoja1!$B$1:$C$6191,2,0)="",_xlfn.XLOOKUP(C4530,Hoja1!$B$2:$B$6191,Hoja1!$A$2:$A$6191),VLOOKUP(C4530,Hoja1!$B$1:$C$6191,2,0)),"No esta en Infor")</f>
        <v>NAC1606</v>
      </c>
      <c r="C4530" s="3" t="s">
        <v>561</v>
      </c>
      <c r="D4530" s="31">
        <v>126233.8</v>
      </c>
      <c r="F4530" s="31">
        <v>770</v>
      </c>
      <c r="G4530" s="31">
        <v>0</v>
      </c>
      <c r="H4530" s="31">
        <v>0</v>
      </c>
      <c r="I4530" s="31">
        <v>0</v>
      </c>
      <c r="J4530" s="62">
        <f t="shared" si="31"/>
        <v>127003.8</v>
      </c>
    </row>
    <row r="4531" spans="1:10" x14ac:dyDescent="0.25">
      <c r="A4531" s="67">
        <v>45716</v>
      </c>
      <c r="B4531" t="str">
        <f>IFERROR(IF(VLOOKUP(C4531,Hoja1!$B$1:$C$6191,2,0)="",_xlfn.XLOOKUP(C4531,Hoja1!$B$2:$B$6191,Hoja1!$A$2:$A$6191),VLOOKUP(C4531,Hoja1!$B$1:$C$6191,2,0)),"No esta en Infor")</f>
        <v>NAC1283</v>
      </c>
      <c r="C4531" s="3" t="s">
        <v>308</v>
      </c>
      <c r="D4531" s="31">
        <v>13728</v>
      </c>
      <c r="F4531" s="31">
        <v>760</v>
      </c>
      <c r="G4531" s="31">
        <v>0</v>
      </c>
      <c r="H4531" s="31">
        <v>0</v>
      </c>
      <c r="I4531" s="31">
        <v>-118</v>
      </c>
      <c r="J4531" s="62">
        <f t="shared" si="31"/>
        <v>14370</v>
      </c>
    </row>
    <row r="4532" spans="1:10" x14ac:dyDescent="0.25">
      <c r="A4532" s="67">
        <v>45716</v>
      </c>
      <c r="B4532" t="str">
        <f>IFERROR(IF(VLOOKUP(C4532,Hoja1!$B$1:$C$6191,2,0)="",_xlfn.XLOOKUP(C4532,Hoja1!$B$2:$B$6191,Hoja1!$A$2:$A$6191),VLOOKUP(C4532,Hoja1!$B$1:$C$6191,2,0)),"No esta en Infor")</f>
        <v>NAC1333</v>
      </c>
      <c r="C4532" s="3" t="s">
        <v>318</v>
      </c>
      <c r="D4532" s="31">
        <v>32554.93</v>
      </c>
      <c r="F4532" s="31">
        <v>115.19</v>
      </c>
      <c r="G4532" s="31">
        <v>32.840000000000003</v>
      </c>
      <c r="H4532" s="31">
        <v>0</v>
      </c>
      <c r="I4532" s="31">
        <v>0</v>
      </c>
      <c r="J4532" s="62">
        <f t="shared" si="31"/>
        <v>32702.959999999999</v>
      </c>
    </row>
    <row r="4533" spans="1:10" x14ac:dyDescent="0.25">
      <c r="A4533" s="67">
        <v>45716</v>
      </c>
      <c r="B4533" t="str">
        <f>IFERROR(IF(VLOOKUP(C4533,Hoja1!$B$1:$C$6191,2,0)="",_xlfn.XLOOKUP(C4533,Hoja1!$B$2:$B$6191,Hoja1!$A$2:$A$6191),VLOOKUP(C4533,Hoja1!$B$1:$C$6191,2,0)),"No esta en Infor")</f>
        <v>NAC1594</v>
      </c>
      <c r="C4533" s="3" t="s">
        <v>791</v>
      </c>
      <c r="D4533" s="31">
        <v>0</v>
      </c>
      <c r="F4533" s="31">
        <v>625.33000000000004</v>
      </c>
      <c r="G4533" s="31">
        <v>0</v>
      </c>
      <c r="H4533" s="31">
        <v>0</v>
      </c>
      <c r="I4533" s="31">
        <v>0</v>
      </c>
      <c r="J4533" s="62">
        <f t="shared" si="31"/>
        <v>625.33000000000004</v>
      </c>
    </row>
    <row r="4534" spans="1:10" x14ac:dyDescent="0.25">
      <c r="A4534" s="67">
        <v>45716</v>
      </c>
      <c r="B4534" t="str">
        <f>IFERROR(IF(VLOOKUP(C4534,Hoja1!$B$1:$C$6191,2,0)="",_xlfn.XLOOKUP(C4534,Hoja1!$B$2:$B$6191,Hoja1!$A$2:$A$6191),VLOOKUP(C4534,Hoja1!$B$1:$C$6191,2,0)),"No esta en Infor")</f>
        <v>NAC1450</v>
      </c>
      <c r="C4534" s="3" t="s">
        <v>54</v>
      </c>
      <c r="D4534" s="31">
        <v>1088.3800000000001</v>
      </c>
      <c r="F4534" s="31">
        <v>587.33000000000004</v>
      </c>
      <c r="G4534" s="31">
        <v>-19.47</v>
      </c>
      <c r="H4534" s="31">
        <v>0</v>
      </c>
      <c r="I4534" s="31">
        <v>-100.66</v>
      </c>
      <c r="J4534" s="62">
        <f t="shared" si="31"/>
        <v>1555.58</v>
      </c>
    </row>
    <row r="4535" spans="1:10" x14ac:dyDescent="0.25">
      <c r="A4535" s="67">
        <v>45716</v>
      </c>
      <c r="B4535" t="str">
        <f>IFERROR(IF(VLOOKUP(C4535,Hoja1!$B$1:$C$6191,2,0)="",_xlfn.XLOOKUP(C4535,Hoja1!$B$2:$B$6191,Hoja1!$A$2:$A$6191),VLOOKUP(C4535,Hoja1!$B$1:$C$6191,2,0)),"No esta en Infor")</f>
        <v>NAC1216</v>
      </c>
      <c r="C4535" s="3" t="s">
        <v>287</v>
      </c>
      <c r="D4535" s="31">
        <v>527.41999999999996</v>
      </c>
      <c r="F4535" s="31">
        <v>0</v>
      </c>
      <c r="G4535" s="31">
        <v>32.979999999999997</v>
      </c>
      <c r="H4535" s="31">
        <v>0</v>
      </c>
      <c r="I4535" s="31">
        <v>0</v>
      </c>
      <c r="J4535" s="62">
        <f t="shared" ref="J4535:J4598" si="32">SUM(D4535:I4535)</f>
        <v>560.4</v>
      </c>
    </row>
    <row r="4536" spans="1:10" x14ac:dyDescent="0.25">
      <c r="A4536" s="67">
        <v>45716</v>
      </c>
      <c r="B4536" t="str">
        <f>IFERROR(IF(VLOOKUP(C4536,Hoja1!$B$1:$C$6191,2,0)="",_xlfn.XLOOKUP(C4536,Hoja1!$B$2:$B$6191,Hoja1!$A$2:$A$6191),VLOOKUP(C4536,Hoja1!$B$1:$C$6191,2,0)),"No esta en Infor")</f>
        <v>NAC0880</v>
      </c>
      <c r="C4536" s="3" t="s">
        <v>24</v>
      </c>
      <c r="D4536" s="31">
        <v>3986.02</v>
      </c>
      <c r="F4536" s="31">
        <v>500.03</v>
      </c>
      <c r="G4536" s="31">
        <v>-142.84</v>
      </c>
      <c r="H4536" s="31">
        <v>0</v>
      </c>
      <c r="I4536" s="31">
        <v>0</v>
      </c>
      <c r="J4536" s="62">
        <f t="shared" si="32"/>
        <v>4343.21</v>
      </c>
    </row>
    <row r="4537" spans="1:10" x14ac:dyDescent="0.25">
      <c r="A4537" s="67">
        <v>45716</v>
      </c>
      <c r="B4537" t="str">
        <f>IFERROR(IF(VLOOKUP(C4537,Hoja1!$B$1:$C$6191,2,0)="",_xlfn.XLOOKUP(C4537,Hoja1!$B$2:$B$6191,Hoja1!$A$2:$A$6191),VLOOKUP(C4537,Hoja1!$B$1:$C$6191,2,0)),"No esta en Infor")</f>
        <v>NAC1372</v>
      </c>
      <c r="C4537" s="3" t="s">
        <v>607</v>
      </c>
      <c r="D4537" s="31">
        <v>0</v>
      </c>
      <c r="F4537" s="31">
        <v>420.12</v>
      </c>
      <c r="G4537" s="31">
        <v>0</v>
      </c>
      <c r="H4537" s="31">
        <v>0</v>
      </c>
      <c r="I4537" s="31">
        <v>0</v>
      </c>
      <c r="J4537" s="62">
        <f t="shared" si="32"/>
        <v>420.12</v>
      </c>
    </row>
    <row r="4538" spans="1:10" x14ac:dyDescent="0.25">
      <c r="A4538" s="67">
        <v>45716</v>
      </c>
      <c r="B4538" t="str">
        <f>IFERROR(IF(VLOOKUP(C4538,Hoja1!$B$1:$C$6191,2,0)="",_xlfn.XLOOKUP(C4538,Hoja1!$B$2:$B$6191,Hoja1!$A$2:$A$6191),VLOOKUP(C4538,Hoja1!$B$1:$C$6191,2,0)),"No esta en Infor")</f>
        <v>NAC1013</v>
      </c>
      <c r="C4538" s="3" t="s">
        <v>235</v>
      </c>
      <c r="D4538" s="31">
        <v>452.11</v>
      </c>
      <c r="F4538" s="31">
        <v>391.55</v>
      </c>
      <c r="G4538" s="31">
        <v>0</v>
      </c>
      <c r="H4538" s="31">
        <v>0</v>
      </c>
      <c r="I4538" s="31">
        <v>0</v>
      </c>
      <c r="J4538" s="62">
        <f t="shared" si="32"/>
        <v>843.66000000000008</v>
      </c>
    </row>
    <row r="4539" spans="1:10" x14ac:dyDescent="0.25">
      <c r="A4539" s="67">
        <v>45716</v>
      </c>
      <c r="B4539" t="str">
        <f>IFERROR(IF(VLOOKUP(C4539,Hoja1!$B$1:$C$6191,2,0)="",_xlfn.XLOOKUP(C4539,Hoja1!$B$2:$B$6191,Hoja1!$A$2:$A$6191),VLOOKUP(C4539,Hoja1!$B$1:$C$6191,2,0)),"No esta en Infor")</f>
        <v>NAC1332</v>
      </c>
      <c r="C4539" s="3" t="s">
        <v>317</v>
      </c>
      <c r="D4539" s="31">
        <v>0</v>
      </c>
      <c r="F4539" s="31">
        <v>362</v>
      </c>
      <c r="G4539" s="31">
        <v>0</v>
      </c>
      <c r="H4539" s="31">
        <v>0</v>
      </c>
      <c r="I4539" s="31">
        <v>0</v>
      </c>
      <c r="J4539" s="62">
        <f t="shared" si="32"/>
        <v>362</v>
      </c>
    </row>
    <row r="4540" spans="1:10" x14ac:dyDescent="0.25">
      <c r="A4540" s="67">
        <v>45716</v>
      </c>
      <c r="B4540" t="str">
        <f>IFERROR(IF(VLOOKUP(C4540,Hoja1!$B$1:$C$6191,2,0)="",_xlfn.XLOOKUP(C4540,Hoja1!$B$2:$B$6191,Hoja1!$A$2:$A$6191),VLOOKUP(C4540,Hoja1!$B$1:$C$6191,2,0)),"No esta en Infor")</f>
        <v>CAN0043</v>
      </c>
      <c r="C4540" s="3" t="s">
        <v>280</v>
      </c>
      <c r="D4540" s="31">
        <v>3745.6</v>
      </c>
      <c r="F4540" s="31">
        <v>336.74</v>
      </c>
      <c r="G4540" s="31">
        <v>0</v>
      </c>
      <c r="H4540" s="31">
        <v>0</v>
      </c>
      <c r="I4540" s="31">
        <v>0</v>
      </c>
      <c r="J4540" s="62">
        <f t="shared" si="32"/>
        <v>4082.34</v>
      </c>
    </row>
    <row r="4541" spans="1:10" x14ac:dyDescent="0.25">
      <c r="A4541" s="67">
        <v>45716</v>
      </c>
      <c r="B4541" t="str">
        <f>IFERROR(IF(VLOOKUP(C4541,Hoja1!$B$1:$C$6191,2,0)="",_xlfn.XLOOKUP(C4541,Hoja1!$B$2:$B$6191,Hoja1!$A$2:$A$6191),VLOOKUP(C4541,Hoja1!$B$1:$C$6191,2,0)),"No esta en Infor")</f>
        <v>NAC0994</v>
      </c>
      <c r="C4541" s="3" t="s">
        <v>226</v>
      </c>
      <c r="D4541" s="31">
        <v>142.5</v>
      </c>
      <c r="F4541" s="31">
        <v>232</v>
      </c>
      <c r="G4541" s="31">
        <v>0</v>
      </c>
      <c r="H4541" s="31">
        <v>0</v>
      </c>
      <c r="I4541" s="31">
        <v>0</v>
      </c>
      <c r="J4541" s="62">
        <f t="shared" si="32"/>
        <v>374.5</v>
      </c>
    </row>
    <row r="4542" spans="1:10" x14ac:dyDescent="0.25">
      <c r="A4542" s="67">
        <v>45716</v>
      </c>
      <c r="B4542" t="str">
        <f>IFERROR(IF(VLOOKUP(C4542,Hoja1!$B$1:$C$6191,2,0)="",_xlfn.XLOOKUP(C4542,Hoja1!$B$2:$B$6191,Hoja1!$A$2:$A$6191),VLOOKUP(C4542,Hoja1!$B$1:$C$6191,2,0)),"No esta en Infor")</f>
        <v>NAC1303</v>
      </c>
      <c r="C4542" s="3" t="s">
        <v>697</v>
      </c>
      <c r="D4542" s="31">
        <v>2550</v>
      </c>
      <c r="F4542" s="31">
        <v>224</v>
      </c>
      <c r="G4542" s="31">
        <v>0</v>
      </c>
      <c r="H4542" s="31">
        <v>0</v>
      </c>
      <c r="I4542" s="31">
        <v>0</v>
      </c>
      <c r="J4542" s="62">
        <f t="shared" si="32"/>
        <v>2774</v>
      </c>
    </row>
    <row r="4543" spans="1:10" x14ac:dyDescent="0.25">
      <c r="A4543" s="67">
        <v>45716</v>
      </c>
      <c r="B4543" t="str">
        <f>IFERROR(IF(VLOOKUP(C4543,Hoja1!$B$1:$C$6191,2,0)="",_xlfn.XLOOKUP(C4543,Hoja1!$B$2:$B$6191,Hoja1!$A$2:$A$6191),VLOOKUP(C4543,Hoja1!$B$1:$C$6191,2,0)),"No esta en Infor")</f>
        <v>NAC1018</v>
      </c>
      <c r="C4543" s="3" t="s">
        <v>463</v>
      </c>
      <c r="D4543" s="31">
        <v>1568</v>
      </c>
      <c r="F4543" s="31">
        <v>223.83</v>
      </c>
      <c r="G4543" s="31">
        <v>0</v>
      </c>
      <c r="H4543" s="31">
        <v>0</v>
      </c>
      <c r="I4543" s="31">
        <v>0</v>
      </c>
      <c r="J4543" s="62">
        <f t="shared" si="32"/>
        <v>1791.83</v>
      </c>
    </row>
    <row r="4544" spans="1:10" x14ac:dyDescent="0.25">
      <c r="A4544" s="67">
        <v>45716</v>
      </c>
      <c r="B4544" t="str">
        <f>IFERROR(IF(VLOOKUP(C4544,Hoja1!$B$1:$C$6191,2,0)="",_xlfn.XLOOKUP(C4544,Hoja1!$B$2:$B$6191,Hoja1!$A$2:$A$6191),VLOOKUP(C4544,Hoja1!$B$1:$C$6191,2,0)),"No esta en Infor")</f>
        <v>NAC1348</v>
      </c>
      <c r="C4544" s="3" t="s">
        <v>323</v>
      </c>
      <c r="D4544" s="31">
        <v>0</v>
      </c>
      <c r="F4544" s="31">
        <v>197.25</v>
      </c>
      <c r="G4544" s="31">
        <v>0</v>
      </c>
      <c r="H4544" s="31">
        <v>0</v>
      </c>
      <c r="I4544" s="31">
        <v>0</v>
      </c>
      <c r="J4544" s="62">
        <f t="shared" si="32"/>
        <v>197.25</v>
      </c>
    </row>
    <row r="4545" spans="1:10" x14ac:dyDescent="0.25">
      <c r="A4545" s="67">
        <v>45716</v>
      </c>
      <c r="B4545" t="str">
        <f>IFERROR(IF(VLOOKUP(C4545,Hoja1!$B$1:$C$6191,2,0)="",_xlfn.XLOOKUP(C4545,Hoja1!$B$2:$B$6191,Hoja1!$A$2:$A$6191),VLOOKUP(C4545,Hoja1!$B$1:$C$6191,2,0)),"No esta en Infor")</f>
        <v>NAC1158</v>
      </c>
      <c r="C4545" s="3" t="s">
        <v>272</v>
      </c>
      <c r="D4545" s="31">
        <v>48018.03</v>
      </c>
      <c r="F4545" s="31">
        <v>192</v>
      </c>
      <c r="G4545" s="31">
        <v>0</v>
      </c>
      <c r="H4545" s="31">
        <v>0</v>
      </c>
      <c r="I4545" s="31">
        <v>0</v>
      </c>
      <c r="J4545" s="62">
        <f t="shared" si="32"/>
        <v>48210.03</v>
      </c>
    </row>
    <row r="4546" spans="1:10" x14ac:dyDescent="0.25">
      <c r="A4546" s="67">
        <v>45716</v>
      </c>
      <c r="B4546" t="str">
        <f>IFERROR(IF(VLOOKUP(C4546,Hoja1!$B$1:$C$6191,2,0)="",_xlfn.XLOOKUP(C4546,Hoja1!$B$2:$B$6191,Hoja1!$A$2:$A$6191),VLOOKUP(C4546,Hoja1!$B$1:$C$6191,2,0)),"No esta en Infor")</f>
        <v>NAC1377</v>
      </c>
      <c r="C4546" s="3" t="s">
        <v>525</v>
      </c>
      <c r="D4546" s="31">
        <v>199.67</v>
      </c>
      <c r="F4546" s="31">
        <v>157</v>
      </c>
      <c r="G4546" s="31">
        <v>0</v>
      </c>
      <c r="H4546" s="31">
        <v>0</v>
      </c>
      <c r="I4546" s="31">
        <v>0</v>
      </c>
      <c r="J4546" s="62">
        <f t="shared" si="32"/>
        <v>356.66999999999996</v>
      </c>
    </row>
    <row r="4547" spans="1:10" x14ac:dyDescent="0.25">
      <c r="A4547" s="67">
        <v>45716</v>
      </c>
      <c r="B4547" t="str">
        <f>IFERROR(IF(VLOOKUP(C4547,Hoja1!$B$1:$C$6191,2,0)="",_xlfn.XLOOKUP(C4547,Hoja1!$B$2:$B$6191,Hoja1!$A$2:$A$6191),VLOOKUP(C4547,Hoja1!$B$1:$C$6191,2,0)),"No esta en Infor")</f>
        <v>NAC0825</v>
      </c>
      <c r="C4547" s="3" t="s">
        <v>179</v>
      </c>
      <c r="D4547" s="31">
        <v>12657.12</v>
      </c>
      <c r="F4547" s="31">
        <v>143.1</v>
      </c>
      <c r="G4547" s="31">
        <v>0</v>
      </c>
      <c r="H4547" s="31">
        <v>0</v>
      </c>
      <c r="I4547" s="31">
        <v>0</v>
      </c>
      <c r="J4547" s="62">
        <f t="shared" si="32"/>
        <v>12800.220000000001</v>
      </c>
    </row>
    <row r="4548" spans="1:10" x14ac:dyDescent="0.25">
      <c r="A4548" s="67">
        <v>45716</v>
      </c>
      <c r="B4548" t="str">
        <f>IFERROR(IF(VLOOKUP(C4548,Hoja1!$B$1:$C$6191,2,0)="",_xlfn.XLOOKUP(C4548,Hoja1!$B$2:$B$6191,Hoja1!$A$2:$A$6191),VLOOKUP(C4548,Hoja1!$B$1:$C$6191,2,0)),"No esta en Infor")</f>
        <v>NAC1209</v>
      </c>
      <c r="C4548" s="3" t="s">
        <v>753</v>
      </c>
      <c r="D4548" s="31">
        <v>0</v>
      </c>
      <c r="F4548" s="31">
        <v>137.5</v>
      </c>
      <c r="G4548" s="31">
        <v>0</v>
      </c>
      <c r="H4548" s="31">
        <v>0</v>
      </c>
      <c r="I4548" s="31">
        <v>0</v>
      </c>
      <c r="J4548" s="62">
        <f t="shared" si="32"/>
        <v>137.5</v>
      </c>
    </row>
    <row r="4549" spans="1:10" x14ac:dyDescent="0.25">
      <c r="A4549" s="67">
        <v>45716</v>
      </c>
      <c r="B4549" t="str">
        <f>IFERROR(IF(VLOOKUP(C4549,Hoja1!$B$1:$C$6191,2,0)="",_xlfn.XLOOKUP(C4549,Hoja1!$B$2:$B$6191,Hoja1!$A$2:$A$6191),VLOOKUP(C4549,Hoja1!$B$1:$C$6191,2,0)),"No esta en Infor")</f>
        <v>NAC1174</v>
      </c>
      <c r="C4549" s="3" t="s">
        <v>279</v>
      </c>
      <c r="D4549" s="31">
        <v>0</v>
      </c>
      <c r="F4549" s="31">
        <v>102.96</v>
      </c>
      <c r="G4549" s="31">
        <v>0</v>
      </c>
      <c r="H4549" s="31">
        <v>0</v>
      </c>
      <c r="I4549" s="31">
        <v>0</v>
      </c>
      <c r="J4549" s="62">
        <f t="shared" si="32"/>
        <v>102.96</v>
      </c>
    </row>
    <row r="4550" spans="1:10" x14ac:dyDescent="0.25">
      <c r="A4550" s="67">
        <v>45716</v>
      </c>
      <c r="B4550" t="str">
        <f>IFERROR(IF(VLOOKUP(C4550,Hoja1!$B$1:$C$6191,2,0)="",_xlfn.XLOOKUP(C4550,Hoja1!$B$2:$B$6191,Hoja1!$A$2:$A$6191),VLOOKUP(C4550,Hoja1!$B$1:$C$6191,2,0)),"No esta en Infor")</f>
        <v>NAC1231</v>
      </c>
      <c r="C4550" s="3" t="s">
        <v>290</v>
      </c>
      <c r="D4550" s="31">
        <v>39241.5</v>
      </c>
      <c r="F4550" s="31">
        <v>93.6</v>
      </c>
      <c r="G4550" s="31">
        <v>0</v>
      </c>
      <c r="H4550" s="31">
        <v>0</v>
      </c>
      <c r="I4550" s="31">
        <v>0</v>
      </c>
      <c r="J4550" s="62">
        <f t="shared" si="32"/>
        <v>39335.1</v>
      </c>
    </row>
    <row r="4551" spans="1:10" x14ac:dyDescent="0.25">
      <c r="A4551" s="67">
        <v>45716</v>
      </c>
      <c r="B4551" t="str">
        <f>IFERROR(IF(VLOOKUP(C4551,Hoja1!$B$1:$C$6191,2,0)="",_xlfn.XLOOKUP(C4551,Hoja1!$B$2:$B$6191,Hoja1!$A$2:$A$6191),VLOOKUP(C4551,Hoja1!$B$1:$C$6191,2,0)),"No esta en Infor")</f>
        <v>CAN0081</v>
      </c>
      <c r="C4551" s="3" t="s">
        <v>431</v>
      </c>
      <c r="D4551" s="31">
        <v>17042.509999999998</v>
      </c>
      <c r="F4551" s="31">
        <v>57.46</v>
      </c>
      <c r="G4551" s="31">
        <v>0</v>
      </c>
      <c r="H4551" s="31">
        <v>-585</v>
      </c>
      <c r="I4551" s="31">
        <v>0</v>
      </c>
      <c r="J4551" s="62">
        <f t="shared" si="32"/>
        <v>16514.969999999998</v>
      </c>
    </row>
    <row r="4552" spans="1:10" x14ac:dyDescent="0.25">
      <c r="A4552" s="67">
        <v>45716</v>
      </c>
      <c r="B4552" t="str">
        <f>IFERROR(IF(VLOOKUP(C4552,Hoja1!$B$1:$C$6191,2,0)="",_xlfn.XLOOKUP(C4552,Hoja1!$B$2:$B$6191,Hoja1!$A$2:$A$6191),VLOOKUP(C4552,Hoja1!$B$1:$C$6191,2,0)),"No esta en Infor")</f>
        <v>NAC0614</v>
      </c>
      <c r="C4552" s="3" t="s">
        <v>102</v>
      </c>
      <c r="D4552" s="31">
        <v>8045.81</v>
      </c>
      <c r="F4552" s="31">
        <v>29.44</v>
      </c>
      <c r="G4552" s="31">
        <v>0</v>
      </c>
      <c r="H4552" s="31">
        <v>0</v>
      </c>
      <c r="I4552" s="31">
        <v>0</v>
      </c>
      <c r="J4552" s="62">
        <f t="shared" si="32"/>
        <v>8075.25</v>
      </c>
    </row>
    <row r="4553" spans="1:10" x14ac:dyDescent="0.25">
      <c r="A4553" s="67">
        <v>45716</v>
      </c>
      <c r="B4553" t="str">
        <f>IFERROR(IF(VLOOKUP(C4553,Hoja1!$B$1:$C$6191,2,0)="",_xlfn.XLOOKUP(C4553,Hoja1!$B$2:$B$6191,Hoja1!$A$2:$A$6191),VLOOKUP(C4553,Hoja1!$B$1:$C$6191,2,0)),"No esta en Infor")</f>
        <v>NAC0456</v>
      </c>
      <c r="C4553" s="3" t="s">
        <v>10</v>
      </c>
      <c r="D4553" s="31">
        <v>166.08</v>
      </c>
      <c r="F4553" s="31">
        <v>18.11</v>
      </c>
      <c r="G4553" s="31">
        <v>-39.770000000000003</v>
      </c>
      <c r="H4553" s="31">
        <v>-42.12</v>
      </c>
      <c r="I4553" s="31">
        <v>0</v>
      </c>
      <c r="J4553" s="62">
        <f t="shared" si="32"/>
        <v>102.29999999999998</v>
      </c>
    </row>
    <row r="4554" spans="1:10" x14ac:dyDescent="0.25">
      <c r="A4554" s="67">
        <v>45716</v>
      </c>
      <c r="B4554" t="str">
        <f>IFERROR(IF(VLOOKUP(C4554,Hoja1!$B$1:$C$6191,2,0)="",_xlfn.XLOOKUP(C4554,Hoja1!$B$2:$B$6191,Hoja1!$A$2:$A$6191),VLOOKUP(C4554,Hoja1!$B$1:$C$6191,2,0)),"No esta en Infor")</f>
        <v>NAC0967</v>
      </c>
      <c r="C4554" s="3" t="s">
        <v>780</v>
      </c>
      <c r="D4554" s="31">
        <v>0</v>
      </c>
      <c r="F4554" s="31">
        <v>16.059999999999999</v>
      </c>
      <c r="G4554" s="31">
        <v>0</v>
      </c>
      <c r="H4554" s="31">
        <v>0</v>
      </c>
      <c r="I4554" s="31">
        <v>0</v>
      </c>
      <c r="J4554" s="62">
        <f t="shared" si="32"/>
        <v>16.059999999999999</v>
      </c>
    </row>
    <row r="4555" spans="1:10" x14ac:dyDescent="0.25">
      <c r="A4555" s="67">
        <v>45716</v>
      </c>
      <c r="B4555" t="str">
        <f>IFERROR(IF(VLOOKUP(C4555,Hoja1!$B$1:$C$6191,2,0)="",_xlfn.XLOOKUP(C4555,Hoja1!$B$2:$B$6191,Hoja1!$A$2:$A$6191),VLOOKUP(C4555,Hoja1!$B$1:$C$6191,2,0)),"No esta en Infor")</f>
        <v>NAC1000</v>
      </c>
      <c r="C4555" s="3" t="s">
        <v>405</v>
      </c>
      <c r="D4555" s="31">
        <v>794.58</v>
      </c>
      <c r="F4555" s="31">
        <v>10.56</v>
      </c>
      <c r="G4555" s="31">
        <v>0</v>
      </c>
      <c r="H4555" s="31">
        <v>0</v>
      </c>
      <c r="I4555" s="31">
        <v>0</v>
      </c>
      <c r="J4555" s="62">
        <f t="shared" si="32"/>
        <v>805.14</v>
      </c>
    </row>
    <row r="4556" spans="1:10" x14ac:dyDescent="0.25">
      <c r="A4556" s="67">
        <v>45716</v>
      </c>
      <c r="B4556" t="str">
        <f>IFERROR(IF(VLOOKUP(C4556,Hoja1!$B$1:$C$6191,2,0)="",_xlfn.XLOOKUP(C4556,Hoja1!$B$2:$B$6191,Hoja1!$A$2:$A$6191),VLOOKUP(C4556,Hoja1!$B$1:$C$6191,2,0)),"No esta en Infor")</f>
        <v>NAC0475</v>
      </c>
      <c r="C4556" s="3" t="s">
        <v>63</v>
      </c>
      <c r="D4556" s="31">
        <v>1541.77</v>
      </c>
      <c r="F4556" s="31">
        <v>0</v>
      </c>
      <c r="G4556" s="31">
        <v>0</v>
      </c>
      <c r="H4556" s="31">
        <v>0</v>
      </c>
      <c r="I4556" s="31">
        <v>0</v>
      </c>
      <c r="J4556" s="62">
        <f t="shared" si="32"/>
        <v>1541.77</v>
      </c>
    </row>
    <row r="4557" spans="1:10" x14ac:dyDescent="0.25">
      <c r="A4557" s="67">
        <v>45716</v>
      </c>
      <c r="B4557" t="str">
        <f>IFERROR(IF(VLOOKUP(C4557,Hoja1!$B$1:$C$6191,2,0)="",_xlfn.XLOOKUP(C4557,Hoja1!$B$2:$B$6191,Hoja1!$A$2:$A$6191),VLOOKUP(C4557,Hoja1!$B$1:$C$6191,2,0)),"No esta en Infor")</f>
        <v>CAN0001</v>
      </c>
      <c r="C4557" s="3" t="s">
        <v>64</v>
      </c>
      <c r="D4557" s="31">
        <v>84395.25</v>
      </c>
      <c r="F4557" s="31">
        <v>0</v>
      </c>
      <c r="G4557" s="31">
        <v>0</v>
      </c>
      <c r="H4557" s="31">
        <v>0</v>
      </c>
      <c r="I4557" s="31">
        <v>0</v>
      </c>
      <c r="J4557" s="62">
        <f t="shared" si="32"/>
        <v>84395.25</v>
      </c>
    </row>
    <row r="4558" spans="1:10" x14ac:dyDescent="0.25">
      <c r="A4558" s="67">
        <v>45716</v>
      </c>
      <c r="B4558" t="str">
        <f>IFERROR(IF(VLOOKUP(C4558,Hoja1!$B$1:$C$6191,2,0)="",_xlfn.XLOOKUP(C4558,Hoja1!$B$2:$B$6191,Hoja1!$A$2:$A$6191),VLOOKUP(C4558,Hoja1!$B$1:$C$6191,2,0)),"No esta en Infor")</f>
        <v>NAC0514</v>
      </c>
      <c r="C4558" s="3" t="s">
        <v>65</v>
      </c>
      <c r="D4558" s="31">
        <v>121.95</v>
      </c>
      <c r="F4558" s="31">
        <v>0</v>
      </c>
      <c r="G4558" s="31">
        <v>0</v>
      </c>
      <c r="H4558" s="31">
        <v>0</v>
      </c>
      <c r="I4558" s="31">
        <v>0</v>
      </c>
      <c r="J4558" s="62">
        <f t="shared" si="32"/>
        <v>121.95</v>
      </c>
    </row>
    <row r="4559" spans="1:10" x14ac:dyDescent="0.25">
      <c r="A4559" s="67">
        <v>45716</v>
      </c>
      <c r="B4559" t="str">
        <f>IFERROR(IF(VLOOKUP(C4559,Hoja1!$B$1:$C$6191,2,0)="",_xlfn.XLOOKUP(C4559,Hoja1!$B$2:$B$6191,Hoja1!$A$2:$A$6191),VLOOKUP(C4559,Hoja1!$B$1:$C$6191,2,0)),"No esta en Infor")</f>
        <v>NAC0515</v>
      </c>
      <c r="C4559" s="3" t="s">
        <v>66</v>
      </c>
      <c r="D4559" s="31">
        <v>212.68</v>
      </c>
      <c r="F4559" s="31">
        <v>0</v>
      </c>
      <c r="G4559" s="31">
        <v>0</v>
      </c>
      <c r="H4559" s="31">
        <v>0</v>
      </c>
      <c r="I4559" s="31">
        <v>0</v>
      </c>
      <c r="J4559" s="62">
        <f t="shared" si="32"/>
        <v>212.68</v>
      </c>
    </row>
    <row r="4560" spans="1:10" x14ac:dyDescent="0.25">
      <c r="A4560" s="67">
        <v>45716</v>
      </c>
      <c r="B4560" t="str">
        <f>IFERROR(IF(VLOOKUP(C4560,Hoja1!$B$1:$C$6191,2,0)="",_xlfn.XLOOKUP(C4560,Hoja1!$B$2:$B$6191,Hoja1!$A$2:$A$6191),VLOOKUP(C4560,Hoja1!$B$1:$C$6191,2,0)),"No esta en Infor")</f>
        <v>NAC1621</v>
      </c>
      <c r="C4560" s="3" t="s">
        <v>792</v>
      </c>
      <c r="D4560" s="31">
        <v>364</v>
      </c>
      <c r="F4560" s="31">
        <v>0</v>
      </c>
      <c r="G4560" s="31">
        <v>0</v>
      </c>
      <c r="H4560" s="31">
        <v>0</v>
      </c>
      <c r="I4560" s="31">
        <v>0</v>
      </c>
      <c r="J4560" s="62">
        <f t="shared" si="32"/>
        <v>364</v>
      </c>
    </row>
    <row r="4561" spans="1:10" x14ac:dyDescent="0.25">
      <c r="A4561" s="67">
        <v>45716</v>
      </c>
      <c r="B4561" t="str">
        <f>IFERROR(IF(VLOOKUP(C4561,Hoja1!$B$1:$C$6191,2,0)="",_xlfn.XLOOKUP(C4561,Hoja1!$B$2:$B$6191,Hoja1!$A$2:$A$6191),VLOOKUP(C4561,Hoja1!$B$1:$C$6191,2,0)),"No esta en Infor")</f>
        <v>NAC0520</v>
      </c>
      <c r="C4561" s="3" t="s">
        <v>68</v>
      </c>
      <c r="D4561" s="31">
        <v>37545.050000000003</v>
      </c>
      <c r="F4561" s="31">
        <v>-333</v>
      </c>
      <c r="G4561" s="31">
        <v>0</v>
      </c>
      <c r="H4561" s="31">
        <v>0</v>
      </c>
      <c r="I4561" s="31">
        <v>-406.93</v>
      </c>
      <c r="J4561" s="62">
        <f t="shared" si="32"/>
        <v>36805.120000000003</v>
      </c>
    </row>
    <row r="4562" spans="1:10" x14ac:dyDescent="0.25">
      <c r="A4562" s="67">
        <v>45716</v>
      </c>
      <c r="B4562" t="str">
        <f>IFERROR(IF(VLOOKUP(C4562,Hoja1!$B$1:$C$6191,2,0)="",_xlfn.XLOOKUP(C4562,Hoja1!$B$2:$B$6191,Hoja1!$A$2:$A$6191),VLOOKUP(C4562,Hoja1!$B$1:$C$6191,2,0)),"No esta en Infor")</f>
        <v>NAC1650</v>
      </c>
      <c r="C4562" s="3" t="s">
        <v>866</v>
      </c>
      <c r="D4562" s="31">
        <v>19586.47</v>
      </c>
      <c r="F4562" s="31">
        <v>0</v>
      </c>
      <c r="G4562" s="31">
        <v>0</v>
      </c>
      <c r="H4562" s="31">
        <v>0</v>
      </c>
      <c r="I4562" s="31">
        <v>0</v>
      </c>
      <c r="J4562" s="62">
        <f t="shared" si="32"/>
        <v>19586.47</v>
      </c>
    </row>
    <row r="4563" spans="1:10" x14ac:dyDescent="0.25">
      <c r="A4563" s="67">
        <v>45716</v>
      </c>
      <c r="B4563" t="str">
        <f>IFERROR(IF(VLOOKUP(C4563,Hoja1!$B$1:$C$6191,2,0)="",_xlfn.XLOOKUP(C4563,Hoja1!$B$2:$B$6191,Hoja1!$A$2:$A$6191),VLOOKUP(C4563,Hoja1!$B$1:$C$6191,2,0)),"No esta en Infor")</f>
        <v>NAC0525</v>
      </c>
      <c r="C4563" s="3" t="s">
        <v>71</v>
      </c>
      <c r="D4563" s="31">
        <v>12089.87</v>
      </c>
      <c r="F4563" s="31">
        <v>0</v>
      </c>
      <c r="G4563" s="31">
        <v>0</v>
      </c>
      <c r="H4563" s="31">
        <v>0</v>
      </c>
      <c r="I4563" s="31">
        <v>0</v>
      </c>
      <c r="J4563" s="62">
        <f t="shared" si="32"/>
        <v>12089.87</v>
      </c>
    </row>
    <row r="4564" spans="1:10" x14ac:dyDescent="0.25">
      <c r="A4564" s="67">
        <v>45716</v>
      </c>
      <c r="B4564" t="str">
        <f>IFERROR(IF(VLOOKUP(C4564,Hoja1!$B$1:$C$6191,2,0)="",_xlfn.XLOOKUP(C4564,Hoja1!$B$2:$B$6191,Hoja1!$A$2:$A$6191),VLOOKUP(C4564,Hoja1!$B$1:$C$6191,2,0)),"No esta en Infor")</f>
        <v>NAC0528</v>
      </c>
      <c r="C4564" s="3" t="s">
        <v>76</v>
      </c>
      <c r="D4564" s="31">
        <v>57390.15</v>
      </c>
      <c r="F4564" s="31">
        <v>0</v>
      </c>
      <c r="G4564" s="31">
        <v>0</v>
      </c>
      <c r="H4564" s="31">
        <v>0</v>
      </c>
      <c r="I4564" s="31">
        <v>0</v>
      </c>
      <c r="J4564" s="62">
        <f t="shared" si="32"/>
        <v>57390.15</v>
      </c>
    </row>
    <row r="4565" spans="1:10" x14ac:dyDescent="0.25">
      <c r="A4565" s="67">
        <v>45716</v>
      </c>
      <c r="B4565" t="str">
        <f>IFERROR(IF(VLOOKUP(C4565,Hoja1!$B$1:$C$6191,2,0)="",_xlfn.XLOOKUP(C4565,Hoja1!$B$2:$B$6191,Hoja1!$A$2:$A$6191),VLOOKUP(C4565,Hoja1!$B$1:$C$6191,2,0)),"No esta en Infor")</f>
        <v>NAC0532</v>
      </c>
      <c r="C4565" s="3" t="s">
        <v>612</v>
      </c>
      <c r="D4565" s="31">
        <v>663.05</v>
      </c>
      <c r="F4565" s="31">
        <v>0</v>
      </c>
      <c r="G4565" s="31">
        <v>-92.32</v>
      </c>
      <c r="H4565" s="31">
        <v>0</v>
      </c>
      <c r="I4565" s="31">
        <v>0</v>
      </c>
      <c r="J4565" s="62">
        <f t="shared" si="32"/>
        <v>570.73</v>
      </c>
    </row>
    <row r="4566" spans="1:10" x14ac:dyDescent="0.25">
      <c r="A4566" s="67">
        <v>45716</v>
      </c>
      <c r="B4566" t="str">
        <f>IFERROR(IF(VLOOKUP(C4566,Hoja1!$B$1:$C$6191,2,0)="",_xlfn.XLOOKUP(C4566,Hoja1!$B$2:$B$6191,Hoja1!$A$2:$A$6191),VLOOKUP(C4566,Hoja1!$B$1:$C$6191,2,0)),"No esta en Infor")</f>
        <v>NAC0534</v>
      </c>
      <c r="C4566" s="3" t="s">
        <v>78</v>
      </c>
      <c r="D4566" s="31">
        <v>13797.43</v>
      </c>
      <c r="F4566" s="31">
        <v>0</v>
      </c>
      <c r="G4566" s="31">
        <v>0</v>
      </c>
      <c r="H4566" s="31">
        <v>0</v>
      </c>
      <c r="I4566" s="31">
        <v>0</v>
      </c>
      <c r="J4566" s="62">
        <f t="shared" si="32"/>
        <v>13797.43</v>
      </c>
    </row>
    <row r="4567" spans="1:10" x14ac:dyDescent="0.25">
      <c r="A4567" s="67">
        <v>45716</v>
      </c>
      <c r="B4567" t="str">
        <f>IFERROR(IF(VLOOKUP(C4567,Hoja1!$B$1:$C$6191,2,0)="",_xlfn.XLOOKUP(C4567,Hoja1!$B$2:$B$6191,Hoja1!$A$2:$A$6191),VLOOKUP(C4567,Hoja1!$B$1:$C$6191,2,0)),"No esta en Infor")</f>
        <v>NAC0537</v>
      </c>
      <c r="C4567" s="3" t="s">
        <v>13</v>
      </c>
      <c r="D4567" s="31">
        <v>41722.22</v>
      </c>
      <c r="F4567" s="31">
        <v>0</v>
      </c>
      <c r="G4567" s="31">
        <v>0</v>
      </c>
      <c r="H4567" s="31">
        <v>0</v>
      </c>
      <c r="I4567" s="31">
        <v>0</v>
      </c>
      <c r="J4567" s="62">
        <f t="shared" si="32"/>
        <v>41722.22</v>
      </c>
    </row>
    <row r="4568" spans="1:10" x14ac:dyDescent="0.25">
      <c r="A4568" s="67">
        <v>45716</v>
      </c>
      <c r="B4568" t="str">
        <f>IFERROR(IF(VLOOKUP(C4568,Hoja1!$B$1:$C$6191,2,0)="",_xlfn.XLOOKUP(C4568,Hoja1!$B$2:$B$6191,Hoja1!$A$2:$A$6191),VLOOKUP(C4568,Hoja1!$B$1:$C$6191,2,0)),"No esta en Infor")</f>
        <v>NAC0539</v>
      </c>
      <c r="C4568" s="3" t="s">
        <v>80</v>
      </c>
      <c r="D4568" s="31">
        <v>4259.6899999999996</v>
      </c>
      <c r="F4568" s="31">
        <v>0</v>
      </c>
      <c r="G4568" s="31">
        <v>0</v>
      </c>
      <c r="H4568" s="31">
        <v>0</v>
      </c>
      <c r="I4568" s="31">
        <v>0</v>
      </c>
      <c r="J4568" s="62">
        <f t="shared" si="32"/>
        <v>4259.6899999999996</v>
      </c>
    </row>
    <row r="4569" spans="1:10" x14ac:dyDescent="0.25">
      <c r="A4569" s="67">
        <v>45716</v>
      </c>
      <c r="B4569" t="str">
        <f>IFERROR(IF(VLOOKUP(C4569,Hoja1!$B$1:$C$6191,2,0)="",_xlfn.XLOOKUP(C4569,Hoja1!$B$2:$B$6191,Hoja1!$A$2:$A$6191),VLOOKUP(C4569,Hoja1!$B$1:$C$6191,2,0)),"No esta en Infor")</f>
        <v>NAC0544</v>
      </c>
      <c r="C4569" s="3" t="s">
        <v>82</v>
      </c>
      <c r="D4569" s="31">
        <v>80</v>
      </c>
      <c r="F4569" s="31">
        <v>0</v>
      </c>
      <c r="G4569" s="31">
        <v>0</v>
      </c>
      <c r="H4569" s="31">
        <v>0</v>
      </c>
      <c r="I4569" s="31">
        <v>0</v>
      </c>
      <c r="J4569" s="62">
        <f t="shared" si="32"/>
        <v>80</v>
      </c>
    </row>
    <row r="4570" spans="1:10" x14ac:dyDescent="0.25">
      <c r="A4570" s="67">
        <v>45716</v>
      </c>
      <c r="B4570" t="str">
        <f>IFERROR(IF(VLOOKUP(C4570,Hoja1!$B$1:$C$6191,2,0)="",_xlfn.XLOOKUP(C4570,Hoja1!$B$2:$B$6191,Hoja1!$A$2:$A$6191),VLOOKUP(C4570,Hoja1!$B$1:$C$6191,2,0)),"No esta en Infor")</f>
        <v>NAC0546</v>
      </c>
      <c r="C4570" s="3" t="s">
        <v>83</v>
      </c>
      <c r="D4570" s="31">
        <v>4694.8</v>
      </c>
      <c r="F4570" s="31">
        <v>0</v>
      </c>
      <c r="G4570" s="31">
        <v>0</v>
      </c>
      <c r="H4570" s="31">
        <v>0</v>
      </c>
      <c r="I4570" s="31">
        <v>0</v>
      </c>
      <c r="J4570" s="62">
        <f t="shared" si="32"/>
        <v>4694.8</v>
      </c>
    </row>
    <row r="4571" spans="1:10" x14ac:dyDescent="0.25">
      <c r="A4571" s="67">
        <v>45716</v>
      </c>
      <c r="B4571" t="str">
        <f>IFERROR(IF(VLOOKUP(C4571,Hoja1!$B$1:$C$6191,2,0)="",_xlfn.XLOOKUP(C4571,Hoja1!$B$2:$B$6191,Hoja1!$A$2:$A$6191),VLOOKUP(C4571,Hoja1!$B$1:$C$6191,2,0)),"No esta en Infor")</f>
        <v>NAC0551</v>
      </c>
      <c r="C4571" s="3" t="s">
        <v>85</v>
      </c>
      <c r="D4571" s="31">
        <v>4716</v>
      </c>
      <c r="F4571" s="31">
        <v>0</v>
      </c>
      <c r="G4571" s="31">
        <v>0</v>
      </c>
      <c r="H4571" s="31">
        <v>0</v>
      </c>
      <c r="I4571" s="31">
        <v>0</v>
      </c>
      <c r="J4571" s="62">
        <f t="shared" si="32"/>
        <v>4716</v>
      </c>
    </row>
    <row r="4572" spans="1:10" x14ac:dyDescent="0.25">
      <c r="A4572" s="67">
        <v>45716</v>
      </c>
      <c r="B4572" t="str">
        <f>IFERROR(IF(VLOOKUP(C4572,Hoja1!$B$1:$C$6191,2,0)="",_xlfn.XLOOKUP(C4572,Hoja1!$B$2:$B$6191,Hoja1!$A$2:$A$6191),VLOOKUP(C4572,Hoja1!$B$1:$C$6191,2,0)),"No esta en Infor")</f>
        <v>CAN0002</v>
      </c>
      <c r="C4572" s="3" t="s">
        <v>87</v>
      </c>
      <c r="D4572" s="31">
        <v>14028.39</v>
      </c>
      <c r="F4572" s="31">
        <v>0</v>
      </c>
      <c r="G4572" s="31">
        <v>0</v>
      </c>
      <c r="H4572" s="31">
        <v>0</v>
      </c>
      <c r="I4572" s="31">
        <v>-554.47</v>
      </c>
      <c r="J4572" s="62">
        <f t="shared" si="32"/>
        <v>13473.92</v>
      </c>
    </row>
    <row r="4573" spans="1:10" x14ac:dyDescent="0.25">
      <c r="A4573" s="67">
        <v>45716</v>
      </c>
      <c r="B4573" t="str">
        <f>IFERROR(IF(VLOOKUP(C4573,Hoja1!$B$1:$C$6191,2,0)="",_xlfn.XLOOKUP(C4573,Hoja1!$B$2:$B$6191,Hoja1!$A$2:$A$6191),VLOOKUP(C4573,Hoja1!$B$1:$C$6191,2,0)),"No esta en Infor")</f>
        <v>NAC0563</v>
      </c>
      <c r="C4573" s="3" t="s">
        <v>1314</v>
      </c>
      <c r="D4573" s="31">
        <v>257.69</v>
      </c>
      <c r="F4573" s="31">
        <v>0</v>
      </c>
      <c r="G4573" s="31">
        <v>0</v>
      </c>
      <c r="H4573" s="31">
        <v>0</v>
      </c>
      <c r="I4573" s="31">
        <v>0</v>
      </c>
      <c r="J4573" s="62">
        <f t="shared" si="32"/>
        <v>257.69</v>
      </c>
    </row>
    <row r="4574" spans="1:10" x14ac:dyDescent="0.25">
      <c r="A4574" s="67">
        <v>45716</v>
      </c>
      <c r="B4574" t="str">
        <f>IFERROR(IF(VLOOKUP(C4574,Hoja1!$B$1:$C$6191,2,0)="",_xlfn.XLOOKUP(C4574,Hoja1!$B$2:$B$6191,Hoja1!$A$2:$A$6191),VLOOKUP(C4574,Hoja1!$B$1:$C$6191,2,0)),"No esta en Infor")</f>
        <v>CAN0003</v>
      </c>
      <c r="C4574" s="3" t="s">
        <v>441</v>
      </c>
      <c r="D4574" s="31">
        <v>3360</v>
      </c>
      <c r="F4574" s="31">
        <v>0</v>
      </c>
      <c r="G4574" s="31">
        <v>0</v>
      </c>
      <c r="H4574" s="31">
        <v>0</v>
      </c>
      <c r="I4574" s="31">
        <v>0</v>
      </c>
      <c r="J4574" s="62">
        <f t="shared" si="32"/>
        <v>3360</v>
      </c>
    </row>
    <row r="4575" spans="1:10" x14ac:dyDescent="0.25">
      <c r="A4575" s="67">
        <v>45716</v>
      </c>
      <c r="B4575" t="str">
        <f>IFERROR(IF(VLOOKUP(C4575,Hoja1!$B$1:$C$6191,2,0)="",_xlfn.XLOOKUP(C4575,Hoja1!$B$2:$B$6191,Hoja1!$A$2:$A$6191),VLOOKUP(C4575,Hoja1!$B$1:$C$6191,2,0)),"No esta en Infor")</f>
        <v>NAC1683</v>
      </c>
      <c r="C4575" s="3" t="s">
        <v>892</v>
      </c>
      <c r="D4575" s="31">
        <v>20</v>
      </c>
      <c r="F4575" s="31">
        <v>0</v>
      </c>
      <c r="G4575" s="31">
        <v>0</v>
      </c>
      <c r="H4575" s="31">
        <v>0</v>
      </c>
      <c r="I4575" s="31">
        <v>0</v>
      </c>
      <c r="J4575" s="62">
        <f t="shared" si="32"/>
        <v>20</v>
      </c>
    </row>
    <row r="4576" spans="1:10" x14ac:dyDescent="0.25">
      <c r="A4576" s="67">
        <v>45716</v>
      </c>
      <c r="B4576" t="str">
        <f>IFERROR(IF(VLOOKUP(C4576,Hoja1!$B$1:$C$6191,2,0)="",_xlfn.XLOOKUP(C4576,Hoja1!$B$2:$B$6191,Hoja1!$A$2:$A$6191),VLOOKUP(C4576,Hoja1!$B$1:$C$6191,2,0)),"No esta en Infor")</f>
        <v>CAN0005</v>
      </c>
      <c r="C4576" s="3" t="s">
        <v>90</v>
      </c>
      <c r="D4576" s="31">
        <v>379282.32</v>
      </c>
      <c r="F4576" s="31">
        <v>-1868.1</v>
      </c>
      <c r="G4576" s="31">
        <v>0</v>
      </c>
      <c r="H4576" s="31">
        <v>0</v>
      </c>
      <c r="I4576" s="31">
        <v>0</v>
      </c>
      <c r="J4576" s="62">
        <f t="shared" si="32"/>
        <v>377414.22000000003</v>
      </c>
    </row>
    <row r="4577" spans="1:10" x14ac:dyDescent="0.25">
      <c r="A4577" s="67">
        <v>45716</v>
      </c>
      <c r="B4577" t="str">
        <f>IFERROR(IF(VLOOKUP(C4577,Hoja1!$B$1:$C$6191,2,0)="",_xlfn.XLOOKUP(C4577,Hoja1!$B$2:$B$6191,Hoja1!$A$2:$A$6191),VLOOKUP(C4577,Hoja1!$B$1:$C$6191,2,0)),"No esta en Infor")</f>
        <v>NAC0586</v>
      </c>
      <c r="C4577" s="3" t="s">
        <v>893</v>
      </c>
      <c r="D4577" s="31">
        <v>3978</v>
      </c>
      <c r="F4577" s="31">
        <v>0</v>
      </c>
      <c r="G4577" s="31">
        <v>0</v>
      </c>
      <c r="H4577" s="31">
        <v>0</v>
      </c>
      <c r="I4577" s="31">
        <v>0</v>
      </c>
      <c r="J4577" s="62">
        <f t="shared" si="32"/>
        <v>3978</v>
      </c>
    </row>
    <row r="4578" spans="1:10" x14ac:dyDescent="0.25">
      <c r="A4578" s="67">
        <v>45716</v>
      </c>
      <c r="B4578" t="str">
        <f>IFERROR(IF(VLOOKUP(C4578,Hoja1!$B$1:$C$6191,2,0)="",_xlfn.XLOOKUP(C4578,Hoja1!$B$2:$B$6191,Hoja1!$A$2:$A$6191),VLOOKUP(C4578,Hoja1!$B$1:$C$6191,2,0)),"No esta en Infor")</f>
        <v>NAC0589</v>
      </c>
      <c r="C4578" s="3" t="s">
        <v>92</v>
      </c>
      <c r="D4578" s="31">
        <v>4710.6000000000004</v>
      </c>
      <c r="F4578" s="31">
        <v>0</v>
      </c>
      <c r="G4578" s="31">
        <v>0</v>
      </c>
      <c r="H4578" s="31">
        <v>0</v>
      </c>
      <c r="I4578" s="31">
        <v>0</v>
      </c>
      <c r="J4578" s="62">
        <f t="shared" si="32"/>
        <v>4710.6000000000004</v>
      </c>
    </row>
    <row r="4579" spans="1:10" x14ac:dyDescent="0.25">
      <c r="A4579" s="67">
        <v>45716</v>
      </c>
      <c r="B4579" t="str">
        <f>IFERROR(IF(VLOOKUP(C4579,Hoja1!$B$1:$C$6191,2,0)="",_xlfn.XLOOKUP(C4579,Hoja1!$B$2:$B$6191,Hoja1!$A$2:$A$6191),VLOOKUP(C4579,Hoja1!$B$1:$C$6191,2,0)),"No esta en Infor")</f>
        <v>NAC0593</v>
      </c>
      <c r="C4579" s="3" t="s">
        <v>894</v>
      </c>
      <c r="D4579" s="31">
        <v>580.66</v>
      </c>
      <c r="F4579" s="31">
        <v>0</v>
      </c>
      <c r="G4579" s="31">
        <v>0</v>
      </c>
      <c r="H4579" s="31">
        <v>0</v>
      </c>
      <c r="I4579" s="31">
        <v>0</v>
      </c>
      <c r="J4579" s="62">
        <f t="shared" si="32"/>
        <v>580.66</v>
      </c>
    </row>
    <row r="4580" spans="1:10" x14ac:dyDescent="0.25">
      <c r="A4580" s="67">
        <v>45716</v>
      </c>
      <c r="B4580" t="str">
        <f>IFERROR(IF(VLOOKUP(C4580,Hoja1!$B$1:$C$6191,2,0)="",_xlfn.XLOOKUP(C4580,Hoja1!$B$2:$B$6191,Hoja1!$A$2:$A$6191),VLOOKUP(C4580,Hoja1!$B$1:$C$6191,2,0)),"No esta en Infor")</f>
        <v>NAC0594</v>
      </c>
      <c r="C4580" s="3" t="s">
        <v>94</v>
      </c>
      <c r="D4580" s="31">
        <v>95241.22</v>
      </c>
      <c r="F4580" s="31">
        <v>0</v>
      </c>
      <c r="G4580" s="31">
        <v>0</v>
      </c>
      <c r="H4580" s="31">
        <v>0</v>
      </c>
      <c r="I4580" s="31">
        <v>0</v>
      </c>
      <c r="J4580" s="62">
        <f t="shared" si="32"/>
        <v>95241.22</v>
      </c>
    </row>
    <row r="4581" spans="1:10" x14ac:dyDescent="0.25">
      <c r="A4581" s="67">
        <v>45716</v>
      </c>
      <c r="B4581" t="str">
        <f>IFERROR(IF(VLOOKUP(C4581,Hoja1!$B$1:$C$6191,2,0)="",_xlfn.XLOOKUP(C4581,Hoja1!$B$2:$B$6191,Hoja1!$A$2:$A$6191),VLOOKUP(C4581,Hoja1!$B$1:$C$6191,2,0)),"No esta en Infor")</f>
        <v>NAC0600</v>
      </c>
      <c r="C4581" s="3" t="s">
        <v>96</v>
      </c>
      <c r="D4581" s="31">
        <v>163</v>
      </c>
      <c r="F4581" s="31">
        <v>0</v>
      </c>
      <c r="G4581" s="31">
        <v>0</v>
      </c>
      <c r="H4581" s="31">
        <v>0</v>
      </c>
      <c r="I4581" s="31">
        <v>0</v>
      </c>
      <c r="J4581" s="62">
        <f t="shared" si="32"/>
        <v>163</v>
      </c>
    </row>
    <row r="4582" spans="1:10" x14ac:dyDescent="0.25">
      <c r="A4582" s="67">
        <v>45716</v>
      </c>
      <c r="B4582" t="str">
        <f>IFERROR(IF(VLOOKUP(C4582,Hoja1!$B$1:$C$6191,2,0)="",_xlfn.XLOOKUP(C4582,Hoja1!$B$2:$B$6191,Hoja1!$A$2:$A$6191),VLOOKUP(C4582,Hoja1!$B$1:$C$6191,2,0)),"No esta en Infor")</f>
        <v>NAC0604</v>
      </c>
      <c r="C4582" s="3" t="s">
        <v>97</v>
      </c>
      <c r="D4582" s="31">
        <v>6235.45</v>
      </c>
      <c r="F4582" s="31">
        <v>0</v>
      </c>
      <c r="G4582" s="31">
        <v>0</v>
      </c>
      <c r="H4582" s="31">
        <v>0</v>
      </c>
      <c r="I4582" s="31">
        <v>0</v>
      </c>
      <c r="J4582" s="62">
        <f t="shared" si="32"/>
        <v>6235.45</v>
      </c>
    </row>
    <row r="4583" spans="1:10" x14ac:dyDescent="0.25">
      <c r="A4583" s="67">
        <v>45716</v>
      </c>
      <c r="B4583" t="str">
        <f>IFERROR(IF(VLOOKUP(C4583,Hoja1!$B$1:$C$6191,2,0)="",_xlfn.XLOOKUP(C4583,Hoja1!$B$2:$B$6191,Hoja1!$A$2:$A$6191),VLOOKUP(C4583,Hoja1!$B$1:$C$6191,2,0)),"No esta en Infor")</f>
        <v>NAC0607</v>
      </c>
      <c r="C4583" s="3" t="s">
        <v>99</v>
      </c>
      <c r="D4583" s="31">
        <v>2160</v>
      </c>
      <c r="F4583" s="31">
        <v>0</v>
      </c>
      <c r="G4583" s="31">
        <v>0</v>
      </c>
      <c r="H4583" s="31">
        <v>0</v>
      </c>
      <c r="I4583" s="31">
        <v>0</v>
      </c>
      <c r="J4583" s="62">
        <f t="shared" si="32"/>
        <v>2160</v>
      </c>
    </row>
    <row r="4584" spans="1:10" x14ac:dyDescent="0.25">
      <c r="A4584" s="67">
        <v>45716</v>
      </c>
      <c r="B4584" t="str">
        <f>IFERROR(IF(VLOOKUP(C4584,Hoja1!$B$1:$C$6191,2,0)="",_xlfn.XLOOKUP(C4584,Hoja1!$B$2:$B$6191,Hoja1!$A$2:$A$6191),VLOOKUP(C4584,Hoja1!$B$1:$C$6191,2,0)),"No esta en Infor")</f>
        <v>NAC0610</v>
      </c>
      <c r="C4584" s="3" t="s">
        <v>16</v>
      </c>
      <c r="D4584" s="31">
        <v>145872.76999999999</v>
      </c>
      <c r="F4584" s="31">
        <v>0</v>
      </c>
      <c r="G4584" s="31">
        <v>0</v>
      </c>
      <c r="H4584" s="31">
        <v>0</v>
      </c>
      <c r="I4584" s="31">
        <v>0</v>
      </c>
      <c r="J4584" s="62">
        <f t="shared" si="32"/>
        <v>145872.76999999999</v>
      </c>
    </row>
    <row r="4585" spans="1:10" x14ac:dyDescent="0.25">
      <c r="A4585" s="67">
        <v>45716</v>
      </c>
      <c r="B4585" t="str">
        <f>IFERROR(IF(VLOOKUP(C4585,Hoja1!$B$1:$C$6191,2,0)="",_xlfn.XLOOKUP(C4585,Hoja1!$B$2:$B$6191,Hoja1!$A$2:$A$6191),VLOOKUP(C4585,Hoja1!$B$1:$C$6191,2,0)),"No esta en Infor")</f>
        <v>NAC0612</v>
      </c>
      <c r="C4585" s="3" t="s">
        <v>100</v>
      </c>
      <c r="D4585" s="31">
        <v>35925.919999999998</v>
      </c>
      <c r="F4585" s="31">
        <v>0</v>
      </c>
      <c r="G4585" s="31">
        <v>0</v>
      </c>
      <c r="H4585" s="31">
        <v>0</v>
      </c>
      <c r="I4585" s="31">
        <v>0</v>
      </c>
      <c r="J4585" s="62">
        <f t="shared" si="32"/>
        <v>35925.919999999998</v>
      </c>
    </row>
    <row r="4586" spans="1:10" x14ac:dyDescent="0.25">
      <c r="A4586" s="67">
        <v>45716</v>
      </c>
      <c r="B4586" t="str">
        <f>IFERROR(IF(VLOOKUP(C4586,Hoja1!$B$1:$C$6191,2,0)="",_xlfn.XLOOKUP(C4586,Hoja1!$B$2:$B$6191,Hoja1!$A$2:$A$6191),VLOOKUP(C4586,Hoja1!$B$1:$C$6191,2,0)),"No esta en Infor")</f>
        <v>NAC0632</v>
      </c>
      <c r="C4586" s="3" t="s">
        <v>108</v>
      </c>
      <c r="D4586" s="31">
        <v>1233.6300000000001</v>
      </c>
      <c r="F4586" s="31">
        <v>0</v>
      </c>
      <c r="G4586" s="31">
        <v>0</v>
      </c>
      <c r="H4586" s="31">
        <v>0</v>
      </c>
      <c r="I4586" s="31">
        <v>0</v>
      </c>
      <c r="J4586" s="62">
        <f t="shared" si="32"/>
        <v>1233.6300000000001</v>
      </c>
    </row>
    <row r="4587" spans="1:10" x14ac:dyDescent="0.25">
      <c r="A4587" s="67">
        <v>45716</v>
      </c>
      <c r="B4587" t="str">
        <f>IFERROR(IF(VLOOKUP(C4587,Hoja1!$B$1:$C$6191,2,0)="",_xlfn.XLOOKUP(C4587,Hoja1!$B$2:$B$6191,Hoja1!$A$2:$A$6191),VLOOKUP(C4587,Hoja1!$B$1:$C$6191,2,0)),"No esta en Infor")</f>
        <v>NAC0633</v>
      </c>
      <c r="C4587" s="3" t="s">
        <v>595</v>
      </c>
      <c r="D4587" s="31">
        <v>36000</v>
      </c>
      <c r="F4587" s="31">
        <v>0</v>
      </c>
      <c r="G4587" s="31">
        <v>0</v>
      </c>
      <c r="H4587" s="31">
        <v>0</v>
      </c>
      <c r="I4587" s="31">
        <v>0</v>
      </c>
      <c r="J4587" s="62">
        <f t="shared" si="32"/>
        <v>36000</v>
      </c>
    </row>
    <row r="4588" spans="1:10" x14ac:dyDescent="0.25">
      <c r="A4588" s="67">
        <v>45716</v>
      </c>
      <c r="B4588" t="str">
        <f>IFERROR(IF(VLOOKUP(C4588,Hoja1!$B$1:$C$6191,2,0)="",_xlfn.XLOOKUP(C4588,Hoja1!$B$2:$B$6191,Hoja1!$A$2:$A$6191),VLOOKUP(C4588,Hoja1!$B$1:$C$6191,2,0)),"No esta en Infor")</f>
        <v>NAC0645</v>
      </c>
      <c r="C4588" s="3" t="s">
        <v>110</v>
      </c>
      <c r="D4588" s="31">
        <v>310.64999999999998</v>
      </c>
      <c r="F4588" s="31">
        <v>0</v>
      </c>
      <c r="G4588" s="31">
        <v>0</v>
      </c>
      <c r="H4588" s="31">
        <v>0</v>
      </c>
      <c r="I4588" s="31">
        <v>0</v>
      </c>
      <c r="J4588" s="62">
        <f t="shared" si="32"/>
        <v>310.64999999999998</v>
      </c>
    </row>
    <row r="4589" spans="1:10" x14ac:dyDescent="0.25">
      <c r="A4589" s="67">
        <v>45716</v>
      </c>
      <c r="B4589" t="str">
        <f>IFERROR(IF(VLOOKUP(C4589,Hoja1!$B$1:$C$6191,2,0)="",_xlfn.XLOOKUP(C4589,Hoja1!$B$2:$B$6191,Hoja1!$A$2:$A$6191),VLOOKUP(C4589,Hoja1!$B$1:$C$6191,2,0)),"No esta en Infor")</f>
        <v>NAC0646</v>
      </c>
      <c r="C4589" s="3" t="s">
        <v>112</v>
      </c>
      <c r="D4589" s="31">
        <v>525</v>
      </c>
      <c r="F4589" s="31">
        <v>0</v>
      </c>
      <c r="G4589" s="31">
        <v>0</v>
      </c>
      <c r="H4589" s="31">
        <v>0</v>
      </c>
      <c r="I4589" s="31">
        <v>0</v>
      </c>
      <c r="J4589" s="62">
        <f t="shared" si="32"/>
        <v>525</v>
      </c>
    </row>
    <row r="4590" spans="1:10" x14ac:dyDescent="0.25">
      <c r="A4590" s="67">
        <v>45716</v>
      </c>
      <c r="B4590" t="str">
        <f>IFERROR(IF(VLOOKUP(C4590,Hoja1!$B$1:$C$6191,2,0)="",_xlfn.XLOOKUP(C4590,Hoja1!$B$2:$B$6191,Hoja1!$A$2:$A$6191),VLOOKUP(C4590,Hoja1!$B$1:$C$6191,2,0)),"No esta en Infor")</f>
        <v>NAC0651</v>
      </c>
      <c r="C4590" s="3" t="s">
        <v>543</v>
      </c>
      <c r="D4590" s="31">
        <v>304.86</v>
      </c>
      <c r="F4590" s="31">
        <v>0</v>
      </c>
      <c r="G4590" s="31">
        <v>0</v>
      </c>
      <c r="H4590" s="31">
        <v>0</v>
      </c>
      <c r="I4590" s="31">
        <v>0</v>
      </c>
      <c r="J4590" s="62">
        <f t="shared" si="32"/>
        <v>304.86</v>
      </c>
    </row>
    <row r="4591" spans="1:10" x14ac:dyDescent="0.25">
      <c r="A4591" s="67">
        <v>45716</v>
      </c>
      <c r="B4591" t="str">
        <f>IFERROR(IF(VLOOKUP(C4591,Hoja1!$B$1:$C$6191,2,0)="",_xlfn.XLOOKUP(C4591,Hoja1!$B$2:$B$6191,Hoja1!$A$2:$A$6191),VLOOKUP(C4591,Hoja1!$B$1:$C$6191,2,0)),"No esta en Infor")</f>
        <v>NAC0652</v>
      </c>
      <c r="C4591" s="3" t="s">
        <v>113</v>
      </c>
      <c r="D4591" s="31">
        <v>124.88</v>
      </c>
      <c r="F4591" s="31">
        <v>0</v>
      </c>
      <c r="G4591" s="31">
        <v>0</v>
      </c>
      <c r="H4591" s="31">
        <v>0</v>
      </c>
      <c r="I4591" s="31">
        <v>0</v>
      </c>
      <c r="J4591" s="62">
        <f t="shared" si="32"/>
        <v>124.88</v>
      </c>
    </row>
    <row r="4592" spans="1:10" x14ac:dyDescent="0.25">
      <c r="A4592" s="67">
        <v>45716</v>
      </c>
      <c r="B4592" t="str">
        <f>IFERROR(IF(VLOOKUP(C4592,Hoja1!$B$1:$C$6191,2,0)="",_xlfn.XLOOKUP(C4592,Hoja1!$B$2:$B$6191,Hoja1!$A$2:$A$6191),VLOOKUP(C4592,Hoja1!$B$1:$C$6191,2,0)),"No esta en Infor")</f>
        <v>NAC0654</v>
      </c>
      <c r="C4592" s="3" t="s">
        <v>716</v>
      </c>
      <c r="D4592" s="31">
        <v>2551.63</v>
      </c>
      <c r="F4592" s="31">
        <v>0</v>
      </c>
      <c r="G4592" s="31">
        <v>0</v>
      </c>
      <c r="H4592" s="31">
        <v>0</v>
      </c>
      <c r="I4592" s="31">
        <v>0</v>
      </c>
      <c r="J4592" s="62">
        <f t="shared" si="32"/>
        <v>2551.63</v>
      </c>
    </row>
    <row r="4593" spans="1:10" x14ac:dyDescent="0.25">
      <c r="A4593" s="67">
        <v>45716</v>
      </c>
      <c r="B4593" t="str">
        <f>IFERROR(IF(VLOOKUP(C4593,Hoja1!$B$1:$C$6191,2,0)="",_xlfn.XLOOKUP(C4593,Hoja1!$B$2:$B$6191,Hoja1!$A$2:$A$6191),VLOOKUP(C4593,Hoja1!$B$1:$C$6191,2,0)),"No esta en Infor")</f>
        <v>NAC0657</v>
      </c>
      <c r="C4593" s="3" t="s">
        <v>114</v>
      </c>
      <c r="D4593" s="31">
        <v>4030</v>
      </c>
      <c r="F4593" s="31">
        <v>0</v>
      </c>
      <c r="G4593" s="31">
        <v>0</v>
      </c>
      <c r="H4593" s="31">
        <v>0</v>
      </c>
      <c r="I4593" s="31">
        <v>0</v>
      </c>
      <c r="J4593" s="62">
        <f t="shared" si="32"/>
        <v>4030</v>
      </c>
    </row>
    <row r="4594" spans="1:10" x14ac:dyDescent="0.25">
      <c r="A4594" s="67">
        <v>45716</v>
      </c>
      <c r="B4594" t="str">
        <f>IFERROR(IF(VLOOKUP(C4594,Hoja1!$B$1:$C$6191,2,0)="",_xlfn.XLOOKUP(C4594,Hoja1!$B$2:$B$6191,Hoja1!$A$2:$A$6191),VLOOKUP(C4594,Hoja1!$B$1:$C$6191,2,0)),"No esta en Infor")</f>
        <v>NAC0666</v>
      </c>
      <c r="C4594" s="3" t="s">
        <v>118</v>
      </c>
      <c r="D4594" s="31">
        <v>45875.74</v>
      </c>
      <c r="F4594" s="31">
        <v>-630</v>
      </c>
      <c r="G4594" s="31">
        <v>0</v>
      </c>
      <c r="H4594" s="31">
        <v>0</v>
      </c>
      <c r="I4594" s="31">
        <v>0</v>
      </c>
      <c r="J4594" s="62">
        <f t="shared" si="32"/>
        <v>45245.74</v>
      </c>
    </row>
    <row r="4595" spans="1:10" x14ac:dyDescent="0.25">
      <c r="A4595" s="67">
        <v>45716</v>
      </c>
      <c r="B4595" t="str">
        <f>IFERROR(IF(VLOOKUP(C4595,Hoja1!$B$1:$C$6191,2,0)="",_xlfn.XLOOKUP(C4595,Hoja1!$B$2:$B$6191,Hoja1!$A$2:$A$6191),VLOOKUP(C4595,Hoja1!$B$1:$C$6191,2,0)),"No esta en Infor")</f>
        <v>NAC0669</v>
      </c>
      <c r="C4595" s="3" t="s">
        <v>119</v>
      </c>
      <c r="D4595" s="31">
        <v>1508.7</v>
      </c>
      <c r="F4595" s="31">
        <v>0</v>
      </c>
      <c r="G4595" s="31">
        <v>0</v>
      </c>
      <c r="H4595" s="31">
        <v>0</v>
      </c>
      <c r="I4595" s="31">
        <v>0</v>
      </c>
      <c r="J4595" s="62">
        <f t="shared" si="32"/>
        <v>1508.7</v>
      </c>
    </row>
    <row r="4596" spans="1:10" x14ac:dyDescent="0.25">
      <c r="A4596" s="67">
        <v>45716</v>
      </c>
      <c r="B4596" t="str">
        <f>IFERROR(IF(VLOOKUP(C4596,Hoja1!$B$1:$C$6191,2,0)="",_xlfn.XLOOKUP(C4596,Hoja1!$B$2:$B$6191,Hoja1!$A$2:$A$6191),VLOOKUP(C4596,Hoja1!$B$1:$C$6191,2,0)),"No esta en Infor")</f>
        <v>NAC0673</v>
      </c>
      <c r="C4596" s="3" t="s">
        <v>390</v>
      </c>
      <c r="D4596" s="31">
        <v>982.62</v>
      </c>
      <c r="F4596" s="31">
        <v>0</v>
      </c>
      <c r="G4596" s="31">
        <v>0</v>
      </c>
      <c r="H4596" s="31">
        <v>0</v>
      </c>
      <c r="I4596" s="31">
        <v>0</v>
      </c>
      <c r="J4596" s="62">
        <f t="shared" si="32"/>
        <v>982.62</v>
      </c>
    </row>
    <row r="4597" spans="1:10" x14ac:dyDescent="0.25">
      <c r="A4597" s="67">
        <v>45716</v>
      </c>
      <c r="B4597" t="str">
        <f>IFERROR(IF(VLOOKUP(C4597,Hoja1!$B$1:$C$6191,2,0)="",_xlfn.XLOOKUP(C4597,Hoja1!$B$2:$B$6191,Hoja1!$A$2:$A$6191),VLOOKUP(C4597,Hoja1!$B$1:$C$6191,2,0)),"No esta en Infor")</f>
        <v>NAC0675</v>
      </c>
      <c r="C4597" s="3" t="s">
        <v>124</v>
      </c>
      <c r="D4597" s="31">
        <v>12660.86</v>
      </c>
      <c r="F4597" s="31">
        <v>0</v>
      </c>
      <c r="G4597" s="31">
        <v>0</v>
      </c>
      <c r="H4597" s="31">
        <v>0</v>
      </c>
      <c r="I4597" s="31">
        <v>0</v>
      </c>
      <c r="J4597" s="62">
        <f t="shared" si="32"/>
        <v>12660.86</v>
      </c>
    </row>
    <row r="4598" spans="1:10" x14ac:dyDescent="0.25">
      <c r="A4598" s="67">
        <v>45716</v>
      </c>
      <c r="B4598" t="str">
        <f>IFERROR(IF(VLOOKUP(C4598,Hoja1!$B$1:$C$6191,2,0)="",_xlfn.XLOOKUP(C4598,Hoja1!$B$2:$B$6191,Hoja1!$A$2:$A$6191),VLOOKUP(C4598,Hoja1!$B$1:$C$6191,2,0)),"No esta en Infor")</f>
        <v>NAC0693</v>
      </c>
      <c r="C4598" s="3" t="s">
        <v>545</v>
      </c>
      <c r="D4598" s="31">
        <v>994.7</v>
      </c>
      <c r="F4598" s="31">
        <v>0</v>
      </c>
      <c r="G4598" s="31">
        <v>0</v>
      </c>
      <c r="H4598" s="31">
        <v>0</v>
      </c>
      <c r="I4598" s="31">
        <v>0</v>
      </c>
      <c r="J4598" s="62">
        <f t="shared" si="32"/>
        <v>994.7</v>
      </c>
    </row>
    <row r="4599" spans="1:10" x14ac:dyDescent="0.25">
      <c r="A4599" s="67">
        <v>45716</v>
      </c>
      <c r="B4599" t="str">
        <f>IFERROR(IF(VLOOKUP(C4599,Hoja1!$B$1:$C$6191,2,0)="",_xlfn.XLOOKUP(C4599,Hoja1!$B$2:$B$6191,Hoja1!$A$2:$A$6191),VLOOKUP(C4599,Hoja1!$B$1:$C$6191,2,0)),"No esta en Infor")</f>
        <v>NAC0704</v>
      </c>
      <c r="C4599" s="3" t="s">
        <v>138</v>
      </c>
      <c r="D4599" s="31">
        <v>7857</v>
      </c>
      <c r="F4599" s="31">
        <v>0</v>
      </c>
      <c r="G4599" s="31">
        <v>0</v>
      </c>
      <c r="H4599" s="31">
        <v>0</v>
      </c>
      <c r="I4599" s="31">
        <v>0</v>
      </c>
      <c r="J4599" s="62">
        <f t="shared" ref="J4599:J4662" si="33">SUM(D4599:I4599)</f>
        <v>7857</v>
      </c>
    </row>
    <row r="4600" spans="1:10" x14ac:dyDescent="0.25">
      <c r="A4600" s="67">
        <v>45716</v>
      </c>
      <c r="B4600" t="str">
        <f>IFERROR(IF(VLOOKUP(C4600,Hoja1!$B$1:$C$6191,2,0)="",_xlfn.XLOOKUP(C4600,Hoja1!$B$2:$B$6191,Hoja1!$A$2:$A$6191),VLOOKUP(C4600,Hoja1!$B$1:$C$6191,2,0)),"No esta en Infor")</f>
        <v>NAC0710</v>
      </c>
      <c r="C4600" s="3" t="s">
        <v>140</v>
      </c>
      <c r="D4600" s="31">
        <v>2193</v>
      </c>
      <c r="F4600" s="31">
        <v>-784</v>
      </c>
      <c r="G4600" s="31">
        <v>0</v>
      </c>
      <c r="H4600" s="31">
        <v>0</v>
      </c>
      <c r="I4600" s="31">
        <v>0</v>
      </c>
      <c r="J4600" s="62">
        <f t="shared" si="33"/>
        <v>1409</v>
      </c>
    </row>
    <row r="4601" spans="1:10" x14ac:dyDescent="0.25">
      <c r="A4601" s="67">
        <v>45716</v>
      </c>
      <c r="B4601" t="str">
        <f>IFERROR(IF(VLOOKUP(C4601,Hoja1!$B$1:$C$6191,2,0)="",_xlfn.XLOOKUP(C4601,Hoja1!$B$2:$B$6191,Hoja1!$A$2:$A$6191),VLOOKUP(C4601,Hoja1!$B$1:$C$6191,2,0)),"No esta en Infor")</f>
        <v>CAN0014</v>
      </c>
      <c r="C4601" s="3" t="s">
        <v>141</v>
      </c>
      <c r="D4601" s="31">
        <v>18285.23</v>
      </c>
      <c r="F4601" s="31">
        <v>0</v>
      </c>
      <c r="G4601" s="31">
        <v>0</v>
      </c>
      <c r="H4601" s="31">
        <v>0</v>
      </c>
      <c r="I4601" s="31">
        <v>0</v>
      </c>
      <c r="J4601" s="62">
        <f t="shared" si="33"/>
        <v>18285.23</v>
      </c>
    </row>
    <row r="4602" spans="1:10" x14ac:dyDescent="0.25">
      <c r="A4602" s="67">
        <v>45716</v>
      </c>
      <c r="B4602" t="str">
        <f>IFERROR(IF(VLOOKUP(C4602,Hoja1!$B$1:$C$6191,2,0)="",_xlfn.XLOOKUP(C4602,Hoja1!$B$2:$B$6191,Hoja1!$A$2:$A$6191),VLOOKUP(C4602,Hoja1!$B$1:$C$6191,2,0)),"No esta en Infor")</f>
        <v>NAC0760</v>
      </c>
      <c r="C4602" s="3" t="s">
        <v>907</v>
      </c>
      <c r="D4602" s="31">
        <v>3246.29</v>
      </c>
      <c r="F4602" s="31">
        <v>0</v>
      </c>
      <c r="G4602" s="31">
        <v>0</v>
      </c>
      <c r="H4602" s="31">
        <v>0</v>
      </c>
      <c r="I4602" s="31">
        <v>0</v>
      </c>
      <c r="J4602" s="62">
        <f t="shared" si="33"/>
        <v>3246.29</v>
      </c>
    </row>
    <row r="4603" spans="1:10" x14ac:dyDescent="0.25">
      <c r="A4603" s="67">
        <v>45716</v>
      </c>
      <c r="B4603" t="str">
        <f>IFERROR(IF(VLOOKUP(C4603,Hoja1!$B$1:$C$6191,2,0)="",_xlfn.XLOOKUP(C4603,Hoja1!$B$2:$B$6191,Hoja1!$A$2:$A$6191),VLOOKUP(C4603,Hoja1!$B$1:$C$6191,2,0)),"No esta en Infor")</f>
        <v>NAC0767</v>
      </c>
      <c r="C4603" s="3" t="s">
        <v>155</v>
      </c>
      <c r="D4603" s="31">
        <v>443227.56</v>
      </c>
      <c r="F4603" s="31">
        <v>0</v>
      </c>
      <c r="G4603" s="31">
        <v>-6341</v>
      </c>
      <c r="H4603" s="31">
        <v>-4416</v>
      </c>
      <c r="I4603" s="31">
        <v>-20987.9</v>
      </c>
      <c r="J4603" s="62">
        <f t="shared" si="33"/>
        <v>411482.66</v>
      </c>
    </row>
    <row r="4604" spans="1:10" x14ac:dyDescent="0.25">
      <c r="A4604" s="67">
        <v>45716</v>
      </c>
      <c r="B4604" t="str">
        <f>IFERROR(IF(VLOOKUP(C4604,Hoja1!$B$1:$C$6191,2,0)="",_xlfn.XLOOKUP(C4604,Hoja1!$B$2:$B$6191,Hoja1!$A$2:$A$6191),VLOOKUP(C4604,Hoja1!$B$1:$C$6191,2,0)),"No esta en Infor")</f>
        <v>NAC0769</v>
      </c>
      <c r="C4604" s="3" t="s">
        <v>156</v>
      </c>
      <c r="D4604" s="31">
        <v>13108</v>
      </c>
      <c r="F4604" s="31">
        <v>0</v>
      </c>
      <c r="G4604" s="31">
        <v>0</v>
      </c>
      <c r="H4604" s="31">
        <v>-297.89</v>
      </c>
      <c r="I4604" s="31">
        <v>0</v>
      </c>
      <c r="J4604" s="62">
        <f t="shared" si="33"/>
        <v>12810.11</v>
      </c>
    </row>
    <row r="4605" spans="1:10" x14ac:dyDescent="0.25">
      <c r="A4605" s="67">
        <v>45716</v>
      </c>
      <c r="B4605" t="str">
        <f>IFERROR(IF(VLOOKUP(C4605,Hoja1!$B$1:$C$6191,2,0)="",_xlfn.XLOOKUP(C4605,Hoja1!$B$2:$B$6191,Hoja1!$A$2:$A$6191),VLOOKUP(C4605,Hoja1!$B$1:$C$6191,2,0)),"No esta en Infor")</f>
        <v>NAC0773</v>
      </c>
      <c r="C4605" s="3" t="s">
        <v>157</v>
      </c>
      <c r="D4605" s="31">
        <v>130.97</v>
      </c>
      <c r="F4605" s="31">
        <v>0</v>
      </c>
      <c r="G4605" s="31">
        <v>0</v>
      </c>
      <c r="H4605" s="31">
        <v>0</v>
      </c>
      <c r="I4605" s="31">
        <v>0</v>
      </c>
      <c r="J4605" s="62">
        <f t="shared" si="33"/>
        <v>130.97</v>
      </c>
    </row>
    <row r="4606" spans="1:10" x14ac:dyDescent="0.25">
      <c r="A4606" s="67">
        <v>45716</v>
      </c>
      <c r="B4606" t="str">
        <f>IFERROR(IF(VLOOKUP(C4606,Hoja1!$B$1:$C$6191,2,0)="",_xlfn.XLOOKUP(C4606,Hoja1!$B$2:$B$6191,Hoja1!$A$2:$A$6191),VLOOKUP(C4606,Hoja1!$B$1:$C$6191,2,0)),"No esta en Infor")</f>
        <v>NAC0778</v>
      </c>
      <c r="C4606" s="3" t="s">
        <v>159</v>
      </c>
      <c r="D4606" s="31">
        <v>2110.69</v>
      </c>
      <c r="F4606" s="31">
        <v>0</v>
      </c>
      <c r="G4606" s="31">
        <v>0</v>
      </c>
      <c r="H4606" s="31">
        <v>0</v>
      </c>
      <c r="I4606" s="31">
        <v>-781.38</v>
      </c>
      <c r="J4606" s="62">
        <f t="shared" si="33"/>
        <v>1329.31</v>
      </c>
    </row>
    <row r="4607" spans="1:10" x14ac:dyDescent="0.25">
      <c r="A4607" s="67">
        <v>45716</v>
      </c>
      <c r="B4607" t="str">
        <f>IFERROR(IF(VLOOKUP(C4607,Hoja1!$B$1:$C$6191,2,0)="",_xlfn.XLOOKUP(C4607,Hoja1!$B$2:$B$6191,Hoja1!$A$2:$A$6191),VLOOKUP(C4607,Hoja1!$B$1:$C$6191,2,0)),"No esta en Infor")</f>
        <v>NAC0779</v>
      </c>
      <c r="C4607" s="3" t="s">
        <v>160</v>
      </c>
      <c r="D4607" s="31">
        <v>1452</v>
      </c>
      <c r="F4607" s="31">
        <v>0</v>
      </c>
      <c r="G4607" s="31">
        <v>0</v>
      </c>
      <c r="H4607" s="31">
        <v>0</v>
      </c>
      <c r="I4607" s="31">
        <v>0</v>
      </c>
      <c r="J4607" s="62">
        <f t="shared" si="33"/>
        <v>1452</v>
      </c>
    </row>
    <row r="4608" spans="1:10" x14ac:dyDescent="0.25">
      <c r="A4608" s="67">
        <v>45716</v>
      </c>
      <c r="B4608" t="str">
        <f>IFERROR(IF(VLOOKUP(C4608,Hoja1!$B$1:$C$6191,2,0)="",_xlfn.XLOOKUP(C4608,Hoja1!$B$2:$B$6191,Hoja1!$A$2:$A$6191),VLOOKUP(C4608,Hoja1!$B$1:$C$6191,2,0)),"No esta en Infor")</f>
        <v>NAC0780</v>
      </c>
      <c r="C4608" s="3" t="s">
        <v>161</v>
      </c>
      <c r="D4608" s="31">
        <v>190</v>
      </c>
      <c r="F4608" s="31">
        <v>0</v>
      </c>
      <c r="G4608" s="31">
        <v>0</v>
      </c>
      <c r="H4608" s="31">
        <v>0</v>
      </c>
      <c r="I4608" s="31">
        <v>0</v>
      </c>
      <c r="J4608" s="62">
        <f t="shared" si="33"/>
        <v>190</v>
      </c>
    </row>
    <row r="4609" spans="1:10" x14ac:dyDescent="0.25">
      <c r="A4609" s="67">
        <v>45716</v>
      </c>
      <c r="B4609" t="str">
        <f>IFERROR(IF(VLOOKUP(C4609,Hoja1!$B$1:$C$6191,2,0)="",_xlfn.XLOOKUP(C4609,Hoja1!$B$2:$B$6191,Hoja1!$A$2:$A$6191),VLOOKUP(C4609,Hoja1!$B$1:$C$6191,2,0)),"No esta en Infor")</f>
        <v>NAC0781</v>
      </c>
      <c r="C4609" s="3" t="s">
        <v>162</v>
      </c>
      <c r="D4609" s="31">
        <v>1626</v>
      </c>
      <c r="F4609" s="31">
        <v>0</v>
      </c>
      <c r="G4609" s="31">
        <v>0</v>
      </c>
      <c r="H4609" s="31">
        <v>0</v>
      </c>
      <c r="I4609" s="31">
        <v>-730</v>
      </c>
      <c r="J4609" s="62">
        <f t="shared" si="33"/>
        <v>896</v>
      </c>
    </row>
    <row r="4610" spans="1:10" x14ac:dyDescent="0.25">
      <c r="A4610" s="67">
        <v>45716</v>
      </c>
      <c r="B4610" t="str">
        <f>IFERROR(IF(VLOOKUP(C4610,Hoja1!$B$1:$C$6191,2,0)="",_xlfn.XLOOKUP(C4610,Hoja1!$B$2:$B$6191,Hoja1!$A$2:$A$6191),VLOOKUP(C4610,Hoja1!$B$1:$C$6191,2,0)),"No esta en Infor")</f>
        <v>NAC0788</v>
      </c>
      <c r="C4610" s="3" t="s">
        <v>163</v>
      </c>
      <c r="D4610" s="31">
        <v>435.88</v>
      </c>
      <c r="F4610" s="31">
        <v>0</v>
      </c>
      <c r="G4610" s="31">
        <v>0</v>
      </c>
      <c r="H4610" s="31">
        <v>0</v>
      </c>
      <c r="I4610" s="31">
        <v>0</v>
      </c>
      <c r="J4610" s="62">
        <f t="shared" si="33"/>
        <v>435.88</v>
      </c>
    </row>
    <row r="4611" spans="1:10" x14ac:dyDescent="0.25">
      <c r="A4611" s="67">
        <v>45716</v>
      </c>
      <c r="B4611" t="str">
        <f>IFERROR(IF(VLOOKUP(C4611,Hoja1!$B$1:$C$6191,2,0)="",_xlfn.XLOOKUP(C4611,Hoja1!$B$2:$B$6191,Hoja1!$A$2:$A$6191),VLOOKUP(C4611,Hoja1!$B$1:$C$6191,2,0)),"No esta en Infor")</f>
        <v>NAC0792</v>
      </c>
      <c r="C4611" s="3" t="s">
        <v>164</v>
      </c>
      <c r="D4611" s="31">
        <v>104387.98</v>
      </c>
      <c r="F4611" s="31">
        <v>0</v>
      </c>
      <c r="G4611" s="31">
        <v>0</v>
      </c>
      <c r="H4611" s="31">
        <v>0</v>
      </c>
      <c r="I4611" s="31">
        <v>0</v>
      </c>
      <c r="J4611" s="62">
        <f t="shared" si="33"/>
        <v>104387.98</v>
      </c>
    </row>
    <row r="4612" spans="1:10" x14ac:dyDescent="0.25">
      <c r="A4612" s="67">
        <v>45716</v>
      </c>
      <c r="B4612" t="str">
        <f>IFERROR(IF(VLOOKUP(C4612,Hoja1!$B$1:$C$6191,2,0)="",_xlfn.XLOOKUP(C4612,Hoja1!$B$2:$B$6191,Hoja1!$A$2:$A$6191),VLOOKUP(C4612,Hoja1!$B$1:$C$6191,2,0)),"No esta en Infor")</f>
        <v>NAC0798</v>
      </c>
      <c r="C4612" s="3" t="s">
        <v>167</v>
      </c>
      <c r="D4612" s="31">
        <v>19472.599999999999</v>
      </c>
      <c r="F4612" s="31">
        <v>0</v>
      </c>
      <c r="G4612" s="31">
        <v>0</v>
      </c>
      <c r="H4612" s="31">
        <v>0</v>
      </c>
      <c r="I4612" s="31">
        <v>0</v>
      </c>
      <c r="J4612" s="62">
        <f t="shared" si="33"/>
        <v>19472.599999999999</v>
      </c>
    </row>
    <row r="4613" spans="1:10" x14ac:dyDescent="0.25">
      <c r="A4613" s="67">
        <v>45716</v>
      </c>
      <c r="B4613" t="str">
        <f>IFERROR(IF(VLOOKUP(C4613,Hoja1!$B$1:$C$6191,2,0)="",_xlfn.XLOOKUP(C4613,Hoja1!$B$2:$B$6191,Hoja1!$A$2:$A$6191),VLOOKUP(C4613,Hoja1!$B$1:$C$6191,2,0)),"No esta en Infor")</f>
        <v>NAC0801</v>
      </c>
      <c r="C4613" s="3" t="s">
        <v>168</v>
      </c>
      <c r="D4613" s="31">
        <v>675</v>
      </c>
      <c r="F4613" s="31">
        <v>0</v>
      </c>
      <c r="G4613" s="31">
        <v>0</v>
      </c>
      <c r="H4613" s="31">
        <v>0</v>
      </c>
      <c r="I4613" s="31">
        <v>0</v>
      </c>
      <c r="J4613" s="62">
        <f t="shared" si="33"/>
        <v>675</v>
      </c>
    </row>
    <row r="4614" spans="1:10" x14ac:dyDescent="0.25">
      <c r="A4614" s="67">
        <v>45716</v>
      </c>
      <c r="B4614" t="str">
        <f>IFERROR(IF(VLOOKUP(C4614,Hoja1!$B$1:$C$6191,2,0)="",_xlfn.XLOOKUP(C4614,Hoja1!$B$2:$B$6191,Hoja1!$A$2:$A$6191),VLOOKUP(C4614,Hoja1!$B$1:$C$6191,2,0)),"No esta en Infor")</f>
        <v>NAC0804</v>
      </c>
      <c r="C4614" s="3" t="s">
        <v>169</v>
      </c>
      <c r="D4614" s="31">
        <v>6536.01</v>
      </c>
      <c r="F4614" s="31">
        <v>0</v>
      </c>
      <c r="G4614" s="31">
        <v>0</v>
      </c>
      <c r="H4614" s="31">
        <v>0</v>
      </c>
      <c r="I4614" s="31">
        <v>0</v>
      </c>
      <c r="J4614" s="62">
        <f t="shared" si="33"/>
        <v>6536.01</v>
      </c>
    </row>
    <row r="4615" spans="1:10" x14ac:dyDescent="0.25">
      <c r="A4615" s="67">
        <v>45716</v>
      </c>
      <c r="B4615" t="str">
        <f>IFERROR(IF(VLOOKUP(C4615,Hoja1!$B$1:$C$6191,2,0)="",_xlfn.XLOOKUP(C4615,Hoja1!$B$2:$B$6191,Hoja1!$A$2:$A$6191),VLOOKUP(C4615,Hoja1!$B$1:$C$6191,2,0)),"No esta en Infor")</f>
        <v>NAC0807</v>
      </c>
      <c r="C4615" s="3" t="s">
        <v>875</v>
      </c>
      <c r="D4615" s="31">
        <v>2800.68</v>
      </c>
      <c r="F4615" s="31">
        <v>0</v>
      </c>
      <c r="G4615" s="31">
        <v>0</v>
      </c>
      <c r="H4615" s="31">
        <v>0</v>
      </c>
      <c r="I4615" s="31">
        <v>0</v>
      </c>
      <c r="J4615" s="62">
        <f t="shared" si="33"/>
        <v>2800.68</v>
      </c>
    </row>
    <row r="4616" spans="1:10" x14ac:dyDescent="0.25">
      <c r="A4616" s="67">
        <v>45716</v>
      </c>
      <c r="B4616" t="str">
        <f>IFERROR(IF(VLOOKUP(C4616,Hoja1!$B$1:$C$6191,2,0)="",_xlfn.XLOOKUP(C4616,Hoja1!$B$2:$B$6191,Hoja1!$A$2:$A$6191),VLOOKUP(C4616,Hoja1!$B$1:$C$6191,2,0)),"No esta en Infor")</f>
        <v>CAN0019</v>
      </c>
      <c r="C4616" s="3" t="s">
        <v>172</v>
      </c>
      <c r="D4616" s="31">
        <v>38002.559999999998</v>
      </c>
      <c r="F4616" s="31">
        <v>0</v>
      </c>
      <c r="G4616" s="31">
        <v>0</v>
      </c>
      <c r="H4616" s="31">
        <v>0</v>
      </c>
      <c r="I4616" s="31">
        <v>0</v>
      </c>
      <c r="J4616" s="62">
        <f t="shared" si="33"/>
        <v>38002.559999999998</v>
      </c>
    </row>
    <row r="4617" spans="1:10" x14ac:dyDescent="0.25">
      <c r="A4617" s="67">
        <v>45716</v>
      </c>
      <c r="B4617" t="str">
        <f>IFERROR(IF(VLOOKUP(C4617,Hoja1!$B$1:$C$6191,2,0)="",_xlfn.XLOOKUP(C4617,Hoja1!$B$2:$B$6191,Hoja1!$A$2:$A$6191),VLOOKUP(C4617,Hoja1!$B$1:$C$6191,2,0)),"No esta en Infor")</f>
        <v>NAC0814</v>
      </c>
      <c r="C4617" s="3" t="s">
        <v>175</v>
      </c>
      <c r="D4617" s="31">
        <v>26100</v>
      </c>
      <c r="F4617" s="31">
        <v>0</v>
      </c>
      <c r="G4617" s="31">
        <v>0</v>
      </c>
      <c r="H4617" s="31">
        <v>0</v>
      </c>
      <c r="I4617" s="31">
        <v>0</v>
      </c>
      <c r="J4617" s="62">
        <f t="shared" si="33"/>
        <v>26100</v>
      </c>
    </row>
    <row r="4618" spans="1:10" x14ac:dyDescent="0.25">
      <c r="A4618" s="67">
        <v>45716</v>
      </c>
      <c r="B4618" t="str">
        <f>IFERROR(IF(VLOOKUP(C4618,Hoja1!$B$1:$C$6191,2,0)="",_xlfn.XLOOKUP(C4618,Hoja1!$B$2:$B$6191,Hoja1!$A$2:$A$6191),VLOOKUP(C4618,Hoja1!$B$1:$C$6191,2,0)),"No esta en Infor")</f>
        <v>CAN0021</v>
      </c>
      <c r="C4618" s="3" t="s">
        <v>180</v>
      </c>
      <c r="D4618" s="31">
        <v>2715</v>
      </c>
      <c r="F4618" s="31">
        <v>0</v>
      </c>
      <c r="G4618" s="31">
        <v>0</v>
      </c>
      <c r="H4618" s="31">
        <v>0</v>
      </c>
      <c r="I4618" s="31">
        <v>0</v>
      </c>
      <c r="J4618" s="62">
        <f t="shared" si="33"/>
        <v>2715</v>
      </c>
    </row>
    <row r="4619" spans="1:10" x14ac:dyDescent="0.25">
      <c r="A4619" s="67">
        <v>45716</v>
      </c>
      <c r="B4619" t="str">
        <f>IFERROR(IF(VLOOKUP(C4619,Hoja1!$B$1:$C$6191,2,0)="",_xlfn.XLOOKUP(C4619,Hoja1!$B$2:$B$6191,Hoja1!$A$2:$A$6191),VLOOKUP(C4619,Hoja1!$B$1:$C$6191,2,0)),"No esta en Infor")</f>
        <v>NAC0849</v>
      </c>
      <c r="C4619" s="3" t="s">
        <v>914</v>
      </c>
      <c r="D4619" s="31">
        <v>44.04</v>
      </c>
      <c r="F4619" s="31">
        <v>0</v>
      </c>
      <c r="G4619" s="31">
        <v>0</v>
      </c>
      <c r="H4619" s="31">
        <v>0</v>
      </c>
      <c r="I4619" s="31">
        <v>0</v>
      </c>
      <c r="J4619" s="62">
        <f t="shared" si="33"/>
        <v>44.04</v>
      </c>
    </row>
    <row r="4620" spans="1:10" x14ac:dyDescent="0.25">
      <c r="A4620" s="67">
        <v>45716</v>
      </c>
      <c r="B4620" t="str">
        <f>IFERROR(IF(VLOOKUP(C4620,Hoja1!$B$1:$C$6191,2,0)="",_xlfn.XLOOKUP(C4620,Hoja1!$B$2:$B$6191,Hoja1!$A$2:$A$6191),VLOOKUP(C4620,Hoja1!$B$1:$C$6191,2,0)),"No esta en Infor")</f>
        <v>NAC0855</v>
      </c>
      <c r="C4620" s="3" t="s">
        <v>618</v>
      </c>
      <c r="D4620" s="31">
        <v>267.91000000000003</v>
      </c>
      <c r="F4620" s="31">
        <v>0</v>
      </c>
      <c r="G4620" s="31">
        <v>0</v>
      </c>
      <c r="H4620" s="31">
        <v>0</v>
      </c>
      <c r="I4620" s="31">
        <v>0</v>
      </c>
      <c r="J4620" s="62">
        <f t="shared" si="33"/>
        <v>267.91000000000003</v>
      </c>
    </row>
    <row r="4621" spans="1:10" x14ac:dyDescent="0.25">
      <c r="A4621" s="67">
        <v>45716</v>
      </c>
      <c r="B4621" t="str">
        <f>IFERROR(IF(VLOOKUP(C4621,Hoja1!$B$1:$C$6191,2,0)="",_xlfn.XLOOKUP(C4621,Hoja1!$B$2:$B$6191,Hoja1!$A$2:$A$6191),VLOOKUP(C4621,Hoja1!$B$1:$C$6191,2,0)),"No esta en Infor")</f>
        <v>NAC0857</v>
      </c>
      <c r="C4621" s="3" t="s">
        <v>915</v>
      </c>
      <c r="D4621" s="31">
        <v>302</v>
      </c>
      <c r="F4621" s="31">
        <v>0</v>
      </c>
      <c r="G4621" s="31">
        <v>0</v>
      </c>
      <c r="H4621" s="31">
        <v>0</v>
      </c>
      <c r="I4621" s="31">
        <v>0</v>
      </c>
      <c r="J4621" s="62">
        <f t="shared" si="33"/>
        <v>302</v>
      </c>
    </row>
    <row r="4622" spans="1:10" x14ac:dyDescent="0.25">
      <c r="A4622" s="67">
        <v>45716</v>
      </c>
      <c r="B4622" t="str">
        <f>IFERROR(IF(VLOOKUP(C4622,Hoja1!$B$1:$C$6191,2,0)="",_xlfn.XLOOKUP(C4622,Hoja1!$B$2:$B$6191,Hoja1!$A$2:$A$6191),VLOOKUP(C4622,Hoja1!$B$1:$C$6191,2,0)),"No esta en Infor")</f>
        <v>NAC0858</v>
      </c>
      <c r="C4622" s="3" t="s">
        <v>188</v>
      </c>
      <c r="D4622" s="31">
        <v>3591</v>
      </c>
      <c r="F4622" s="31">
        <v>0</v>
      </c>
      <c r="G4622" s="31">
        <v>0</v>
      </c>
      <c r="H4622" s="31">
        <v>0</v>
      </c>
      <c r="I4622" s="31">
        <v>0</v>
      </c>
      <c r="J4622" s="62">
        <f t="shared" si="33"/>
        <v>3591</v>
      </c>
    </row>
    <row r="4623" spans="1:10" x14ac:dyDescent="0.25">
      <c r="A4623" s="67">
        <v>45716</v>
      </c>
      <c r="B4623" t="str">
        <f>IFERROR(IF(VLOOKUP(C4623,Hoja1!$B$1:$C$6191,2,0)="",_xlfn.XLOOKUP(C4623,Hoja1!$B$2:$B$6191,Hoja1!$A$2:$A$6191),VLOOKUP(C4623,Hoja1!$B$1:$C$6191,2,0)),"No esta en Infor")</f>
        <v>NAC0864</v>
      </c>
      <c r="C4623" s="3" t="s">
        <v>917</v>
      </c>
      <c r="D4623" s="31">
        <v>438</v>
      </c>
      <c r="F4623" s="31">
        <v>0</v>
      </c>
      <c r="G4623" s="31">
        <v>0</v>
      </c>
      <c r="H4623" s="31">
        <v>0</v>
      </c>
      <c r="I4623" s="31">
        <v>0</v>
      </c>
      <c r="J4623" s="62">
        <f t="shared" si="33"/>
        <v>438</v>
      </c>
    </row>
    <row r="4624" spans="1:10" x14ac:dyDescent="0.25">
      <c r="A4624" s="67">
        <v>45716</v>
      </c>
      <c r="B4624" t="str">
        <f>IFERROR(IF(VLOOKUP(C4624,Hoja1!$B$1:$C$6191,2,0)="",_xlfn.XLOOKUP(C4624,Hoja1!$B$2:$B$6191,Hoja1!$A$2:$A$6191),VLOOKUP(C4624,Hoja1!$B$1:$C$6191,2,0)),"No esta en Infor")</f>
        <v>NAC0865</v>
      </c>
      <c r="C4624" s="3" t="s">
        <v>23</v>
      </c>
      <c r="D4624" s="31">
        <v>3036.55</v>
      </c>
      <c r="F4624" s="31">
        <v>0</v>
      </c>
      <c r="G4624" s="31">
        <v>0</v>
      </c>
      <c r="H4624" s="31">
        <v>0</v>
      </c>
      <c r="I4624" s="31">
        <v>0</v>
      </c>
      <c r="J4624" s="62">
        <f t="shared" si="33"/>
        <v>3036.55</v>
      </c>
    </row>
    <row r="4625" spans="1:10" x14ac:dyDescent="0.25">
      <c r="A4625" s="67">
        <v>45716</v>
      </c>
      <c r="B4625" t="str">
        <f>IFERROR(IF(VLOOKUP(C4625,Hoja1!$B$1:$C$6191,2,0)="",_xlfn.XLOOKUP(C4625,Hoja1!$B$2:$B$6191,Hoja1!$A$2:$A$6191),VLOOKUP(C4625,Hoja1!$B$1:$C$6191,2,0)),"No esta en Infor")</f>
        <v>NAC0870</v>
      </c>
      <c r="C4625" s="3" t="s">
        <v>919</v>
      </c>
      <c r="D4625" s="31">
        <v>685.47</v>
      </c>
      <c r="F4625" s="31">
        <v>0</v>
      </c>
      <c r="G4625" s="31">
        <v>0</v>
      </c>
      <c r="H4625" s="31">
        <v>0</v>
      </c>
      <c r="I4625" s="31">
        <v>0</v>
      </c>
      <c r="J4625" s="62">
        <f t="shared" si="33"/>
        <v>685.47</v>
      </c>
    </row>
    <row r="4626" spans="1:10" x14ac:dyDescent="0.25">
      <c r="A4626" s="67">
        <v>45716</v>
      </c>
      <c r="B4626" t="str">
        <f>IFERROR(IF(VLOOKUP(C4626,Hoja1!$B$1:$C$6191,2,0)="",_xlfn.XLOOKUP(C4626,Hoja1!$B$2:$B$6191,Hoja1!$A$2:$A$6191),VLOOKUP(C4626,Hoja1!$B$1:$C$6191,2,0)),"No esta en Infor")</f>
        <v>NAC0871</v>
      </c>
      <c r="C4626" s="3" t="s">
        <v>193</v>
      </c>
      <c r="D4626" s="31">
        <v>51427.06</v>
      </c>
      <c r="F4626" s="31">
        <v>0</v>
      </c>
      <c r="G4626" s="31">
        <v>0</v>
      </c>
      <c r="H4626" s="31">
        <v>0</v>
      </c>
      <c r="I4626" s="31">
        <v>0</v>
      </c>
      <c r="J4626" s="62">
        <f t="shared" si="33"/>
        <v>51427.06</v>
      </c>
    </row>
    <row r="4627" spans="1:10" x14ac:dyDescent="0.25">
      <c r="A4627" s="67">
        <v>45716</v>
      </c>
      <c r="B4627" t="str">
        <f>IFERROR(IF(VLOOKUP(C4627,Hoja1!$B$1:$C$6191,2,0)="",_xlfn.XLOOKUP(C4627,Hoja1!$B$2:$B$6191,Hoja1!$A$2:$A$6191),VLOOKUP(C4627,Hoja1!$B$1:$C$6191,2,0)),"No esta en Infor")</f>
        <v>NAC0873</v>
      </c>
      <c r="C4627" s="3" t="s">
        <v>455</v>
      </c>
      <c r="D4627" s="31">
        <v>53.65</v>
      </c>
      <c r="F4627" s="31">
        <v>0</v>
      </c>
      <c r="G4627" s="31">
        <v>0</v>
      </c>
      <c r="H4627" s="31">
        <v>0</v>
      </c>
      <c r="I4627" s="31">
        <v>0</v>
      </c>
      <c r="J4627" s="62">
        <f t="shared" si="33"/>
        <v>53.65</v>
      </c>
    </row>
    <row r="4628" spans="1:10" x14ac:dyDescent="0.25">
      <c r="A4628" s="67">
        <v>45716</v>
      </c>
      <c r="B4628" t="str">
        <f>IFERROR(IF(VLOOKUP(C4628,Hoja1!$B$1:$C$6191,2,0)="",_xlfn.XLOOKUP(C4628,Hoja1!$B$2:$B$6191,Hoja1!$A$2:$A$6191),VLOOKUP(C4628,Hoja1!$B$1:$C$6191,2,0)),"No esta en Infor")</f>
        <v>NAC0879</v>
      </c>
      <c r="C4628" s="3" t="s">
        <v>194</v>
      </c>
      <c r="D4628" s="31">
        <v>392.15</v>
      </c>
      <c r="F4628" s="31">
        <v>0</v>
      </c>
      <c r="G4628" s="31">
        <v>0</v>
      </c>
      <c r="H4628" s="31">
        <v>0</v>
      </c>
      <c r="I4628" s="31">
        <v>-117.9</v>
      </c>
      <c r="J4628" s="62">
        <f t="shared" si="33"/>
        <v>274.25</v>
      </c>
    </row>
    <row r="4629" spans="1:10" x14ac:dyDescent="0.25">
      <c r="A4629" s="67">
        <v>45716</v>
      </c>
      <c r="B4629" t="str">
        <f>IFERROR(IF(VLOOKUP(C4629,Hoja1!$B$1:$C$6191,2,0)="",_xlfn.XLOOKUP(C4629,Hoja1!$B$2:$B$6191,Hoja1!$A$2:$A$6191),VLOOKUP(C4629,Hoja1!$B$1:$C$6191,2,0)),"No esta en Infor")</f>
        <v>NAC0881</v>
      </c>
      <c r="C4629" s="3" t="s">
        <v>195</v>
      </c>
      <c r="D4629" s="31">
        <v>3866.9</v>
      </c>
      <c r="F4629" s="31">
        <v>0</v>
      </c>
      <c r="G4629" s="31">
        <v>0</v>
      </c>
      <c r="H4629" s="31">
        <v>0</v>
      </c>
      <c r="I4629" s="31">
        <v>0</v>
      </c>
      <c r="J4629" s="62">
        <f t="shared" si="33"/>
        <v>3866.9</v>
      </c>
    </row>
    <row r="4630" spans="1:10" x14ac:dyDescent="0.25">
      <c r="A4630" s="67">
        <v>45716</v>
      </c>
      <c r="B4630" t="str">
        <f>IFERROR(IF(VLOOKUP(C4630,Hoja1!$B$1:$C$6191,2,0)="",_xlfn.XLOOKUP(C4630,Hoja1!$B$2:$B$6191,Hoja1!$A$2:$A$6191),VLOOKUP(C4630,Hoja1!$B$1:$C$6191,2,0)),"No esta en Infor")</f>
        <v>NAC0887</v>
      </c>
      <c r="C4630" s="3" t="s">
        <v>197</v>
      </c>
      <c r="D4630" s="31">
        <v>467</v>
      </c>
      <c r="F4630" s="31">
        <v>0</v>
      </c>
      <c r="G4630" s="31">
        <v>0</v>
      </c>
      <c r="H4630" s="31">
        <v>0</v>
      </c>
      <c r="I4630" s="31">
        <v>0</v>
      </c>
      <c r="J4630" s="62">
        <f t="shared" si="33"/>
        <v>467</v>
      </c>
    </row>
    <row r="4631" spans="1:10" x14ac:dyDescent="0.25">
      <c r="A4631" s="67">
        <v>45716</v>
      </c>
      <c r="B4631" t="str">
        <f>IFERROR(IF(VLOOKUP(C4631,Hoja1!$B$1:$C$6191,2,0)="",_xlfn.XLOOKUP(C4631,Hoja1!$B$2:$B$6191,Hoja1!$A$2:$A$6191),VLOOKUP(C4631,Hoja1!$B$1:$C$6191,2,0)),"No esta en Infor")</f>
        <v>NAC0888</v>
      </c>
      <c r="C4631" s="3" t="s">
        <v>198</v>
      </c>
      <c r="D4631" s="31">
        <v>1000</v>
      </c>
      <c r="F4631" s="31">
        <v>0</v>
      </c>
      <c r="G4631" s="31">
        <v>0</v>
      </c>
      <c r="H4631" s="31">
        <v>0</v>
      </c>
      <c r="I4631" s="31">
        <v>0</v>
      </c>
      <c r="J4631" s="62">
        <f t="shared" si="33"/>
        <v>1000</v>
      </c>
    </row>
    <row r="4632" spans="1:10" x14ac:dyDescent="0.25">
      <c r="A4632" s="67">
        <v>45716</v>
      </c>
      <c r="B4632" t="str">
        <f>IFERROR(IF(VLOOKUP(C4632,Hoja1!$B$1:$C$6191,2,0)="",_xlfn.XLOOKUP(C4632,Hoja1!$B$2:$B$6191,Hoja1!$A$2:$A$6191),VLOOKUP(C4632,Hoja1!$B$1:$C$6191,2,0)),"No esta en Infor")</f>
        <v>NAC1628</v>
      </c>
      <c r="C4632" s="3" t="s">
        <v>500</v>
      </c>
      <c r="D4632" s="31">
        <v>711.06</v>
      </c>
      <c r="F4632" s="31">
        <v>0</v>
      </c>
      <c r="G4632" s="31">
        <v>0</v>
      </c>
      <c r="H4632" s="31">
        <v>0</v>
      </c>
      <c r="I4632" s="31">
        <v>0</v>
      </c>
      <c r="J4632" s="62">
        <f t="shared" si="33"/>
        <v>711.06</v>
      </c>
    </row>
    <row r="4633" spans="1:10" x14ac:dyDescent="0.25">
      <c r="A4633" s="67">
        <v>45716</v>
      </c>
      <c r="B4633" t="str">
        <f>IFERROR(IF(VLOOKUP(C4633,Hoja1!$B$1:$C$6191,2,0)="",_xlfn.XLOOKUP(C4633,Hoja1!$B$2:$B$6191,Hoja1!$A$2:$A$6191),VLOOKUP(C4633,Hoja1!$B$1:$C$6191,2,0)),"No esta en Infor")</f>
        <v>NAC0894</v>
      </c>
      <c r="C4633" s="3" t="s">
        <v>199</v>
      </c>
      <c r="D4633" s="31">
        <v>12125</v>
      </c>
      <c r="F4633" s="31">
        <v>0</v>
      </c>
      <c r="G4633" s="31">
        <v>-2280</v>
      </c>
      <c r="H4633" s="31">
        <v>0</v>
      </c>
      <c r="I4633" s="31">
        <v>0</v>
      </c>
      <c r="J4633" s="62">
        <f t="shared" si="33"/>
        <v>9845</v>
      </c>
    </row>
    <row r="4634" spans="1:10" x14ac:dyDescent="0.25">
      <c r="A4634" s="67">
        <v>45716</v>
      </c>
      <c r="B4634" t="str">
        <f>IFERROR(IF(VLOOKUP(C4634,Hoja1!$B$1:$C$6191,2,0)="",_xlfn.XLOOKUP(C4634,Hoja1!$B$2:$B$6191,Hoja1!$A$2:$A$6191),VLOOKUP(C4634,Hoja1!$B$1:$C$6191,2,0)),"No esta en Infor")</f>
        <v>NAC0897</v>
      </c>
      <c r="C4634" s="3" t="s">
        <v>25</v>
      </c>
      <c r="D4634" s="31">
        <v>4645</v>
      </c>
      <c r="F4634" s="31">
        <v>0</v>
      </c>
      <c r="G4634" s="31">
        <v>0</v>
      </c>
      <c r="H4634" s="31">
        <v>0</v>
      </c>
      <c r="I4634" s="31">
        <v>-303.5</v>
      </c>
      <c r="J4634" s="62">
        <f t="shared" si="33"/>
        <v>4341.5</v>
      </c>
    </row>
    <row r="4635" spans="1:10" x14ac:dyDescent="0.25">
      <c r="A4635" s="67">
        <v>45716</v>
      </c>
      <c r="B4635" t="str">
        <f>IFERROR(IF(VLOOKUP(C4635,Hoja1!$B$1:$C$6191,2,0)="",_xlfn.XLOOKUP(C4635,Hoja1!$B$2:$B$6191,Hoja1!$A$2:$A$6191),VLOOKUP(C4635,Hoja1!$B$1:$C$6191,2,0)),"No esta en Infor")</f>
        <v>NAC0898</v>
      </c>
      <c r="C4635" s="3" t="s">
        <v>200</v>
      </c>
      <c r="D4635" s="31">
        <v>471.11</v>
      </c>
      <c r="F4635" s="31">
        <v>0</v>
      </c>
      <c r="G4635" s="31">
        <v>0</v>
      </c>
      <c r="H4635" s="31">
        <v>0</v>
      </c>
      <c r="I4635" s="31">
        <v>0</v>
      </c>
      <c r="J4635" s="62">
        <f t="shared" si="33"/>
        <v>471.11</v>
      </c>
    </row>
    <row r="4636" spans="1:10" x14ac:dyDescent="0.25">
      <c r="A4636" s="67">
        <v>45716</v>
      </c>
      <c r="B4636" t="str">
        <f>IFERROR(IF(VLOOKUP(C4636,Hoja1!$B$1:$C$6191,2,0)="",_xlfn.XLOOKUP(C4636,Hoja1!$B$2:$B$6191,Hoja1!$A$2:$A$6191),VLOOKUP(C4636,Hoja1!$B$1:$C$6191,2,0)),"No esta en Infor")</f>
        <v>NAC0909</v>
      </c>
      <c r="C4636" s="3" t="s">
        <v>921</v>
      </c>
      <c r="D4636" s="31">
        <v>2225.6</v>
      </c>
      <c r="F4636" s="31">
        <v>0</v>
      </c>
      <c r="G4636" s="31">
        <v>0</v>
      </c>
      <c r="H4636" s="31">
        <v>0</v>
      </c>
      <c r="I4636" s="31">
        <v>0</v>
      </c>
      <c r="J4636" s="62">
        <f t="shared" si="33"/>
        <v>2225.6</v>
      </c>
    </row>
    <row r="4637" spans="1:10" x14ac:dyDescent="0.25">
      <c r="A4637" s="67">
        <v>45716</v>
      </c>
      <c r="B4637" t="str">
        <f>IFERROR(IF(VLOOKUP(C4637,Hoja1!$B$1:$C$6191,2,0)="",_xlfn.XLOOKUP(C4637,Hoja1!$B$2:$B$6191,Hoja1!$A$2:$A$6191),VLOOKUP(C4637,Hoja1!$B$1:$C$6191,2,0)),"No esta en Infor")</f>
        <v>NAC0926</v>
      </c>
      <c r="C4637" s="3" t="s">
        <v>206</v>
      </c>
      <c r="D4637" s="31">
        <v>1869.03</v>
      </c>
      <c r="F4637" s="31">
        <v>0</v>
      </c>
      <c r="G4637" s="31">
        <v>0</v>
      </c>
      <c r="H4637" s="31">
        <v>0</v>
      </c>
      <c r="I4637" s="31">
        <v>0</v>
      </c>
      <c r="J4637" s="62">
        <f t="shared" si="33"/>
        <v>1869.03</v>
      </c>
    </row>
    <row r="4638" spans="1:10" x14ac:dyDescent="0.25">
      <c r="A4638" s="67">
        <v>45716</v>
      </c>
      <c r="B4638" t="str">
        <f>IFERROR(IF(VLOOKUP(C4638,Hoja1!$B$1:$C$6191,2,0)="",_xlfn.XLOOKUP(C4638,Hoja1!$B$2:$B$6191,Hoja1!$A$2:$A$6191),VLOOKUP(C4638,Hoja1!$B$1:$C$6191,2,0)),"No esta en Infor")</f>
        <v>CAN0027</v>
      </c>
      <c r="C4638" s="3" t="s">
        <v>667</v>
      </c>
      <c r="D4638" s="31">
        <v>1186.5</v>
      </c>
      <c r="F4638" s="31">
        <v>0</v>
      </c>
      <c r="G4638" s="31">
        <v>0</v>
      </c>
      <c r="H4638" s="31">
        <v>0</v>
      </c>
      <c r="I4638" s="31">
        <v>0</v>
      </c>
      <c r="J4638" s="62">
        <f t="shared" si="33"/>
        <v>1186.5</v>
      </c>
    </row>
    <row r="4639" spans="1:10" x14ac:dyDescent="0.25">
      <c r="A4639" s="67">
        <v>45716</v>
      </c>
      <c r="B4639" t="str">
        <f>IFERROR(IF(VLOOKUP(C4639,Hoja1!$B$1:$C$6191,2,0)="",_xlfn.XLOOKUP(C4639,Hoja1!$B$2:$B$6191,Hoja1!$A$2:$A$6191),VLOOKUP(C4639,Hoja1!$B$1:$C$6191,2,0)),"No esta en Infor")</f>
        <v>NAC0929</v>
      </c>
      <c r="C4639" s="3" t="s">
        <v>207</v>
      </c>
      <c r="D4639" s="31">
        <v>58189.45</v>
      </c>
      <c r="F4639" s="31">
        <v>0</v>
      </c>
      <c r="G4639" s="31">
        <v>0</v>
      </c>
      <c r="H4639" s="31">
        <v>0</v>
      </c>
      <c r="I4639" s="31">
        <v>0</v>
      </c>
      <c r="J4639" s="62">
        <f t="shared" si="33"/>
        <v>58189.45</v>
      </c>
    </row>
    <row r="4640" spans="1:10" x14ac:dyDescent="0.25">
      <c r="A4640" s="67">
        <v>45716</v>
      </c>
      <c r="B4640" t="str">
        <f>IFERROR(IF(VLOOKUP(C4640,Hoja1!$B$1:$C$6191,2,0)="",_xlfn.XLOOKUP(C4640,Hoja1!$B$2:$B$6191,Hoja1!$A$2:$A$6191),VLOOKUP(C4640,Hoja1!$B$1:$C$6191,2,0)),"No esta en Infor")</f>
        <v>NAC0933</v>
      </c>
      <c r="C4640" s="3" t="s">
        <v>728</v>
      </c>
      <c r="D4640" s="31">
        <v>4201.7</v>
      </c>
      <c r="F4640" s="31">
        <v>0</v>
      </c>
      <c r="G4640" s="31">
        <v>0</v>
      </c>
      <c r="H4640" s="31">
        <v>0</v>
      </c>
      <c r="I4640" s="31">
        <v>0</v>
      </c>
      <c r="J4640" s="62">
        <f t="shared" si="33"/>
        <v>4201.7</v>
      </c>
    </row>
    <row r="4641" spans="1:10" x14ac:dyDescent="0.25">
      <c r="A4641" s="67">
        <v>45716</v>
      </c>
      <c r="B4641" t="str">
        <f>IFERROR(IF(VLOOKUP(C4641,Hoja1!$B$1:$C$6191,2,0)="",_xlfn.XLOOKUP(C4641,Hoja1!$B$2:$B$6191,Hoja1!$A$2:$A$6191),VLOOKUP(C4641,Hoja1!$B$1:$C$6191,2,0)),"No esta en Infor")</f>
        <v>NAC1607</v>
      </c>
      <c r="C4641" s="3" t="s">
        <v>668</v>
      </c>
      <c r="D4641" s="31">
        <v>1132.98</v>
      </c>
      <c r="F4641" s="31">
        <v>0</v>
      </c>
      <c r="G4641" s="31">
        <v>-24.18</v>
      </c>
      <c r="H4641" s="31">
        <v>0</v>
      </c>
      <c r="I4641" s="31">
        <v>0</v>
      </c>
      <c r="J4641" s="62">
        <f t="shared" si="33"/>
        <v>1108.8</v>
      </c>
    </row>
    <row r="4642" spans="1:10" x14ac:dyDescent="0.25">
      <c r="A4642" s="67">
        <v>45716</v>
      </c>
      <c r="B4642" t="str">
        <f>IFERROR(IF(VLOOKUP(C4642,Hoja1!$B$1:$C$6191,2,0)="",_xlfn.XLOOKUP(C4642,Hoja1!$B$2:$B$6191,Hoja1!$A$2:$A$6191),VLOOKUP(C4642,Hoja1!$B$1:$C$6191,2,0)),"No esta en Infor")</f>
        <v>NAC0958</v>
      </c>
      <c r="C4642" s="3" t="s">
        <v>214</v>
      </c>
      <c r="D4642" s="31">
        <v>699.2</v>
      </c>
      <c r="F4642" s="31">
        <v>0</v>
      </c>
      <c r="G4642" s="31">
        <v>0</v>
      </c>
      <c r="H4642" s="31">
        <v>0</v>
      </c>
      <c r="I4642" s="31">
        <v>0</v>
      </c>
      <c r="J4642" s="62">
        <f t="shared" si="33"/>
        <v>699.2</v>
      </c>
    </row>
    <row r="4643" spans="1:10" x14ac:dyDescent="0.25">
      <c r="A4643" s="67">
        <v>45716</v>
      </c>
      <c r="B4643" t="str">
        <f>IFERROR(IF(VLOOKUP(C4643,Hoja1!$B$1:$C$6191,2,0)="",_xlfn.XLOOKUP(C4643,Hoja1!$B$2:$B$6191,Hoja1!$A$2:$A$6191),VLOOKUP(C4643,Hoja1!$B$1:$C$6191,2,0)),"No esta en Infor")</f>
        <v>NAC0960</v>
      </c>
      <c r="C4643" s="3" t="s">
        <v>216</v>
      </c>
      <c r="D4643" s="31">
        <v>2649.96</v>
      </c>
      <c r="F4643" s="31">
        <v>0</v>
      </c>
      <c r="G4643" s="31">
        <v>0</v>
      </c>
      <c r="H4643" s="31">
        <v>0</v>
      </c>
      <c r="I4643" s="31">
        <v>0</v>
      </c>
      <c r="J4643" s="62">
        <f t="shared" si="33"/>
        <v>2649.96</v>
      </c>
    </row>
    <row r="4644" spans="1:10" x14ac:dyDescent="0.25">
      <c r="A4644" s="67">
        <v>45716</v>
      </c>
      <c r="B4644" t="str">
        <f>IFERROR(IF(VLOOKUP(C4644,Hoja1!$B$1:$C$6191,2,0)="",_xlfn.XLOOKUP(C4644,Hoja1!$B$2:$B$6191,Hoja1!$A$2:$A$6191),VLOOKUP(C4644,Hoja1!$B$1:$C$6191,2,0)),"No esta en Infor")</f>
        <v>NAC0963</v>
      </c>
      <c r="C4644" s="3" t="s">
        <v>217</v>
      </c>
      <c r="D4644" s="31">
        <v>891</v>
      </c>
      <c r="F4644" s="31">
        <v>0</v>
      </c>
      <c r="G4644" s="31">
        <v>0</v>
      </c>
      <c r="H4644" s="31">
        <v>0</v>
      </c>
      <c r="I4644" s="31">
        <v>0</v>
      </c>
      <c r="J4644" s="62">
        <f t="shared" si="33"/>
        <v>891</v>
      </c>
    </row>
    <row r="4645" spans="1:10" x14ac:dyDescent="0.25">
      <c r="A4645" s="67">
        <v>45716</v>
      </c>
      <c r="B4645" t="str">
        <f>IFERROR(IF(VLOOKUP(C4645,Hoja1!$B$1:$C$6191,2,0)="",_xlfn.XLOOKUP(C4645,Hoja1!$B$2:$B$6191,Hoja1!$A$2:$A$6191),VLOOKUP(C4645,Hoja1!$B$1:$C$6191,2,0)),"No esta en Infor")</f>
        <v>NAC0995</v>
      </c>
      <c r="C4645" s="3" t="s">
        <v>227</v>
      </c>
      <c r="D4645" s="31">
        <v>542</v>
      </c>
      <c r="F4645" s="31">
        <v>0</v>
      </c>
      <c r="G4645" s="31">
        <v>0</v>
      </c>
      <c r="H4645" s="31">
        <v>0</v>
      </c>
      <c r="I4645" s="31">
        <v>0</v>
      </c>
      <c r="J4645" s="62">
        <f t="shared" si="33"/>
        <v>542</v>
      </c>
    </row>
    <row r="4646" spans="1:10" x14ac:dyDescent="0.25">
      <c r="A4646" s="67">
        <v>45716</v>
      </c>
      <c r="B4646" t="str">
        <f>IFERROR(IF(VLOOKUP(C4646,Hoja1!$B$1:$C$6191,2,0)="",_xlfn.XLOOKUP(C4646,Hoja1!$B$2:$B$6191,Hoja1!$A$2:$A$6191),VLOOKUP(C4646,Hoja1!$B$1:$C$6191,2,0)),"No esta en Infor")</f>
        <v>NAC1021</v>
      </c>
      <c r="C4646" s="3" t="s">
        <v>239</v>
      </c>
      <c r="D4646" s="31">
        <v>483.11</v>
      </c>
      <c r="F4646" s="31">
        <v>-5</v>
      </c>
      <c r="G4646" s="31">
        <v>0</v>
      </c>
      <c r="H4646" s="31">
        <v>0</v>
      </c>
      <c r="I4646" s="31">
        <v>0</v>
      </c>
      <c r="J4646" s="62">
        <f t="shared" si="33"/>
        <v>478.11</v>
      </c>
    </row>
    <row r="4647" spans="1:10" x14ac:dyDescent="0.25">
      <c r="A4647" s="67">
        <v>45716</v>
      </c>
      <c r="B4647" t="str">
        <f>IFERROR(IF(VLOOKUP(C4647,Hoja1!$B$1:$C$6191,2,0)="",_xlfn.XLOOKUP(C4647,Hoja1!$B$2:$B$6191,Hoja1!$A$2:$A$6191),VLOOKUP(C4647,Hoja1!$B$1:$C$6191,2,0)),"No esta en Infor")</f>
        <v>NAC1025</v>
      </c>
      <c r="C4647" s="3" t="s">
        <v>242</v>
      </c>
      <c r="D4647" s="31">
        <v>1055.26</v>
      </c>
      <c r="F4647" s="31">
        <v>0</v>
      </c>
      <c r="G4647" s="31">
        <v>0</v>
      </c>
      <c r="H4647" s="31">
        <v>0</v>
      </c>
      <c r="I4647" s="31">
        <v>0</v>
      </c>
      <c r="J4647" s="62">
        <f t="shared" si="33"/>
        <v>1055.26</v>
      </c>
    </row>
    <row r="4648" spans="1:10" x14ac:dyDescent="0.25">
      <c r="A4648" s="67">
        <v>45716</v>
      </c>
      <c r="B4648" t="str">
        <f>IFERROR(IF(VLOOKUP(C4648,Hoja1!$B$1:$C$6191,2,0)="",_xlfn.XLOOKUP(C4648,Hoja1!$B$2:$B$6191,Hoja1!$A$2:$A$6191),VLOOKUP(C4648,Hoja1!$B$1:$C$6191,2,0)),"No esta en Infor")</f>
        <v>NAC1027</v>
      </c>
      <c r="C4648" s="3" t="s">
        <v>243</v>
      </c>
      <c r="D4648" s="31">
        <v>15142.86</v>
      </c>
      <c r="F4648" s="31">
        <v>0</v>
      </c>
      <c r="G4648" s="31">
        <v>0</v>
      </c>
      <c r="H4648" s="31">
        <v>0</v>
      </c>
      <c r="I4648" s="31">
        <v>-2408</v>
      </c>
      <c r="J4648" s="62">
        <f t="shared" si="33"/>
        <v>12734.86</v>
      </c>
    </row>
    <row r="4649" spans="1:10" x14ac:dyDescent="0.25">
      <c r="A4649" s="67">
        <v>45716</v>
      </c>
      <c r="B4649" t="str">
        <f>IFERROR(IF(VLOOKUP(C4649,Hoja1!$B$1:$C$6191,2,0)="",_xlfn.XLOOKUP(C4649,Hoja1!$B$2:$B$6191,Hoja1!$A$2:$A$6191),VLOOKUP(C4649,Hoja1!$B$1:$C$6191,2,0)),"No esta en Infor")</f>
        <v>NAC1042</v>
      </c>
      <c r="C4649" s="3" t="s">
        <v>244</v>
      </c>
      <c r="D4649" s="31">
        <v>51012.5</v>
      </c>
      <c r="F4649" s="31">
        <v>0</v>
      </c>
      <c r="G4649" s="31">
        <v>0</v>
      </c>
      <c r="H4649" s="31">
        <v>0</v>
      </c>
      <c r="I4649" s="31">
        <v>0</v>
      </c>
      <c r="J4649" s="62">
        <f t="shared" si="33"/>
        <v>51012.5</v>
      </c>
    </row>
    <row r="4650" spans="1:10" x14ac:dyDescent="0.25">
      <c r="A4650" s="67">
        <v>45716</v>
      </c>
      <c r="B4650" t="str">
        <f>IFERROR(IF(VLOOKUP(C4650,Hoja1!$B$1:$C$6191,2,0)="",_xlfn.XLOOKUP(C4650,Hoja1!$B$2:$B$6191,Hoja1!$A$2:$A$6191),VLOOKUP(C4650,Hoja1!$B$1:$C$6191,2,0)),"No esta en Infor")</f>
        <v>NAC1050</v>
      </c>
      <c r="C4650" s="3" t="s">
        <v>880</v>
      </c>
      <c r="D4650" s="31">
        <v>21.98</v>
      </c>
      <c r="F4650" s="31">
        <v>0</v>
      </c>
      <c r="G4650" s="31">
        <v>0</v>
      </c>
      <c r="H4650" s="31">
        <v>0</v>
      </c>
      <c r="I4650" s="31">
        <v>0</v>
      </c>
      <c r="J4650" s="62">
        <f t="shared" si="33"/>
        <v>21.98</v>
      </c>
    </row>
    <row r="4651" spans="1:10" x14ac:dyDescent="0.25">
      <c r="A4651" s="67">
        <v>45716</v>
      </c>
      <c r="B4651" t="str">
        <f>IFERROR(IF(VLOOKUP(C4651,Hoja1!$B$1:$C$6191,2,0)="",_xlfn.XLOOKUP(C4651,Hoja1!$B$2:$B$6191,Hoja1!$A$2:$A$6191),VLOOKUP(C4651,Hoja1!$B$1:$C$6191,2,0)),"No esta en Infor")</f>
        <v>NAC1051</v>
      </c>
      <c r="C4651" s="3" t="s">
        <v>246</v>
      </c>
      <c r="D4651" s="31">
        <v>1411.81</v>
      </c>
      <c r="F4651" s="31">
        <v>0</v>
      </c>
      <c r="G4651" s="31">
        <v>0</v>
      </c>
      <c r="H4651" s="31">
        <v>0</v>
      </c>
      <c r="I4651" s="31">
        <v>0</v>
      </c>
      <c r="J4651" s="62">
        <f t="shared" si="33"/>
        <v>1411.81</v>
      </c>
    </row>
    <row r="4652" spans="1:10" x14ac:dyDescent="0.25">
      <c r="A4652" s="67">
        <v>45716</v>
      </c>
      <c r="B4652" t="str">
        <f>IFERROR(IF(VLOOKUP(C4652,Hoja1!$B$1:$C$6191,2,0)="",_xlfn.XLOOKUP(C4652,Hoja1!$B$2:$B$6191,Hoja1!$A$2:$A$6191),VLOOKUP(C4652,Hoja1!$B$1:$C$6191,2,0)),"No esta en Infor")</f>
        <v>FOC0001</v>
      </c>
      <c r="C4652" s="3" t="s">
        <v>247</v>
      </c>
      <c r="D4652" s="31">
        <v>608</v>
      </c>
      <c r="F4652" s="31">
        <v>0</v>
      </c>
      <c r="G4652" s="31">
        <v>0</v>
      </c>
      <c r="H4652" s="31">
        <v>0</v>
      </c>
      <c r="I4652" s="31">
        <v>0</v>
      </c>
      <c r="J4652" s="62">
        <f t="shared" si="33"/>
        <v>608</v>
      </c>
    </row>
    <row r="4653" spans="1:10" x14ac:dyDescent="0.25">
      <c r="A4653" s="67">
        <v>45716</v>
      </c>
      <c r="B4653" t="str">
        <f>IFERROR(IF(VLOOKUP(C4653,Hoja1!$B$1:$C$6191,2,0)="",_xlfn.XLOOKUP(C4653,Hoja1!$B$2:$B$6191,Hoja1!$A$2:$A$6191),VLOOKUP(C4653,Hoja1!$B$1:$C$6191,2,0)),"No esta en Infor")</f>
        <v>NAC1054</v>
      </c>
      <c r="C4653" s="3" t="s">
        <v>248</v>
      </c>
      <c r="D4653" s="31">
        <v>275.60000000000002</v>
      </c>
      <c r="F4653" s="31">
        <v>0</v>
      </c>
      <c r="G4653" s="31">
        <v>0</v>
      </c>
      <c r="H4653" s="31">
        <v>0</v>
      </c>
      <c r="I4653" s="31">
        <v>0</v>
      </c>
      <c r="J4653" s="62">
        <f t="shared" si="33"/>
        <v>275.60000000000002</v>
      </c>
    </row>
    <row r="4654" spans="1:10" x14ac:dyDescent="0.25">
      <c r="A4654" s="67">
        <v>45716</v>
      </c>
      <c r="B4654" t="str">
        <f>IFERROR(IF(VLOOKUP(C4654,Hoja1!$B$1:$C$6191,2,0)="",_xlfn.XLOOKUP(C4654,Hoja1!$B$2:$B$6191,Hoja1!$A$2:$A$6191),VLOOKUP(C4654,Hoja1!$B$1:$C$6191,2,0)),"No esta en Infor")</f>
        <v>NAC1056</v>
      </c>
      <c r="C4654" s="3" t="s">
        <v>465</v>
      </c>
      <c r="D4654" s="31">
        <v>699</v>
      </c>
      <c r="F4654" s="31">
        <v>0</v>
      </c>
      <c r="G4654" s="31">
        <v>0</v>
      </c>
      <c r="H4654" s="31">
        <v>0</v>
      </c>
      <c r="I4654" s="31">
        <v>0</v>
      </c>
      <c r="J4654" s="62">
        <f t="shared" si="33"/>
        <v>699</v>
      </c>
    </row>
    <row r="4655" spans="1:10" x14ac:dyDescent="0.25">
      <c r="A4655" s="67">
        <v>45716</v>
      </c>
      <c r="B4655" t="str">
        <f>IFERROR(IF(VLOOKUP(C4655,Hoja1!$B$1:$C$6191,2,0)="",_xlfn.XLOOKUP(C4655,Hoja1!$B$2:$B$6191,Hoja1!$A$2:$A$6191),VLOOKUP(C4655,Hoja1!$B$1:$C$6191,2,0)),"No esta en Infor")</f>
        <v>NAC1066</v>
      </c>
      <c r="C4655" s="3" t="s">
        <v>407</v>
      </c>
      <c r="D4655" s="31">
        <v>52280.81</v>
      </c>
      <c r="F4655" s="31">
        <v>0</v>
      </c>
      <c r="G4655" s="31">
        <v>0</v>
      </c>
      <c r="H4655" s="31">
        <v>0</v>
      </c>
      <c r="I4655" s="31">
        <v>0</v>
      </c>
      <c r="J4655" s="62">
        <f t="shared" si="33"/>
        <v>52280.81</v>
      </c>
    </row>
    <row r="4656" spans="1:10" x14ac:dyDescent="0.25">
      <c r="A4656" s="67">
        <v>45716</v>
      </c>
      <c r="B4656" t="str">
        <f>IFERROR(IF(VLOOKUP(C4656,Hoja1!$B$1:$C$6191,2,0)="",_xlfn.XLOOKUP(C4656,Hoja1!$B$2:$B$6191,Hoja1!$A$2:$A$6191),VLOOKUP(C4656,Hoja1!$B$1:$C$6191,2,0)),"No esta en Infor")</f>
        <v>NAC1074</v>
      </c>
      <c r="C4656" s="3" t="s">
        <v>252</v>
      </c>
      <c r="D4656" s="31">
        <v>250.55</v>
      </c>
      <c r="F4656" s="31">
        <v>-103.32</v>
      </c>
      <c r="G4656" s="31">
        <v>0</v>
      </c>
      <c r="H4656" s="31">
        <v>0</v>
      </c>
      <c r="I4656" s="31">
        <v>0</v>
      </c>
      <c r="J4656" s="62">
        <f t="shared" si="33"/>
        <v>147.23000000000002</v>
      </c>
    </row>
    <row r="4657" spans="1:10" x14ac:dyDescent="0.25">
      <c r="A4657" s="67">
        <v>45716</v>
      </c>
      <c r="B4657" t="str">
        <f>IFERROR(IF(VLOOKUP(C4657,Hoja1!$B$1:$C$6191,2,0)="",_xlfn.XLOOKUP(C4657,Hoja1!$B$2:$B$6191,Hoja1!$A$2:$A$6191),VLOOKUP(C4657,Hoja1!$B$1:$C$6191,2,0)),"No esta en Infor")</f>
        <v>NAC1077</v>
      </c>
      <c r="C4657" s="3" t="s">
        <v>254</v>
      </c>
      <c r="D4657" s="31">
        <v>289</v>
      </c>
      <c r="F4657" s="31">
        <v>0</v>
      </c>
      <c r="G4657" s="31">
        <v>0</v>
      </c>
      <c r="H4657" s="31">
        <v>0</v>
      </c>
      <c r="I4657" s="31">
        <v>0</v>
      </c>
      <c r="J4657" s="62">
        <f t="shared" si="33"/>
        <v>289</v>
      </c>
    </row>
    <row r="4658" spans="1:10" x14ac:dyDescent="0.25">
      <c r="A4658" s="67">
        <v>45716</v>
      </c>
      <c r="B4658" t="str">
        <f>IFERROR(IF(VLOOKUP(C4658,Hoja1!$B$1:$C$6191,2,0)="",_xlfn.XLOOKUP(C4658,Hoja1!$B$2:$B$6191,Hoja1!$A$2:$A$6191),VLOOKUP(C4658,Hoja1!$B$1:$C$6191,2,0)),"No esta en Infor")</f>
        <v>CAN0036</v>
      </c>
      <c r="C4658" s="3" t="s">
        <v>256</v>
      </c>
      <c r="D4658" s="31">
        <v>40</v>
      </c>
      <c r="F4658" s="31">
        <v>0</v>
      </c>
      <c r="G4658" s="31">
        <v>0</v>
      </c>
      <c r="H4658" s="31">
        <v>0</v>
      </c>
      <c r="I4658" s="31">
        <v>0</v>
      </c>
      <c r="J4658" s="62">
        <f t="shared" si="33"/>
        <v>40</v>
      </c>
    </row>
    <row r="4659" spans="1:10" x14ac:dyDescent="0.25">
      <c r="A4659" s="67">
        <v>45716</v>
      </c>
      <c r="B4659" t="str">
        <f>IFERROR(IF(VLOOKUP(C4659,Hoja1!$B$1:$C$6191,2,0)="",_xlfn.XLOOKUP(C4659,Hoja1!$B$2:$B$6191,Hoja1!$A$2:$A$6191),VLOOKUP(C4659,Hoja1!$B$1:$C$6191,2,0)),"No esta en Infor")</f>
        <v>NAC1083</v>
      </c>
      <c r="C4659" s="3" t="s">
        <v>685</v>
      </c>
      <c r="D4659" s="31">
        <v>1464.36</v>
      </c>
      <c r="F4659" s="31">
        <v>0</v>
      </c>
      <c r="G4659" s="31">
        <v>0</v>
      </c>
      <c r="H4659" s="31">
        <v>0</v>
      </c>
      <c r="I4659" s="31">
        <v>0</v>
      </c>
      <c r="J4659" s="62">
        <f t="shared" si="33"/>
        <v>1464.36</v>
      </c>
    </row>
    <row r="4660" spans="1:10" x14ac:dyDescent="0.25">
      <c r="A4660" s="67">
        <v>45716</v>
      </c>
      <c r="B4660" t="str">
        <f>IFERROR(IF(VLOOKUP(C4660,Hoja1!$B$1:$C$6191,2,0)="",_xlfn.XLOOKUP(C4660,Hoja1!$B$2:$B$6191,Hoja1!$A$2:$A$6191),VLOOKUP(C4660,Hoja1!$B$1:$C$6191,2,0)),"No esta en Infor")</f>
        <v>NAC1106</v>
      </c>
      <c r="C4660" s="3" t="s">
        <v>259</v>
      </c>
      <c r="D4660" s="31">
        <v>807</v>
      </c>
      <c r="F4660" s="31">
        <v>0</v>
      </c>
      <c r="G4660" s="31">
        <v>0</v>
      </c>
      <c r="H4660" s="31">
        <v>0</v>
      </c>
      <c r="I4660" s="31">
        <v>0</v>
      </c>
      <c r="J4660" s="62">
        <f t="shared" si="33"/>
        <v>807</v>
      </c>
    </row>
    <row r="4661" spans="1:10" x14ac:dyDescent="0.25">
      <c r="A4661" s="67">
        <v>45716</v>
      </c>
      <c r="B4661" t="str">
        <f>IFERROR(IF(VLOOKUP(C4661,Hoja1!$B$1:$C$6191,2,0)="",_xlfn.XLOOKUP(C4661,Hoja1!$B$2:$B$6191,Hoja1!$A$2:$A$6191),VLOOKUP(C4661,Hoja1!$B$1:$C$6191,2,0)),"No esta en Infor")</f>
        <v>NAC1114</v>
      </c>
      <c r="C4661" s="3" t="s">
        <v>408</v>
      </c>
      <c r="D4661" s="31">
        <v>905.87</v>
      </c>
      <c r="F4661" s="31">
        <v>0</v>
      </c>
      <c r="G4661" s="31">
        <v>0</v>
      </c>
      <c r="H4661" s="31">
        <v>-196.34</v>
      </c>
      <c r="I4661" s="31">
        <v>0</v>
      </c>
      <c r="J4661" s="62">
        <f t="shared" si="33"/>
        <v>709.53</v>
      </c>
    </row>
    <row r="4662" spans="1:10" x14ac:dyDescent="0.25">
      <c r="A4662" s="67">
        <v>45716</v>
      </c>
      <c r="B4662" t="str">
        <f>IFERROR(IF(VLOOKUP(C4662,Hoja1!$B$1:$C$6191,2,0)="",_xlfn.XLOOKUP(C4662,Hoja1!$B$2:$B$6191,Hoja1!$A$2:$A$6191),VLOOKUP(C4662,Hoja1!$B$1:$C$6191,2,0)),"No esta en Infor")</f>
        <v>NAC1117</v>
      </c>
      <c r="C4662" s="3" t="s">
        <v>513</v>
      </c>
      <c r="D4662" s="31">
        <v>881.76</v>
      </c>
      <c r="F4662" s="31">
        <v>0</v>
      </c>
      <c r="G4662" s="31">
        <v>0</v>
      </c>
      <c r="H4662" s="31">
        <v>0</v>
      </c>
      <c r="I4662" s="31">
        <v>0</v>
      </c>
      <c r="J4662" s="62">
        <f t="shared" si="33"/>
        <v>881.76</v>
      </c>
    </row>
    <row r="4663" spans="1:10" x14ac:dyDescent="0.25">
      <c r="A4663" s="67">
        <v>45716</v>
      </c>
      <c r="B4663" t="str">
        <f>IFERROR(IF(VLOOKUP(C4663,Hoja1!$B$1:$C$6191,2,0)="",_xlfn.XLOOKUP(C4663,Hoja1!$B$2:$B$6191,Hoja1!$A$2:$A$6191),VLOOKUP(C4663,Hoja1!$B$1:$C$6191,2,0)),"No esta en Infor")</f>
        <v>NAC1119</v>
      </c>
      <c r="C4663" s="3" t="s">
        <v>514</v>
      </c>
      <c r="D4663" s="31">
        <v>221</v>
      </c>
      <c r="F4663" s="31">
        <v>0</v>
      </c>
      <c r="G4663" s="31">
        <v>0</v>
      </c>
      <c r="H4663" s="31">
        <v>0</v>
      </c>
      <c r="I4663" s="31">
        <v>0</v>
      </c>
      <c r="J4663" s="62">
        <f t="shared" ref="J4663:J4726" si="34">SUM(D4663:I4663)</f>
        <v>221</v>
      </c>
    </row>
    <row r="4664" spans="1:10" x14ac:dyDescent="0.25">
      <c r="A4664" s="67">
        <v>45716</v>
      </c>
      <c r="B4664" t="str">
        <f>IFERROR(IF(VLOOKUP(C4664,Hoja1!$B$1:$C$6191,2,0)="",_xlfn.XLOOKUP(C4664,Hoja1!$B$2:$B$6191,Hoja1!$A$2:$A$6191),VLOOKUP(C4664,Hoja1!$B$1:$C$6191,2,0)),"No esta en Infor")</f>
        <v>NAC1123</v>
      </c>
      <c r="C4664" s="3" t="s">
        <v>782</v>
      </c>
      <c r="D4664" s="31">
        <v>520</v>
      </c>
      <c r="F4664" s="31">
        <v>0</v>
      </c>
      <c r="G4664" s="31">
        <v>0</v>
      </c>
      <c r="H4664" s="31">
        <v>0</v>
      </c>
      <c r="I4664" s="31">
        <v>0</v>
      </c>
      <c r="J4664" s="62">
        <f t="shared" si="34"/>
        <v>520</v>
      </c>
    </row>
    <row r="4665" spans="1:10" x14ac:dyDescent="0.25">
      <c r="A4665" s="67">
        <v>45716</v>
      </c>
      <c r="B4665" t="str">
        <f>IFERROR(IF(VLOOKUP(C4665,Hoja1!$B$1:$C$6191,2,0)="",_xlfn.XLOOKUP(C4665,Hoja1!$B$2:$B$6191,Hoja1!$A$2:$A$6191),VLOOKUP(C4665,Hoja1!$B$1:$C$6191,2,0)),"No esta en Infor")</f>
        <v>NAC1128</v>
      </c>
      <c r="C4665" s="3" t="s">
        <v>263</v>
      </c>
      <c r="D4665" s="31">
        <v>11581.32</v>
      </c>
      <c r="F4665" s="31">
        <v>0</v>
      </c>
      <c r="G4665" s="31">
        <v>0</v>
      </c>
      <c r="H4665" s="31">
        <v>0</v>
      </c>
      <c r="I4665" s="31">
        <v>0</v>
      </c>
      <c r="J4665" s="62">
        <f t="shared" si="34"/>
        <v>11581.32</v>
      </c>
    </row>
    <row r="4666" spans="1:10" x14ac:dyDescent="0.25">
      <c r="A4666" s="67">
        <v>45716</v>
      </c>
      <c r="B4666" t="str">
        <f>IFERROR(IF(VLOOKUP(C4666,Hoja1!$B$1:$C$6191,2,0)="",_xlfn.XLOOKUP(C4666,Hoja1!$B$2:$B$6191,Hoja1!$A$2:$A$6191),VLOOKUP(C4666,Hoja1!$B$1:$C$6191,2,0)),"No esta en Infor")</f>
        <v>CAN0039</v>
      </c>
      <c r="C4666" s="3" t="s">
        <v>265</v>
      </c>
      <c r="D4666" s="31">
        <v>15160.76</v>
      </c>
      <c r="F4666" s="31">
        <v>0</v>
      </c>
      <c r="G4666" s="31">
        <v>0</v>
      </c>
      <c r="H4666" s="31">
        <v>0</v>
      </c>
      <c r="I4666" s="31">
        <v>0</v>
      </c>
      <c r="J4666" s="62">
        <f t="shared" si="34"/>
        <v>15160.76</v>
      </c>
    </row>
    <row r="4667" spans="1:10" x14ac:dyDescent="0.25">
      <c r="A4667" s="67">
        <v>45716</v>
      </c>
      <c r="B4667" t="str">
        <f>IFERROR(IF(VLOOKUP(C4667,Hoja1!$B$1:$C$6191,2,0)="",_xlfn.XLOOKUP(C4667,Hoja1!$B$2:$B$6191,Hoja1!$A$2:$A$6191),VLOOKUP(C4667,Hoja1!$B$1:$C$6191,2,0)),"No esta en Infor")</f>
        <v>NAC1143</v>
      </c>
      <c r="C4667" s="3" t="s">
        <v>268</v>
      </c>
      <c r="D4667" s="31">
        <v>3861.7</v>
      </c>
      <c r="F4667" s="31">
        <v>0</v>
      </c>
      <c r="G4667" s="31">
        <v>0</v>
      </c>
      <c r="H4667" s="31">
        <v>0</v>
      </c>
      <c r="I4667" s="31">
        <v>0</v>
      </c>
      <c r="J4667" s="62">
        <f t="shared" si="34"/>
        <v>3861.7</v>
      </c>
    </row>
    <row r="4668" spans="1:10" x14ac:dyDescent="0.25">
      <c r="A4668" s="67">
        <v>45716</v>
      </c>
      <c r="B4668" t="str">
        <f>IFERROR(IF(VLOOKUP(C4668,Hoja1!$B$1:$C$6191,2,0)="",_xlfn.XLOOKUP(C4668,Hoja1!$B$2:$B$6191,Hoja1!$A$2:$A$6191),VLOOKUP(C4668,Hoja1!$B$1:$C$6191,2,0)),"No esta en Infor")</f>
        <v>NAC1145</v>
      </c>
      <c r="C4668" s="3" t="s">
        <v>269</v>
      </c>
      <c r="D4668" s="31">
        <v>97.65</v>
      </c>
      <c r="F4668" s="31">
        <v>0</v>
      </c>
      <c r="G4668" s="31">
        <v>0</v>
      </c>
      <c r="H4668" s="31">
        <v>0</v>
      </c>
      <c r="I4668" s="31">
        <v>0</v>
      </c>
      <c r="J4668" s="62">
        <f t="shared" si="34"/>
        <v>97.65</v>
      </c>
    </row>
    <row r="4669" spans="1:10" x14ac:dyDescent="0.25">
      <c r="A4669" s="67">
        <v>45716</v>
      </c>
      <c r="B4669" t="str">
        <f>IFERROR(IF(VLOOKUP(C4669,Hoja1!$B$1:$C$6191,2,0)="",_xlfn.XLOOKUP(C4669,Hoja1!$B$2:$B$6191,Hoja1!$A$2:$A$6191),VLOOKUP(C4669,Hoja1!$B$1:$C$6191,2,0)),"No esta en Infor")</f>
        <v>NAC1148</v>
      </c>
      <c r="C4669" s="3" t="s">
        <v>270</v>
      </c>
      <c r="D4669" s="31">
        <v>3300.3</v>
      </c>
      <c r="F4669" s="31">
        <v>0</v>
      </c>
      <c r="G4669" s="31">
        <v>0</v>
      </c>
      <c r="H4669" s="31">
        <v>0</v>
      </c>
      <c r="I4669" s="31">
        <v>0</v>
      </c>
      <c r="J4669" s="62">
        <f t="shared" si="34"/>
        <v>3300.3</v>
      </c>
    </row>
    <row r="4670" spans="1:10" x14ac:dyDescent="0.25">
      <c r="A4670" s="67">
        <v>45716</v>
      </c>
      <c r="B4670" t="str">
        <f>IFERROR(IF(VLOOKUP(C4670,Hoja1!$B$1:$C$6191,2,0)="",_xlfn.XLOOKUP(C4670,Hoja1!$B$2:$B$6191,Hoja1!$A$2:$A$6191),VLOOKUP(C4670,Hoja1!$B$1:$C$6191,2,0)),"No esta en Infor")</f>
        <v>NAC1150</v>
      </c>
      <c r="C4670" s="3" t="s">
        <v>692</v>
      </c>
      <c r="D4670" s="31">
        <v>6291.16</v>
      </c>
      <c r="F4670" s="31">
        <v>0</v>
      </c>
      <c r="G4670" s="31">
        <v>0</v>
      </c>
      <c r="H4670" s="31">
        <v>0</v>
      </c>
      <c r="I4670" s="31">
        <v>0</v>
      </c>
      <c r="J4670" s="62">
        <f t="shared" si="34"/>
        <v>6291.16</v>
      </c>
    </row>
    <row r="4671" spans="1:10" x14ac:dyDescent="0.25">
      <c r="A4671" s="67">
        <v>45716</v>
      </c>
      <c r="B4671" t="str">
        <f>IFERROR(IF(VLOOKUP(C4671,Hoja1!$B$1:$C$6191,2,0)="",_xlfn.XLOOKUP(C4671,Hoja1!$B$2:$B$6191,Hoja1!$A$2:$A$6191),VLOOKUP(C4671,Hoja1!$B$1:$C$6191,2,0)),"No esta en Infor")</f>
        <v>NAC1151</v>
      </c>
      <c r="C4671" s="3" t="s">
        <v>271</v>
      </c>
      <c r="D4671" s="31">
        <v>7093.4</v>
      </c>
      <c r="F4671" s="31">
        <v>0</v>
      </c>
      <c r="G4671" s="31">
        <v>0</v>
      </c>
      <c r="H4671" s="31">
        <v>-1172</v>
      </c>
      <c r="I4671" s="31">
        <v>0</v>
      </c>
      <c r="J4671" s="62">
        <f t="shared" si="34"/>
        <v>5921.4</v>
      </c>
    </row>
    <row r="4672" spans="1:10" x14ac:dyDescent="0.25">
      <c r="A4672" s="67">
        <v>45716</v>
      </c>
      <c r="B4672" t="str">
        <f>IFERROR(IF(VLOOKUP(C4672,Hoja1!$B$1:$C$6191,2,0)="",_xlfn.XLOOKUP(C4672,Hoja1!$B$2:$B$6191,Hoja1!$A$2:$A$6191),VLOOKUP(C4672,Hoja1!$B$1:$C$6191,2,0)),"No esta en Infor")</f>
        <v>NAC1152</v>
      </c>
      <c r="C4672" s="3" t="s">
        <v>470</v>
      </c>
      <c r="D4672" s="31">
        <v>7280</v>
      </c>
      <c r="F4672" s="31">
        <v>0</v>
      </c>
      <c r="G4672" s="31">
        <v>0</v>
      </c>
      <c r="H4672" s="31">
        <v>0</v>
      </c>
      <c r="I4672" s="31">
        <v>0</v>
      </c>
      <c r="J4672" s="62">
        <f t="shared" si="34"/>
        <v>7280</v>
      </c>
    </row>
    <row r="4673" spans="1:10" x14ac:dyDescent="0.25">
      <c r="A4673" s="67">
        <v>45716</v>
      </c>
      <c r="B4673" t="str">
        <f>IFERROR(IF(VLOOKUP(C4673,Hoja1!$B$1:$C$6191,2,0)="",_xlfn.XLOOKUP(C4673,Hoja1!$B$2:$B$6191,Hoja1!$A$2:$A$6191),VLOOKUP(C4673,Hoja1!$B$1:$C$6191,2,0)),"No esta en Infor")</f>
        <v>NAC1154</v>
      </c>
      <c r="C4673" s="3" t="s">
        <v>783</v>
      </c>
      <c r="D4673" s="31">
        <v>184.58</v>
      </c>
      <c r="F4673" s="31">
        <v>-32.340000000000003</v>
      </c>
      <c r="G4673" s="31">
        <v>0</v>
      </c>
      <c r="H4673" s="31">
        <v>0</v>
      </c>
      <c r="I4673" s="31">
        <v>0</v>
      </c>
      <c r="J4673" s="62">
        <f t="shared" si="34"/>
        <v>152.24</v>
      </c>
    </row>
    <row r="4674" spans="1:10" x14ac:dyDescent="0.25">
      <c r="A4674" s="67">
        <v>45716</v>
      </c>
      <c r="B4674" t="str">
        <f>IFERROR(IF(VLOOKUP(C4674,Hoja1!$B$1:$C$6191,2,0)="",_xlfn.XLOOKUP(C4674,Hoja1!$B$2:$B$6191,Hoja1!$A$2:$A$6191),VLOOKUP(C4674,Hoja1!$B$1:$C$6191,2,0)),"No esta en Infor")</f>
        <v>NAC1604</v>
      </c>
      <c r="C4674" s="3" t="s">
        <v>693</v>
      </c>
      <c r="D4674" s="31">
        <v>8413.4500000000007</v>
      </c>
      <c r="F4674" s="31">
        <v>0</v>
      </c>
      <c r="G4674" s="31">
        <v>0</v>
      </c>
      <c r="H4674" s="31">
        <v>0</v>
      </c>
      <c r="I4674" s="31">
        <v>0</v>
      </c>
      <c r="J4674" s="62">
        <f t="shared" si="34"/>
        <v>8413.4500000000007</v>
      </c>
    </row>
    <row r="4675" spans="1:10" x14ac:dyDescent="0.25">
      <c r="A4675" s="67">
        <v>45716</v>
      </c>
      <c r="B4675" t="str">
        <f>IFERROR(IF(VLOOKUP(C4675,Hoja1!$B$1:$C$6191,2,0)="",_xlfn.XLOOKUP(C4675,Hoja1!$B$2:$B$6191,Hoja1!$A$2:$A$6191),VLOOKUP(C4675,Hoja1!$B$1:$C$6191,2,0)),"No esta en Infor")</f>
        <v>NAC1167</v>
      </c>
      <c r="C4675" s="3" t="s">
        <v>34</v>
      </c>
      <c r="D4675" s="31">
        <v>1023.99</v>
      </c>
      <c r="F4675" s="31">
        <v>0</v>
      </c>
      <c r="G4675" s="31">
        <v>0</v>
      </c>
      <c r="H4675" s="31">
        <v>0</v>
      </c>
      <c r="I4675" s="31">
        <v>0</v>
      </c>
      <c r="J4675" s="62">
        <f t="shared" si="34"/>
        <v>1023.99</v>
      </c>
    </row>
    <row r="4676" spans="1:10" x14ac:dyDescent="0.25">
      <c r="A4676" s="67">
        <v>45716</v>
      </c>
      <c r="B4676" t="str">
        <f>IFERROR(IF(VLOOKUP(C4676,Hoja1!$B$1:$C$6191,2,0)="",_xlfn.XLOOKUP(C4676,Hoja1!$B$2:$B$6191,Hoja1!$A$2:$A$6191),VLOOKUP(C4676,Hoja1!$B$1:$C$6191,2,0)),"No esta en Infor")</f>
        <v>NAC1168</v>
      </c>
      <c r="C4676" s="3" t="s">
        <v>277</v>
      </c>
      <c r="D4676" s="31">
        <v>184.5</v>
      </c>
      <c r="F4676" s="31">
        <v>0</v>
      </c>
      <c r="G4676" s="31">
        <v>0</v>
      </c>
      <c r="H4676" s="31">
        <v>0</v>
      </c>
      <c r="I4676" s="31">
        <v>0</v>
      </c>
      <c r="J4676" s="62">
        <f t="shared" si="34"/>
        <v>184.5</v>
      </c>
    </row>
    <row r="4677" spans="1:10" x14ac:dyDescent="0.25">
      <c r="A4677" s="67">
        <v>45716</v>
      </c>
      <c r="B4677" t="str">
        <f>IFERROR(IF(VLOOKUP(C4677,Hoja1!$B$1:$C$6191,2,0)="",_xlfn.XLOOKUP(C4677,Hoja1!$B$2:$B$6191,Hoja1!$A$2:$A$6191),VLOOKUP(C4677,Hoja1!$B$1:$C$6191,2,0)),"No esta en Infor")</f>
        <v>NAC1184</v>
      </c>
      <c r="C4677" s="3" t="s">
        <v>784</v>
      </c>
      <c r="D4677" s="31">
        <v>0.17</v>
      </c>
      <c r="F4677" s="31">
        <v>0</v>
      </c>
      <c r="G4677" s="31">
        <v>0</v>
      </c>
      <c r="H4677" s="31">
        <v>0</v>
      </c>
      <c r="I4677" s="31">
        <v>0</v>
      </c>
      <c r="J4677" s="62">
        <f t="shared" si="34"/>
        <v>0.17</v>
      </c>
    </row>
    <row r="4678" spans="1:10" x14ac:dyDescent="0.25">
      <c r="A4678" s="67">
        <v>45716</v>
      </c>
      <c r="B4678" t="str">
        <f>IFERROR(IF(VLOOKUP(C4678,Hoja1!$B$1:$C$6191,2,0)="",_xlfn.XLOOKUP(C4678,Hoja1!$B$2:$B$6191,Hoja1!$A$2:$A$6191),VLOOKUP(C4678,Hoja1!$B$1:$C$6191,2,0)),"No esta en Infor")</f>
        <v>CAN0044</v>
      </c>
      <c r="C4678" s="3" t="s">
        <v>35</v>
      </c>
      <c r="D4678" s="31">
        <v>128484.29</v>
      </c>
      <c r="F4678" s="31">
        <v>0</v>
      </c>
      <c r="G4678" s="31">
        <v>0</v>
      </c>
      <c r="H4678" s="31">
        <v>0</v>
      </c>
      <c r="I4678" s="31">
        <v>0</v>
      </c>
      <c r="J4678" s="62">
        <f t="shared" si="34"/>
        <v>128484.29</v>
      </c>
    </row>
    <row r="4679" spans="1:10" x14ac:dyDescent="0.25">
      <c r="A4679" s="67">
        <v>45716</v>
      </c>
      <c r="B4679" t="str">
        <f>IFERROR(IF(VLOOKUP(C4679,Hoja1!$B$1:$C$6191,2,0)="",_xlfn.XLOOKUP(C4679,Hoja1!$B$2:$B$6191,Hoja1!$A$2:$A$6191),VLOOKUP(C4679,Hoja1!$B$1:$C$6191,2,0)),"No esta en Infor")</f>
        <v>CAN0046</v>
      </c>
      <c r="C4679" s="3" t="s">
        <v>283</v>
      </c>
      <c r="D4679" s="31">
        <v>235.04</v>
      </c>
      <c r="F4679" s="31">
        <v>0</v>
      </c>
      <c r="G4679" s="31">
        <v>0</v>
      </c>
      <c r="H4679" s="31">
        <v>0</v>
      </c>
      <c r="I4679" s="31">
        <v>0</v>
      </c>
      <c r="J4679" s="62">
        <f t="shared" si="34"/>
        <v>235.04</v>
      </c>
    </row>
    <row r="4680" spans="1:10" x14ac:dyDescent="0.25">
      <c r="A4680" s="67">
        <v>45716</v>
      </c>
      <c r="B4680" t="str">
        <f>IFERROR(IF(VLOOKUP(C4680,Hoja1!$B$1:$C$6191,2,0)="",_xlfn.XLOOKUP(C4680,Hoja1!$B$2:$B$6191,Hoja1!$A$2:$A$6191),VLOOKUP(C4680,Hoja1!$B$1:$C$6191,2,0)),"No esta en Infor")</f>
        <v>NAC1202</v>
      </c>
      <c r="C4680" s="3" t="s">
        <v>416</v>
      </c>
      <c r="D4680" s="31">
        <v>300</v>
      </c>
      <c r="F4680" s="31">
        <v>0</v>
      </c>
      <c r="G4680" s="31">
        <v>0</v>
      </c>
      <c r="H4680" s="31">
        <v>0</v>
      </c>
      <c r="I4680" s="31">
        <v>0</v>
      </c>
      <c r="J4680" s="62">
        <f t="shared" si="34"/>
        <v>300</v>
      </c>
    </row>
    <row r="4681" spans="1:10" x14ac:dyDescent="0.25">
      <c r="A4681" s="67">
        <v>45716</v>
      </c>
      <c r="B4681" t="str">
        <f>IFERROR(IF(VLOOKUP(C4681,Hoja1!$B$1:$C$6191,2,0)="",_xlfn.XLOOKUP(C4681,Hoja1!$B$2:$B$6191,Hoja1!$A$2:$A$6191),VLOOKUP(C4681,Hoja1!$B$1:$C$6191,2,0)),"No esta en Infor")</f>
        <v>NAC1211</v>
      </c>
      <c r="C4681" s="3" t="s">
        <v>284</v>
      </c>
      <c r="D4681" s="31">
        <v>579239.80000000005</v>
      </c>
      <c r="F4681" s="31">
        <v>0</v>
      </c>
      <c r="G4681" s="31">
        <v>0</v>
      </c>
      <c r="H4681" s="31">
        <v>0</v>
      </c>
      <c r="I4681" s="31">
        <v>0</v>
      </c>
      <c r="J4681" s="62">
        <f t="shared" si="34"/>
        <v>579239.80000000005</v>
      </c>
    </row>
    <row r="4682" spans="1:10" x14ac:dyDescent="0.25">
      <c r="A4682" s="67">
        <v>45716</v>
      </c>
      <c r="B4682" t="str">
        <f>IFERROR(IF(VLOOKUP(C4682,Hoja1!$B$1:$C$6191,2,0)="",_xlfn.XLOOKUP(C4682,Hoja1!$B$2:$B$6191,Hoja1!$A$2:$A$6191),VLOOKUP(C4682,Hoja1!$B$1:$C$6191,2,0)),"No esta en Infor")</f>
        <v>NAC1212</v>
      </c>
      <c r="C4682" s="3" t="s">
        <v>285</v>
      </c>
      <c r="D4682" s="31">
        <v>10747.8</v>
      </c>
      <c r="F4682" s="31">
        <v>0</v>
      </c>
      <c r="G4682" s="31">
        <v>0</v>
      </c>
      <c r="H4682" s="31">
        <v>0</v>
      </c>
      <c r="I4682" s="31">
        <v>0</v>
      </c>
      <c r="J4682" s="62">
        <f t="shared" si="34"/>
        <v>10747.8</v>
      </c>
    </row>
    <row r="4683" spans="1:10" x14ac:dyDescent="0.25">
      <c r="A4683" s="67">
        <v>45716</v>
      </c>
      <c r="B4683" t="str">
        <f>IFERROR(IF(VLOOKUP(C4683,Hoja1!$B$1:$C$6191,2,0)="",_xlfn.XLOOKUP(C4683,Hoja1!$B$2:$B$6191,Hoja1!$A$2:$A$6191),VLOOKUP(C4683,Hoja1!$B$1:$C$6191,2,0)),"No esta en Infor")</f>
        <v>NAC1218</v>
      </c>
      <c r="C4683" s="3" t="s">
        <v>474</v>
      </c>
      <c r="D4683" s="31">
        <v>2264.9</v>
      </c>
      <c r="F4683" s="31">
        <v>0</v>
      </c>
      <c r="G4683" s="31">
        <v>0</v>
      </c>
      <c r="H4683" s="31">
        <v>0</v>
      </c>
      <c r="I4683" s="31">
        <v>0</v>
      </c>
      <c r="J4683" s="62">
        <f t="shared" si="34"/>
        <v>2264.9</v>
      </c>
    </row>
    <row r="4684" spans="1:10" x14ac:dyDescent="0.25">
      <c r="A4684" s="67">
        <v>45716</v>
      </c>
      <c r="B4684" t="str">
        <f>IFERROR(IF(VLOOKUP(C4684,Hoja1!$B$1:$C$6191,2,0)="",_xlfn.XLOOKUP(C4684,Hoja1!$B$2:$B$6191,Hoja1!$A$2:$A$6191),VLOOKUP(C4684,Hoja1!$B$1:$C$6191,2,0)),"No esta en Infor")</f>
        <v>CAN0049</v>
      </c>
      <c r="C4684" s="3" t="s">
        <v>289</v>
      </c>
      <c r="D4684" s="31">
        <v>6603.52</v>
      </c>
      <c r="F4684" s="31">
        <v>0</v>
      </c>
      <c r="G4684" s="31">
        <v>-660.04</v>
      </c>
      <c r="H4684" s="31">
        <v>0</v>
      </c>
      <c r="I4684" s="31">
        <v>0</v>
      </c>
      <c r="J4684" s="62">
        <f t="shared" si="34"/>
        <v>5943.4800000000005</v>
      </c>
    </row>
    <row r="4685" spans="1:10" x14ac:dyDescent="0.25">
      <c r="A4685" s="67">
        <v>45716</v>
      </c>
      <c r="B4685" t="str">
        <f>IFERROR(IF(VLOOKUP(C4685,Hoja1!$B$1:$C$6191,2,0)="",_xlfn.XLOOKUP(C4685,Hoja1!$B$2:$B$6191,Hoja1!$A$2:$A$6191),VLOOKUP(C4685,Hoja1!$B$1:$C$6191,2,0)),"No esta en Infor")</f>
        <v>NAC1228</v>
      </c>
      <c r="C4685" s="3" t="s">
        <v>569</v>
      </c>
      <c r="D4685" s="31">
        <v>49937.3</v>
      </c>
      <c r="F4685" s="31">
        <v>0</v>
      </c>
      <c r="G4685" s="31">
        <v>0</v>
      </c>
      <c r="H4685" s="31">
        <v>0</v>
      </c>
      <c r="I4685" s="31">
        <v>0</v>
      </c>
      <c r="J4685" s="62">
        <f t="shared" si="34"/>
        <v>49937.3</v>
      </c>
    </row>
    <row r="4686" spans="1:10" x14ac:dyDescent="0.25">
      <c r="A4686" s="67">
        <v>45716</v>
      </c>
      <c r="B4686" t="str">
        <f>IFERROR(IF(VLOOKUP(C4686,Hoja1!$B$1:$C$6191,2,0)="",_xlfn.XLOOKUP(C4686,Hoja1!$B$2:$B$6191,Hoja1!$A$2:$A$6191),VLOOKUP(C4686,Hoja1!$B$1:$C$6191,2,0)),"No esta en Infor")</f>
        <v>NAC1229</v>
      </c>
      <c r="C4686" s="3" t="s">
        <v>418</v>
      </c>
      <c r="D4686" s="31">
        <v>274.5</v>
      </c>
      <c r="F4686" s="31">
        <v>0</v>
      </c>
      <c r="G4686" s="31">
        <v>0</v>
      </c>
      <c r="H4686" s="31">
        <v>0</v>
      </c>
      <c r="I4686" s="31">
        <v>0</v>
      </c>
      <c r="J4686" s="62">
        <f t="shared" si="34"/>
        <v>274.5</v>
      </c>
    </row>
    <row r="4687" spans="1:10" x14ac:dyDescent="0.25">
      <c r="A4687" s="67">
        <v>45716</v>
      </c>
      <c r="B4687" t="str">
        <f>IFERROR(IF(VLOOKUP(C4687,Hoja1!$B$1:$C$6191,2,0)="",_xlfn.XLOOKUP(C4687,Hoja1!$B$2:$B$6191,Hoja1!$A$2:$A$6191),VLOOKUP(C4687,Hoja1!$B$1:$C$6191,2,0)),"No esta en Infor")</f>
        <v>CAN0050</v>
      </c>
      <c r="C4687" s="3" t="s">
        <v>291</v>
      </c>
      <c r="D4687" s="31">
        <v>100784.7</v>
      </c>
      <c r="F4687" s="31">
        <v>0</v>
      </c>
      <c r="G4687" s="31">
        <v>0</v>
      </c>
      <c r="H4687" s="31">
        <v>0</v>
      </c>
      <c r="I4687" s="31">
        <v>0</v>
      </c>
      <c r="J4687" s="62">
        <f t="shared" si="34"/>
        <v>100784.7</v>
      </c>
    </row>
    <row r="4688" spans="1:10" x14ac:dyDescent="0.25">
      <c r="A4688" s="67">
        <v>45716</v>
      </c>
      <c r="B4688" t="str">
        <f>IFERROR(IF(VLOOKUP(C4688,Hoja1!$B$1:$C$6191,2,0)="",_xlfn.XLOOKUP(C4688,Hoja1!$B$2:$B$6191,Hoja1!$A$2:$A$6191),VLOOKUP(C4688,Hoja1!$B$1:$C$6191,2,0)),"No esta en Infor")</f>
        <v>NAC1234</v>
      </c>
      <c r="C4688" s="3" t="s">
        <v>293</v>
      </c>
      <c r="D4688" s="31">
        <v>100</v>
      </c>
      <c r="F4688" s="31">
        <v>0</v>
      </c>
      <c r="G4688" s="31">
        <v>0</v>
      </c>
      <c r="H4688" s="31">
        <v>0</v>
      </c>
      <c r="I4688" s="31">
        <v>0</v>
      </c>
      <c r="J4688" s="62">
        <f t="shared" si="34"/>
        <v>100</v>
      </c>
    </row>
    <row r="4689" spans="1:10" x14ac:dyDescent="0.25">
      <c r="A4689" s="67">
        <v>45716</v>
      </c>
      <c r="B4689" t="str">
        <f>IFERROR(IF(VLOOKUP(C4689,Hoja1!$B$1:$C$6191,2,0)="",_xlfn.XLOOKUP(C4689,Hoja1!$B$2:$B$6191,Hoja1!$A$2:$A$6191),VLOOKUP(C4689,Hoja1!$B$1:$C$6191,2,0)),"No esta en Infor")</f>
        <v>NAC1247</v>
      </c>
      <c r="C4689" s="3" t="s">
        <v>298</v>
      </c>
      <c r="D4689" s="31">
        <v>4446.96</v>
      </c>
      <c r="F4689" s="31">
        <v>0</v>
      </c>
      <c r="G4689" s="31">
        <v>0</v>
      </c>
      <c r="H4689" s="31">
        <v>0</v>
      </c>
      <c r="I4689" s="31">
        <v>0</v>
      </c>
      <c r="J4689" s="62">
        <f t="shared" si="34"/>
        <v>4446.96</v>
      </c>
    </row>
    <row r="4690" spans="1:10" x14ac:dyDescent="0.25">
      <c r="A4690" s="67">
        <v>45716</v>
      </c>
      <c r="B4690" t="str">
        <f>IFERROR(IF(VLOOKUP(C4690,Hoja1!$B$1:$C$6191,2,0)="",_xlfn.XLOOKUP(C4690,Hoja1!$B$2:$B$6191,Hoja1!$A$2:$A$6191),VLOOKUP(C4690,Hoja1!$B$1:$C$6191,2,0)),"No esta en Infor")</f>
        <v>NAC1249</v>
      </c>
      <c r="C4690" s="3" t="s">
        <v>300</v>
      </c>
      <c r="D4690" s="31">
        <v>12458.6</v>
      </c>
      <c r="F4690" s="31">
        <v>0</v>
      </c>
      <c r="G4690" s="31">
        <v>0</v>
      </c>
      <c r="H4690" s="31">
        <v>0</v>
      </c>
      <c r="I4690" s="31">
        <v>-17.760000000000002</v>
      </c>
      <c r="J4690" s="62">
        <f t="shared" si="34"/>
        <v>12440.84</v>
      </c>
    </row>
    <row r="4691" spans="1:10" x14ac:dyDescent="0.25">
      <c r="A4691" s="67">
        <v>45716</v>
      </c>
      <c r="B4691" t="str">
        <f>IFERROR(IF(VLOOKUP(C4691,Hoja1!$B$1:$C$6191,2,0)="",_xlfn.XLOOKUP(C4691,Hoja1!$B$2:$B$6191,Hoja1!$A$2:$A$6191),VLOOKUP(C4691,Hoja1!$B$1:$C$6191,2,0)),"No esta en Infor")</f>
        <v>NAC1251</v>
      </c>
      <c r="C4691" s="3" t="s">
        <v>519</v>
      </c>
      <c r="D4691" s="31">
        <v>1415.61</v>
      </c>
      <c r="F4691" s="31">
        <v>0</v>
      </c>
      <c r="G4691" s="31">
        <v>0</v>
      </c>
      <c r="H4691" s="31">
        <v>0</v>
      </c>
      <c r="I4691" s="31">
        <v>0</v>
      </c>
      <c r="J4691" s="62">
        <f t="shared" si="34"/>
        <v>1415.61</v>
      </c>
    </row>
    <row r="4692" spans="1:10" x14ac:dyDescent="0.25">
      <c r="A4692" s="67">
        <v>45716</v>
      </c>
      <c r="B4692" t="str">
        <f>IFERROR(IF(VLOOKUP(C4692,Hoja1!$B$1:$C$6191,2,0)="",_xlfn.XLOOKUP(C4692,Hoja1!$B$2:$B$6191,Hoja1!$A$2:$A$6191),VLOOKUP(C4692,Hoja1!$B$1:$C$6191,2,0)),"No esta en Infor")</f>
        <v>NAC1252</v>
      </c>
      <c r="C4692" s="3" t="s">
        <v>301</v>
      </c>
      <c r="D4692" s="31">
        <v>50751.63</v>
      </c>
      <c r="F4692" s="31">
        <v>0</v>
      </c>
      <c r="G4692" s="31">
        <v>0</v>
      </c>
      <c r="H4692" s="31">
        <v>0</v>
      </c>
      <c r="I4692" s="31">
        <v>0</v>
      </c>
      <c r="J4692" s="62">
        <f t="shared" si="34"/>
        <v>50751.63</v>
      </c>
    </row>
    <row r="4693" spans="1:10" x14ac:dyDescent="0.25">
      <c r="A4693" s="67">
        <v>45716</v>
      </c>
      <c r="B4693" t="str">
        <f>IFERROR(IF(VLOOKUP(C4693,Hoja1!$B$1:$C$6191,2,0)="",_xlfn.XLOOKUP(C4693,Hoja1!$B$2:$B$6191,Hoja1!$A$2:$A$6191),VLOOKUP(C4693,Hoja1!$B$1:$C$6191,2,0)),"No esta en Infor")</f>
        <v>CAN0053</v>
      </c>
      <c r="C4693" s="3" t="s">
        <v>302</v>
      </c>
      <c r="D4693" s="31">
        <v>6955.53</v>
      </c>
      <c r="F4693" s="31">
        <v>0</v>
      </c>
      <c r="G4693" s="31">
        <v>0</v>
      </c>
      <c r="H4693" s="31">
        <v>0</v>
      </c>
      <c r="I4693" s="31">
        <v>0</v>
      </c>
      <c r="J4693" s="62">
        <f t="shared" si="34"/>
        <v>6955.53</v>
      </c>
    </row>
    <row r="4694" spans="1:10" x14ac:dyDescent="0.25">
      <c r="A4694" s="67">
        <v>45716</v>
      </c>
      <c r="B4694" t="str">
        <f>IFERROR(IF(VLOOKUP(C4694,Hoja1!$B$1:$C$6191,2,0)="",_xlfn.XLOOKUP(C4694,Hoja1!$B$2:$B$6191,Hoja1!$A$2:$A$6191),VLOOKUP(C4694,Hoja1!$B$1:$C$6191,2,0)),"No esta en Infor")</f>
        <v>NAC1260</v>
      </c>
      <c r="C4694" s="3" t="s">
        <v>571</v>
      </c>
      <c r="D4694" s="31">
        <v>42396.959999999999</v>
      </c>
      <c r="F4694" s="31">
        <v>0</v>
      </c>
      <c r="G4694" s="31">
        <v>-19694.63</v>
      </c>
      <c r="H4694" s="31">
        <v>0</v>
      </c>
      <c r="I4694" s="31">
        <v>0</v>
      </c>
      <c r="J4694" s="62">
        <f t="shared" si="34"/>
        <v>22702.329999999998</v>
      </c>
    </row>
    <row r="4695" spans="1:10" x14ac:dyDescent="0.25">
      <c r="A4695" s="67">
        <v>45716</v>
      </c>
      <c r="B4695" t="str">
        <f>IFERROR(IF(VLOOKUP(C4695,Hoja1!$B$1:$C$6191,2,0)="",_xlfn.XLOOKUP(C4695,Hoja1!$B$2:$B$6191,Hoja1!$A$2:$A$6191),VLOOKUP(C4695,Hoja1!$B$1:$C$6191,2,0)),"No esta en Infor")</f>
        <v>NAC1261</v>
      </c>
      <c r="C4695" s="3" t="s">
        <v>303</v>
      </c>
      <c r="D4695" s="31">
        <v>1323</v>
      </c>
      <c r="F4695" s="31">
        <v>0</v>
      </c>
      <c r="G4695" s="31">
        <v>0</v>
      </c>
      <c r="H4695" s="31">
        <v>0</v>
      </c>
      <c r="I4695" s="31">
        <v>0</v>
      </c>
      <c r="J4695" s="62">
        <f t="shared" si="34"/>
        <v>1323</v>
      </c>
    </row>
    <row r="4696" spans="1:10" x14ac:dyDescent="0.25">
      <c r="A4696" s="67">
        <v>45716</v>
      </c>
      <c r="B4696" t="str">
        <f>IFERROR(IF(VLOOKUP(C4696,Hoja1!$B$1:$C$6191,2,0)="",_xlfn.XLOOKUP(C4696,Hoja1!$B$2:$B$6191,Hoja1!$A$2:$A$6191),VLOOKUP(C4696,Hoja1!$B$1:$C$6191,2,0)),"No esta en Infor")</f>
        <v>NAC1292</v>
      </c>
      <c r="C4696" s="3" t="s">
        <v>46</v>
      </c>
      <c r="D4696" s="31">
        <v>37456.870000000003</v>
      </c>
      <c r="F4696" s="31">
        <v>0</v>
      </c>
      <c r="G4696" s="31">
        <v>0</v>
      </c>
      <c r="H4696" s="31">
        <v>0</v>
      </c>
      <c r="I4696" s="31">
        <v>0</v>
      </c>
      <c r="J4696" s="62">
        <f t="shared" si="34"/>
        <v>37456.870000000003</v>
      </c>
    </row>
    <row r="4697" spans="1:10" x14ac:dyDescent="0.25">
      <c r="A4697" s="67">
        <v>45716</v>
      </c>
      <c r="B4697" t="str">
        <f>IFERROR(IF(VLOOKUP(C4697,Hoja1!$B$1:$C$6191,2,0)="",_xlfn.XLOOKUP(C4697,Hoja1!$B$2:$B$6191,Hoja1!$A$2:$A$6191),VLOOKUP(C4697,Hoja1!$B$1:$C$6191,2,0)),"No esta en Infor")</f>
        <v>CAN0056</v>
      </c>
      <c r="C4697" s="3" t="s">
        <v>590</v>
      </c>
      <c r="D4697" s="31">
        <v>2256.0500000000002</v>
      </c>
      <c r="F4697" s="31">
        <v>0</v>
      </c>
      <c r="G4697" s="31">
        <v>0</v>
      </c>
      <c r="H4697" s="31">
        <v>0</v>
      </c>
      <c r="I4697" s="31">
        <v>0</v>
      </c>
      <c r="J4697" s="62">
        <f t="shared" si="34"/>
        <v>2256.0500000000002</v>
      </c>
    </row>
    <row r="4698" spans="1:10" x14ac:dyDescent="0.25">
      <c r="A4698" s="67">
        <v>45716</v>
      </c>
      <c r="B4698" t="str">
        <f>IFERROR(IF(VLOOKUP(C4698,Hoja1!$B$1:$C$6191,2,0)="",_xlfn.XLOOKUP(C4698,Hoja1!$B$2:$B$6191,Hoja1!$A$2:$A$6191),VLOOKUP(C4698,Hoja1!$B$1:$C$6191,2,0)),"No esta en Infor")</f>
        <v>NAC1297</v>
      </c>
      <c r="C4698" s="3" t="s">
        <v>961</v>
      </c>
      <c r="D4698" s="31">
        <v>541</v>
      </c>
      <c r="F4698" s="31">
        <v>0</v>
      </c>
      <c r="G4698" s="31">
        <v>0</v>
      </c>
      <c r="H4698" s="31">
        <v>0</v>
      </c>
      <c r="I4698" s="31">
        <v>0</v>
      </c>
      <c r="J4698" s="62">
        <f t="shared" si="34"/>
        <v>541</v>
      </c>
    </row>
    <row r="4699" spans="1:10" x14ac:dyDescent="0.25">
      <c r="A4699" s="67">
        <v>45716</v>
      </c>
      <c r="B4699" t="str">
        <f>IFERROR(IF(VLOOKUP(C4699,Hoja1!$B$1:$C$6191,2,0)="",_xlfn.XLOOKUP(C4699,Hoja1!$B$2:$B$6191,Hoja1!$A$2:$A$6191),VLOOKUP(C4699,Hoja1!$B$1:$C$6191,2,0)),"No esta en Infor")</f>
        <v>NAC1353</v>
      </c>
      <c r="C4699" s="3" t="s">
        <v>700</v>
      </c>
      <c r="D4699" s="31">
        <v>340.83</v>
      </c>
      <c r="F4699" s="31">
        <v>0</v>
      </c>
      <c r="G4699" s="31">
        <v>0</v>
      </c>
      <c r="H4699" s="31">
        <v>0</v>
      </c>
      <c r="I4699" s="31">
        <v>0</v>
      </c>
      <c r="J4699" s="62">
        <f t="shared" si="34"/>
        <v>340.83</v>
      </c>
    </row>
    <row r="4700" spans="1:10" x14ac:dyDescent="0.25">
      <c r="A4700" s="67">
        <v>45716</v>
      </c>
      <c r="B4700" t="str">
        <f>IFERROR(IF(VLOOKUP(C4700,Hoja1!$B$1:$C$6191,2,0)="",_xlfn.XLOOKUP(C4700,Hoja1!$B$2:$B$6191,Hoja1!$A$2:$A$6191),VLOOKUP(C4700,Hoja1!$B$1:$C$6191,2,0)),"No esta en Infor")</f>
        <v>NAC1357</v>
      </c>
      <c r="C4700" s="3" t="s">
        <v>423</v>
      </c>
      <c r="D4700" s="31">
        <v>101</v>
      </c>
      <c r="F4700" s="31">
        <v>0</v>
      </c>
      <c r="G4700" s="31">
        <v>0</v>
      </c>
      <c r="H4700" s="31">
        <v>0</v>
      </c>
      <c r="I4700" s="31">
        <v>0</v>
      </c>
      <c r="J4700" s="62">
        <f t="shared" si="34"/>
        <v>101</v>
      </c>
    </row>
    <row r="4701" spans="1:10" x14ac:dyDescent="0.25">
      <c r="A4701" s="67">
        <v>45716</v>
      </c>
      <c r="B4701" t="str">
        <f>IFERROR(IF(VLOOKUP(C4701,Hoja1!$B$1:$C$6191,2,0)="",_xlfn.XLOOKUP(C4701,Hoja1!$B$2:$B$6191,Hoja1!$A$2:$A$6191),VLOOKUP(C4701,Hoja1!$B$1:$C$6191,2,0)),"No esta en Infor")</f>
        <v>NAC1380</v>
      </c>
      <c r="C4701" s="3" t="s">
        <v>427</v>
      </c>
      <c r="D4701" s="31">
        <v>10471</v>
      </c>
      <c r="F4701" s="31">
        <v>0</v>
      </c>
      <c r="G4701" s="31">
        <v>0</v>
      </c>
      <c r="H4701" s="31">
        <v>0</v>
      </c>
      <c r="I4701" s="31">
        <v>0</v>
      </c>
      <c r="J4701" s="62">
        <f t="shared" si="34"/>
        <v>10471</v>
      </c>
    </row>
    <row r="4702" spans="1:10" x14ac:dyDescent="0.25">
      <c r="A4702" s="67">
        <v>45716</v>
      </c>
      <c r="B4702" t="str">
        <f>IFERROR(IF(VLOOKUP(C4702,Hoja1!$B$1:$C$6191,2,0)="",_xlfn.XLOOKUP(C4702,Hoja1!$B$2:$B$6191,Hoja1!$A$2:$A$6191),VLOOKUP(C4702,Hoja1!$B$1:$C$6191,2,0)),"No esta en Infor")</f>
        <v>CAN0067</v>
      </c>
      <c r="C4702" s="3" t="s">
        <v>775</v>
      </c>
      <c r="D4702" s="31">
        <v>497.2</v>
      </c>
      <c r="F4702" s="31">
        <v>0</v>
      </c>
      <c r="G4702" s="31">
        <v>0</v>
      </c>
      <c r="H4702" s="31">
        <v>0</v>
      </c>
      <c r="I4702" s="31">
        <v>0</v>
      </c>
      <c r="J4702" s="62">
        <f t="shared" si="34"/>
        <v>497.2</v>
      </c>
    </row>
    <row r="4703" spans="1:10" x14ac:dyDescent="0.25">
      <c r="A4703" s="67">
        <v>45716</v>
      </c>
      <c r="B4703" t="str">
        <f>IFERROR(IF(VLOOKUP(C4703,Hoja1!$B$1:$C$6191,2,0)="",_xlfn.XLOOKUP(C4703,Hoja1!$B$2:$B$6191,Hoja1!$A$2:$A$6191),VLOOKUP(C4703,Hoja1!$B$1:$C$6191,2,0)),"No esta en Infor")</f>
        <v>NAC1382</v>
      </c>
      <c r="C4703" s="3" t="s">
        <v>332</v>
      </c>
      <c r="D4703" s="31">
        <v>235785.38</v>
      </c>
      <c r="F4703" s="31">
        <v>0</v>
      </c>
      <c r="G4703" s="31">
        <v>0</v>
      </c>
      <c r="H4703" s="31">
        <v>0</v>
      </c>
      <c r="I4703" s="31">
        <v>0</v>
      </c>
      <c r="J4703" s="62">
        <f t="shared" si="34"/>
        <v>235785.38</v>
      </c>
    </row>
    <row r="4704" spans="1:10" x14ac:dyDescent="0.25">
      <c r="A4704" s="67">
        <v>45716</v>
      </c>
      <c r="B4704" t="str">
        <f>IFERROR(IF(VLOOKUP(C4704,Hoja1!$B$1:$C$6191,2,0)="",_xlfn.XLOOKUP(C4704,Hoja1!$B$2:$B$6191,Hoja1!$A$2:$A$6191),VLOOKUP(C4704,Hoja1!$B$1:$C$6191,2,0)),"No esta en Infor")</f>
        <v>NAC1610</v>
      </c>
      <c r="C4704" s="3" t="s">
        <v>540</v>
      </c>
      <c r="D4704" s="31">
        <v>33.200000000000003</v>
      </c>
      <c r="F4704" s="31">
        <v>0</v>
      </c>
      <c r="G4704" s="31">
        <v>0</v>
      </c>
      <c r="H4704" s="31">
        <v>0</v>
      </c>
      <c r="I4704" s="31">
        <v>0</v>
      </c>
      <c r="J4704" s="62">
        <f t="shared" si="34"/>
        <v>33.200000000000003</v>
      </c>
    </row>
    <row r="4705" spans="1:10" x14ac:dyDescent="0.25">
      <c r="A4705" s="67">
        <v>45716</v>
      </c>
      <c r="B4705" t="str">
        <f>IFERROR(IF(VLOOKUP(C4705,Hoja1!$B$1:$C$6191,2,0)="",_xlfn.XLOOKUP(C4705,Hoja1!$B$2:$B$6191,Hoja1!$A$2:$A$6191),VLOOKUP(C4705,Hoja1!$B$1:$C$6191,2,0)),"No esta en Infor")</f>
        <v>NAC1395</v>
      </c>
      <c r="C4705" s="3" t="s">
        <v>337</v>
      </c>
      <c r="D4705" s="31">
        <v>24295.56</v>
      </c>
      <c r="F4705" s="31">
        <v>0</v>
      </c>
      <c r="G4705" s="31">
        <v>0</v>
      </c>
      <c r="H4705" s="31">
        <v>0</v>
      </c>
      <c r="I4705" s="31">
        <v>0</v>
      </c>
      <c r="J4705" s="62">
        <f t="shared" si="34"/>
        <v>24295.56</v>
      </c>
    </row>
    <row r="4706" spans="1:10" x14ac:dyDescent="0.25">
      <c r="A4706" s="67">
        <v>45716</v>
      </c>
      <c r="B4706" t="str">
        <f>IFERROR(IF(VLOOKUP(C4706,Hoja1!$B$1:$C$6191,2,0)="",_xlfn.XLOOKUP(C4706,Hoja1!$B$2:$B$6191,Hoja1!$A$2:$A$6191),VLOOKUP(C4706,Hoja1!$B$1:$C$6191,2,0)),"No esta en Infor")</f>
        <v>NAC1408</v>
      </c>
      <c r="C4706" s="3" t="s">
        <v>530</v>
      </c>
      <c r="D4706" s="31">
        <v>2765.8</v>
      </c>
      <c r="F4706" s="31">
        <v>0</v>
      </c>
      <c r="G4706" s="31">
        <v>0</v>
      </c>
      <c r="H4706" s="31">
        <v>0</v>
      </c>
      <c r="I4706" s="31">
        <v>0</v>
      </c>
      <c r="J4706" s="62">
        <f t="shared" si="34"/>
        <v>2765.8</v>
      </c>
    </row>
    <row r="4707" spans="1:10" x14ac:dyDescent="0.25">
      <c r="A4707" s="67">
        <v>45716</v>
      </c>
      <c r="B4707" t="str">
        <f>IFERROR(IF(VLOOKUP(C4707,Hoja1!$B$1:$C$6191,2,0)="",_xlfn.XLOOKUP(C4707,Hoja1!$B$2:$B$6191,Hoja1!$A$2:$A$6191),VLOOKUP(C4707,Hoja1!$B$1:$C$6191,2,0)),"No esta en Infor")</f>
        <v>NAC0597</v>
      </c>
      <c r="C4707" s="3" t="s">
        <v>1368</v>
      </c>
      <c r="D4707" s="31">
        <v>244.72</v>
      </c>
      <c r="F4707" s="31">
        <v>0</v>
      </c>
      <c r="G4707" s="31">
        <v>0</v>
      </c>
      <c r="H4707" s="31">
        <v>0</v>
      </c>
      <c r="I4707" s="31">
        <v>0</v>
      </c>
      <c r="J4707" s="62">
        <f t="shared" si="34"/>
        <v>244.72</v>
      </c>
    </row>
    <row r="4708" spans="1:10" x14ac:dyDescent="0.25">
      <c r="A4708" s="67">
        <v>45716</v>
      </c>
      <c r="B4708" t="str">
        <f>IFERROR(IF(VLOOKUP(C4708,Hoja1!$B$1:$C$6191,2,0)="",_xlfn.XLOOKUP(C4708,Hoja1!$B$2:$B$6191,Hoja1!$A$2:$A$6191),VLOOKUP(C4708,Hoja1!$B$1:$C$6191,2,0)),"No esta en Infor")</f>
        <v>CAN0090</v>
      </c>
      <c r="C4708" s="3" t="s">
        <v>574</v>
      </c>
      <c r="D4708" s="31">
        <v>21898.880000000001</v>
      </c>
      <c r="F4708" s="31">
        <v>0</v>
      </c>
      <c r="G4708" s="31">
        <v>0</v>
      </c>
      <c r="H4708" s="31">
        <v>0</v>
      </c>
      <c r="I4708" s="31">
        <v>0</v>
      </c>
      <c r="J4708" s="62">
        <f t="shared" si="34"/>
        <v>21898.880000000001</v>
      </c>
    </row>
    <row r="4709" spans="1:10" x14ac:dyDescent="0.25">
      <c r="A4709" s="67">
        <v>45716</v>
      </c>
      <c r="B4709" t="str">
        <f>IFERROR(IF(VLOOKUP(C4709,Hoja1!$B$1:$C$6191,2,0)="",_xlfn.XLOOKUP(C4709,Hoja1!$B$2:$B$6191,Hoja1!$A$2:$A$6191),VLOOKUP(C4709,Hoja1!$B$1:$C$6191,2,0)),"No esta en Infor")</f>
        <v>NAC1413</v>
      </c>
      <c r="C4709" s="3" t="s">
        <v>342</v>
      </c>
      <c r="D4709" s="31">
        <v>32210.75</v>
      </c>
      <c r="F4709" s="31">
        <v>0</v>
      </c>
      <c r="G4709" s="31">
        <v>0</v>
      </c>
      <c r="H4709" s="31">
        <v>0</v>
      </c>
      <c r="I4709" s="31">
        <v>0</v>
      </c>
      <c r="J4709" s="62">
        <f t="shared" si="34"/>
        <v>32210.75</v>
      </c>
    </row>
    <row r="4710" spans="1:10" x14ac:dyDescent="0.25">
      <c r="A4710" s="67">
        <v>45716</v>
      </c>
      <c r="B4710" t="str">
        <f>IFERROR(IF(VLOOKUP(C4710,Hoja1!$B$1:$C$6191,2,0)="",_xlfn.XLOOKUP(C4710,Hoja1!$B$2:$B$6191,Hoja1!$A$2:$A$6191),VLOOKUP(C4710,Hoja1!$B$1:$C$6191,2,0)),"No esta en Infor")</f>
        <v>NAC1424</v>
      </c>
      <c r="C4710" s="3" t="s">
        <v>345</v>
      </c>
      <c r="D4710" s="31">
        <v>34476.85</v>
      </c>
      <c r="F4710" s="31">
        <v>0</v>
      </c>
      <c r="G4710" s="31">
        <v>0</v>
      </c>
      <c r="H4710" s="31">
        <v>0</v>
      </c>
      <c r="I4710" s="31">
        <v>0</v>
      </c>
      <c r="J4710" s="62">
        <f t="shared" si="34"/>
        <v>34476.85</v>
      </c>
    </row>
    <row r="4711" spans="1:10" x14ac:dyDescent="0.25">
      <c r="A4711" s="67">
        <v>45716</v>
      </c>
      <c r="B4711" t="str">
        <f>IFERROR(IF(VLOOKUP(C4711,Hoja1!$B$1:$C$6191,2,0)="",_xlfn.XLOOKUP(C4711,Hoja1!$B$2:$B$6191,Hoja1!$A$2:$A$6191),VLOOKUP(C4711,Hoja1!$B$1:$C$6191,2,0)),"No esta en Infor")</f>
        <v>NAC1426</v>
      </c>
      <c r="C4711" s="3" t="s">
        <v>531</v>
      </c>
      <c r="D4711" s="31">
        <v>466</v>
      </c>
      <c r="F4711" s="31">
        <v>0</v>
      </c>
      <c r="G4711" s="31">
        <v>0</v>
      </c>
      <c r="H4711" s="31">
        <v>0</v>
      </c>
      <c r="I4711" s="31">
        <v>0</v>
      </c>
      <c r="J4711" s="62">
        <f t="shared" si="34"/>
        <v>466</v>
      </c>
    </row>
    <row r="4712" spans="1:10" x14ac:dyDescent="0.25">
      <c r="A4712" s="67">
        <v>45716</v>
      </c>
      <c r="B4712" t="str">
        <f>IFERROR(IF(VLOOKUP(C4712,Hoja1!$B$1:$C$6191,2,0)="",_xlfn.XLOOKUP(C4712,Hoja1!$B$2:$B$6191,Hoja1!$A$2:$A$6191),VLOOKUP(C4712,Hoja1!$B$1:$C$6191,2,0)),"No esta en Infor")</f>
        <v>NAC1434</v>
      </c>
      <c r="C4712" s="3" t="s">
        <v>348</v>
      </c>
      <c r="D4712" s="31">
        <v>6331</v>
      </c>
      <c r="F4712" s="31">
        <v>0</v>
      </c>
      <c r="G4712" s="31">
        <v>0</v>
      </c>
      <c r="H4712" s="31">
        <v>0</v>
      </c>
      <c r="I4712" s="31">
        <v>0</v>
      </c>
      <c r="J4712" s="62">
        <f t="shared" si="34"/>
        <v>6331</v>
      </c>
    </row>
    <row r="4713" spans="1:10" x14ac:dyDescent="0.25">
      <c r="A4713" s="67">
        <v>45716</v>
      </c>
      <c r="B4713" t="str">
        <f>IFERROR(IF(VLOOKUP(C4713,Hoja1!$B$1:$C$6191,2,0)="",_xlfn.XLOOKUP(C4713,Hoja1!$B$2:$B$6191,Hoja1!$A$2:$A$6191),VLOOKUP(C4713,Hoja1!$B$1:$C$6191,2,0)),"No esta en Infor")</f>
        <v>NAC1659</v>
      </c>
      <c r="C4713" s="3" t="s">
        <v>3028</v>
      </c>
      <c r="D4713" s="31">
        <v>205440</v>
      </c>
      <c r="F4713" s="31">
        <v>0</v>
      </c>
      <c r="G4713" s="31">
        <v>0</v>
      </c>
      <c r="H4713" s="31">
        <v>0</v>
      </c>
      <c r="I4713" s="31">
        <v>0</v>
      </c>
      <c r="J4713" s="62">
        <f t="shared" si="34"/>
        <v>205440</v>
      </c>
    </row>
    <row r="4714" spans="1:10" x14ac:dyDescent="0.25">
      <c r="A4714" s="67">
        <v>45716</v>
      </c>
      <c r="B4714" t="str">
        <f>IFERROR(IF(VLOOKUP(C4714,Hoja1!$B$1:$C$6191,2,0)="",_xlfn.XLOOKUP(C4714,Hoja1!$B$2:$B$6191,Hoja1!$A$2:$A$6191),VLOOKUP(C4714,Hoja1!$B$1:$C$6191,2,0)),"No esta en Infor")</f>
        <v>NAC1445</v>
      </c>
      <c r="C4714" s="3" t="s">
        <v>481</v>
      </c>
      <c r="D4714" s="31">
        <v>950</v>
      </c>
      <c r="F4714" s="31">
        <v>0</v>
      </c>
      <c r="G4714" s="31">
        <v>0</v>
      </c>
      <c r="H4714" s="31">
        <v>0</v>
      </c>
      <c r="I4714" s="31">
        <v>0</v>
      </c>
      <c r="J4714" s="62">
        <f t="shared" si="34"/>
        <v>950</v>
      </c>
    </row>
    <row r="4715" spans="1:10" x14ac:dyDescent="0.25">
      <c r="A4715" s="67">
        <v>45716</v>
      </c>
      <c r="B4715" t="str">
        <f>IFERROR(IF(VLOOKUP(C4715,Hoja1!$B$1:$C$6191,2,0)="",_xlfn.XLOOKUP(C4715,Hoja1!$B$2:$B$6191,Hoja1!$A$2:$A$6191),VLOOKUP(C4715,Hoja1!$B$1:$C$6191,2,0)),"No esta en Infor")</f>
        <v>NAC1471</v>
      </c>
      <c r="C4715" s="3" t="s">
        <v>351</v>
      </c>
      <c r="D4715" s="31">
        <v>78736.58</v>
      </c>
      <c r="F4715" s="31">
        <v>0</v>
      </c>
      <c r="G4715" s="31">
        <v>0</v>
      </c>
      <c r="H4715" s="31">
        <v>0</v>
      </c>
      <c r="I4715" s="31">
        <v>0</v>
      </c>
      <c r="J4715" s="62">
        <f t="shared" si="34"/>
        <v>78736.58</v>
      </c>
    </row>
    <row r="4716" spans="1:10" x14ac:dyDescent="0.25">
      <c r="A4716" s="67">
        <v>45716</v>
      </c>
      <c r="B4716" t="str">
        <f>IFERROR(IF(VLOOKUP(C4716,Hoja1!$B$1:$C$6191,2,0)="",_xlfn.XLOOKUP(C4716,Hoja1!$B$2:$B$6191,Hoja1!$A$2:$A$6191),VLOOKUP(C4716,Hoja1!$B$1:$C$6191,2,0)),"No esta en Infor")</f>
        <v>NAC1473</v>
      </c>
      <c r="C4716" s="3" t="s">
        <v>532</v>
      </c>
      <c r="D4716" s="31">
        <v>3665</v>
      </c>
      <c r="F4716" s="31">
        <v>0</v>
      </c>
      <c r="G4716" s="31">
        <v>0</v>
      </c>
      <c r="H4716" s="31">
        <v>0</v>
      </c>
      <c r="I4716" s="31">
        <v>0</v>
      </c>
      <c r="J4716" s="62">
        <f t="shared" si="34"/>
        <v>3665</v>
      </c>
    </row>
    <row r="4717" spans="1:10" x14ac:dyDescent="0.25">
      <c r="A4717" s="67">
        <v>45716</v>
      </c>
      <c r="B4717" t="str">
        <f>IFERROR(IF(VLOOKUP(C4717,Hoja1!$B$1:$C$6191,2,0)="",_xlfn.XLOOKUP(C4717,Hoja1!$B$2:$B$6191,Hoja1!$A$2:$A$6191),VLOOKUP(C4717,Hoja1!$B$1:$C$6191,2,0)),"No esta en Infor")</f>
        <v>NAC1474</v>
      </c>
      <c r="C4717" s="3" t="s">
        <v>352</v>
      </c>
      <c r="D4717" s="31">
        <v>42019.05</v>
      </c>
      <c r="F4717" s="31">
        <v>0</v>
      </c>
      <c r="G4717" s="31">
        <v>0</v>
      </c>
      <c r="H4717" s="31">
        <v>0</v>
      </c>
      <c r="I4717" s="31">
        <v>0</v>
      </c>
      <c r="J4717" s="62">
        <f t="shared" si="34"/>
        <v>42019.05</v>
      </c>
    </row>
    <row r="4718" spans="1:10" x14ac:dyDescent="0.25">
      <c r="A4718" s="67">
        <v>45716</v>
      </c>
      <c r="B4718" t="str">
        <f>IFERROR(IF(VLOOKUP(C4718,Hoja1!$B$1:$C$6191,2,0)="",_xlfn.XLOOKUP(C4718,Hoja1!$B$2:$B$6191,Hoja1!$A$2:$A$6191),VLOOKUP(C4718,Hoja1!$B$1:$C$6191,2,0)),"No esta en Infor")</f>
        <v>CAN0078</v>
      </c>
      <c r="C4718" s="3" t="s">
        <v>55</v>
      </c>
      <c r="D4718" s="31">
        <v>2079.1999999999998</v>
      </c>
      <c r="F4718" s="31">
        <v>0</v>
      </c>
      <c r="G4718" s="31">
        <v>0</v>
      </c>
      <c r="H4718" s="31">
        <v>0</v>
      </c>
      <c r="I4718" s="31">
        <v>0</v>
      </c>
      <c r="J4718" s="62">
        <f t="shared" si="34"/>
        <v>2079.1999999999998</v>
      </c>
    </row>
    <row r="4719" spans="1:10" x14ac:dyDescent="0.25">
      <c r="A4719" s="67">
        <v>45716</v>
      </c>
      <c r="B4719" t="str">
        <f>IFERROR(IF(VLOOKUP(C4719,Hoja1!$B$1:$C$6191,2,0)="",_xlfn.XLOOKUP(C4719,Hoja1!$B$2:$B$6191,Hoja1!$A$2:$A$6191),VLOOKUP(C4719,Hoja1!$B$1:$C$6191,2,0)),"No esta en Infor")</f>
        <v>CAN0080</v>
      </c>
      <c r="C4719" s="3" t="s">
        <v>533</v>
      </c>
      <c r="D4719" s="31">
        <v>6044.29</v>
      </c>
      <c r="F4719" s="31">
        <v>0</v>
      </c>
      <c r="G4719" s="31">
        <v>0</v>
      </c>
      <c r="H4719" s="31">
        <v>-93.6</v>
      </c>
      <c r="I4719" s="31">
        <v>0</v>
      </c>
      <c r="J4719" s="62">
        <f t="shared" si="34"/>
        <v>5950.69</v>
      </c>
    </row>
    <row r="4720" spans="1:10" x14ac:dyDescent="0.25">
      <c r="A4720" s="67">
        <v>45716</v>
      </c>
      <c r="B4720" t="str">
        <f>IFERROR(IF(VLOOKUP(C4720,Hoja1!$B$1:$C$6191,2,0)="",_xlfn.XLOOKUP(C4720,Hoja1!$B$2:$B$6191,Hoja1!$A$2:$A$6191),VLOOKUP(C4720,Hoja1!$B$1:$C$6191,2,0)),"No esta en Infor")</f>
        <v>NAC1483</v>
      </c>
      <c r="C4720" s="3" t="s">
        <v>357</v>
      </c>
      <c r="D4720" s="31">
        <v>12744.23</v>
      </c>
      <c r="F4720" s="31">
        <v>0</v>
      </c>
      <c r="G4720" s="31">
        <v>0</v>
      </c>
      <c r="H4720" s="31">
        <v>0</v>
      </c>
      <c r="I4720" s="31">
        <v>0</v>
      </c>
      <c r="J4720" s="62">
        <f t="shared" si="34"/>
        <v>12744.23</v>
      </c>
    </row>
    <row r="4721" spans="1:10" x14ac:dyDescent="0.25">
      <c r="A4721" s="67">
        <v>45716</v>
      </c>
      <c r="B4721" t="str">
        <f>IFERROR(IF(VLOOKUP(C4721,Hoja1!$B$1:$C$6191,2,0)="",_xlfn.XLOOKUP(C4721,Hoja1!$B$2:$B$6191,Hoja1!$A$2:$A$6191),VLOOKUP(C4721,Hoja1!$B$1:$C$6191,2,0)),"No esta en Infor")</f>
        <v>CAN0082</v>
      </c>
      <c r="C4721" s="3" t="s">
        <v>362</v>
      </c>
      <c r="D4721" s="31">
        <v>589.86</v>
      </c>
      <c r="F4721" s="31">
        <v>0</v>
      </c>
      <c r="G4721" s="31">
        <v>0</v>
      </c>
      <c r="H4721" s="31">
        <v>0</v>
      </c>
      <c r="I4721" s="31">
        <v>0</v>
      </c>
      <c r="J4721" s="62">
        <f t="shared" si="34"/>
        <v>589.86</v>
      </c>
    </row>
    <row r="4722" spans="1:10" x14ac:dyDescent="0.25">
      <c r="A4722" s="67">
        <v>45716</v>
      </c>
      <c r="B4722" t="str">
        <f>IFERROR(IF(VLOOKUP(C4722,Hoja1!$B$1:$C$6191,2,0)="",_xlfn.XLOOKUP(C4722,Hoja1!$B$2:$B$6191,Hoja1!$A$2:$A$6191),VLOOKUP(C4722,Hoja1!$B$1:$C$6191,2,0)),"No esta en Infor")</f>
        <v>NAC1506</v>
      </c>
      <c r="C4722" s="3" t="s">
        <v>364</v>
      </c>
      <c r="D4722" s="31">
        <v>462</v>
      </c>
      <c r="F4722" s="31">
        <v>0</v>
      </c>
      <c r="G4722" s="31">
        <v>0</v>
      </c>
      <c r="H4722" s="31">
        <v>0</v>
      </c>
      <c r="I4722" s="31">
        <v>0</v>
      </c>
      <c r="J4722" s="62">
        <f t="shared" si="34"/>
        <v>462</v>
      </c>
    </row>
    <row r="4723" spans="1:10" x14ac:dyDescent="0.25">
      <c r="A4723" s="67">
        <v>45716</v>
      </c>
      <c r="B4723" t="str">
        <f>IFERROR(IF(VLOOKUP(C4723,Hoja1!$B$1:$C$6191,2,0)="",_xlfn.XLOOKUP(C4723,Hoja1!$B$2:$B$6191,Hoja1!$A$2:$A$6191),VLOOKUP(C4723,Hoja1!$B$1:$C$6191,2,0)),"No esta en Infor")</f>
        <v>CAN0083</v>
      </c>
      <c r="C4723" s="3" t="s">
        <v>433</v>
      </c>
      <c r="D4723" s="31">
        <v>562.74</v>
      </c>
      <c r="F4723" s="31">
        <v>0</v>
      </c>
      <c r="G4723" s="31">
        <v>0</v>
      </c>
      <c r="H4723" s="31">
        <v>0</v>
      </c>
      <c r="I4723" s="31">
        <v>0</v>
      </c>
      <c r="J4723" s="62">
        <f t="shared" si="34"/>
        <v>562.74</v>
      </c>
    </row>
    <row r="4724" spans="1:10" x14ac:dyDescent="0.25">
      <c r="A4724" s="67">
        <v>45716</v>
      </c>
      <c r="B4724" t="str">
        <f>IFERROR(IF(VLOOKUP(C4724,Hoja1!$B$1:$C$6191,2,0)="",_xlfn.XLOOKUP(C4724,Hoja1!$B$2:$B$6191,Hoja1!$A$2:$A$6191),VLOOKUP(C4724,Hoja1!$B$1:$C$6191,2,0)),"No esta en Infor")</f>
        <v>CAN0084</v>
      </c>
      <c r="C4724" s="3" t="s">
        <v>535</v>
      </c>
      <c r="D4724" s="31">
        <v>470.08</v>
      </c>
      <c r="F4724" s="31">
        <v>0</v>
      </c>
      <c r="G4724" s="31">
        <v>0</v>
      </c>
      <c r="H4724" s="31">
        <v>0</v>
      </c>
      <c r="I4724" s="31">
        <v>0</v>
      </c>
      <c r="J4724" s="62">
        <f t="shared" si="34"/>
        <v>470.08</v>
      </c>
    </row>
    <row r="4725" spans="1:10" x14ac:dyDescent="0.25">
      <c r="A4725" s="67">
        <v>45716</v>
      </c>
      <c r="B4725" t="str">
        <f>IFERROR(IF(VLOOKUP(C4725,Hoja1!$B$1:$C$6191,2,0)="",_xlfn.XLOOKUP(C4725,Hoja1!$B$2:$B$6191,Hoja1!$A$2:$A$6191),VLOOKUP(C4725,Hoja1!$B$1:$C$6191,2,0)),"No esta en Infor")</f>
        <v>NAC1522</v>
      </c>
      <c r="C4725" s="3" t="s">
        <v>366</v>
      </c>
      <c r="D4725" s="31">
        <v>502.82</v>
      </c>
      <c r="F4725" s="31">
        <v>0</v>
      </c>
      <c r="G4725" s="31">
        <v>0</v>
      </c>
      <c r="H4725" s="31">
        <v>0</v>
      </c>
      <c r="I4725" s="31">
        <v>0</v>
      </c>
      <c r="J4725" s="62">
        <f t="shared" si="34"/>
        <v>502.82</v>
      </c>
    </row>
    <row r="4726" spans="1:10" x14ac:dyDescent="0.25">
      <c r="A4726" s="67">
        <v>45716</v>
      </c>
      <c r="B4726" t="str">
        <f>IFERROR(IF(VLOOKUP(C4726,Hoja1!$B$1:$C$6191,2,0)="",_xlfn.XLOOKUP(C4726,Hoja1!$B$2:$B$6191,Hoja1!$A$2:$A$6191),VLOOKUP(C4726,Hoja1!$B$1:$C$6191,2,0)),"No esta en Infor")</f>
        <v>NAC1528</v>
      </c>
      <c r="C4726" s="3" t="s">
        <v>974</v>
      </c>
      <c r="D4726" s="31">
        <v>232</v>
      </c>
      <c r="F4726" s="31">
        <v>0</v>
      </c>
      <c r="G4726" s="31">
        <v>0</v>
      </c>
      <c r="H4726" s="31">
        <v>0</v>
      </c>
      <c r="I4726" s="31">
        <v>0</v>
      </c>
      <c r="J4726" s="62">
        <f t="shared" si="34"/>
        <v>232</v>
      </c>
    </row>
    <row r="4727" spans="1:10" x14ac:dyDescent="0.25">
      <c r="A4727" s="67">
        <v>45716</v>
      </c>
      <c r="B4727" t="str">
        <f>IFERROR(IF(VLOOKUP(C4727,Hoja1!$B$1:$C$6191,2,0)="",_xlfn.XLOOKUP(C4727,Hoja1!$B$2:$B$6191,Hoja1!$A$2:$A$6191),VLOOKUP(C4727,Hoja1!$B$1:$C$6191,2,0)),"No esta en Infor")</f>
        <v>NAC1530</v>
      </c>
      <c r="C4727" s="3" t="s">
        <v>611</v>
      </c>
      <c r="D4727" s="31">
        <v>284.70999999999998</v>
      </c>
      <c r="F4727" s="31">
        <v>-0.01</v>
      </c>
      <c r="G4727" s="31">
        <v>0</v>
      </c>
      <c r="H4727" s="31">
        <v>0</v>
      </c>
      <c r="I4727" s="31">
        <v>0</v>
      </c>
      <c r="J4727" s="62">
        <f t="shared" ref="J4727:J4728" si="35">SUM(D4727:I4727)</f>
        <v>284.7</v>
      </c>
    </row>
    <row r="4728" spans="1:10" ht="15.75" thickBot="1" x14ac:dyDescent="0.3">
      <c r="A4728" s="67">
        <v>45716</v>
      </c>
      <c r="B4728" t="str">
        <f>IFERROR(IF(VLOOKUP(C4728,Hoja1!$B$1:$C$6191,2,0)="",_xlfn.XLOOKUP(C4728,Hoja1!$B$2:$B$6191,Hoja1!$A$2:$A$6191),VLOOKUP(C4728,Hoja1!$B$1:$C$6191,2,0)),"No esta en Infor")</f>
        <v>NAC1543</v>
      </c>
      <c r="C4728" s="65" t="s">
        <v>888</v>
      </c>
      <c r="D4728" s="66">
        <v>796.88</v>
      </c>
      <c r="F4728" s="66">
        <v>0</v>
      </c>
      <c r="G4728" s="66">
        <v>0</v>
      </c>
      <c r="H4728" s="66">
        <v>0</v>
      </c>
      <c r="I4728" s="66">
        <v>0</v>
      </c>
      <c r="J4728" s="62">
        <f t="shared" si="35"/>
        <v>796.88</v>
      </c>
    </row>
    <row r="4729" spans="1:10" x14ac:dyDescent="0.25">
      <c r="A4729" s="20">
        <v>45747</v>
      </c>
      <c r="B4729" t="str">
        <f>IFERROR(IF(VLOOKUP(C4729,Hoja1!$B$1:$C$6191,2,0)="",_xlfn.XLOOKUP(C4729,Hoja1!$B$2:$B$6191,Hoja1!$A$2:$A$6191),VLOOKUP(C4729,Hoja1!$B$1:$C$6191,2,0)),"No esta en Infor")</f>
        <v>CAN0006</v>
      </c>
      <c r="C4729" s="3" t="s">
        <v>17</v>
      </c>
      <c r="D4729" s="31">
        <v>52552.5</v>
      </c>
      <c r="F4729" s="31">
        <v>514.5</v>
      </c>
      <c r="G4729" s="31">
        <v>893.02</v>
      </c>
      <c r="H4729" s="31">
        <v>0</v>
      </c>
      <c r="I4729" s="32">
        <v>-1036.68</v>
      </c>
      <c r="J4729" s="62">
        <f t="shared" ref="J4729:J4792" si="36">SUM(D4729:I4729)</f>
        <v>52923.34</v>
      </c>
    </row>
    <row r="4730" spans="1:10" x14ac:dyDescent="0.25">
      <c r="A4730" s="20">
        <v>45747</v>
      </c>
      <c r="B4730" t="str">
        <f>IFERROR(IF(VLOOKUP(C4730,Hoja1!$B$1:$C$6191,2,0)="",_xlfn.XLOOKUP(C4730,Hoja1!$B$2:$B$6191,Hoja1!$A$2:$A$6191),VLOOKUP(C4730,Hoja1!$B$1:$C$6191,2,0)),"No esta en Infor")</f>
        <v>CAN0011</v>
      </c>
      <c r="C4730" s="3" t="s">
        <v>121</v>
      </c>
      <c r="D4730" s="31">
        <v>-1494.99</v>
      </c>
      <c r="F4730" s="31">
        <v>2429.6799999999998</v>
      </c>
      <c r="G4730" s="31">
        <v>0</v>
      </c>
      <c r="H4730" s="31">
        <v>2709.74</v>
      </c>
      <c r="I4730" s="32">
        <v>381.94</v>
      </c>
      <c r="J4730" s="62">
        <f t="shared" si="36"/>
        <v>4026.3699999999994</v>
      </c>
    </row>
    <row r="4731" spans="1:10" x14ac:dyDescent="0.25">
      <c r="A4731" s="20">
        <v>45747</v>
      </c>
      <c r="B4731" t="str">
        <f>IFERROR(IF(VLOOKUP(C4731,Hoja1!$B$1:$C$6191,2,0)="",_xlfn.XLOOKUP(C4731,Hoja1!$B$2:$B$6191,Hoja1!$A$2:$A$6191),VLOOKUP(C4731,Hoja1!$B$1:$C$6191,2,0)),"No esta en Infor")</f>
        <v>CAN0018</v>
      </c>
      <c r="C4731" s="3" t="s">
        <v>21</v>
      </c>
      <c r="D4731" s="31">
        <v>13309.24</v>
      </c>
      <c r="F4731" s="31">
        <v>24032</v>
      </c>
      <c r="G4731" s="31">
        <v>0</v>
      </c>
      <c r="H4731" s="31">
        <v>21588.880000000001</v>
      </c>
      <c r="I4731" s="32">
        <v>0</v>
      </c>
      <c r="J4731" s="62">
        <f t="shared" si="36"/>
        <v>58930.119999999995</v>
      </c>
    </row>
    <row r="4732" spans="1:10" x14ac:dyDescent="0.25">
      <c r="A4732" s="20">
        <v>45747</v>
      </c>
      <c r="B4732" t="str">
        <f>IFERROR(IF(VLOOKUP(C4732,Hoja1!$B$1:$C$6191,2,0)="",_xlfn.XLOOKUP(C4732,Hoja1!$B$2:$B$6191,Hoja1!$A$2:$A$6191),VLOOKUP(C4732,Hoja1!$B$1:$C$6191,2,0)),"No esta en Infor")</f>
        <v>CAN0025</v>
      </c>
      <c r="C4732" s="3" t="s">
        <v>26</v>
      </c>
      <c r="D4732" s="31">
        <v>19340.8</v>
      </c>
      <c r="F4732" s="31">
        <v>665.23</v>
      </c>
      <c r="G4732" s="31">
        <v>0</v>
      </c>
      <c r="H4732" s="31">
        <v>1352</v>
      </c>
      <c r="I4732" s="32">
        <v>2566.86</v>
      </c>
      <c r="J4732" s="62">
        <f t="shared" si="36"/>
        <v>23924.89</v>
      </c>
    </row>
    <row r="4733" spans="1:10" x14ac:dyDescent="0.25">
      <c r="A4733" s="20">
        <v>45747</v>
      </c>
      <c r="B4733" t="str">
        <f>IFERROR(IF(VLOOKUP(C4733,Hoja1!$B$1:$C$6191,2,0)="",_xlfn.XLOOKUP(C4733,Hoja1!$B$2:$B$6191,Hoja1!$A$2:$A$6191),VLOOKUP(C4733,Hoja1!$B$1:$C$6191,2,0)),"No esta en Infor")</f>
        <v>CAN0035</v>
      </c>
      <c r="C4733" s="3" t="s">
        <v>31</v>
      </c>
      <c r="D4733" s="31">
        <v>13285.74</v>
      </c>
      <c r="F4733" s="31">
        <v>47.32</v>
      </c>
      <c r="G4733" s="31">
        <v>0</v>
      </c>
      <c r="H4733" s="31">
        <v>0</v>
      </c>
      <c r="I4733" s="32">
        <v>374.36</v>
      </c>
      <c r="J4733" s="62">
        <f t="shared" si="36"/>
        <v>13707.42</v>
      </c>
    </row>
    <row r="4734" spans="1:10" x14ac:dyDescent="0.25">
      <c r="A4734" s="20">
        <v>45747</v>
      </c>
      <c r="B4734" t="str">
        <f>IFERROR(IF(VLOOKUP(C4734,Hoja1!$B$1:$C$6191,2,0)="",_xlfn.XLOOKUP(C4734,Hoja1!$B$2:$B$6191,Hoja1!$A$2:$A$6191),VLOOKUP(C4734,Hoja1!$B$1:$C$6191,2,0)),"No esta en Infor")</f>
        <v>CAN0037</v>
      </c>
      <c r="C4734" s="3" t="s">
        <v>687</v>
      </c>
      <c r="D4734" s="31">
        <v>144.26</v>
      </c>
      <c r="F4734" s="31">
        <v>104.59</v>
      </c>
      <c r="G4734" s="31">
        <v>-240.46</v>
      </c>
      <c r="H4734" s="31">
        <v>0</v>
      </c>
      <c r="I4734" s="32">
        <v>-4056.13</v>
      </c>
      <c r="J4734" s="62">
        <f t="shared" si="36"/>
        <v>-4047.7400000000002</v>
      </c>
    </row>
    <row r="4735" spans="1:10" x14ac:dyDescent="0.25">
      <c r="A4735" s="20">
        <v>45747</v>
      </c>
      <c r="B4735" t="str">
        <f>IFERROR(IF(VLOOKUP(C4735,Hoja1!$B$1:$C$6191,2,0)="",_xlfn.XLOOKUP(C4735,Hoja1!$B$2:$B$6191,Hoja1!$A$2:$A$6191),VLOOKUP(C4735,Hoja1!$B$1:$C$6191,2,0)),"No esta en Infor")</f>
        <v>CAN0038</v>
      </c>
      <c r="C4735" s="3" t="s">
        <v>264</v>
      </c>
      <c r="D4735" s="31">
        <v>372.9</v>
      </c>
      <c r="F4735" s="31">
        <v>1640.76</v>
      </c>
      <c r="G4735" s="31">
        <v>-3834.29</v>
      </c>
      <c r="H4735" s="31">
        <v>0</v>
      </c>
      <c r="I4735" s="32">
        <v>0</v>
      </c>
      <c r="J4735" s="62">
        <f t="shared" si="36"/>
        <v>-1820.63</v>
      </c>
    </row>
    <row r="4736" spans="1:10" x14ac:dyDescent="0.25">
      <c r="A4736" s="20">
        <v>45747</v>
      </c>
      <c r="B4736" t="str">
        <f>IFERROR(IF(VLOOKUP(C4736,Hoja1!$B$1:$C$6191,2,0)="",_xlfn.XLOOKUP(C4736,Hoja1!$B$2:$B$6191,Hoja1!$A$2:$A$6191),VLOOKUP(C4736,Hoja1!$B$1:$C$6191,2,0)),"No esta en Infor")</f>
        <v>CAN0043</v>
      </c>
      <c r="C4736" s="3" t="s">
        <v>280</v>
      </c>
      <c r="D4736" s="31">
        <v>7104.98</v>
      </c>
      <c r="F4736" s="31">
        <v>428.27</v>
      </c>
      <c r="G4736" s="31">
        <v>0</v>
      </c>
      <c r="H4736" s="31">
        <v>0</v>
      </c>
      <c r="I4736" s="32">
        <v>0</v>
      </c>
      <c r="J4736" s="62">
        <f t="shared" si="36"/>
        <v>7533.25</v>
      </c>
    </row>
    <row r="4737" spans="1:10" x14ac:dyDescent="0.25">
      <c r="A4737" s="20">
        <v>45747</v>
      </c>
      <c r="B4737" t="str">
        <f>IFERROR(IF(VLOOKUP(C4737,Hoja1!$B$1:$C$6191,2,0)="",_xlfn.XLOOKUP(C4737,Hoja1!$B$2:$B$6191,Hoja1!$A$2:$A$6191),VLOOKUP(C4737,Hoja1!$B$1:$C$6191,2,0)),"No esta en Infor")</f>
        <v>CAN0054</v>
      </c>
      <c r="C4737" s="3" t="s">
        <v>36</v>
      </c>
      <c r="D4737" s="31">
        <v>0</v>
      </c>
      <c r="F4737" s="31">
        <v>-10723.33</v>
      </c>
      <c r="G4737" s="31">
        <v>0</v>
      </c>
      <c r="H4737" s="31">
        <v>0</v>
      </c>
      <c r="I4737" s="32">
        <v>1069.53</v>
      </c>
      <c r="J4737" s="62">
        <f t="shared" si="36"/>
        <v>-9653.7999999999993</v>
      </c>
    </row>
    <row r="4738" spans="1:10" x14ac:dyDescent="0.25">
      <c r="A4738" s="20">
        <v>45747</v>
      </c>
      <c r="B4738" t="str">
        <f>IFERROR(IF(VLOOKUP(C4738,Hoja1!$B$1:$C$6191,2,0)="",_xlfn.XLOOKUP(C4738,Hoja1!$B$2:$B$6191,Hoja1!$A$2:$A$6191),VLOOKUP(C4738,Hoja1!$B$1:$C$6191,2,0)),"No esta en Infor")</f>
        <v>CAN0059</v>
      </c>
      <c r="C4738" s="3" t="s">
        <v>51</v>
      </c>
      <c r="D4738" s="31">
        <v>30046.44</v>
      </c>
      <c r="F4738" s="31">
        <v>0</v>
      </c>
      <c r="G4738" s="31">
        <v>0</v>
      </c>
      <c r="H4738" s="31">
        <v>49.14</v>
      </c>
      <c r="I4738" s="32">
        <v>0</v>
      </c>
      <c r="J4738" s="62">
        <f t="shared" si="36"/>
        <v>30095.579999999998</v>
      </c>
    </row>
    <row r="4739" spans="1:10" x14ac:dyDescent="0.25">
      <c r="A4739" s="20">
        <v>45747</v>
      </c>
      <c r="B4739" t="str">
        <f>IFERROR(IF(VLOOKUP(C4739,Hoja1!$B$1:$C$6191,2,0)="",_xlfn.XLOOKUP(C4739,Hoja1!$B$2:$B$6191,Hoja1!$A$2:$A$6191),VLOOKUP(C4739,Hoja1!$B$1:$C$6191,2,0)),"No esta en Infor")</f>
        <v>CAN0060</v>
      </c>
      <c r="C4739" s="3" t="s">
        <v>422</v>
      </c>
      <c r="D4739" s="31">
        <v>209.05</v>
      </c>
      <c r="F4739" s="31">
        <v>2081.46</v>
      </c>
      <c r="G4739" s="31">
        <v>0</v>
      </c>
      <c r="H4739" s="31">
        <v>-28.5</v>
      </c>
      <c r="I4739" s="32">
        <v>0</v>
      </c>
      <c r="J4739" s="62">
        <f t="shared" si="36"/>
        <v>2262.0100000000002</v>
      </c>
    </row>
    <row r="4740" spans="1:10" x14ac:dyDescent="0.25">
      <c r="A4740" s="20">
        <v>45747</v>
      </c>
      <c r="B4740" t="str">
        <f>IFERROR(IF(VLOOKUP(C4740,Hoja1!$B$1:$C$6191,2,0)="",_xlfn.XLOOKUP(C4740,Hoja1!$B$2:$B$6191,Hoja1!$A$2:$A$6191),VLOOKUP(C4740,Hoja1!$B$1:$C$6191,2,0)),"No esta en Infor")</f>
        <v>CAN0069</v>
      </c>
      <c r="C4740" s="3" t="s">
        <v>340</v>
      </c>
      <c r="D4740" s="31">
        <v>3054.14</v>
      </c>
      <c r="F4740" s="31">
        <v>0</v>
      </c>
      <c r="G4740" s="31">
        <v>0</v>
      </c>
      <c r="H4740" s="31">
        <v>0</v>
      </c>
      <c r="I4740" s="32">
        <v>540.15</v>
      </c>
      <c r="J4740" s="62">
        <f t="shared" si="36"/>
        <v>3594.29</v>
      </c>
    </row>
    <row r="4741" spans="1:10" x14ac:dyDescent="0.25">
      <c r="A4741" s="20">
        <v>45747</v>
      </c>
      <c r="B4741" t="str">
        <f>IFERROR(IF(VLOOKUP(C4741,Hoja1!$B$1:$C$6191,2,0)="",_xlfn.XLOOKUP(C4741,Hoja1!$B$2:$B$6191,Hoja1!$A$2:$A$6191),VLOOKUP(C4741,Hoja1!$B$1:$C$6191,2,0)),"No esta en Infor")</f>
        <v>CAN0073</v>
      </c>
      <c r="C4741" s="3" t="s">
        <v>349</v>
      </c>
      <c r="D4741" s="31">
        <v>8151.15</v>
      </c>
      <c r="F4741" s="31">
        <v>2029.35</v>
      </c>
      <c r="G4741" s="31">
        <v>421.68</v>
      </c>
      <c r="H4741" s="31">
        <v>1091.8900000000001</v>
      </c>
      <c r="I4741" s="32">
        <v>240.07</v>
      </c>
      <c r="J4741" s="62">
        <f t="shared" si="36"/>
        <v>11934.14</v>
      </c>
    </row>
    <row r="4742" spans="1:10" x14ac:dyDescent="0.25">
      <c r="A4742" s="20">
        <v>45747</v>
      </c>
      <c r="B4742" t="str">
        <f>IFERROR(IF(VLOOKUP(C4742,Hoja1!$B$1:$C$6191,2,0)="",_xlfn.XLOOKUP(C4742,Hoja1!$B$2:$B$6191,Hoja1!$A$2:$A$6191),VLOOKUP(C4742,Hoja1!$B$1:$C$6191,2,0)),"No esta en Infor")</f>
        <v>CAN0080</v>
      </c>
      <c r="C4742" s="3" t="s">
        <v>533</v>
      </c>
      <c r="D4742" s="31">
        <v>5793.43</v>
      </c>
      <c r="F4742" s="31">
        <v>250.86</v>
      </c>
      <c r="G4742" s="31">
        <v>0</v>
      </c>
      <c r="H4742" s="31">
        <v>-93.6</v>
      </c>
      <c r="I4742" s="32">
        <v>0</v>
      </c>
      <c r="J4742" s="62">
        <f t="shared" si="36"/>
        <v>5950.69</v>
      </c>
    </row>
    <row r="4743" spans="1:10" x14ac:dyDescent="0.25">
      <c r="A4743" s="20">
        <v>45747</v>
      </c>
      <c r="B4743" t="str">
        <f>IFERROR(IF(VLOOKUP(C4743,Hoja1!$B$1:$C$6191,2,0)="",_xlfn.XLOOKUP(C4743,Hoja1!$B$2:$B$6191,Hoja1!$A$2:$A$6191),VLOOKUP(C4743,Hoja1!$B$1:$C$6191,2,0)),"No esta en Infor")</f>
        <v>CAN0081</v>
      </c>
      <c r="C4743" s="3" t="s">
        <v>431</v>
      </c>
      <c r="D4743" s="31">
        <v>51418.44</v>
      </c>
      <c r="F4743" s="31">
        <v>57.46</v>
      </c>
      <c r="G4743" s="31">
        <v>0</v>
      </c>
      <c r="H4743" s="31">
        <v>-585</v>
      </c>
      <c r="I4743" s="32">
        <v>0</v>
      </c>
      <c r="J4743" s="62">
        <f t="shared" si="36"/>
        <v>50890.9</v>
      </c>
    </row>
    <row r="4744" spans="1:10" x14ac:dyDescent="0.25">
      <c r="A4744" s="20">
        <v>45747</v>
      </c>
      <c r="B4744" t="str">
        <f>IFERROR(IF(VLOOKUP(C4744,Hoja1!$B$1:$C$6191,2,0)="",_xlfn.XLOOKUP(C4744,Hoja1!$B$2:$B$6191,Hoja1!$A$2:$A$6191),VLOOKUP(C4744,Hoja1!$B$1:$C$6191,2,0)),"No esta en Infor")</f>
        <v>CAN0087</v>
      </c>
      <c r="C4744" s="3" t="s">
        <v>1091</v>
      </c>
      <c r="D4744" s="31">
        <v>0</v>
      </c>
      <c r="F4744" s="31">
        <v>0</v>
      </c>
      <c r="G4744" s="31">
        <v>3483.79</v>
      </c>
      <c r="H4744" s="31">
        <v>-1160.8900000000001</v>
      </c>
      <c r="I4744" s="32">
        <v>0</v>
      </c>
      <c r="J4744" s="62">
        <f t="shared" si="36"/>
        <v>2322.8999999999996</v>
      </c>
    </row>
    <row r="4745" spans="1:10" x14ac:dyDescent="0.25">
      <c r="A4745" s="20">
        <v>45747</v>
      </c>
      <c r="B4745" t="str">
        <f>IFERROR(IF(VLOOKUP(C4745,Hoja1!$B$1:$C$6191,2,0)="",_xlfn.XLOOKUP(C4745,Hoja1!$B$2:$B$6191,Hoja1!$A$2:$A$6191),VLOOKUP(C4745,Hoja1!$B$1:$C$6191,2,0)),"No esta en Infor")</f>
        <v>NAC0456</v>
      </c>
      <c r="C4745" s="3" t="s">
        <v>10</v>
      </c>
      <c r="D4745" s="31">
        <v>633.52</v>
      </c>
      <c r="F4745" s="31">
        <v>29.42</v>
      </c>
      <c r="G4745" s="31">
        <v>-51.08</v>
      </c>
      <c r="H4745" s="31">
        <v>0</v>
      </c>
      <c r="I4745" s="32">
        <v>-42.12</v>
      </c>
      <c r="J4745" s="62">
        <f t="shared" si="36"/>
        <v>569.7399999999999</v>
      </c>
    </row>
    <row r="4746" spans="1:10" x14ac:dyDescent="0.25">
      <c r="A4746" s="20">
        <v>45747</v>
      </c>
      <c r="B4746" t="str">
        <f>IFERROR(IF(VLOOKUP(C4746,Hoja1!$B$1:$C$6191,2,0)="",_xlfn.XLOOKUP(C4746,Hoja1!$B$2:$B$6191,Hoja1!$A$2:$A$6191),VLOOKUP(C4746,Hoja1!$B$1:$C$6191,2,0)),"No esta en Infor")</f>
        <v>NAC0476</v>
      </c>
      <c r="C4746" s="3" t="s">
        <v>11</v>
      </c>
      <c r="D4746" s="31">
        <v>256792.88</v>
      </c>
      <c r="F4746" s="31">
        <v>1839.29</v>
      </c>
      <c r="G4746" s="31">
        <v>49.81</v>
      </c>
      <c r="H4746" s="31">
        <v>774.08</v>
      </c>
      <c r="I4746" s="32">
        <v>1904.61</v>
      </c>
      <c r="J4746" s="62">
        <f t="shared" si="36"/>
        <v>261360.66999999998</v>
      </c>
    </row>
    <row r="4747" spans="1:10" x14ac:dyDescent="0.25">
      <c r="A4747" s="20">
        <v>45747</v>
      </c>
      <c r="B4747" t="str">
        <f>IFERROR(IF(VLOOKUP(C4747,Hoja1!$B$1:$C$6191,2,0)="",_xlfn.XLOOKUP(C4747,Hoja1!$B$2:$B$6191,Hoja1!$A$2:$A$6191),VLOOKUP(C4747,Hoja1!$B$1:$C$6191,2,0)),"No esta en Infor")</f>
        <v>NAC0483</v>
      </c>
      <c r="C4747" s="3" t="s">
        <v>12</v>
      </c>
      <c r="D4747" s="31">
        <v>0</v>
      </c>
      <c r="F4747" s="31">
        <v>0</v>
      </c>
      <c r="G4747" s="31">
        <v>-146.83000000000001</v>
      </c>
      <c r="H4747" s="31">
        <v>0</v>
      </c>
      <c r="I4747" s="32">
        <v>474.11</v>
      </c>
      <c r="J4747" s="62">
        <f t="shared" si="36"/>
        <v>327.27999999999997</v>
      </c>
    </row>
    <row r="4748" spans="1:10" x14ac:dyDescent="0.25">
      <c r="A4748" s="20">
        <v>45747</v>
      </c>
      <c r="B4748" t="str">
        <f>IFERROR(IF(VLOOKUP(C4748,Hoja1!$B$1:$C$6191,2,0)="",_xlfn.XLOOKUP(C4748,Hoja1!$B$2:$B$6191,Hoja1!$A$2:$A$6191),VLOOKUP(C4748,Hoja1!$B$1:$C$6191,2,0)),"No esta en Infor")</f>
        <v>NAC0532</v>
      </c>
      <c r="C4748" s="3" t="s">
        <v>612</v>
      </c>
      <c r="D4748" s="31">
        <v>0</v>
      </c>
      <c r="F4748" s="31">
        <v>663.05</v>
      </c>
      <c r="G4748" s="31">
        <v>-92.32</v>
      </c>
      <c r="H4748" s="31">
        <v>0</v>
      </c>
      <c r="I4748" s="32">
        <v>0</v>
      </c>
      <c r="J4748" s="62">
        <f t="shared" si="36"/>
        <v>570.73</v>
      </c>
    </row>
    <row r="4749" spans="1:10" x14ac:dyDescent="0.25">
      <c r="A4749" s="20">
        <v>45747</v>
      </c>
      <c r="B4749" t="str">
        <f>IFERROR(IF(VLOOKUP(C4749,Hoja1!$B$1:$C$6191,2,0)="",_xlfn.XLOOKUP(C4749,Hoja1!$B$2:$B$6191,Hoja1!$A$2:$A$6191),VLOOKUP(C4749,Hoja1!$B$1:$C$6191,2,0)),"No esta en Infor")</f>
        <v>NAC0544</v>
      </c>
      <c r="C4749" s="3" t="s">
        <v>82</v>
      </c>
      <c r="D4749" s="31">
        <v>315</v>
      </c>
      <c r="F4749" s="31">
        <v>80</v>
      </c>
      <c r="G4749" s="31">
        <v>0</v>
      </c>
      <c r="H4749" s="31">
        <v>0</v>
      </c>
      <c r="I4749" s="32">
        <v>0</v>
      </c>
      <c r="J4749" s="62">
        <f t="shared" si="36"/>
        <v>395</v>
      </c>
    </row>
    <row r="4750" spans="1:10" x14ac:dyDescent="0.25">
      <c r="A4750" s="20">
        <v>45747</v>
      </c>
      <c r="B4750" t="str">
        <f>IFERROR(IF(VLOOKUP(C4750,Hoja1!$B$1:$C$6191,2,0)="",_xlfn.XLOOKUP(C4750,Hoja1!$B$2:$B$6191,Hoja1!$A$2:$A$6191),VLOOKUP(C4750,Hoja1!$B$1:$C$6191,2,0)),"No esta en Infor")</f>
        <v>NAC0556</v>
      </c>
      <c r="C4750" s="3" t="s">
        <v>14</v>
      </c>
      <c r="D4750" s="31">
        <v>2579.84</v>
      </c>
      <c r="F4750" s="31">
        <v>2739.13</v>
      </c>
      <c r="G4750" s="31">
        <v>-226.8</v>
      </c>
      <c r="H4750" s="31">
        <v>0</v>
      </c>
      <c r="I4750" s="32">
        <v>0</v>
      </c>
      <c r="J4750" s="62">
        <f t="shared" si="36"/>
        <v>5092.17</v>
      </c>
    </row>
    <row r="4751" spans="1:10" x14ac:dyDescent="0.25">
      <c r="A4751" s="20">
        <v>45747</v>
      </c>
      <c r="B4751" t="str">
        <f>IFERROR(IF(VLOOKUP(C4751,Hoja1!$B$1:$C$6191,2,0)="",_xlfn.XLOOKUP(C4751,Hoja1!$B$2:$B$6191,Hoja1!$A$2:$A$6191),VLOOKUP(C4751,Hoja1!$B$1:$C$6191,2,0)),"No esta en Infor")</f>
        <v>NAC0573</v>
      </c>
      <c r="C4751" s="3" t="s">
        <v>15</v>
      </c>
      <c r="D4751" s="31">
        <v>12208.21</v>
      </c>
      <c r="F4751" s="31">
        <v>0</v>
      </c>
      <c r="G4751" s="31">
        <v>254</v>
      </c>
      <c r="H4751" s="31">
        <v>0</v>
      </c>
      <c r="I4751" s="32">
        <v>283.5</v>
      </c>
      <c r="J4751" s="62">
        <f t="shared" si="36"/>
        <v>12745.71</v>
      </c>
    </row>
    <row r="4752" spans="1:10" x14ac:dyDescent="0.25">
      <c r="A4752" s="20">
        <v>45747</v>
      </c>
      <c r="B4752" t="str">
        <f>IFERROR(IF(VLOOKUP(C4752,Hoja1!$B$1:$C$6191,2,0)="",_xlfn.XLOOKUP(C4752,Hoja1!$B$2:$B$6191,Hoja1!$A$2:$A$6191),VLOOKUP(C4752,Hoja1!$B$1:$C$6191,2,0)),"No esta en Infor")</f>
        <v>NAC0613</v>
      </c>
      <c r="C4752" s="3" t="s">
        <v>101</v>
      </c>
      <c r="D4752" s="31">
        <v>788.94</v>
      </c>
      <c r="F4752" s="31">
        <v>713.25</v>
      </c>
      <c r="G4752" s="31">
        <v>0</v>
      </c>
      <c r="H4752" s="31">
        <v>0</v>
      </c>
      <c r="I4752" s="32">
        <v>-81.599999999999994</v>
      </c>
      <c r="J4752" s="62">
        <f t="shared" si="36"/>
        <v>1420.5900000000001</v>
      </c>
    </row>
    <row r="4753" spans="1:10" x14ac:dyDescent="0.25">
      <c r="A4753" s="20">
        <v>45747</v>
      </c>
      <c r="B4753" t="str">
        <f>IFERROR(IF(VLOOKUP(C4753,Hoja1!$B$1:$C$6191,2,0)="",_xlfn.XLOOKUP(C4753,Hoja1!$B$2:$B$6191,Hoja1!$A$2:$A$6191),VLOOKUP(C4753,Hoja1!$B$1:$C$6191,2,0)),"No esta en Infor")</f>
        <v>NAC0614</v>
      </c>
      <c r="C4753" s="3" t="s">
        <v>102</v>
      </c>
      <c r="D4753" s="31">
        <v>8045.81</v>
      </c>
      <c r="F4753" s="31">
        <v>0</v>
      </c>
      <c r="G4753" s="31">
        <v>29.44</v>
      </c>
      <c r="H4753" s="31">
        <v>0</v>
      </c>
      <c r="I4753" s="32">
        <v>0</v>
      </c>
      <c r="J4753" s="62">
        <f t="shared" si="36"/>
        <v>8075.25</v>
      </c>
    </row>
    <row r="4754" spans="1:10" x14ac:dyDescent="0.25">
      <c r="A4754" s="20">
        <v>45747</v>
      </c>
      <c r="B4754" t="str">
        <f>IFERROR(IF(VLOOKUP(C4754,Hoja1!$B$1:$C$6191,2,0)="",_xlfn.XLOOKUP(C4754,Hoja1!$B$2:$B$6191,Hoja1!$A$2:$A$6191),VLOOKUP(C4754,Hoja1!$B$1:$C$6191,2,0)),"No esta en Infor")</f>
        <v>NAC0624</v>
      </c>
      <c r="C4754" s="3" t="s">
        <v>105</v>
      </c>
      <c r="D4754" s="31">
        <v>0</v>
      </c>
      <c r="F4754" s="31">
        <v>6.51</v>
      </c>
      <c r="G4754" s="31">
        <v>0</v>
      </c>
      <c r="H4754" s="31">
        <v>0</v>
      </c>
      <c r="I4754" s="32">
        <v>-231</v>
      </c>
      <c r="J4754" s="62">
        <f t="shared" si="36"/>
        <v>-224.49</v>
      </c>
    </row>
    <row r="4755" spans="1:10" x14ac:dyDescent="0.25">
      <c r="A4755" s="20">
        <v>45747</v>
      </c>
      <c r="B4755" t="str">
        <f>IFERROR(IF(VLOOKUP(C4755,Hoja1!$B$1:$C$6191,2,0)="",_xlfn.XLOOKUP(C4755,Hoja1!$B$2:$B$6191,Hoja1!$A$2:$A$6191),VLOOKUP(C4755,Hoja1!$B$1:$C$6191,2,0)),"No esta en Infor")</f>
        <v>NAC0632</v>
      </c>
      <c r="C4755" s="3" t="s">
        <v>108</v>
      </c>
      <c r="D4755" s="31">
        <v>1570.98</v>
      </c>
      <c r="F4755" s="31">
        <v>1233.6300000000001</v>
      </c>
      <c r="G4755" s="31">
        <v>0</v>
      </c>
      <c r="H4755" s="31">
        <v>0</v>
      </c>
      <c r="I4755" s="32">
        <v>0</v>
      </c>
      <c r="J4755" s="62">
        <f t="shared" si="36"/>
        <v>2804.61</v>
      </c>
    </row>
    <row r="4756" spans="1:10" x14ac:dyDescent="0.25">
      <c r="A4756" s="20">
        <v>45747</v>
      </c>
      <c r="B4756" t="str">
        <f>IFERROR(IF(VLOOKUP(C4756,Hoja1!$B$1:$C$6191,2,0)="",_xlfn.XLOOKUP(C4756,Hoja1!$B$2:$B$6191,Hoja1!$A$2:$A$6191),VLOOKUP(C4756,Hoja1!$B$1:$C$6191,2,0)),"No esta en Infor")</f>
        <v>NAC0641</v>
      </c>
      <c r="C4756" s="3" t="s">
        <v>18</v>
      </c>
      <c r="D4756" s="31">
        <v>0</v>
      </c>
      <c r="F4756" s="31">
        <v>2092.4</v>
      </c>
      <c r="G4756" s="31">
        <v>-10</v>
      </c>
      <c r="H4756" s="31">
        <v>0</v>
      </c>
      <c r="I4756" s="32">
        <v>0</v>
      </c>
      <c r="J4756" s="62">
        <f t="shared" si="36"/>
        <v>2082.4</v>
      </c>
    </row>
    <row r="4757" spans="1:10" x14ac:dyDescent="0.25">
      <c r="A4757" s="20">
        <v>45747</v>
      </c>
      <c r="B4757" t="str">
        <f>IFERROR(IF(VLOOKUP(C4757,Hoja1!$B$1:$C$6191,2,0)="",_xlfn.XLOOKUP(C4757,Hoja1!$B$2:$B$6191,Hoja1!$A$2:$A$6191),VLOOKUP(C4757,Hoja1!$B$1:$C$6191,2,0)),"No esta en Infor")</f>
        <v>NAC0645</v>
      </c>
      <c r="C4757" s="3" t="s">
        <v>110</v>
      </c>
      <c r="D4757" s="31">
        <v>0</v>
      </c>
      <c r="F4757" s="31">
        <v>310.64999999999998</v>
      </c>
      <c r="G4757" s="31">
        <v>0</v>
      </c>
      <c r="H4757" s="31">
        <v>0</v>
      </c>
      <c r="I4757" s="32">
        <v>0</v>
      </c>
      <c r="J4757" s="62">
        <f t="shared" si="36"/>
        <v>310.64999999999998</v>
      </c>
    </row>
    <row r="4758" spans="1:10" x14ac:dyDescent="0.25">
      <c r="A4758" s="20">
        <v>45747</v>
      </c>
      <c r="B4758" t="str">
        <f>IFERROR(IF(VLOOKUP(C4758,Hoja1!$B$1:$C$6191,2,0)="",_xlfn.XLOOKUP(C4758,Hoja1!$B$2:$B$6191,Hoja1!$A$2:$A$6191),VLOOKUP(C4758,Hoja1!$B$1:$C$6191,2,0)),"No esta en Infor")</f>
        <v>NAC0672</v>
      </c>
      <c r="C4758" s="3" t="s">
        <v>122</v>
      </c>
      <c r="D4758" s="31">
        <v>15735.46</v>
      </c>
      <c r="F4758" s="31">
        <v>741</v>
      </c>
      <c r="G4758" s="31">
        <v>6862</v>
      </c>
      <c r="H4758" s="31">
        <v>0</v>
      </c>
      <c r="I4758" s="32">
        <v>0</v>
      </c>
      <c r="J4758" s="62">
        <f t="shared" si="36"/>
        <v>23338.46</v>
      </c>
    </row>
    <row r="4759" spans="1:10" x14ac:dyDescent="0.25">
      <c r="A4759" s="20">
        <v>45747</v>
      </c>
      <c r="B4759" t="str">
        <f>IFERROR(IF(VLOOKUP(C4759,Hoja1!$B$1:$C$6191,2,0)="",_xlfn.XLOOKUP(C4759,Hoja1!$B$2:$B$6191,Hoja1!$A$2:$A$6191),VLOOKUP(C4759,Hoja1!$B$1:$C$6191,2,0)),"No esta en Infor")</f>
        <v>NAC0729</v>
      </c>
      <c r="C4759" s="3" t="s">
        <v>148</v>
      </c>
      <c r="D4759" s="31">
        <v>0</v>
      </c>
      <c r="F4759" s="31">
        <v>0</v>
      </c>
      <c r="G4759" s="31">
        <v>0</v>
      </c>
      <c r="H4759" s="31">
        <v>0</v>
      </c>
      <c r="I4759" s="32">
        <v>316</v>
      </c>
      <c r="J4759" s="62">
        <f t="shared" si="36"/>
        <v>316</v>
      </c>
    </row>
    <row r="4760" spans="1:10" x14ac:dyDescent="0.25">
      <c r="A4760" s="20">
        <v>45747</v>
      </c>
      <c r="B4760" t="str">
        <f>IFERROR(IF(VLOOKUP(C4760,Hoja1!$B$1:$C$6191,2,0)="",_xlfn.XLOOKUP(C4760,Hoja1!$B$2:$B$6191,Hoja1!$A$2:$A$6191),VLOOKUP(C4760,Hoja1!$B$1:$C$6191,2,0)),"No esta en Infor")</f>
        <v>NAC0823</v>
      </c>
      <c r="C4760" s="3" t="s">
        <v>497</v>
      </c>
      <c r="D4760" s="31">
        <v>991.85</v>
      </c>
      <c r="F4760" s="31">
        <v>0</v>
      </c>
      <c r="G4760" s="31">
        <v>0</v>
      </c>
      <c r="H4760" s="31">
        <v>64.489999999999995</v>
      </c>
      <c r="I4760" s="32">
        <v>0</v>
      </c>
      <c r="J4760" s="62">
        <f t="shared" si="36"/>
        <v>1056.3399999999999</v>
      </c>
    </row>
    <row r="4761" spans="1:10" x14ac:dyDescent="0.25">
      <c r="A4761" s="20">
        <v>45747</v>
      </c>
      <c r="B4761" t="str">
        <f>IFERROR(IF(VLOOKUP(C4761,Hoja1!$B$1:$C$6191,2,0)="",_xlfn.XLOOKUP(C4761,Hoja1!$B$2:$B$6191,Hoja1!$A$2:$A$6191),VLOOKUP(C4761,Hoja1!$B$1:$C$6191,2,0)),"No esta en Infor")</f>
        <v>NAC0825</v>
      </c>
      <c r="C4761" s="3" t="s">
        <v>179</v>
      </c>
      <c r="D4761" s="31">
        <v>49346.400000000001</v>
      </c>
      <c r="F4761" s="31">
        <v>1041.6600000000001</v>
      </c>
      <c r="G4761" s="31">
        <v>0</v>
      </c>
      <c r="H4761" s="31">
        <v>0</v>
      </c>
      <c r="I4761" s="32">
        <v>0</v>
      </c>
      <c r="J4761" s="62">
        <f t="shared" si="36"/>
        <v>50388.060000000005</v>
      </c>
    </row>
    <row r="4762" spans="1:10" x14ac:dyDescent="0.25">
      <c r="A4762" s="20">
        <v>45747</v>
      </c>
      <c r="B4762" t="str">
        <f>IFERROR(IF(VLOOKUP(C4762,Hoja1!$B$1:$C$6191,2,0)="",_xlfn.XLOOKUP(C4762,Hoja1!$B$2:$B$6191,Hoja1!$A$2:$A$6191),VLOOKUP(C4762,Hoja1!$B$1:$C$6191,2,0)),"No esta en Infor")</f>
        <v>NAC0838</v>
      </c>
      <c r="C4762" s="3" t="s">
        <v>396</v>
      </c>
      <c r="D4762" s="31">
        <v>517.5</v>
      </c>
      <c r="F4762" s="31">
        <v>0</v>
      </c>
      <c r="G4762" s="31">
        <v>0</v>
      </c>
      <c r="H4762" s="31">
        <v>0</v>
      </c>
      <c r="I4762" s="32">
        <v>54</v>
      </c>
      <c r="J4762" s="62">
        <f t="shared" si="36"/>
        <v>571.5</v>
      </c>
    </row>
    <row r="4763" spans="1:10" x14ac:dyDescent="0.25">
      <c r="A4763" s="20">
        <v>45747</v>
      </c>
      <c r="B4763" t="str">
        <f>IFERROR(IF(VLOOKUP(C4763,Hoja1!$B$1:$C$6191,2,0)="",_xlfn.XLOOKUP(C4763,Hoja1!$B$2:$B$6191,Hoja1!$A$2:$A$6191),VLOOKUP(C4763,Hoja1!$B$1:$C$6191,2,0)),"No esta en Infor")</f>
        <v>NAC0848</v>
      </c>
      <c r="C4763" s="3" t="s">
        <v>498</v>
      </c>
      <c r="D4763" s="31">
        <v>0</v>
      </c>
      <c r="F4763" s="31">
        <v>0</v>
      </c>
      <c r="G4763" s="31">
        <v>842.34</v>
      </c>
      <c r="H4763" s="31">
        <v>0</v>
      </c>
      <c r="I4763" s="32">
        <v>0</v>
      </c>
      <c r="J4763" s="62">
        <f t="shared" si="36"/>
        <v>842.34</v>
      </c>
    </row>
    <row r="4764" spans="1:10" x14ac:dyDescent="0.25">
      <c r="A4764" s="20">
        <v>45747</v>
      </c>
      <c r="B4764" t="str">
        <f>IFERROR(IF(VLOOKUP(C4764,Hoja1!$B$1:$C$6191,2,0)="",_xlfn.XLOOKUP(C4764,Hoja1!$B$2:$B$6191,Hoja1!$A$2:$A$6191),VLOOKUP(C4764,Hoja1!$B$1:$C$6191,2,0)),"No esta en Infor")</f>
        <v>NAC0862</v>
      </c>
      <c r="C4764" s="3" t="s">
        <v>190</v>
      </c>
      <c r="D4764" s="31">
        <v>2956.53</v>
      </c>
      <c r="F4764" s="31">
        <v>0</v>
      </c>
      <c r="G4764" s="31">
        <v>0</v>
      </c>
      <c r="H4764" s="31">
        <v>96.3</v>
      </c>
      <c r="I4764" s="32">
        <v>0</v>
      </c>
      <c r="J4764" s="62">
        <f t="shared" si="36"/>
        <v>3052.8300000000004</v>
      </c>
    </row>
    <row r="4765" spans="1:10" x14ac:dyDescent="0.25">
      <c r="A4765" s="20">
        <v>45747</v>
      </c>
      <c r="B4765" t="str">
        <f>IFERROR(IF(VLOOKUP(C4765,Hoja1!$B$1:$C$6191,2,0)="",_xlfn.XLOOKUP(C4765,Hoja1!$B$2:$B$6191,Hoja1!$A$2:$A$6191),VLOOKUP(C4765,Hoja1!$B$1:$C$6191,2,0)),"No esta en Infor")</f>
        <v>NAC0869</v>
      </c>
      <c r="C4765" s="3" t="s">
        <v>192</v>
      </c>
      <c r="D4765" s="31">
        <v>0</v>
      </c>
      <c r="F4765" s="31">
        <v>0</v>
      </c>
      <c r="G4765" s="31">
        <v>-0.05</v>
      </c>
      <c r="H4765" s="31">
        <v>255.25</v>
      </c>
      <c r="I4765" s="32">
        <v>277.3</v>
      </c>
      <c r="J4765" s="62">
        <f t="shared" si="36"/>
        <v>532.5</v>
      </c>
    </row>
    <row r="4766" spans="1:10" x14ac:dyDescent="0.25">
      <c r="A4766" s="20">
        <v>45747</v>
      </c>
      <c r="B4766" t="str">
        <f>IFERROR(IF(VLOOKUP(C4766,Hoja1!$B$1:$C$6191,2,0)="",_xlfn.XLOOKUP(C4766,Hoja1!$B$2:$B$6191,Hoja1!$A$2:$A$6191),VLOOKUP(C4766,Hoja1!$B$1:$C$6191,2,0)),"No esta en Infor")</f>
        <v>NAC0880</v>
      </c>
      <c r="C4766" s="3" t="s">
        <v>24</v>
      </c>
      <c r="D4766" s="31">
        <v>8596.89</v>
      </c>
      <c r="F4766" s="31">
        <v>500.03</v>
      </c>
      <c r="G4766" s="31">
        <v>-142.84</v>
      </c>
      <c r="H4766" s="31">
        <v>0</v>
      </c>
      <c r="I4766" s="32">
        <v>0</v>
      </c>
      <c r="J4766" s="62">
        <f t="shared" si="36"/>
        <v>8954.08</v>
      </c>
    </row>
    <row r="4767" spans="1:10" x14ac:dyDescent="0.25">
      <c r="A4767" s="20">
        <v>45747</v>
      </c>
      <c r="B4767" t="str">
        <f>IFERROR(IF(VLOOKUP(C4767,Hoja1!$B$1:$C$6191,2,0)="",_xlfn.XLOOKUP(C4767,Hoja1!$B$2:$B$6191,Hoja1!$A$2:$A$6191),VLOOKUP(C4767,Hoja1!$B$1:$C$6191,2,0)),"No esta en Infor")</f>
        <v>NAC0888</v>
      </c>
      <c r="C4767" s="3" t="s">
        <v>198</v>
      </c>
      <c r="D4767" s="31">
        <v>0</v>
      </c>
      <c r="F4767" s="31">
        <v>1000</v>
      </c>
      <c r="G4767" s="31">
        <v>0</v>
      </c>
      <c r="H4767" s="31">
        <v>0</v>
      </c>
      <c r="I4767" s="32">
        <v>0</v>
      </c>
      <c r="J4767" s="62">
        <f t="shared" si="36"/>
        <v>1000</v>
      </c>
    </row>
    <row r="4768" spans="1:10" x14ac:dyDescent="0.25">
      <c r="A4768" s="20">
        <v>45747</v>
      </c>
      <c r="B4768" t="str">
        <f>IFERROR(IF(VLOOKUP(C4768,Hoja1!$B$1:$C$6191,2,0)="",_xlfn.XLOOKUP(C4768,Hoja1!$B$2:$B$6191,Hoja1!$A$2:$A$6191),VLOOKUP(C4768,Hoja1!$B$1:$C$6191,2,0)),"No esta en Infor")</f>
        <v>NAC0894</v>
      </c>
      <c r="C4768" s="3" t="s">
        <v>199</v>
      </c>
      <c r="D4768" s="31">
        <v>11765</v>
      </c>
      <c r="F4768" s="31">
        <v>3450</v>
      </c>
      <c r="G4768" s="31">
        <v>-2280</v>
      </c>
      <c r="H4768" s="31">
        <v>0</v>
      </c>
      <c r="I4768" s="32">
        <v>0</v>
      </c>
      <c r="J4768" s="62">
        <f t="shared" si="36"/>
        <v>12935</v>
      </c>
    </row>
    <row r="4769" spans="1:10" x14ac:dyDescent="0.25">
      <c r="A4769" s="20">
        <v>45747</v>
      </c>
      <c r="B4769" t="str">
        <f>IFERROR(IF(VLOOKUP(C4769,Hoja1!$B$1:$C$6191,2,0)="",_xlfn.XLOOKUP(C4769,Hoja1!$B$2:$B$6191,Hoja1!$A$2:$A$6191),VLOOKUP(C4769,Hoja1!$B$1:$C$6191,2,0)),"No esta en Infor")</f>
        <v>NAC0898</v>
      </c>
      <c r="C4769" s="3" t="s">
        <v>200</v>
      </c>
      <c r="D4769" s="31">
        <v>187.92</v>
      </c>
      <c r="F4769" s="31">
        <v>471.11</v>
      </c>
      <c r="G4769" s="31">
        <v>0</v>
      </c>
      <c r="H4769" s="31">
        <v>0</v>
      </c>
      <c r="I4769" s="32">
        <v>0</v>
      </c>
      <c r="J4769" s="62">
        <f t="shared" si="36"/>
        <v>659.03</v>
      </c>
    </row>
    <row r="4770" spans="1:10" x14ac:dyDescent="0.25">
      <c r="A4770" s="20">
        <v>45747</v>
      </c>
      <c r="B4770" t="str">
        <f>IFERROR(IF(VLOOKUP(C4770,Hoja1!$B$1:$C$6191,2,0)="",_xlfn.XLOOKUP(C4770,Hoja1!$B$2:$B$6191,Hoja1!$A$2:$A$6191),VLOOKUP(C4770,Hoja1!$B$1:$C$6191,2,0)),"No esta en Infor")</f>
        <v>NAC0914</v>
      </c>
      <c r="C4770" s="3" t="s">
        <v>202</v>
      </c>
      <c r="D4770" s="31">
        <v>231</v>
      </c>
      <c r="F4770" s="31">
        <v>2896.3</v>
      </c>
      <c r="G4770" s="31">
        <v>0</v>
      </c>
      <c r="H4770" s="31">
        <v>354.79</v>
      </c>
      <c r="I4770" s="32">
        <v>0</v>
      </c>
      <c r="J4770" s="62">
        <f t="shared" si="36"/>
        <v>3482.09</v>
      </c>
    </row>
    <row r="4771" spans="1:10" x14ac:dyDescent="0.25">
      <c r="A4771" s="20">
        <v>45747</v>
      </c>
      <c r="B4771" t="str">
        <f>IFERROR(IF(VLOOKUP(C4771,Hoja1!$B$1:$C$6191,2,0)="",_xlfn.XLOOKUP(C4771,Hoja1!$B$2:$B$6191,Hoja1!$A$2:$A$6191),VLOOKUP(C4771,Hoja1!$B$1:$C$6191,2,0)),"No esta en Infor")</f>
        <v>NAC0924</v>
      </c>
      <c r="C4771" s="3" t="s">
        <v>205</v>
      </c>
      <c r="D4771" s="31">
        <v>186932.59</v>
      </c>
      <c r="F4771" s="31">
        <v>0</v>
      </c>
      <c r="G4771" s="31">
        <v>0</v>
      </c>
      <c r="H4771" s="31">
        <v>336.28</v>
      </c>
      <c r="I4771" s="32">
        <v>0</v>
      </c>
      <c r="J4771" s="62">
        <f t="shared" si="36"/>
        <v>187268.87</v>
      </c>
    </row>
    <row r="4772" spans="1:10" x14ac:dyDescent="0.25">
      <c r="A4772" s="20">
        <v>45747</v>
      </c>
      <c r="B4772" t="str">
        <f>IFERROR(IF(VLOOKUP(C4772,Hoja1!$B$1:$C$6191,2,0)="",_xlfn.XLOOKUP(C4772,Hoja1!$B$2:$B$6191,Hoja1!$A$2:$A$6191),VLOOKUP(C4772,Hoja1!$B$1:$C$6191,2,0)),"No esta en Infor")</f>
        <v>NAC0967</v>
      </c>
      <c r="C4772" s="3" t="s">
        <v>780</v>
      </c>
      <c r="D4772" s="31">
        <v>0</v>
      </c>
      <c r="F4772" s="31">
        <v>16.059999999999999</v>
      </c>
      <c r="G4772" s="31">
        <v>0</v>
      </c>
      <c r="H4772" s="31">
        <v>0</v>
      </c>
      <c r="I4772" s="32">
        <v>0</v>
      </c>
      <c r="J4772" s="62">
        <f t="shared" si="36"/>
        <v>16.059999999999999</v>
      </c>
    </row>
    <row r="4773" spans="1:10" x14ac:dyDescent="0.25">
      <c r="A4773" s="20">
        <v>45747</v>
      </c>
      <c r="B4773" t="str">
        <f>IFERROR(IF(VLOOKUP(C4773,Hoja1!$B$1:$C$6191,2,0)="",_xlfn.XLOOKUP(C4773,Hoja1!$B$2:$B$6191,Hoja1!$A$2:$A$6191),VLOOKUP(C4773,Hoja1!$B$1:$C$6191,2,0)),"No esta en Infor")</f>
        <v>NAC0972</v>
      </c>
      <c r="C4773" s="3" t="s">
        <v>221</v>
      </c>
      <c r="D4773" s="31">
        <v>0</v>
      </c>
      <c r="F4773" s="31">
        <v>173.58</v>
      </c>
      <c r="G4773" s="31">
        <v>0</v>
      </c>
      <c r="H4773" s="31">
        <v>0</v>
      </c>
      <c r="I4773" s="32">
        <v>217.86</v>
      </c>
      <c r="J4773" s="62">
        <f t="shared" si="36"/>
        <v>391.44000000000005</v>
      </c>
    </row>
    <row r="4774" spans="1:10" x14ac:dyDescent="0.25">
      <c r="A4774" s="20">
        <v>45747</v>
      </c>
      <c r="B4774" t="str">
        <f>IFERROR(IF(VLOOKUP(C4774,Hoja1!$B$1:$C$6191,2,0)="",_xlfn.XLOOKUP(C4774,Hoja1!$B$2:$B$6191,Hoja1!$A$2:$A$6191),VLOOKUP(C4774,Hoja1!$B$1:$C$6191,2,0)),"No esta en Infor")</f>
        <v>NAC0988</v>
      </c>
      <c r="C4774" s="3" t="s">
        <v>29</v>
      </c>
      <c r="D4774" s="31">
        <v>23904.85</v>
      </c>
      <c r="F4774" s="31">
        <v>10725</v>
      </c>
      <c r="G4774" s="31">
        <v>0</v>
      </c>
      <c r="H4774" s="31">
        <v>0</v>
      </c>
      <c r="I4774" s="32">
        <v>8946</v>
      </c>
      <c r="J4774" s="62">
        <f t="shared" si="36"/>
        <v>43575.85</v>
      </c>
    </row>
    <row r="4775" spans="1:10" x14ac:dyDescent="0.25">
      <c r="A4775" s="20">
        <v>45747</v>
      </c>
      <c r="B4775" t="str">
        <f>IFERROR(IF(VLOOKUP(C4775,Hoja1!$B$1:$C$6191,2,0)="",_xlfn.XLOOKUP(C4775,Hoja1!$B$2:$B$6191,Hoja1!$A$2:$A$6191),VLOOKUP(C4775,Hoja1!$B$1:$C$6191,2,0)),"No esta en Infor")</f>
        <v>NAC0994</v>
      </c>
      <c r="C4775" s="3" t="s">
        <v>226</v>
      </c>
      <c r="D4775" s="31">
        <v>142.5</v>
      </c>
      <c r="F4775" s="31">
        <v>232</v>
      </c>
      <c r="G4775" s="31">
        <v>0</v>
      </c>
      <c r="H4775" s="31">
        <v>0</v>
      </c>
      <c r="I4775" s="32">
        <v>0</v>
      </c>
      <c r="J4775" s="62">
        <f t="shared" si="36"/>
        <v>374.5</v>
      </c>
    </row>
    <row r="4776" spans="1:10" x14ac:dyDescent="0.25">
      <c r="A4776" s="20">
        <v>45747</v>
      </c>
      <c r="B4776" t="str">
        <f>IFERROR(IF(VLOOKUP(C4776,Hoja1!$B$1:$C$6191,2,0)="",_xlfn.XLOOKUP(C4776,Hoja1!$B$2:$B$6191,Hoja1!$A$2:$A$6191),VLOOKUP(C4776,Hoja1!$B$1:$C$6191,2,0)),"No esta en Infor")</f>
        <v>NAC1000</v>
      </c>
      <c r="C4776" s="3" t="s">
        <v>405</v>
      </c>
      <c r="D4776" s="31">
        <v>165.48</v>
      </c>
      <c r="F4776" s="31">
        <v>10.56</v>
      </c>
      <c r="G4776" s="31">
        <v>0</v>
      </c>
      <c r="H4776" s="31">
        <v>0</v>
      </c>
      <c r="I4776" s="32">
        <v>0</v>
      </c>
      <c r="J4776" s="62">
        <f t="shared" si="36"/>
        <v>176.04</v>
      </c>
    </row>
    <row r="4777" spans="1:10" x14ac:dyDescent="0.25">
      <c r="A4777" s="20">
        <v>45747</v>
      </c>
      <c r="B4777" t="str">
        <f>IFERROR(IF(VLOOKUP(C4777,Hoja1!$B$1:$C$6191,2,0)="",_xlfn.XLOOKUP(C4777,Hoja1!$B$2:$B$6191,Hoja1!$A$2:$A$6191),VLOOKUP(C4777,Hoja1!$B$1:$C$6191,2,0)),"No esta en Infor")</f>
        <v>NAC1007</v>
      </c>
      <c r="C4777" s="3" t="s">
        <v>233</v>
      </c>
      <c r="D4777" s="31">
        <v>1453</v>
      </c>
      <c r="F4777" s="31">
        <v>8793</v>
      </c>
      <c r="G4777" s="31">
        <v>0</v>
      </c>
      <c r="H4777" s="31">
        <v>0</v>
      </c>
      <c r="I4777" s="32">
        <v>0</v>
      </c>
      <c r="J4777" s="62">
        <f t="shared" si="36"/>
        <v>10246</v>
      </c>
    </row>
    <row r="4778" spans="1:10" x14ac:dyDescent="0.25">
      <c r="A4778" s="20">
        <v>45747</v>
      </c>
      <c r="B4778" t="str">
        <f>IFERROR(IF(VLOOKUP(C4778,Hoja1!$B$1:$C$6191,2,0)="",_xlfn.XLOOKUP(C4778,Hoja1!$B$2:$B$6191,Hoja1!$A$2:$A$6191),VLOOKUP(C4778,Hoja1!$B$1:$C$6191,2,0)),"No esta en Infor")</f>
        <v>NAC1013</v>
      </c>
      <c r="C4778" s="3" t="s">
        <v>235</v>
      </c>
      <c r="D4778" s="31">
        <v>699.66</v>
      </c>
      <c r="F4778" s="31">
        <v>391.55</v>
      </c>
      <c r="G4778" s="31">
        <v>0</v>
      </c>
      <c r="H4778" s="31">
        <v>0</v>
      </c>
      <c r="I4778" s="32">
        <v>0</v>
      </c>
      <c r="J4778" s="62">
        <f t="shared" si="36"/>
        <v>1091.21</v>
      </c>
    </row>
    <row r="4779" spans="1:10" x14ac:dyDescent="0.25">
      <c r="A4779" s="20">
        <v>45747</v>
      </c>
      <c r="B4779" t="str">
        <f>IFERROR(IF(VLOOKUP(C4779,Hoja1!$B$1:$C$6191,2,0)="",_xlfn.XLOOKUP(C4779,Hoja1!$B$2:$B$6191,Hoja1!$A$2:$A$6191),VLOOKUP(C4779,Hoja1!$B$1:$C$6191,2,0)),"No esta en Infor")</f>
        <v>NAC1018</v>
      </c>
      <c r="C4779" s="3" t="s">
        <v>463</v>
      </c>
      <c r="D4779" s="31">
        <v>2548</v>
      </c>
      <c r="F4779" s="31">
        <v>223.83</v>
      </c>
      <c r="G4779" s="31">
        <v>0</v>
      </c>
      <c r="H4779" s="31">
        <v>0</v>
      </c>
      <c r="I4779" s="32">
        <v>0</v>
      </c>
      <c r="J4779" s="62">
        <f t="shared" si="36"/>
        <v>2771.83</v>
      </c>
    </row>
    <row r="4780" spans="1:10" x14ac:dyDescent="0.25">
      <c r="A4780" s="20">
        <v>45747</v>
      </c>
      <c r="B4780" t="str">
        <f>IFERROR(IF(VLOOKUP(C4780,Hoja1!$B$1:$C$6191,2,0)="",_xlfn.XLOOKUP(C4780,Hoja1!$B$2:$B$6191,Hoja1!$A$2:$A$6191),VLOOKUP(C4780,Hoja1!$B$1:$C$6191,2,0)),"No esta en Infor")</f>
        <v>NAC1051</v>
      </c>
      <c r="C4780" s="3" t="s">
        <v>246</v>
      </c>
      <c r="D4780" s="31">
        <v>896.52</v>
      </c>
      <c r="F4780" s="31">
        <v>515.29</v>
      </c>
      <c r="G4780" s="31">
        <v>0</v>
      </c>
      <c r="H4780" s="31">
        <v>0</v>
      </c>
      <c r="I4780" s="32">
        <v>0</v>
      </c>
      <c r="J4780" s="62">
        <f t="shared" si="36"/>
        <v>1411.81</v>
      </c>
    </row>
    <row r="4781" spans="1:10" x14ac:dyDescent="0.25">
      <c r="A4781" s="20">
        <v>45747</v>
      </c>
      <c r="B4781" t="str">
        <f>IFERROR(IF(VLOOKUP(C4781,Hoja1!$B$1:$C$6191,2,0)="",_xlfn.XLOOKUP(C4781,Hoja1!$B$2:$B$6191,Hoja1!$A$2:$A$6191),VLOOKUP(C4781,Hoja1!$B$1:$C$6191,2,0)),"No esta en Infor")</f>
        <v>NAC1077</v>
      </c>
      <c r="C4781" s="3" t="s">
        <v>254</v>
      </c>
      <c r="D4781" s="31">
        <v>6630.44</v>
      </c>
      <c r="F4781" s="31">
        <v>289</v>
      </c>
      <c r="G4781" s="31">
        <v>0</v>
      </c>
      <c r="H4781" s="31">
        <v>0</v>
      </c>
      <c r="I4781" s="32">
        <v>0</v>
      </c>
      <c r="J4781" s="62">
        <f t="shared" si="36"/>
        <v>6919.44</v>
      </c>
    </row>
    <row r="4782" spans="1:10" x14ac:dyDescent="0.25">
      <c r="A4782" s="20">
        <v>45747</v>
      </c>
      <c r="B4782" t="str">
        <f>IFERROR(IF(VLOOKUP(C4782,Hoja1!$B$1:$C$6191,2,0)="",_xlfn.XLOOKUP(C4782,Hoja1!$B$2:$B$6191,Hoja1!$A$2:$A$6191),VLOOKUP(C4782,Hoja1!$B$1:$C$6191,2,0)),"No esta en Infor")</f>
        <v>NAC1087</v>
      </c>
      <c r="C4782" s="3" t="s">
        <v>631</v>
      </c>
      <c r="D4782" s="31">
        <v>0</v>
      </c>
      <c r="F4782" s="31">
        <v>0</v>
      </c>
      <c r="G4782" s="31">
        <v>908</v>
      </c>
      <c r="H4782" s="31">
        <v>0</v>
      </c>
      <c r="I4782" s="32">
        <v>0</v>
      </c>
      <c r="J4782" s="62">
        <f t="shared" si="36"/>
        <v>908</v>
      </c>
    </row>
    <row r="4783" spans="1:10" x14ac:dyDescent="0.25">
      <c r="A4783" s="20">
        <v>45747</v>
      </c>
      <c r="B4783" t="str">
        <f>IFERROR(IF(VLOOKUP(C4783,Hoja1!$B$1:$C$6191,2,0)="",_xlfn.XLOOKUP(C4783,Hoja1!$B$2:$B$6191,Hoja1!$A$2:$A$6191),VLOOKUP(C4783,Hoja1!$B$1:$C$6191,2,0)),"No esta en Infor")</f>
        <v>NAC1105</v>
      </c>
      <c r="C4783" s="3" t="s">
        <v>32</v>
      </c>
      <c r="D4783" s="31">
        <v>2400.5</v>
      </c>
      <c r="F4783" s="31">
        <v>1301.8699999999999</v>
      </c>
      <c r="G4783" s="31">
        <v>-155.25</v>
      </c>
      <c r="H4783" s="31">
        <v>0</v>
      </c>
      <c r="I4783" s="32">
        <v>2890.5</v>
      </c>
      <c r="J4783" s="62">
        <f t="shared" si="36"/>
        <v>6437.62</v>
      </c>
    </row>
    <row r="4784" spans="1:10" x14ac:dyDescent="0.25">
      <c r="A4784" s="20">
        <v>45747</v>
      </c>
      <c r="B4784" t="str">
        <f>IFERROR(IF(VLOOKUP(C4784,Hoja1!$B$1:$C$6191,2,0)="",_xlfn.XLOOKUP(C4784,Hoja1!$B$2:$B$6191,Hoja1!$A$2:$A$6191),VLOOKUP(C4784,Hoja1!$B$1:$C$6191,2,0)),"No esta en Infor")</f>
        <v>NAC1108</v>
      </c>
      <c r="C4784" s="3" t="s">
        <v>468</v>
      </c>
      <c r="D4784" s="31">
        <v>792</v>
      </c>
      <c r="F4784" s="31">
        <v>0</v>
      </c>
      <c r="G4784" s="31">
        <v>0</v>
      </c>
      <c r="H4784" s="31">
        <v>152.83000000000001</v>
      </c>
      <c r="I4784" s="32">
        <v>0</v>
      </c>
      <c r="J4784" s="62">
        <f t="shared" si="36"/>
        <v>944.83</v>
      </c>
    </row>
    <row r="4785" spans="1:10" x14ac:dyDescent="0.25">
      <c r="A4785" s="20">
        <v>45747</v>
      </c>
      <c r="B4785" t="str">
        <f>IFERROR(IF(VLOOKUP(C4785,Hoja1!$B$1:$C$6191,2,0)="",_xlfn.XLOOKUP(C4785,Hoja1!$B$2:$B$6191,Hoja1!$A$2:$A$6191),VLOOKUP(C4785,Hoja1!$B$1:$C$6191,2,0)),"No esta en Infor")</f>
        <v>NAC1122</v>
      </c>
      <c r="C4785" s="3" t="s">
        <v>515</v>
      </c>
      <c r="D4785" s="31">
        <v>9560.2000000000007</v>
      </c>
      <c r="F4785" s="31">
        <v>11362.04</v>
      </c>
      <c r="G4785" s="31">
        <v>-1</v>
      </c>
      <c r="H4785" s="31">
        <v>0</v>
      </c>
      <c r="I4785" s="32">
        <v>0</v>
      </c>
      <c r="J4785" s="62">
        <f t="shared" si="36"/>
        <v>20921.240000000002</v>
      </c>
    </row>
    <row r="4786" spans="1:10" x14ac:dyDescent="0.25">
      <c r="A4786" s="20">
        <v>45747</v>
      </c>
      <c r="B4786" t="str">
        <f>IFERROR(IF(VLOOKUP(C4786,Hoja1!$B$1:$C$6191,2,0)="",_xlfn.XLOOKUP(C4786,Hoja1!$B$2:$B$6191,Hoja1!$A$2:$A$6191),VLOOKUP(C4786,Hoja1!$B$1:$C$6191,2,0)),"No esta en Infor")</f>
        <v>NAC1144</v>
      </c>
      <c r="C4786" s="3" t="s">
        <v>411</v>
      </c>
      <c r="D4786" s="31">
        <v>240</v>
      </c>
      <c r="F4786" s="31">
        <v>0</v>
      </c>
      <c r="G4786" s="31">
        <v>0</v>
      </c>
      <c r="H4786" s="31">
        <v>0</v>
      </c>
      <c r="I4786" s="32">
        <v>29.71</v>
      </c>
      <c r="J4786" s="62">
        <f t="shared" si="36"/>
        <v>269.70999999999998</v>
      </c>
    </row>
    <row r="4787" spans="1:10" x14ac:dyDescent="0.25">
      <c r="A4787" s="20">
        <v>45747</v>
      </c>
      <c r="B4787" t="str">
        <f>IFERROR(IF(VLOOKUP(C4787,Hoja1!$B$1:$C$6191,2,0)="",_xlfn.XLOOKUP(C4787,Hoja1!$B$2:$B$6191,Hoja1!$A$2:$A$6191),VLOOKUP(C4787,Hoja1!$B$1:$C$6191,2,0)),"No esta en Infor")</f>
        <v>NAC1146</v>
      </c>
      <c r="C4787" s="3" t="s">
        <v>33</v>
      </c>
      <c r="D4787" s="31">
        <v>5422.66</v>
      </c>
      <c r="F4787" s="31">
        <v>110.83</v>
      </c>
      <c r="G4787" s="31">
        <v>0</v>
      </c>
      <c r="H4787" s="31">
        <v>0</v>
      </c>
      <c r="I4787" s="32">
        <v>1638.58</v>
      </c>
      <c r="J4787" s="62">
        <f t="shared" si="36"/>
        <v>7172.07</v>
      </c>
    </row>
    <row r="4788" spans="1:10" x14ac:dyDescent="0.25">
      <c r="A4788" s="20">
        <v>45747</v>
      </c>
      <c r="B4788" t="str">
        <f>IFERROR(IF(VLOOKUP(C4788,Hoja1!$B$1:$C$6191,2,0)="",_xlfn.XLOOKUP(C4788,Hoja1!$B$2:$B$6191,Hoja1!$A$2:$A$6191),VLOOKUP(C4788,Hoja1!$B$1:$C$6191,2,0)),"No esta en Infor")</f>
        <v>NAC1151</v>
      </c>
      <c r="C4788" s="3" t="s">
        <v>271</v>
      </c>
      <c r="D4788" s="31">
        <v>5981</v>
      </c>
      <c r="F4788" s="31">
        <v>1112.4000000000001</v>
      </c>
      <c r="G4788" s="31">
        <v>0</v>
      </c>
      <c r="H4788" s="31">
        <v>-1172</v>
      </c>
      <c r="I4788" s="32">
        <v>0</v>
      </c>
      <c r="J4788" s="62">
        <f t="shared" si="36"/>
        <v>5921.4</v>
      </c>
    </row>
    <row r="4789" spans="1:10" x14ac:dyDescent="0.25">
      <c r="A4789" s="20">
        <v>45747</v>
      </c>
      <c r="B4789" t="str">
        <f>IFERROR(IF(VLOOKUP(C4789,Hoja1!$B$1:$C$6191,2,0)="",_xlfn.XLOOKUP(C4789,Hoja1!$B$2:$B$6191,Hoja1!$A$2:$A$6191),VLOOKUP(C4789,Hoja1!$B$1:$C$6191,2,0)),"No esta en Infor")</f>
        <v>NAC1158</v>
      </c>
      <c r="C4789" s="3" t="s">
        <v>272</v>
      </c>
      <c r="D4789" s="31">
        <v>60400.83</v>
      </c>
      <c r="F4789" s="31">
        <v>192</v>
      </c>
      <c r="G4789" s="31">
        <v>0</v>
      </c>
      <c r="H4789" s="31">
        <v>0</v>
      </c>
      <c r="I4789" s="32">
        <v>0</v>
      </c>
      <c r="J4789" s="62">
        <f t="shared" si="36"/>
        <v>60592.83</v>
      </c>
    </row>
    <row r="4790" spans="1:10" x14ac:dyDescent="0.25">
      <c r="A4790" s="20">
        <v>45747</v>
      </c>
      <c r="B4790" t="str">
        <f>IFERROR(IF(VLOOKUP(C4790,Hoja1!$B$1:$C$6191,2,0)="",_xlfn.XLOOKUP(C4790,Hoja1!$B$2:$B$6191,Hoja1!$A$2:$A$6191),VLOOKUP(C4790,Hoja1!$B$1:$C$6191,2,0)),"No esta en Infor")</f>
        <v>NAC1170</v>
      </c>
      <c r="C4790" s="3" t="s">
        <v>278</v>
      </c>
      <c r="D4790" s="31">
        <v>483</v>
      </c>
      <c r="F4790" s="31">
        <v>323.62</v>
      </c>
      <c r="G4790" s="31">
        <v>0</v>
      </c>
      <c r="H4790" s="31">
        <v>0</v>
      </c>
      <c r="I4790" s="32">
        <v>0</v>
      </c>
      <c r="J4790" s="62">
        <f t="shared" si="36"/>
        <v>806.62</v>
      </c>
    </row>
    <row r="4791" spans="1:10" x14ac:dyDescent="0.25">
      <c r="A4791" s="20">
        <v>45747</v>
      </c>
      <c r="B4791" t="str">
        <f>IFERROR(IF(VLOOKUP(C4791,Hoja1!$B$1:$C$6191,2,0)="",_xlfn.XLOOKUP(C4791,Hoja1!$B$2:$B$6191,Hoja1!$A$2:$A$6191),VLOOKUP(C4791,Hoja1!$B$1:$C$6191,2,0)),"No esta en Infor")</f>
        <v>NAC1174</v>
      </c>
      <c r="C4791" s="3" t="s">
        <v>279</v>
      </c>
      <c r="D4791" s="31">
        <v>94.94</v>
      </c>
      <c r="F4791" s="31">
        <v>102.96</v>
      </c>
      <c r="G4791" s="31">
        <v>0</v>
      </c>
      <c r="H4791" s="31">
        <v>0</v>
      </c>
      <c r="I4791" s="32">
        <v>0</v>
      </c>
      <c r="J4791" s="62">
        <f t="shared" si="36"/>
        <v>197.89999999999998</v>
      </c>
    </row>
    <row r="4792" spans="1:10" x14ac:dyDescent="0.25">
      <c r="A4792" s="20">
        <v>45747</v>
      </c>
      <c r="B4792" t="str">
        <f>IFERROR(IF(VLOOKUP(C4792,Hoja1!$B$1:$C$6191,2,0)="",_xlfn.XLOOKUP(C4792,Hoja1!$B$2:$B$6191,Hoja1!$A$2:$A$6191),VLOOKUP(C4792,Hoja1!$B$1:$C$6191,2,0)),"No esta en Infor")</f>
        <v>NAC1187</v>
      </c>
      <c r="C4792" s="3" t="s">
        <v>471</v>
      </c>
      <c r="D4792" s="31">
        <v>0</v>
      </c>
      <c r="F4792" s="31">
        <v>0</v>
      </c>
      <c r="G4792" s="31">
        <v>0</v>
      </c>
      <c r="H4792" s="31">
        <v>882</v>
      </c>
      <c r="I4792" s="32">
        <v>0</v>
      </c>
      <c r="J4792" s="62">
        <f t="shared" si="36"/>
        <v>882</v>
      </c>
    </row>
    <row r="4793" spans="1:10" x14ac:dyDescent="0.25">
      <c r="A4793" s="20">
        <v>45747</v>
      </c>
      <c r="B4793" t="str">
        <f>IFERROR(IF(VLOOKUP(C4793,Hoja1!$B$1:$C$6191,2,0)="",_xlfn.XLOOKUP(C4793,Hoja1!$B$2:$B$6191,Hoja1!$A$2:$A$6191),VLOOKUP(C4793,Hoja1!$B$1:$C$6191,2,0)),"No esta en Infor")</f>
        <v>NAC1200</v>
      </c>
      <c r="C4793" s="3" t="s">
        <v>473</v>
      </c>
      <c r="D4793" s="31">
        <v>0</v>
      </c>
      <c r="F4793" s="31">
        <v>0</v>
      </c>
      <c r="G4793" s="31">
        <v>0</v>
      </c>
      <c r="H4793" s="31">
        <v>24.37</v>
      </c>
      <c r="I4793" s="32">
        <v>0</v>
      </c>
      <c r="J4793" s="62">
        <f t="shared" ref="J4793:J4826" si="37">SUM(D4793:I4793)</f>
        <v>24.37</v>
      </c>
    </row>
    <row r="4794" spans="1:10" x14ac:dyDescent="0.25">
      <c r="A4794" s="20">
        <v>45747</v>
      </c>
      <c r="B4794" t="str">
        <f>IFERROR(IF(VLOOKUP(C4794,Hoja1!$B$1:$C$6191,2,0)="",_xlfn.XLOOKUP(C4794,Hoja1!$B$2:$B$6191,Hoja1!$A$2:$A$6191),VLOOKUP(C4794,Hoja1!$B$1:$C$6191,2,0)),"No esta en Infor")</f>
        <v>NAC1207</v>
      </c>
      <c r="C4794" s="3" t="s">
        <v>417</v>
      </c>
      <c r="D4794" s="31">
        <v>0</v>
      </c>
      <c r="F4794" s="31">
        <v>0</v>
      </c>
      <c r="G4794" s="31">
        <v>1505.05</v>
      </c>
      <c r="H4794" s="31">
        <v>0</v>
      </c>
      <c r="I4794" s="32">
        <v>0</v>
      </c>
      <c r="J4794" s="62">
        <f t="shared" si="37"/>
        <v>1505.05</v>
      </c>
    </row>
    <row r="4795" spans="1:10" x14ac:dyDescent="0.25">
      <c r="A4795" s="20">
        <v>45747</v>
      </c>
      <c r="B4795" t="str">
        <f>IFERROR(IF(VLOOKUP(C4795,Hoja1!$B$1:$C$6191,2,0)="",_xlfn.XLOOKUP(C4795,Hoja1!$B$2:$B$6191,Hoja1!$A$2:$A$6191),VLOOKUP(C4795,Hoja1!$B$1:$C$6191,2,0)),"No esta en Infor")</f>
        <v>NAC1209</v>
      </c>
      <c r="C4795" s="3" t="s">
        <v>753</v>
      </c>
      <c r="D4795" s="31">
        <v>0</v>
      </c>
      <c r="F4795" s="31">
        <v>178</v>
      </c>
      <c r="G4795" s="31">
        <v>0</v>
      </c>
      <c r="H4795" s="31">
        <v>0</v>
      </c>
      <c r="I4795" s="32">
        <v>0</v>
      </c>
      <c r="J4795" s="62">
        <f t="shared" si="37"/>
        <v>178</v>
      </c>
    </row>
    <row r="4796" spans="1:10" x14ac:dyDescent="0.25">
      <c r="A4796" s="20">
        <v>45747</v>
      </c>
      <c r="B4796" t="str">
        <f>IFERROR(IF(VLOOKUP(C4796,Hoja1!$B$1:$C$6191,2,0)="",_xlfn.XLOOKUP(C4796,Hoja1!$B$2:$B$6191,Hoja1!$A$2:$A$6191),VLOOKUP(C4796,Hoja1!$B$1:$C$6191,2,0)),"No esta en Infor")</f>
        <v>NAC1216</v>
      </c>
      <c r="C4796" s="3" t="s">
        <v>287</v>
      </c>
      <c r="D4796" s="31">
        <v>529.67999999999995</v>
      </c>
      <c r="F4796" s="31">
        <v>0</v>
      </c>
      <c r="G4796" s="31">
        <v>0</v>
      </c>
      <c r="H4796" s="31">
        <v>32.979999999999997</v>
      </c>
      <c r="I4796" s="32">
        <v>0</v>
      </c>
      <c r="J4796" s="62">
        <f t="shared" si="37"/>
        <v>562.66</v>
      </c>
    </row>
    <row r="4797" spans="1:10" x14ac:dyDescent="0.25">
      <c r="A4797" s="20">
        <v>45747</v>
      </c>
      <c r="B4797" t="str">
        <f>IFERROR(IF(VLOOKUP(C4797,Hoja1!$B$1:$C$6191,2,0)="",_xlfn.XLOOKUP(C4797,Hoja1!$B$2:$B$6191,Hoja1!$A$2:$A$6191),VLOOKUP(C4797,Hoja1!$B$1:$C$6191,2,0)),"No esta en Infor")</f>
        <v>NAC1218</v>
      </c>
      <c r="C4797" s="3" t="s">
        <v>474</v>
      </c>
      <c r="D4797" s="31">
        <v>0</v>
      </c>
      <c r="F4797" s="31">
        <v>2264.9</v>
      </c>
      <c r="G4797" s="31">
        <v>0</v>
      </c>
      <c r="H4797" s="31">
        <v>0</v>
      </c>
      <c r="I4797" s="32">
        <v>0</v>
      </c>
      <c r="J4797" s="62">
        <f t="shared" si="37"/>
        <v>2264.9</v>
      </c>
    </row>
    <row r="4798" spans="1:10" x14ac:dyDescent="0.25">
      <c r="A4798" s="20">
        <v>45747</v>
      </c>
      <c r="B4798" t="str">
        <f>IFERROR(IF(VLOOKUP(C4798,Hoja1!$B$1:$C$6191,2,0)="",_xlfn.XLOOKUP(C4798,Hoja1!$B$2:$B$6191,Hoja1!$A$2:$A$6191),VLOOKUP(C4798,Hoja1!$B$1:$C$6191,2,0)),"No esta en Infor")</f>
        <v>NAC1229</v>
      </c>
      <c r="C4798" s="3" t="s">
        <v>418</v>
      </c>
      <c r="D4798" s="31">
        <v>138</v>
      </c>
      <c r="F4798" s="31">
        <v>136.5</v>
      </c>
      <c r="G4798" s="31">
        <v>0</v>
      </c>
      <c r="H4798" s="31">
        <v>0</v>
      </c>
      <c r="I4798" s="32">
        <v>0</v>
      </c>
      <c r="J4798" s="62">
        <f t="shared" si="37"/>
        <v>274.5</v>
      </c>
    </row>
    <row r="4799" spans="1:10" x14ac:dyDescent="0.25">
      <c r="A4799" s="20">
        <v>45747</v>
      </c>
      <c r="B4799" t="str">
        <f>IFERROR(IF(VLOOKUP(C4799,Hoja1!$B$1:$C$6191,2,0)="",_xlfn.XLOOKUP(C4799,Hoja1!$B$2:$B$6191,Hoja1!$A$2:$A$6191),VLOOKUP(C4799,Hoja1!$B$1:$C$6191,2,0)),"No esta en Infor")</f>
        <v>NAC1231</v>
      </c>
      <c r="C4799" s="3" t="s">
        <v>290</v>
      </c>
      <c r="D4799" s="31">
        <v>29848</v>
      </c>
      <c r="F4799" s="31">
        <v>9487.1</v>
      </c>
      <c r="G4799" s="31">
        <v>0</v>
      </c>
      <c r="H4799" s="31">
        <v>0</v>
      </c>
      <c r="I4799" s="32">
        <v>0</v>
      </c>
      <c r="J4799" s="62">
        <f t="shared" si="37"/>
        <v>39335.1</v>
      </c>
    </row>
    <row r="4800" spans="1:10" x14ac:dyDescent="0.25">
      <c r="A4800" s="20">
        <v>45747</v>
      </c>
      <c r="B4800" t="str">
        <f>IFERROR(IF(VLOOKUP(C4800,Hoja1!$B$1:$C$6191,2,0)="",_xlfn.XLOOKUP(C4800,Hoja1!$B$2:$B$6191,Hoja1!$A$2:$A$6191),VLOOKUP(C4800,Hoja1!$B$1:$C$6191,2,0)),"No esta en Infor")</f>
        <v>NAC1251</v>
      </c>
      <c r="C4800" s="3" t="s">
        <v>519</v>
      </c>
      <c r="D4800" s="31">
        <v>0</v>
      </c>
      <c r="F4800" s="31">
        <v>1415.61</v>
      </c>
      <c r="G4800" s="31">
        <v>0</v>
      </c>
      <c r="H4800" s="31">
        <v>0</v>
      </c>
      <c r="I4800" s="32">
        <v>0</v>
      </c>
      <c r="J4800" s="62">
        <f t="shared" si="37"/>
        <v>1415.61</v>
      </c>
    </row>
    <row r="4801" spans="1:10" x14ac:dyDescent="0.25">
      <c r="A4801" s="20">
        <v>45747</v>
      </c>
      <c r="B4801" t="str">
        <f>IFERROR(IF(VLOOKUP(C4801,Hoja1!$B$1:$C$6191,2,0)="",_xlfn.XLOOKUP(C4801,Hoja1!$B$2:$B$6191,Hoja1!$A$2:$A$6191),VLOOKUP(C4801,Hoja1!$B$1:$C$6191,2,0)),"No esta en Infor")</f>
        <v>NAC1261</v>
      </c>
      <c r="C4801" s="3" t="s">
        <v>303</v>
      </c>
      <c r="D4801" s="31">
        <v>0</v>
      </c>
      <c r="F4801" s="31">
        <v>1323</v>
      </c>
      <c r="G4801" s="31">
        <v>0</v>
      </c>
      <c r="H4801" s="31">
        <v>0</v>
      </c>
      <c r="I4801" s="32">
        <v>0</v>
      </c>
      <c r="J4801" s="62">
        <f t="shared" si="37"/>
        <v>1323</v>
      </c>
    </row>
    <row r="4802" spans="1:10" x14ac:dyDescent="0.25">
      <c r="A4802" s="20">
        <v>45747</v>
      </c>
      <c r="B4802" t="str">
        <f>IFERROR(IF(VLOOKUP(C4802,Hoja1!$B$1:$C$6191,2,0)="",_xlfn.XLOOKUP(C4802,Hoja1!$B$2:$B$6191,Hoja1!$A$2:$A$6191),VLOOKUP(C4802,Hoja1!$B$1:$C$6191,2,0)),"No esta en Infor")</f>
        <v>NAC1281</v>
      </c>
      <c r="C4802" s="3" t="s">
        <v>37</v>
      </c>
      <c r="D4802" s="31">
        <v>4155.4799999999996</v>
      </c>
      <c r="F4802" s="31">
        <v>5100.1400000000003</v>
      </c>
      <c r="G4802" s="31">
        <v>509.24</v>
      </c>
      <c r="H4802" s="31">
        <v>1334.51</v>
      </c>
      <c r="I4802" s="32">
        <v>9972.6299999999992</v>
      </c>
      <c r="J4802" s="62">
        <f t="shared" si="37"/>
        <v>21072</v>
      </c>
    </row>
    <row r="4803" spans="1:10" x14ac:dyDescent="0.25">
      <c r="A4803" s="20">
        <v>45747</v>
      </c>
      <c r="B4803" t="str">
        <f>IFERROR(IF(VLOOKUP(C4803,Hoja1!$B$1:$C$6191,2,0)="",_xlfn.XLOOKUP(C4803,Hoja1!$B$2:$B$6191,Hoja1!$A$2:$A$6191),VLOOKUP(C4803,Hoja1!$B$1:$C$6191,2,0)),"No esta en Infor")</f>
        <v>NAC1283</v>
      </c>
      <c r="C4803" s="3" t="s">
        <v>308</v>
      </c>
      <c r="D4803" s="31">
        <v>7532.25</v>
      </c>
      <c r="F4803" s="31">
        <v>270</v>
      </c>
      <c r="G4803" s="31">
        <v>490</v>
      </c>
      <c r="H4803" s="31">
        <v>0</v>
      </c>
      <c r="I4803" s="32">
        <v>-118</v>
      </c>
      <c r="J4803" s="62">
        <f t="shared" si="37"/>
        <v>8174.25</v>
      </c>
    </row>
    <row r="4804" spans="1:10" x14ac:dyDescent="0.25">
      <c r="A4804" s="20">
        <v>45747</v>
      </c>
      <c r="B4804" t="str">
        <f>IFERROR(IF(VLOOKUP(C4804,Hoja1!$B$1:$C$6191,2,0)="",_xlfn.XLOOKUP(C4804,Hoja1!$B$2:$B$6191,Hoja1!$A$2:$A$6191),VLOOKUP(C4804,Hoja1!$B$1:$C$6191,2,0)),"No esta en Infor")</f>
        <v>NAC1303</v>
      </c>
      <c r="C4804" s="3" t="s">
        <v>697</v>
      </c>
      <c r="D4804" s="31">
        <v>170.71</v>
      </c>
      <c r="F4804" s="31">
        <v>224</v>
      </c>
      <c r="G4804" s="31">
        <v>0</v>
      </c>
      <c r="H4804" s="31">
        <v>0</v>
      </c>
      <c r="I4804" s="32">
        <v>0</v>
      </c>
      <c r="J4804" s="62">
        <f t="shared" si="37"/>
        <v>394.71000000000004</v>
      </c>
    </row>
    <row r="4805" spans="1:10" x14ac:dyDescent="0.25">
      <c r="A4805" s="20">
        <v>45747</v>
      </c>
      <c r="B4805" t="str">
        <f>IFERROR(IF(VLOOKUP(C4805,Hoja1!$B$1:$C$6191,2,0)="",_xlfn.XLOOKUP(C4805,Hoja1!$B$2:$B$6191,Hoja1!$A$2:$A$6191),VLOOKUP(C4805,Hoja1!$B$1:$C$6191,2,0)),"No esta en Infor")</f>
        <v>NAC1323</v>
      </c>
      <c r="C4805" s="3" t="s">
        <v>49</v>
      </c>
      <c r="D4805" s="31">
        <v>347117.91</v>
      </c>
      <c r="F4805" s="31">
        <v>3961.07</v>
      </c>
      <c r="G4805" s="31">
        <v>4420.1000000000004</v>
      </c>
      <c r="H4805" s="31">
        <v>22592.28</v>
      </c>
      <c r="I4805" s="32">
        <v>17651.04</v>
      </c>
      <c r="J4805" s="62">
        <f t="shared" si="37"/>
        <v>395742.39999999997</v>
      </c>
    </row>
    <row r="4806" spans="1:10" x14ac:dyDescent="0.25">
      <c r="A4806" s="20">
        <v>45747</v>
      </c>
      <c r="B4806" t="str">
        <f>IFERROR(IF(VLOOKUP(C4806,Hoja1!$B$1:$C$6191,2,0)="",_xlfn.XLOOKUP(C4806,Hoja1!$B$2:$B$6191,Hoja1!$A$2:$A$6191),VLOOKUP(C4806,Hoja1!$B$1:$C$6191,2,0)),"No esta en Infor")</f>
        <v>NAC1326</v>
      </c>
      <c r="C4806" s="3" t="s">
        <v>763</v>
      </c>
      <c r="D4806" s="31">
        <v>0</v>
      </c>
      <c r="F4806" s="31">
        <v>994.63</v>
      </c>
      <c r="G4806" s="31">
        <v>0</v>
      </c>
      <c r="H4806" s="31">
        <v>0</v>
      </c>
      <c r="I4806" s="32">
        <v>0</v>
      </c>
      <c r="J4806" s="62">
        <f t="shared" si="37"/>
        <v>994.63</v>
      </c>
    </row>
    <row r="4807" spans="1:10" x14ac:dyDescent="0.25">
      <c r="A4807" s="20">
        <v>45747</v>
      </c>
      <c r="B4807" t="str">
        <f>IFERROR(IF(VLOOKUP(C4807,Hoja1!$B$1:$C$6191,2,0)="",_xlfn.XLOOKUP(C4807,Hoja1!$B$2:$B$6191,Hoja1!$A$2:$A$6191),VLOOKUP(C4807,Hoja1!$B$1:$C$6191,2,0)),"No esta en Infor")</f>
        <v>NAC1327</v>
      </c>
      <c r="C4807" s="3" t="s">
        <v>50</v>
      </c>
      <c r="D4807" s="31">
        <v>132761.43</v>
      </c>
      <c r="F4807" s="31">
        <v>-203.6</v>
      </c>
      <c r="G4807" s="31">
        <v>419.4</v>
      </c>
      <c r="H4807" s="31">
        <v>3512.04</v>
      </c>
      <c r="I4807" s="32">
        <v>-77.7</v>
      </c>
      <c r="J4807" s="62">
        <f t="shared" si="37"/>
        <v>136411.56999999998</v>
      </c>
    </row>
    <row r="4808" spans="1:10" x14ac:dyDescent="0.25">
      <c r="A4808" s="20">
        <v>45747</v>
      </c>
      <c r="B4808" t="str">
        <f>IFERROR(IF(VLOOKUP(C4808,Hoja1!$B$1:$C$6191,2,0)="",_xlfn.XLOOKUP(C4808,Hoja1!$B$2:$B$6191,Hoja1!$A$2:$A$6191),VLOOKUP(C4808,Hoja1!$B$1:$C$6191,2,0)),"No esta en Infor")</f>
        <v>NAC1332</v>
      </c>
      <c r="C4808" s="3" t="s">
        <v>317</v>
      </c>
      <c r="D4808" s="31">
        <v>766.98</v>
      </c>
      <c r="F4808" s="31">
        <v>362</v>
      </c>
      <c r="G4808" s="31">
        <v>0</v>
      </c>
      <c r="H4808" s="31">
        <v>0</v>
      </c>
      <c r="I4808" s="32">
        <v>0</v>
      </c>
      <c r="J4808" s="62">
        <f t="shared" si="37"/>
        <v>1128.98</v>
      </c>
    </row>
    <row r="4809" spans="1:10" x14ac:dyDescent="0.25">
      <c r="A4809" s="20">
        <v>45747</v>
      </c>
      <c r="B4809" t="str">
        <f>IFERROR(IF(VLOOKUP(C4809,Hoja1!$B$1:$C$6191,2,0)="",_xlfn.XLOOKUP(C4809,Hoja1!$B$2:$B$6191,Hoja1!$A$2:$A$6191),VLOOKUP(C4809,Hoja1!$B$1:$C$6191,2,0)),"No esta en Infor")</f>
        <v>NAC1333</v>
      </c>
      <c r="C4809" s="3" t="s">
        <v>318</v>
      </c>
      <c r="D4809" s="31">
        <v>26304.79</v>
      </c>
      <c r="F4809" s="31">
        <v>42.2</v>
      </c>
      <c r="G4809" s="31">
        <v>72.989999999999995</v>
      </c>
      <c r="H4809" s="31">
        <v>32.840000000000003</v>
      </c>
      <c r="I4809" s="32">
        <v>0</v>
      </c>
      <c r="J4809" s="62">
        <f t="shared" si="37"/>
        <v>26452.820000000003</v>
      </c>
    </row>
    <row r="4810" spans="1:10" x14ac:dyDescent="0.25">
      <c r="A4810" s="20">
        <v>45747</v>
      </c>
      <c r="B4810" t="str">
        <f>IFERROR(IF(VLOOKUP(C4810,Hoja1!$B$1:$C$6191,2,0)="",_xlfn.XLOOKUP(C4810,Hoja1!$B$2:$B$6191,Hoja1!$A$2:$A$6191),VLOOKUP(C4810,Hoja1!$B$1:$C$6191,2,0)),"No esta en Infor")</f>
        <v>NAC1348</v>
      </c>
      <c r="C4810" s="3" t="s">
        <v>323</v>
      </c>
      <c r="D4810" s="31">
        <v>592.15</v>
      </c>
      <c r="F4810" s="31">
        <v>0</v>
      </c>
      <c r="G4810" s="31">
        <v>197.25</v>
      </c>
      <c r="H4810" s="31">
        <v>0</v>
      </c>
      <c r="I4810" s="32">
        <v>0</v>
      </c>
      <c r="J4810" s="62">
        <f t="shared" si="37"/>
        <v>789.4</v>
      </c>
    </row>
    <row r="4811" spans="1:10" x14ac:dyDescent="0.25">
      <c r="A4811" s="20">
        <v>45747</v>
      </c>
      <c r="B4811" t="str">
        <f>IFERROR(IF(VLOOKUP(C4811,Hoja1!$B$1:$C$6191,2,0)="",_xlfn.XLOOKUP(C4811,Hoja1!$B$2:$B$6191,Hoja1!$A$2:$A$6191),VLOOKUP(C4811,Hoja1!$B$1:$C$6191,2,0)),"No esta en Infor")</f>
        <v>NAC1362</v>
      </c>
      <c r="C4811" s="3" t="s">
        <v>701</v>
      </c>
      <c r="D4811" s="31">
        <v>0</v>
      </c>
      <c r="F4811" s="31">
        <v>3780</v>
      </c>
      <c r="G4811" s="31">
        <v>0</v>
      </c>
      <c r="H4811" s="31">
        <v>0</v>
      </c>
      <c r="I4811" s="32">
        <v>0</v>
      </c>
      <c r="J4811" s="62">
        <f t="shared" si="37"/>
        <v>3780</v>
      </c>
    </row>
    <row r="4812" spans="1:10" x14ac:dyDescent="0.25">
      <c r="A4812" s="20">
        <v>45747</v>
      </c>
      <c r="B4812" t="str">
        <f>IFERROR(IF(VLOOKUP(C4812,Hoja1!$B$1:$C$6191,2,0)="",_xlfn.XLOOKUP(C4812,Hoja1!$B$2:$B$6191,Hoja1!$A$2:$A$6191),VLOOKUP(C4812,Hoja1!$B$1:$C$6191,2,0)),"No esta en Infor")</f>
        <v>NAC1372</v>
      </c>
      <c r="C4812" s="3" t="s">
        <v>607</v>
      </c>
      <c r="D4812" s="31">
        <v>0</v>
      </c>
      <c r="F4812" s="31">
        <v>420.12</v>
      </c>
      <c r="G4812" s="31">
        <v>0</v>
      </c>
      <c r="H4812" s="31">
        <v>0</v>
      </c>
      <c r="I4812" s="32">
        <v>0</v>
      </c>
      <c r="J4812" s="62">
        <f t="shared" si="37"/>
        <v>420.12</v>
      </c>
    </row>
    <row r="4813" spans="1:10" x14ac:dyDescent="0.25">
      <c r="A4813" s="20">
        <v>45747</v>
      </c>
      <c r="B4813" t="str">
        <f>IFERROR(IF(VLOOKUP(C4813,Hoja1!$B$1:$C$6191,2,0)="",_xlfn.XLOOKUP(C4813,Hoja1!$B$2:$B$6191,Hoja1!$A$2:$A$6191),VLOOKUP(C4813,Hoja1!$B$1:$C$6191,2,0)),"No esta en Infor")</f>
        <v>NAC1377</v>
      </c>
      <c r="C4813" s="3" t="s">
        <v>525</v>
      </c>
      <c r="D4813" s="31">
        <v>8487.89</v>
      </c>
      <c r="F4813" s="31">
        <v>356.67</v>
      </c>
      <c r="G4813" s="31">
        <v>0</v>
      </c>
      <c r="H4813" s="31">
        <v>0</v>
      </c>
      <c r="I4813" s="32">
        <v>0</v>
      </c>
      <c r="J4813" s="62">
        <f t="shared" si="37"/>
        <v>8844.56</v>
      </c>
    </row>
    <row r="4814" spans="1:10" x14ac:dyDescent="0.25">
      <c r="A4814" s="20">
        <v>45747</v>
      </c>
      <c r="B4814" t="str">
        <f>IFERROR(IF(VLOOKUP(C4814,Hoja1!$B$1:$C$6191,2,0)="",_xlfn.XLOOKUP(C4814,Hoja1!$B$2:$B$6191,Hoja1!$A$2:$A$6191),VLOOKUP(C4814,Hoja1!$B$1:$C$6191,2,0)),"No esta en Infor")</f>
        <v>NAC1448</v>
      </c>
      <c r="C4814" s="3" t="s">
        <v>9</v>
      </c>
      <c r="D4814" s="31">
        <v>72880.240000000005</v>
      </c>
      <c r="F4814" s="31">
        <v>688.8</v>
      </c>
      <c r="G4814" s="31">
        <v>3620</v>
      </c>
      <c r="H4814" s="31">
        <v>5270</v>
      </c>
      <c r="I4814" s="32">
        <v>300</v>
      </c>
      <c r="J4814" s="62">
        <f t="shared" si="37"/>
        <v>82759.040000000008</v>
      </c>
    </row>
    <row r="4815" spans="1:10" x14ac:dyDescent="0.25">
      <c r="A4815" s="20">
        <v>45747</v>
      </c>
      <c r="B4815" t="str">
        <f>IFERROR(IF(VLOOKUP(C4815,Hoja1!$B$1:$C$6191,2,0)="",_xlfn.XLOOKUP(C4815,Hoja1!$B$2:$B$6191,Hoja1!$A$2:$A$6191),VLOOKUP(C4815,Hoja1!$B$1:$C$6191,2,0)),"No esta en Infor")</f>
        <v>NAC1449</v>
      </c>
      <c r="C4815" s="3" t="s">
        <v>706</v>
      </c>
      <c r="D4815" s="31">
        <v>0</v>
      </c>
      <c r="F4815" s="31">
        <v>0</v>
      </c>
      <c r="G4815" s="31">
        <v>14911.15</v>
      </c>
      <c r="H4815" s="31">
        <v>0</v>
      </c>
      <c r="I4815" s="32">
        <v>0</v>
      </c>
      <c r="J4815" s="62">
        <f t="shared" si="37"/>
        <v>14911.15</v>
      </c>
    </row>
    <row r="4816" spans="1:10" x14ac:dyDescent="0.25">
      <c r="A4816" s="20">
        <v>45747</v>
      </c>
      <c r="B4816" t="str">
        <f>IFERROR(IF(VLOOKUP(C4816,Hoja1!$B$1:$C$6191,2,0)="",_xlfn.XLOOKUP(C4816,Hoja1!$B$2:$B$6191,Hoja1!$A$2:$A$6191),VLOOKUP(C4816,Hoja1!$B$1:$C$6191,2,0)),"No esta en Infor")</f>
        <v>NAC1450</v>
      </c>
      <c r="C4816" s="3" t="s">
        <v>54</v>
      </c>
      <c r="D4816" s="31">
        <v>87256.89</v>
      </c>
      <c r="F4816" s="31">
        <v>709.5</v>
      </c>
      <c r="G4816" s="31">
        <v>314.52999999999997</v>
      </c>
      <c r="H4816" s="31">
        <v>0</v>
      </c>
      <c r="I4816" s="32">
        <v>-100.66</v>
      </c>
      <c r="J4816" s="62">
        <f t="shared" si="37"/>
        <v>88180.26</v>
      </c>
    </row>
    <row r="4817" spans="1:10" x14ac:dyDescent="0.25">
      <c r="A4817" s="20">
        <v>45747</v>
      </c>
      <c r="B4817" t="str">
        <f>IFERROR(IF(VLOOKUP(C4817,Hoja1!$B$1:$C$6191,2,0)="",_xlfn.XLOOKUP(C4817,Hoja1!$B$2:$B$6191,Hoja1!$A$2:$A$6191),VLOOKUP(C4817,Hoja1!$B$1:$C$6191,2,0)),"No esta en Infor")</f>
        <v>NAC1500</v>
      </c>
      <c r="C4817" s="3" t="s">
        <v>432</v>
      </c>
      <c r="D4817" s="31">
        <v>56</v>
      </c>
      <c r="F4817" s="31">
        <v>-0.06</v>
      </c>
      <c r="G4817" s="31">
        <v>0</v>
      </c>
      <c r="H4817" s="31">
        <v>0</v>
      </c>
      <c r="I4817" s="32">
        <v>51.8</v>
      </c>
      <c r="J4817" s="62">
        <f t="shared" si="37"/>
        <v>107.74</v>
      </c>
    </row>
    <row r="4818" spans="1:10" x14ac:dyDescent="0.25">
      <c r="A4818" s="20">
        <v>45747</v>
      </c>
      <c r="B4818" t="str">
        <f>IFERROR(IF(VLOOKUP(C4818,Hoja1!$B$1:$C$6191,2,0)="",_xlfn.XLOOKUP(C4818,Hoja1!$B$2:$B$6191,Hoja1!$A$2:$A$6191),VLOOKUP(C4818,Hoja1!$B$1:$C$6191,2,0)),"No esta en Infor")</f>
        <v>NAC1512</v>
      </c>
      <c r="C4818" s="3" t="s">
        <v>56</v>
      </c>
      <c r="D4818" s="31">
        <v>-425</v>
      </c>
      <c r="F4818" s="31">
        <v>0</v>
      </c>
      <c r="G4818" s="31">
        <v>0</v>
      </c>
      <c r="H4818" s="31">
        <v>0</v>
      </c>
      <c r="I4818" s="32">
        <v>6490</v>
      </c>
      <c r="J4818" s="62">
        <f t="shared" si="37"/>
        <v>6065</v>
      </c>
    </row>
    <row r="4819" spans="1:10" x14ac:dyDescent="0.25">
      <c r="A4819" s="20">
        <v>45747</v>
      </c>
      <c r="B4819" t="str">
        <f>IFERROR(IF(VLOOKUP(C4819,Hoja1!$B$1:$C$6191,2,0)="",_xlfn.XLOOKUP(C4819,Hoja1!$B$2:$B$6191,Hoja1!$A$2:$A$6191),VLOOKUP(C4819,Hoja1!$B$1:$C$6191,2,0)),"No esta en Infor")</f>
        <v>NAC1517</v>
      </c>
      <c r="C4819" s="3" t="s">
        <v>365</v>
      </c>
      <c r="D4819" s="31">
        <v>257270.68</v>
      </c>
      <c r="F4819" s="31">
        <v>15642.78</v>
      </c>
      <c r="G4819" s="31">
        <v>1456.18</v>
      </c>
      <c r="H4819" s="31">
        <v>-623.13</v>
      </c>
      <c r="I4819" s="32">
        <v>-263.5</v>
      </c>
      <c r="J4819" s="62">
        <f t="shared" si="37"/>
        <v>273483.01</v>
      </c>
    </row>
    <row r="4820" spans="1:10" x14ac:dyDescent="0.25">
      <c r="A4820" s="20">
        <v>45747</v>
      </c>
      <c r="B4820" t="str">
        <f>IFERROR(IF(VLOOKUP(C4820,Hoja1!$B$1:$C$6191,2,0)="",_xlfn.XLOOKUP(C4820,Hoja1!$B$2:$B$6191,Hoja1!$A$2:$A$6191),VLOOKUP(C4820,Hoja1!$B$1:$C$6191,2,0)),"No esta en Infor")</f>
        <v>NAC1522</v>
      </c>
      <c r="C4820" s="3" t="s">
        <v>366</v>
      </c>
      <c r="D4820" s="31">
        <v>0</v>
      </c>
      <c r="F4820" s="31">
        <v>502.82</v>
      </c>
      <c r="G4820" s="31">
        <v>0</v>
      </c>
      <c r="H4820" s="31">
        <v>0</v>
      </c>
      <c r="I4820" s="32">
        <v>0</v>
      </c>
      <c r="J4820" s="62">
        <f t="shared" si="37"/>
        <v>502.82</v>
      </c>
    </row>
    <row r="4821" spans="1:10" x14ac:dyDescent="0.25">
      <c r="A4821" s="20">
        <v>45747</v>
      </c>
      <c r="B4821" t="str">
        <f>IFERROR(IF(VLOOKUP(C4821,Hoja1!$B$1:$C$6191,2,0)="",_xlfn.XLOOKUP(C4821,Hoja1!$B$2:$B$6191,Hoja1!$A$2:$A$6191),VLOOKUP(C4821,Hoja1!$B$1:$C$6191,2,0)),"No esta en Infor")</f>
        <v>NAC1545</v>
      </c>
      <c r="C4821" s="3" t="s">
        <v>769</v>
      </c>
      <c r="D4821" s="31">
        <v>0</v>
      </c>
      <c r="F4821" s="31">
        <v>4230</v>
      </c>
      <c r="G4821" s="31">
        <v>0</v>
      </c>
      <c r="H4821" s="31">
        <v>0</v>
      </c>
      <c r="I4821" s="32">
        <v>0</v>
      </c>
      <c r="J4821" s="62">
        <f t="shared" si="37"/>
        <v>4230</v>
      </c>
    </row>
    <row r="4822" spans="1:10" x14ac:dyDescent="0.25">
      <c r="A4822" s="20">
        <v>45747</v>
      </c>
      <c r="B4822" t="str">
        <f>IFERROR(IF(VLOOKUP(C4822,Hoja1!$B$1:$C$6191,2,0)="",_xlfn.XLOOKUP(C4822,Hoja1!$B$2:$B$6191,Hoja1!$A$2:$A$6191),VLOOKUP(C4822,Hoja1!$B$1:$C$6191,2,0)),"No esta en Infor")</f>
        <v>NAC1594</v>
      </c>
      <c r="C4822" s="3" t="s">
        <v>791</v>
      </c>
      <c r="D4822" s="31">
        <v>0</v>
      </c>
      <c r="F4822" s="31">
        <v>625.33000000000004</v>
      </c>
      <c r="G4822" s="31">
        <v>0</v>
      </c>
      <c r="H4822" s="31">
        <v>0</v>
      </c>
      <c r="I4822" s="32">
        <v>0</v>
      </c>
      <c r="J4822" s="62">
        <f t="shared" si="37"/>
        <v>625.33000000000004</v>
      </c>
    </row>
    <row r="4823" spans="1:10" x14ac:dyDescent="0.25">
      <c r="A4823" s="20">
        <v>45747</v>
      </c>
      <c r="B4823" t="str">
        <f>IFERROR(IF(VLOOKUP(C4823,Hoja1!$B$1:$C$6191,2,0)="",_xlfn.XLOOKUP(C4823,Hoja1!$B$2:$B$6191,Hoja1!$A$2:$A$6191),VLOOKUP(C4823,Hoja1!$B$1:$C$6191,2,0)),"No esta en Infor")</f>
        <v>NAC1606</v>
      </c>
      <c r="C4823" s="3" t="s">
        <v>561</v>
      </c>
      <c r="D4823" s="31">
        <v>83196.679999999993</v>
      </c>
      <c r="F4823" s="31">
        <v>770</v>
      </c>
      <c r="G4823" s="31">
        <v>0</v>
      </c>
      <c r="H4823" s="31">
        <v>0</v>
      </c>
      <c r="I4823" s="32">
        <v>0</v>
      </c>
      <c r="J4823" s="62">
        <f t="shared" si="37"/>
        <v>83966.68</v>
      </c>
    </row>
    <row r="4824" spans="1:10" x14ac:dyDescent="0.25">
      <c r="A4824" s="20">
        <v>45747</v>
      </c>
      <c r="B4824" t="str">
        <f>IFERROR(IF(VLOOKUP(C4824,Hoja1!$B$1:$C$6191,2,0)="",_xlfn.XLOOKUP(C4824,Hoja1!$B$2:$B$6191,Hoja1!$A$2:$A$6191),VLOOKUP(C4824,Hoja1!$B$1:$C$6191,2,0)),"No esta en Infor")</f>
        <v>NAC1608</v>
      </c>
      <c r="C4824" s="3" t="s">
        <v>538</v>
      </c>
      <c r="D4824" s="31">
        <v>980</v>
      </c>
      <c r="F4824" s="31">
        <v>1596.92</v>
      </c>
      <c r="G4824" s="31">
        <v>0</v>
      </c>
      <c r="H4824" s="31">
        <v>-62.57</v>
      </c>
      <c r="I4824" s="32">
        <v>-308</v>
      </c>
      <c r="J4824" s="62">
        <f t="shared" si="37"/>
        <v>2206.35</v>
      </c>
    </row>
    <row r="4825" spans="1:10" x14ac:dyDescent="0.25">
      <c r="A4825" s="20">
        <v>45747</v>
      </c>
      <c r="B4825" t="str">
        <f>IFERROR(IF(VLOOKUP(C4825,Hoja1!$B$1:$C$6191,2,0)="",_xlfn.XLOOKUP(C4825,Hoja1!$B$2:$B$6191,Hoja1!$A$2:$A$6191),VLOOKUP(C4825,Hoja1!$B$1:$C$6191,2,0)),"No esta en Infor")</f>
        <v>NAC1611</v>
      </c>
      <c r="C4825" s="3" t="s">
        <v>565</v>
      </c>
      <c r="D4825" s="31">
        <v>101516.91</v>
      </c>
      <c r="F4825" s="31">
        <v>1303.5</v>
      </c>
      <c r="G4825" s="31">
        <v>0</v>
      </c>
      <c r="H4825" s="31">
        <v>-3350.02</v>
      </c>
      <c r="I4825" s="32">
        <v>-454.5</v>
      </c>
      <c r="J4825" s="62">
        <f t="shared" si="37"/>
        <v>99015.89</v>
      </c>
    </row>
    <row r="4826" spans="1:10" x14ac:dyDescent="0.25">
      <c r="A4826" s="20">
        <v>45747</v>
      </c>
      <c r="B4826" t="str">
        <f>IFERROR(IF(VLOOKUP(C4826,Hoja1!$B$1:$C$6191,2,0)="",_xlfn.XLOOKUP(C4826,Hoja1!$B$2:$B$6191,Hoja1!$A$2:$A$6191),VLOOKUP(C4826,Hoja1!$B$1:$C$6191,2,0)),"No esta en Infor")</f>
        <v>NAC1628</v>
      </c>
      <c r="C4826" s="3" t="s">
        <v>500</v>
      </c>
      <c r="D4826" s="31">
        <v>0</v>
      </c>
      <c r="F4826" s="31">
        <v>711.06</v>
      </c>
      <c r="G4826" s="31">
        <v>0</v>
      </c>
      <c r="H4826" s="31">
        <v>0</v>
      </c>
      <c r="I4826" s="32">
        <v>0</v>
      </c>
      <c r="J4826" s="62">
        <f t="shared" si="37"/>
        <v>711.06</v>
      </c>
    </row>
    <row r="4827" spans="1:10" x14ac:dyDescent="0.25">
      <c r="A4827" s="67">
        <v>45777</v>
      </c>
      <c r="B4827" s="68" t="str">
        <f>IFERROR(IF(VLOOKUP(C4827,Hoja1!$B$1:$C$6191,2,0)="",_xlfn.XLOOKUP(C4827,Hoja1!$B$2:$B$6191,Hoja1!$A$2:$A$6191),VLOOKUP(C4827,Hoja1!$B$1:$C$6191,2,0)),"No esta en Infor")</f>
        <v>NAC0456</v>
      </c>
      <c r="C4827" s="68" t="s">
        <v>10</v>
      </c>
      <c r="D4827" s="72">
        <v>48463.28</v>
      </c>
      <c r="E4827" s="68"/>
      <c r="F4827" s="72">
        <v>3.86</v>
      </c>
      <c r="G4827" s="72">
        <v>-20.12</v>
      </c>
      <c r="H4827" s="72">
        <v>0</v>
      </c>
      <c r="I4827" s="72">
        <v>-42.12</v>
      </c>
      <c r="J4827" s="72">
        <f t="shared" ref="J4827:J4890" si="38">SUM(D4827:I4827)</f>
        <v>48404.899999999994</v>
      </c>
    </row>
    <row r="4828" spans="1:10" x14ac:dyDescent="0.25">
      <c r="A4828" s="67">
        <v>45777</v>
      </c>
      <c r="B4828" t="str">
        <f>IFERROR(IF(VLOOKUP(C4828,Hoja1!$B$1:$C$6191,2,0)="",_xlfn.XLOOKUP(C4828,Hoja1!$B$2:$B$6191,Hoja1!$A$2:$A$6191),VLOOKUP(C4828,Hoja1!$B$1:$C$6191,2,0)),"No esta en Infor")</f>
        <v>NAC0459</v>
      </c>
      <c r="C4828" t="s">
        <v>435</v>
      </c>
      <c r="D4828" s="61">
        <v>6279.07</v>
      </c>
      <c r="F4828" s="61">
        <v>0</v>
      </c>
      <c r="G4828" s="61">
        <v>0</v>
      </c>
      <c r="H4828" s="61">
        <v>0</v>
      </c>
      <c r="I4828" s="61">
        <v>0</v>
      </c>
      <c r="J4828" s="61">
        <f t="shared" si="38"/>
        <v>6279.07</v>
      </c>
    </row>
    <row r="4829" spans="1:10" x14ac:dyDescent="0.25">
      <c r="A4829" s="67">
        <v>45777</v>
      </c>
      <c r="B4829" t="str">
        <f>IFERROR(IF(VLOOKUP(C4829,Hoja1!$B$1:$C$6191,2,0)="",_xlfn.XLOOKUP(C4829,Hoja1!$B$2:$B$6191,Hoja1!$A$2:$A$6191),VLOOKUP(C4829,Hoja1!$B$1:$C$6191,2,0)),"No esta en Infor")</f>
        <v>NAC0474</v>
      </c>
      <c r="C4829" t="s">
        <v>375</v>
      </c>
      <c r="D4829" s="61">
        <v>0</v>
      </c>
      <c r="F4829" s="61">
        <v>0</v>
      </c>
      <c r="G4829" s="61">
        <v>-3</v>
      </c>
      <c r="H4829" s="61">
        <v>0</v>
      </c>
      <c r="I4829" s="61">
        <v>0</v>
      </c>
      <c r="J4829" s="61">
        <f t="shared" si="38"/>
        <v>-3</v>
      </c>
    </row>
    <row r="4830" spans="1:10" x14ac:dyDescent="0.25">
      <c r="A4830" s="67">
        <v>45777</v>
      </c>
      <c r="B4830" t="str">
        <f>IFERROR(IF(VLOOKUP(C4830,Hoja1!$B$1:$C$6191,2,0)="",_xlfn.XLOOKUP(C4830,Hoja1!$B$2:$B$6191,Hoja1!$A$2:$A$6191),VLOOKUP(C4830,Hoja1!$B$1:$C$6191,2,0)),"No esta en Infor")</f>
        <v>NAC0475</v>
      </c>
      <c r="C4830" t="s">
        <v>63</v>
      </c>
      <c r="D4830" s="61">
        <v>172</v>
      </c>
      <c r="F4830" s="61">
        <v>0</v>
      </c>
      <c r="G4830" s="61">
        <v>0</v>
      </c>
      <c r="H4830" s="61">
        <v>0</v>
      </c>
      <c r="I4830" s="61">
        <v>0</v>
      </c>
      <c r="J4830" s="61">
        <f t="shared" si="38"/>
        <v>172</v>
      </c>
    </row>
    <row r="4831" spans="1:10" x14ac:dyDescent="0.25">
      <c r="A4831" s="67">
        <v>45777</v>
      </c>
      <c r="B4831" t="str">
        <f>IFERROR(IF(VLOOKUP(C4831,Hoja1!$B$1:$C$6191,2,0)="",_xlfn.XLOOKUP(C4831,Hoja1!$B$2:$B$6191,Hoja1!$A$2:$A$6191),VLOOKUP(C4831,Hoja1!$B$1:$C$6191,2,0)),"No esta en Infor")</f>
        <v>NAC0476</v>
      </c>
      <c r="C4831" t="s">
        <v>11</v>
      </c>
      <c r="D4831" s="61">
        <v>351689.22</v>
      </c>
      <c r="F4831" s="61">
        <v>772.92</v>
      </c>
      <c r="G4831" s="61">
        <v>281.73</v>
      </c>
      <c r="H4831" s="61">
        <v>324.08</v>
      </c>
      <c r="I4831" s="61">
        <v>2354.61</v>
      </c>
      <c r="J4831" s="61">
        <f t="shared" si="38"/>
        <v>355422.55999999994</v>
      </c>
    </row>
    <row r="4832" spans="1:10" x14ac:dyDescent="0.25">
      <c r="A4832" s="67">
        <v>45777</v>
      </c>
      <c r="B4832" t="str">
        <f>IFERROR(IF(VLOOKUP(C4832,Hoja1!$B$1:$C$6191,2,0)="",_xlfn.XLOOKUP(C4832,Hoja1!$B$2:$B$6191,Hoja1!$A$2:$A$6191),VLOOKUP(C4832,Hoja1!$B$1:$C$6191,2,0)),"No esta en Infor")</f>
        <v>NAC0483</v>
      </c>
      <c r="C4832" t="s">
        <v>12</v>
      </c>
      <c r="D4832" s="61">
        <v>0</v>
      </c>
      <c r="F4832" s="61">
        <v>0</v>
      </c>
      <c r="G4832" s="61">
        <v>-146.83000000000001</v>
      </c>
      <c r="H4832" s="61">
        <v>0</v>
      </c>
      <c r="I4832" s="61">
        <v>474.11</v>
      </c>
      <c r="J4832" s="61">
        <f t="shared" si="38"/>
        <v>327.27999999999997</v>
      </c>
    </row>
    <row r="4833" spans="1:10" x14ac:dyDescent="0.25">
      <c r="A4833" s="67">
        <v>45777</v>
      </c>
      <c r="B4833" t="str">
        <f>IFERROR(IF(VLOOKUP(C4833,Hoja1!$B$1:$C$6191,2,0)="",_xlfn.XLOOKUP(C4833,Hoja1!$B$2:$B$6191,Hoja1!$A$2:$A$6191),VLOOKUP(C4833,Hoja1!$B$1:$C$6191,2,0)),"No esta en Infor")</f>
        <v>CAN0001</v>
      </c>
      <c r="C4833" t="s">
        <v>64</v>
      </c>
      <c r="D4833" s="61">
        <v>11672.08</v>
      </c>
      <c r="F4833" s="61">
        <v>0</v>
      </c>
      <c r="G4833" s="61">
        <v>0</v>
      </c>
      <c r="H4833" s="61">
        <v>0</v>
      </c>
      <c r="I4833" s="61">
        <v>0</v>
      </c>
      <c r="J4833" s="61">
        <f t="shared" si="38"/>
        <v>11672.08</v>
      </c>
    </row>
    <row r="4834" spans="1:10" x14ac:dyDescent="0.25">
      <c r="A4834" s="67">
        <v>45777</v>
      </c>
      <c r="B4834" t="str">
        <f>IFERROR(IF(VLOOKUP(C4834,Hoja1!$B$1:$C$6191,2,0)="",_xlfn.XLOOKUP(C4834,Hoja1!$B$2:$B$6191,Hoja1!$A$2:$A$6191),VLOOKUP(C4834,Hoja1!$B$1:$C$6191,2,0)),"No esta en Infor")</f>
        <v>NAC0513</v>
      </c>
      <c r="C4834" t="s">
        <v>377</v>
      </c>
      <c r="D4834" s="61">
        <v>0</v>
      </c>
      <c r="F4834" s="61">
        <v>0</v>
      </c>
      <c r="G4834" s="61">
        <v>0</v>
      </c>
      <c r="H4834" s="61">
        <v>0</v>
      </c>
      <c r="I4834" s="61">
        <v>-220.24</v>
      </c>
      <c r="J4834" s="61">
        <f t="shared" si="38"/>
        <v>-220.24</v>
      </c>
    </row>
    <row r="4835" spans="1:10" x14ac:dyDescent="0.25">
      <c r="A4835" s="67">
        <v>45777</v>
      </c>
      <c r="B4835" t="str">
        <f>IFERROR(IF(VLOOKUP(C4835,Hoja1!$B$1:$C$6191,2,0)="",_xlfn.XLOOKUP(C4835,Hoja1!$B$2:$B$6191,Hoja1!$A$2:$A$6191),VLOOKUP(C4835,Hoja1!$B$1:$C$6191,2,0)),"No esta en Infor")</f>
        <v>NAC0515</v>
      </c>
      <c r="C4835" t="s">
        <v>66</v>
      </c>
      <c r="D4835" s="61">
        <v>0</v>
      </c>
      <c r="F4835" s="61">
        <v>212.68</v>
      </c>
      <c r="G4835" s="61">
        <v>0</v>
      </c>
      <c r="H4835" s="61">
        <v>0</v>
      </c>
      <c r="I4835" s="61">
        <v>0</v>
      </c>
      <c r="J4835" s="61">
        <f t="shared" si="38"/>
        <v>212.68</v>
      </c>
    </row>
    <row r="4836" spans="1:10" x14ac:dyDescent="0.25">
      <c r="A4836" s="67">
        <v>45777</v>
      </c>
      <c r="B4836" t="str">
        <f>IFERROR(IF(VLOOKUP(C4836,Hoja1!$B$1:$C$6191,2,0)="",_xlfn.XLOOKUP(C4836,Hoja1!$B$2:$B$6191,Hoja1!$A$2:$A$6191),VLOOKUP(C4836,Hoja1!$B$1:$C$6191,2,0)),"No esta en Infor")</f>
        <v>NAC0519</v>
      </c>
      <c r="C4836" t="s">
        <v>1245</v>
      </c>
      <c r="D4836" s="61">
        <v>902.01</v>
      </c>
      <c r="F4836" s="61">
        <v>0</v>
      </c>
      <c r="G4836" s="61">
        <v>0</v>
      </c>
      <c r="H4836" s="61">
        <v>0</v>
      </c>
      <c r="I4836" s="61">
        <v>0</v>
      </c>
      <c r="J4836" s="61">
        <f t="shared" si="38"/>
        <v>902.01</v>
      </c>
    </row>
    <row r="4837" spans="1:10" x14ac:dyDescent="0.25">
      <c r="A4837" s="67">
        <v>45777</v>
      </c>
      <c r="B4837" t="str">
        <f>IFERROR(IF(VLOOKUP(C4837,Hoja1!$B$1:$C$6191,2,0)="",_xlfn.XLOOKUP(C4837,Hoja1!$B$2:$B$6191,Hoja1!$A$2:$A$6191),VLOOKUP(C4837,Hoja1!$B$1:$C$6191,2,0)),"No esta en Infor")</f>
        <v>NAC0520</v>
      </c>
      <c r="C4837" t="s">
        <v>68</v>
      </c>
      <c r="D4837" s="61">
        <v>27886.23</v>
      </c>
      <c r="F4837" s="61">
        <v>0</v>
      </c>
      <c r="G4837" s="61">
        <v>0</v>
      </c>
      <c r="H4837" s="61">
        <v>0</v>
      </c>
      <c r="I4837" s="61">
        <v>0</v>
      </c>
      <c r="J4837" s="61">
        <f t="shared" si="38"/>
        <v>27886.23</v>
      </c>
    </row>
    <row r="4838" spans="1:10" x14ac:dyDescent="0.25">
      <c r="A4838" s="67">
        <v>45777</v>
      </c>
      <c r="B4838" t="str">
        <f>IFERROR(IF(VLOOKUP(C4838,Hoja1!$B$1:$C$6191,2,0)="",_xlfn.XLOOKUP(C4838,Hoja1!$B$2:$B$6191,Hoja1!$A$2:$A$6191),VLOOKUP(C4838,Hoja1!$B$1:$C$6191,2,0)),"No esta en Infor")</f>
        <v>NAC0524</v>
      </c>
      <c r="C4838" t="s">
        <v>1253</v>
      </c>
      <c r="D4838" s="61">
        <v>2101</v>
      </c>
      <c r="F4838" s="61">
        <v>0</v>
      </c>
      <c r="G4838" s="61">
        <v>0</v>
      </c>
      <c r="H4838" s="61">
        <v>0</v>
      </c>
      <c r="I4838" s="61">
        <v>0</v>
      </c>
      <c r="J4838" s="61">
        <f t="shared" si="38"/>
        <v>2101</v>
      </c>
    </row>
    <row r="4839" spans="1:10" x14ac:dyDescent="0.25">
      <c r="A4839" s="67">
        <v>45777</v>
      </c>
      <c r="B4839" t="str">
        <f>IFERROR(IF(VLOOKUP(C4839,Hoja1!$B$1:$C$6191,2,0)="",_xlfn.XLOOKUP(C4839,Hoja1!$B$2:$B$6191,Hoja1!$A$2:$A$6191),VLOOKUP(C4839,Hoja1!$B$1:$C$6191,2,0)),"No esta en Infor")</f>
        <v>NAC0525</v>
      </c>
      <c r="C4839" t="s">
        <v>71</v>
      </c>
      <c r="D4839" s="61">
        <v>28785</v>
      </c>
      <c r="F4839" s="61">
        <v>98</v>
      </c>
      <c r="G4839" s="61">
        <v>0</v>
      </c>
      <c r="H4839" s="61">
        <v>0</v>
      </c>
      <c r="I4839" s="61">
        <v>0</v>
      </c>
      <c r="J4839" s="61">
        <f t="shared" si="38"/>
        <v>28883</v>
      </c>
    </row>
    <row r="4840" spans="1:10" x14ac:dyDescent="0.25">
      <c r="A4840" s="67">
        <v>45777</v>
      </c>
      <c r="B4840" t="str">
        <f>IFERROR(IF(VLOOKUP(C4840,Hoja1!$B$1:$C$6191,2,0)="",_xlfn.XLOOKUP(C4840,Hoja1!$B$2:$B$6191,Hoja1!$A$2:$A$6191),VLOOKUP(C4840,Hoja1!$B$1:$C$6191,2,0)),"No esta en Infor")</f>
        <v>NAC0528</v>
      </c>
      <c r="C4840" t="s">
        <v>76</v>
      </c>
      <c r="D4840" s="61">
        <v>139784.51999999999</v>
      </c>
      <c r="F4840" s="61">
        <v>0</v>
      </c>
      <c r="G4840" s="61">
        <v>0</v>
      </c>
      <c r="H4840" s="61">
        <v>0</v>
      </c>
      <c r="I4840" s="61">
        <v>0</v>
      </c>
      <c r="J4840" s="61">
        <f t="shared" si="38"/>
        <v>139784.51999999999</v>
      </c>
    </row>
    <row r="4841" spans="1:10" x14ac:dyDescent="0.25">
      <c r="A4841" s="67">
        <v>45777</v>
      </c>
      <c r="B4841" t="str">
        <f>IFERROR(IF(VLOOKUP(C4841,Hoja1!$B$1:$C$6191,2,0)="",_xlfn.XLOOKUP(C4841,Hoja1!$B$2:$B$6191,Hoja1!$A$2:$A$6191),VLOOKUP(C4841,Hoja1!$B$1:$C$6191,2,0)),"No esta en Infor")</f>
        <v>NAC0532</v>
      </c>
      <c r="C4841" t="s">
        <v>612</v>
      </c>
      <c r="D4841" s="61">
        <v>0</v>
      </c>
      <c r="F4841" s="61">
        <v>663.05</v>
      </c>
      <c r="G4841" s="61">
        <v>-92.32</v>
      </c>
      <c r="H4841" s="61">
        <v>0</v>
      </c>
      <c r="I4841" s="61">
        <v>0</v>
      </c>
      <c r="J4841" s="61">
        <f t="shared" si="38"/>
        <v>570.73</v>
      </c>
    </row>
    <row r="4842" spans="1:10" x14ac:dyDescent="0.25">
      <c r="A4842" s="67">
        <v>45777</v>
      </c>
      <c r="B4842" t="str">
        <f>IFERROR(IF(VLOOKUP(C4842,Hoja1!$B$1:$C$6191,2,0)="",_xlfn.XLOOKUP(C4842,Hoja1!$B$2:$B$6191,Hoja1!$A$2:$A$6191),VLOOKUP(C4842,Hoja1!$B$1:$C$6191,2,0)),"No esta en Infor")</f>
        <v>NAC0534</v>
      </c>
      <c r="C4842" t="s">
        <v>78</v>
      </c>
      <c r="D4842" s="61">
        <v>13081.08</v>
      </c>
      <c r="F4842" s="61">
        <v>0</v>
      </c>
      <c r="G4842" s="61">
        <v>0</v>
      </c>
      <c r="H4842" s="61">
        <v>0</v>
      </c>
      <c r="I4842" s="61">
        <v>0</v>
      </c>
      <c r="J4842" s="61">
        <f t="shared" si="38"/>
        <v>13081.08</v>
      </c>
    </row>
    <row r="4843" spans="1:10" x14ac:dyDescent="0.25">
      <c r="A4843" s="67">
        <v>45777</v>
      </c>
      <c r="B4843" t="str">
        <f>IFERROR(IF(VLOOKUP(C4843,Hoja1!$B$1:$C$6191,2,0)="",_xlfn.XLOOKUP(C4843,Hoja1!$B$2:$B$6191,Hoja1!$A$2:$A$6191),VLOOKUP(C4843,Hoja1!$B$1:$C$6191,2,0)),"No esta en Infor")</f>
        <v>NAC0537</v>
      </c>
      <c r="C4843" t="s">
        <v>13</v>
      </c>
      <c r="D4843" s="61">
        <v>44181.9</v>
      </c>
      <c r="F4843" s="61">
        <v>0</v>
      </c>
      <c r="G4843" s="61">
        <v>0</v>
      </c>
      <c r="H4843" s="61">
        <v>0</v>
      </c>
      <c r="I4843" s="61">
        <v>0</v>
      </c>
      <c r="J4843" s="61">
        <f t="shared" si="38"/>
        <v>44181.9</v>
      </c>
    </row>
    <row r="4844" spans="1:10" x14ac:dyDescent="0.25">
      <c r="A4844" s="67">
        <v>45777</v>
      </c>
      <c r="B4844" t="str">
        <f>IFERROR(IF(VLOOKUP(C4844,Hoja1!$B$1:$C$6191,2,0)="",_xlfn.XLOOKUP(C4844,Hoja1!$B$2:$B$6191,Hoja1!$A$2:$A$6191),VLOOKUP(C4844,Hoja1!$B$1:$C$6191,2,0)),"No esta en Infor")</f>
        <v>NAC0538</v>
      </c>
      <c r="C4844" t="s">
        <v>79</v>
      </c>
      <c r="D4844" s="61">
        <v>271.37</v>
      </c>
      <c r="F4844" s="61">
        <v>0</v>
      </c>
      <c r="G4844" s="61">
        <v>0</v>
      </c>
      <c r="H4844" s="61">
        <v>0</v>
      </c>
      <c r="I4844" s="61">
        <v>0</v>
      </c>
      <c r="J4844" s="61">
        <f t="shared" si="38"/>
        <v>271.37</v>
      </c>
    </row>
    <row r="4845" spans="1:10" x14ac:dyDescent="0.25">
      <c r="A4845" s="67">
        <v>45777</v>
      </c>
      <c r="B4845" t="str">
        <f>IFERROR(IF(VLOOKUP(C4845,Hoja1!$B$1:$C$6191,2,0)="",_xlfn.XLOOKUP(C4845,Hoja1!$B$2:$B$6191,Hoja1!$A$2:$A$6191),VLOOKUP(C4845,Hoja1!$B$1:$C$6191,2,0)),"No esta en Infor")</f>
        <v>NAC0539</v>
      </c>
      <c r="C4845" t="s">
        <v>80</v>
      </c>
      <c r="D4845" s="61">
        <v>5107.6899999999996</v>
      </c>
      <c r="F4845" s="61">
        <v>0</v>
      </c>
      <c r="G4845" s="61">
        <v>0</v>
      </c>
      <c r="H4845" s="61">
        <v>0</v>
      </c>
      <c r="I4845" s="61">
        <v>0</v>
      </c>
      <c r="J4845" s="61">
        <f t="shared" si="38"/>
        <v>5107.6899999999996</v>
      </c>
    </row>
    <row r="4846" spans="1:10" x14ac:dyDescent="0.25">
      <c r="A4846" s="67">
        <v>45777</v>
      </c>
      <c r="B4846" t="str">
        <f>IFERROR(IF(VLOOKUP(C4846,Hoja1!$B$1:$C$6191,2,0)="",_xlfn.XLOOKUP(C4846,Hoja1!$B$2:$B$6191,Hoja1!$A$2:$A$6191),VLOOKUP(C4846,Hoja1!$B$1:$C$6191,2,0)),"No esta en Infor")</f>
        <v>NAC0544</v>
      </c>
      <c r="C4846" t="s">
        <v>82</v>
      </c>
      <c r="D4846" s="61">
        <v>0</v>
      </c>
      <c r="F4846" s="61">
        <v>80</v>
      </c>
      <c r="G4846" s="61">
        <v>0</v>
      </c>
      <c r="H4846" s="61">
        <v>0</v>
      </c>
      <c r="I4846" s="61">
        <v>0</v>
      </c>
      <c r="J4846" s="61">
        <f t="shared" si="38"/>
        <v>80</v>
      </c>
    </row>
    <row r="4847" spans="1:10" x14ac:dyDescent="0.25">
      <c r="A4847" s="67">
        <v>45777</v>
      </c>
      <c r="B4847" t="str">
        <f>IFERROR(IF(VLOOKUP(C4847,Hoja1!$B$1:$C$6191,2,0)="",_xlfn.XLOOKUP(C4847,Hoja1!$B$2:$B$6191,Hoja1!$A$2:$A$6191),VLOOKUP(C4847,Hoja1!$B$1:$C$6191,2,0)),"No esta en Infor")</f>
        <v>NAC0546</v>
      </c>
      <c r="C4847" t="s">
        <v>83</v>
      </c>
      <c r="D4847" s="61">
        <v>5239</v>
      </c>
      <c r="F4847" s="61">
        <v>0</v>
      </c>
      <c r="G4847" s="61">
        <v>0</v>
      </c>
      <c r="H4847" s="61">
        <v>0</v>
      </c>
      <c r="I4847" s="61">
        <v>0</v>
      </c>
      <c r="J4847" s="61">
        <f t="shared" si="38"/>
        <v>5239</v>
      </c>
    </row>
    <row r="4848" spans="1:10" x14ac:dyDescent="0.25">
      <c r="A4848" s="67">
        <v>45777</v>
      </c>
      <c r="B4848" t="str">
        <f>IFERROR(IF(VLOOKUP(C4848,Hoja1!$B$1:$C$6191,2,0)="",_xlfn.XLOOKUP(C4848,Hoja1!$B$2:$B$6191,Hoja1!$A$2:$A$6191),VLOOKUP(C4848,Hoja1!$B$1:$C$6191,2,0)),"No esta en Infor")</f>
        <v>NAC0550</v>
      </c>
      <c r="C4848" t="s">
        <v>84</v>
      </c>
      <c r="D4848" s="61">
        <v>70773.460000000006</v>
      </c>
      <c r="F4848" s="61">
        <v>0</v>
      </c>
      <c r="G4848" s="61">
        <v>0</v>
      </c>
      <c r="H4848" s="61">
        <v>0</v>
      </c>
      <c r="I4848" s="61">
        <v>0</v>
      </c>
      <c r="J4848" s="61">
        <f t="shared" si="38"/>
        <v>70773.460000000006</v>
      </c>
    </row>
    <row r="4849" spans="1:10" x14ac:dyDescent="0.25">
      <c r="A4849" s="67">
        <v>45777</v>
      </c>
      <c r="B4849" t="str">
        <f>IFERROR(IF(VLOOKUP(C4849,Hoja1!$B$1:$C$6191,2,0)="",_xlfn.XLOOKUP(C4849,Hoja1!$B$2:$B$6191,Hoja1!$A$2:$A$6191),VLOOKUP(C4849,Hoja1!$B$1:$C$6191,2,0)),"No esta en Infor")</f>
        <v>NAC0551</v>
      </c>
      <c r="C4849" t="s">
        <v>85</v>
      </c>
      <c r="D4849" s="61">
        <v>2136</v>
      </c>
      <c r="F4849" s="61">
        <v>0</v>
      </c>
      <c r="G4849" s="61">
        <v>0</v>
      </c>
      <c r="H4849" s="61">
        <v>0</v>
      </c>
      <c r="I4849" s="61">
        <v>0</v>
      </c>
      <c r="J4849" s="61">
        <f t="shared" si="38"/>
        <v>2136</v>
      </c>
    </row>
    <row r="4850" spans="1:10" x14ac:dyDescent="0.25">
      <c r="A4850" s="67">
        <v>45777</v>
      </c>
      <c r="B4850" t="str">
        <f>IFERROR(IF(VLOOKUP(C4850,Hoja1!$B$1:$C$6191,2,0)="",_xlfn.XLOOKUP(C4850,Hoja1!$B$2:$B$6191,Hoja1!$A$2:$A$6191),VLOOKUP(C4850,Hoja1!$B$1:$C$6191,2,0)),"No esta en Infor")</f>
        <v>NAC0556</v>
      </c>
      <c r="C4850" t="s">
        <v>14</v>
      </c>
      <c r="D4850" s="61">
        <v>2272</v>
      </c>
      <c r="F4850" s="61">
        <v>0</v>
      </c>
      <c r="G4850" s="61">
        <v>2739.13</v>
      </c>
      <c r="H4850" s="61">
        <v>0</v>
      </c>
      <c r="I4850" s="61">
        <v>0</v>
      </c>
      <c r="J4850" s="61">
        <f t="shared" si="38"/>
        <v>5011.13</v>
      </c>
    </row>
    <row r="4851" spans="1:10" x14ac:dyDescent="0.25">
      <c r="A4851" s="67">
        <v>45777</v>
      </c>
      <c r="B4851" t="str">
        <f>IFERROR(IF(VLOOKUP(C4851,Hoja1!$B$1:$C$6191,2,0)="",_xlfn.XLOOKUP(C4851,Hoja1!$B$2:$B$6191,Hoja1!$A$2:$A$6191),VLOOKUP(C4851,Hoja1!$B$1:$C$6191,2,0)),"No esta en Infor")</f>
        <v>NAC0558</v>
      </c>
      <c r="C4851" t="s">
        <v>86</v>
      </c>
      <c r="D4851" s="61">
        <v>10631.85</v>
      </c>
      <c r="F4851" s="61">
        <v>0</v>
      </c>
      <c r="G4851" s="61">
        <v>0</v>
      </c>
      <c r="H4851" s="61">
        <v>0</v>
      </c>
      <c r="I4851" s="61">
        <v>0</v>
      </c>
      <c r="J4851" s="61">
        <f t="shared" si="38"/>
        <v>10631.85</v>
      </c>
    </row>
    <row r="4852" spans="1:10" x14ac:dyDescent="0.25">
      <c r="A4852" s="67">
        <v>45777</v>
      </c>
      <c r="B4852" t="str">
        <f>IFERROR(IF(VLOOKUP(C4852,Hoja1!$B$1:$C$6191,2,0)="",_xlfn.XLOOKUP(C4852,Hoja1!$B$2:$B$6191,Hoja1!$A$2:$A$6191),VLOOKUP(C4852,Hoja1!$B$1:$C$6191,2,0)),"No esta en Infor")</f>
        <v>CAN0002</v>
      </c>
      <c r="C4852" t="s">
        <v>87</v>
      </c>
      <c r="D4852" s="61">
        <v>16762.36</v>
      </c>
      <c r="F4852" s="61">
        <v>0</v>
      </c>
      <c r="G4852" s="61">
        <v>0</v>
      </c>
      <c r="H4852" s="61">
        <v>0</v>
      </c>
      <c r="I4852" s="61">
        <v>547.53</v>
      </c>
      <c r="J4852" s="61">
        <f t="shared" si="38"/>
        <v>17309.89</v>
      </c>
    </row>
    <row r="4853" spans="1:10" x14ac:dyDescent="0.25">
      <c r="A4853" s="67">
        <v>45777</v>
      </c>
      <c r="B4853" t="str">
        <f>IFERROR(IF(VLOOKUP(C4853,Hoja1!$B$1:$C$6191,2,0)="",_xlfn.XLOOKUP(C4853,Hoja1!$B$2:$B$6191,Hoja1!$A$2:$A$6191),VLOOKUP(C4853,Hoja1!$B$1:$C$6191,2,0)),"No esta en Infor")</f>
        <v>NAC0567</v>
      </c>
      <c r="C4853" t="s">
        <v>541</v>
      </c>
      <c r="D4853" s="61">
        <v>0</v>
      </c>
      <c r="F4853" s="61">
        <v>0</v>
      </c>
      <c r="G4853" s="61">
        <v>-608.84</v>
      </c>
      <c r="H4853" s="61">
        <v>0</v>
      </c>
      <c r="I4853" s="61">
        <v>0</v>
      </c>
      <c r="J4853" s="61">
        <f t="shared" si="38"/>
        <v>-608.84</v>
      </c>
    </row>
    <row r="4854" spans="1:10" x14ac:dyDescent="0.25">
      <c r="A4854" s="67">
        <v>45777</v>
      </c>
      <c r="B4854" t="str">
        <f>IFERROR(IF(VLOOKUP(C4854,Hoja1!$B$1:$C$6191,2,0)="",_xlfn.XLOOKUP(C4854,Hoja1!$B$2:$B$6191,Hoja1!$A$2:$A$6191),VLOOKUP(C4854,Hoja1!$B$1:$C$6191,2,0)),"No esta en Infor")</f>
        <v>NAC0571</v>
      </c>
      <c r="C4854" t="s">
        <v>440</v>
      </c>
      <c r="D4854" s="61">
        <v>1569.49</v>
      </c>
      <c r="F4854" s="61">
        <v>0</v>
      </c>
      <c r="G4854" s="61">
        <v>0</v>
      </c>
      <c r="H4854" s="61">
        <v>0</v>
      </c>
      <c r="I4854" s="61">
        <v>0</v>
      </c>
      <c r="J4854" s="61">
        <f t="shared" si="38"/>
        <v>1569.49</v>
      </c>
    </row>
    <row r="4855" spans="1:10" x14ac:dyDescent="0.25">
      <c r="A4855" s="67">
        <v>45777</v>
      </c>
      <c r="B4855" t="str">
        <f>IFERROR(IF(VLOOKUP(C4855,Hoja1!$B$1:$C$6191,2,0)="",_xlfn.XLOOKUP(C4855,Hoja1!$B$2:$B$6191,Hoja1!$A$2:$A$6191),VLOOKUP(C4855,Hoja1!$B$1:$C$6191,2,0)),"No esta en Infor")</f>
        <v>CAN0003</v>
      </c>
      <c r="C4855" t="s">
        <v>441</v>
      </c>
      <c r="D4855" s="61">
        <v>4475.97</v>
      </c>
      <c r="F4855" s="61">
        <v>0</v>
      </c>
      <c r="G4855" s="61">
        <v>0</v>
      </c>
      <c r="H4855" s="61">
        <v>0</v>
      </c>
      <c r="I4855" s="61">
        <v>0</v>
      </c>
      <c r="J4855" s="61">
        <f t="shared" si="38"/>
        <v>4475.97</v>
      </c>
    </row>
    <row r="4856" spans="1:10" x14ac:dyDescent="0.25">
      <c r="A4856" s="67">
        <v>45777</v>
      </c>
      <c r="B4856" t="str">
        <f>IFERROR(IF(VLOOKUP(C4856,Hoja1!$B$1:$C$6191,2,0)="",_xlfn.XLOOKUP(C4856,Hoja1!$B$2:$B$6191,Hoja1!$A$2:$A$6191),VLOOKUP(C4856,Hoja1!$B$1:$C$6191,2,0)),"No esta en Infor")</f>
        <v>NAC0573</v>
      </c>
      <c r="C4856" t="s">
        <v>15</v>
      </c>
      <c r="D4856" s="61">
        <v>7495.12</v>
      </c>
      <c r="F4856" s="61">
        <v>36.42</v>
      </c>
      <c r="G4856" s="61">
        <v>254</v>
      </c>
      <c r="H4856" s="61">
        <v>0</v>
      </c>
      <c r="I4856" s="61">
        <v>283.5</v>
      </c>
      <c r="J4856" s="61">
        <f t="shared" si="38"/>
        <v>8069.04</v>
      </c>
    </row>
    <row r="4857" spans="1:10" x14ac:dyDescent="0.25">
      <c r="A4857" s="67">
        <v>45777</v>
      </c>
      <c r="B4857" t="str">
        <f>IFERROR(IF(VLOOKUP(C4857,Hoja1!$B$1:$C$6191,2,0)="",_xlfn.XLOOKUP(C4857,Hoja1!$B$2:$B$6191,Hoja1!$A$2:$A$6191),VLOOKUP(C4857,Hoja1!$B$1:$C$6191,2,0)),"No esta en Infor")</f>
        <v>NAC1574</v>
      </c>
      <c r="C4857" t="s">
        <v>2899</v>
      </c>
      <c r="D4857" s="61">
        <v>6200</v>
      </c>
      <c r="F4857" s="61">
        <v>0</v>
      </c>
      <c r="G4857" s="61">
        <v>0</v>
      </c>
      <c r="H4857" s="61">
        <v>0</v>
      </c>
      <c r="I4857" s="61">
        <v>0</v>
      </c>
      <c r="J4857" s="61">
        <f t="shared" si="38"/>
        <v>6200</v>
      </c>
    </row>
    <row r="4858" spans="1:10" x14ac:dyDescent="0.25">
      <c r="A4858" s="67">
        <v>45777</v>
      </c>
      <c r="B4858" t="str">
        <f>IFERROR(IF(VLOOKUP(C4858,Hoja1!$B$1:$C$6191,2,0)="",_xlfn.XLOOKUP(C4858,Hoja1!$B$2:$B$6191,Hoja1!$A$2:$A$6191),VLOOKUP(C4858,Hoja1!$B$1:$C$6191,2,0)),"No esta en Infor")</f>
        <v>NAC0578</v>
      </c>
      <c r="C4858" t="s">
        <v>777</v>
      </c>
      <c r="D4858" s="61">
        <v>60.48</v>
      </c>
      <c r="F4858" s="61">
        <v>0</v>
      </c>
      <c r="G4858" s="61">
        <v>0</v>
      </c>
      <c r="H4858" s="61">
        <v>0</v>
      </c>
      <c r="I4858" s="61">
        <v>0</v>
      </c>
      <c r="J4858" s="61">
        <f t="shared" si="38"/>
        <v>60.48</v>
      </c>
    </row>
    <row r="4859" spans="1:10" x14ac:dyDescent="0.25">
      <c r="A4859" s="67">
        <v>45777</v>
      </c>
      <c r="B4859" t="str">
        <f>IFERROR(IF(VLOOKUP(C4859,Hoja1!$B$1:$C$6191,2,0)="",_xlfn.XLOOKUP(C4859,Hoja1!$B$2:$B$6191,Hoja1!$A$2:$A$6191),VLOOKUP(C4859,Hoja1!$B$1:$C$6191,2,0)),"No esta en Infor")</f>
        <v>CAN0005</v>
      </c>
      <c r="C4859" t="s">
        <v>90</v>
      </c>
      <c r="D4859" s="61">
        <v>159963.35</v>
      </c>
      <c r="F4859" s="61">
        <v>-20</v>
      </c>
      <c r="G4859" s="61">
        <v>-1868.1</v>
      </c>
      <c r="H4859" s="61">
        <v>0</v>
      </c>
      <c r="I4859" s="61">
        <v>0</v>
      </c>
      <c r="J4859" s="61">
        <f t="shared" si="38"/>
        <v>158075.25</v>
      </c>
    </row>
    <row r="4860" spans="1:10" x14ac:dyDescent="0.25">
      <c r="A4860" s="67">
        <v>45777</v>
      </c>
      <c r="B4860" t="str">
        <f>IFERROR(IF(VLOOKUP(C4860,Hoja1!$B$1:$C$6191,2,0)="",_xlfn.XLOOKUP(C4860,Hoja1!$B$2:$B$6191,Hoja1!$A$2:$A$6191),VLOOKUP(C4860,Hoja1!$B$1:$C$6191,2,0)),"No esta en Infor")</f>
        <v>NAC0583</v>
      </c>
      <c r="C4860" t="s">
        <v>385</v>
      </c>
      <c r="D4860" s="61">
        <v>0</v>
      </c>
      <c r="F4860" s="61">
        <v>0</v>
      </c>
      <c r="G4860" s="61">
        <v>-188.56</v>
      </c>
      <c r="H4860" s="61">
        <v>0</v>
      </c>
      <c r="I4860" s="61">
        <v>0</v>
      </c>
      <c r="J4860" s="61">
        <f t="shared" si="38"/>
        <v>-188.56</v>
      </c>
    </row>
    <row r="4861" spans="1:10" x14ac:dyDescent="0.25">
      <c r="A4861" s="67">
        <v>45777</v>
      </c>
      <c r="B4861" t="str">
        <f>IFERROR(IF(VLOOKUP(C4861,Hoja1!$B$1:$C$6191,2,0)="",_xlfn.XLOOKUP(C4861,Hoja1!$B$2:$B$6191,Hoja1!$A$2:$A$6191),VLOOKUP(C4861,Hoja1!$B$1:$C$6191,2,0)),"No esta en Infor")</f>
        <v>NAC0586</v>
      </c>
      <c r="C4861" t="s">
        <v>893</v>
      </c>
      <c r="D4861" s="61">
        <v>-880</v>
      </c>
      <c r="F4861" s="61">
        <v>0</v>
      </c>
      <c r="G4861" s="61">
        <v>0</v>
      </c>
      <c r="H4861" s="61">
        <v>0</v>
      </c>
      <c r="I4861" s="61">
        <v>0</v>
      </c>
      <c r="J4861" s="61">
        <f t="shared" si="38"/>
        <v>-880</v>
      </c>
    </row>
    <row r="4862" spans="1:10" x14ac:dyDescent="0.25">
      <c r="A4862" s="67">
        <v>45777</v>
      </c>
      <c r="B4862" t="str">
        <f>IFERROR(IF(VLOOKUP(C4862,Hoja1!$B$1:$C$6191,2,0)="",_xlfn.XLOOKUP(C4862,Hoja1!$B$2:$B$6191,Hoja1!$A$2:$A$6191),VLOOKUP(C4862,Hoja1!$B$1:$C$6191,2,0)),"No esta en Infor")</f>
        <v>NAC0589</v>
      </c>
      <c r="C4862" t="s">
        <v>92</v>
      </c>
      <c r="D4862" s="61">
        <v>2212</v>
      </c>
      <c r="F4862" s="61">
        <v>0</v>
      </c>
      <c r="G4862" s="61">
        <v>0</v>
      </c>
      <c r="H4862" s="61">
        <v>0</v>
      </c>
      <c r="I4862" s="61">
        <v>0</v>
      </c>
      <c r="J4862" s="61">
        <f t="shared" si="38"/>
        <v>2212</v>
      </c>
    </row>
    <row r="4863" spans="1:10" x14ac:dyDescent="0.25">
      <c r="A4863" s="67">
        <v>45777</v>
      </c>
      <c r="B4863" t="str">
        <f>IFERROR(IF(VLOOKUP(C4863,Hoja1!$B$1:$C$6191,2,0)="",_xlfn.XLOOKUP(C4863,Hoja1!$B$2:$B$6191,Hoja1!$A$2:$A$6191),VLOOKUP(C4863,Hoja1!$B$1:$C$6191,2,0)),"No esta en Infor")</f>
        <v>NAC0593</v>
      </c>
      <c r="C4863" t="s">
        <v>894</v>
      </c>
      <c r="D4863" s="61">
        <v>0</v>
      </c>
      <c r="F4863" s="61">
        <v>580.66</v>
      </c>
      <c r="G4863" s="61">
        <v>0</v>
      </c>
      <c r="H4863" s="61">
        <v>0</v>
      </c>
      <c r="I4863" s="61">
        <v>0</v>
      </c>
      <c r="J4863" s="61">
        <f t="shared" si="38"/>
        <v>580.66</v>
      </c>
    </row>
    <row r="4864" spans="1:10" x14ac:dyDescent="0.25">
      <c r="A4864" s="67">
        <v>45777</v>
      </c>
      <c r="B4864" t="str">
        <f>IFERROR(IF(VLOOKUP(C4864,Hoja1!$B$1:$C$6191,2,0)="",_xlfn.XLOOKUP(C4864,Hoja1!$B$2:$B$6191,Hoja1!$A$2:$A$6191),VLOOKUP(C4864,Hoja1!$B$1:$C$6191,2,0)),"No esta en Infor")</f>
        <v>NAC0594</v>
      </c>
      <c r="C4864" t="s">
        <v>94</v>
      </c>
      <c r="D4864" s="61">
        <v>18587</v>
      </c>
      <c r="F4864" s="61">
        <v>0</v>
      </c>
      <c r="G4864" s="61">
        <v>0</v>
      </c>
      <c r="H4864" s="61">
        <v>0</v>
      </c>
      <c r="I4864" s="61">
        <v>0</v>
      </c>
      <c r="J4864" s="61">
        <f t="shared" si="38"/>
        <v>18587</v>
      </c>
    </row>
    <row r="4865" spans="1:10" x14ac:dyDescent="0.25">
      <c r="A4865" s="67">
        <v>45777</v>
      </c>
      <c r="B4865" t="str">
        <f>IFERROR(IF(VLOOKUP(C4865,Hoja1!$B$1:$C$6191,2,0)="",_xlfn.XLOOKUP(C4865,Hoja1!$B$2:$B$6191,Hoja1!$A$2:$A$6191),VLOOKUP(C4865,Hoja1!$B$1:$C$6191,2,0)),"No esta en Infor")</f>
        <v>NAC0600</v>
      </c>
      <c r="C4865" t="s">
        <v>96</v>
      </c>
      <c r="D4865" s="61">
        <v>3922</v>
      </c>
      <c r="F4865" s="61">
        <v>0</v>
      </c>
      <c r="G4865" s="61">
        <v>0</v>
      </c>
      <c r="H4865" s="61">
        <v>0</v>
      </c>
      <c r="I4865" s="61">
        <v>0</v>
      </c>
      <c r="J4865" s="61">
        <f t="shared" si="38"/>
        <v>3922</v>
      </c>
    </row>
    <row r="4866" spans="1:10" x14ac:dyDescent="0.25">
      <c r="A4866" s="67">
        <v>45777</v>
      </c>
      <c r="B4866" t="str">
        <f>IFERROR(IF(VLOOKUP(C4866,Hoja1!$B$1:$C$6191,2,0)="",_xlfn.XLOOKUP(C4866,Hoja1!$B$2:$B$6191,Hoja1!$A$2:$A$6191),VLOOKUP(C4866,Hoja1!$B$1:$C$6191,2,0)),"No esta en Infor")</f>
        <v>NAC0604</v>
      </c>
      <c r="C4866" t="s">
        <v>97</v>
      </c>
      <c r="D4866" s="61">
        <v>8988.14</v>
      </c>
      <c r="F4866" s="61">
        <v>0</v>
      </c>
      <c r="G4866" s="61">
        <v>0</v>
      </c>
      <c r="H4866" s="61">
        <v>0</v>
      </c>
      <c r="I4866" s="61">
        <v>0</v>
      </c>
      <c r="J4866" s="61">
        <f t="shared" si="38"/>
        <v>8988.14</v>
      </c>
    </row>
    <row r="4867" spans="1:10" x14ac:dyDescent="0.25">
      <c r="A4867" s="67">
        <v>45777</v>
      </c>
      <c r="B4867" t="str">
        <f>IFERROR(IF(VLOOKUP(C4867,Hoja1!$B$1:$C$6191,2,0)="",_xlfn.XLOOKUP(C4867,Hoja1!$B$2:$B$6191,Hoja1!$A$2:$A$6191),VLOOKUP(C4867,Hoja1!$B$1:$C$6191,2,0)),"No esta en Infor")</f>
        <v>NAC0610</v>
      </c>
      <c r="C4867" t="s">
        <v>16</v>
      </c>
      <c r="D4867" s="61">
        <v>19294.3</v>
      </c>
      <c r="F4867" s="61">
        <v>0</v>
      </c>
      <c r="G4867" s="61">
        <v>0</v>
      </c>
      <c r="H4867" s="61">
        <v>0</v>
      </c>
      <c r="I4867" s="61">
        <v>0</v>
      </c>
      <c r="J4867" s="61">
        <f t="shared" si="38"/>
        <v>19294.3</v>
      </c>
    </row>
    <row r="4868" spans="1:10" x14ac:dyDescent="0.25">
      <c r="A4868" s="67">
        <v>45777</v>
      </c>
      <c r="B4868" t="str">
        <f>IFERROR(IF(VLOOKUP(C4868,Hoja1!$B$1:$C$6191,2,0)="",_xlfn.XLOOKUP(C4868,Hoja1!$B$2:$B$6191,Hoja1!$A$2:$A$6191),VLOOKUP(C4868,Hoja1!$B$1:$C$6191,2,0)),"No esta en Infor")</f>
        <v>CAN0006</v>
      </c>
      <c r="C4868" t="s">
        <v>17</v>
      </c>
      <c r="D4868" s="61">
        <v>62412</v>
      </c>
      <c r="F4868" s="61">
        <v>0</v>
      </c>
      <c r="G4868" s="61">
        <v>0</v>
      </c>
      <c r="H4868" s="61">
        <v>-14.71</v>
      </c>
      <c r="I4868" s="61">
        <v>-264.93</v>
      </c>
      <c r="J4868" s="61">
        <f t="shared" si="38"/>
        <v>62132.36</v>
      </c>
    </row>
    <row r="4869" spans="1:10" x14ac:dyDescent="0.25">
      <c r="A4869" s="67">
        <v>45777</v>
      </c>
      <c r="B4869" t="str">
        <f>IFERROR(IF(VLOOKUP(C4869,Hoja1!$B$1:$C$6191,2,0)="",_xlfn.XLOOKUP(C4869,Hoja1!$B$2:$B$6191,Hoja1!$A$2:$A$6191),VLOOKUP(C4869,Hoja1!$B$1:$C$6191,2,0)),"No esta en Infor")</f>
        <v>NAC0612</v>
      </c>
      <c r="C4869" t="s">
        <v>100</v>
      </c>
      <c r="D4869" s="61">
        <v>2021.03</v>
      </c>
      <c r="F4869" s="61">
        <v>0</v>
      </c>
      <c r="G4869" s="61">
        <v>0</v>
      </c>
      <c r="H4869" s="61">
        <v>0</v>
      </c>
      <c r="I4869" s="61">
        <v>0</v>
      </c>
      <c r="J4869" s="61">
        <f t="shared" si="38"/>
        <v>2021.03</v>
      </c>
    </row>
    <row r="4870" spans="1:10" x14ac:dyDescent="0.25">
      <c r="A4870" s="67">
        <v>45777</v>
      </c>
      <c r="B4870" t="str">
        <f>IFERROR(IF(VLOOKUP(C4870,Hoja1!$B$1:$C$6191,2,0)="",_xlfn.XLOOKUP(C4870,Hoja1!$B$2:$B$6191,Hoja1!$A$2:$A$6191),VLOOKUP(C4870,Hoja1!$B$1:$C$6191,2,0)),"No esta en Infor")</f>
        <v>NAC0613</v>
      </c>
      <c r="C4870" t="s">
        <v>101</v>
      </c>
      <c r="D4870" s="61">
        <v>603.77</v>
      </c>
      <c r="F4870" s="61">
        <v>1343.25</v>
      </c>
      <c r="G4870" s="61">
        <v>0</v>
      </c>
      <c r="H4870" s="61">
        <v>0</v>
      </c>
      <c r="I4870" s="61">
        <v>-81.599999999999994</v>
      </c>
      <c r="J4870" s="61">
        <f t="shared" si="38"/>
        <v>1865.42</v>
      </c>
    </row>
    <row r="4871" spans="1:10" x14ac:dyDescent="0.25">
      <c r="A4871" s="67">
        <v>45777</v>
      </c>
      <c r="B4871" t="str">
        <f>IFERROR(IF(VLOOKUP(C4871,Hoja1!$B$1:$C$6191,2,0)="",_xlfn.XLOOKUP(C4871,Hoja1!$B$2:$B$6191,Hoja1!$A$2:$A$6191),VLOOKUP(C4871,Hoja1!$B$1:$C$6191,2,0)),"No esta en Infor")</f>
        <v>NAC0614</v>
      </c>
      <c r="C4871" t="s">
        <v>102</v>
      </c>
      <c r="D4871" s="61">
        <v>237.19</v>
      </c>
      <c r="F4871" s="61">
        <v>25.81</v>
      </c>
      <c r="G4871" s="61">
        <v>29.44</v>
      </c>
      <c r="H4871" s="61">
        <v>0</v>
      </c>
      <c r="I4871" s="61">
        <v>0</v>
      </c>
      <c r="J4871" s="61">
        <f t="shared" si="38"/>
        <v>292.44</v>
      </c>
    </row>
    <row r="4872" spans="1:10" x14ac:dyDescent="0.25">
      <c r="A4872" s="67">
        <v>45777</v>
      </c>
      <c r="B4872" t="str">
        <f>IFERROR(IF(VLOOKUP(C4872,Hoja1!$B$1:$C$6191,2,0)="",_xlfn.XLOOKUP(C4872,Hoja1!$B$2:$B$6191,Hoja1!$A$2:$A$6191),VLOOKUP(C4872,Hoja1!$B$1:$C$6191,2,0)),"No esta en Infor")</f>
        <v>NAC0616</v>
      </c>
      <c r="C4872" t="s">
        <v>103</v>
      </c>
      <c r="D4872" s="61">
        <v>1221.04</v>
      </c>
      <c r="F4872" s="61">
        <v>0</v>
      </c>
      <c r="G4872" s="61">
        <v>0</v>
      </c>
      <c r="H4872" s="61">
        <v>0</v>
      </c>
      <c r="I4872" s="61">
        <v>0</v>
      </c>
      <c r="J4872" s="61">
        <f t="shared" si="38"/>
        <v>1221.04</v>
      </c>
    </row>
    <row r="4873" spans="1:10" x14ac:dyDescent="0.25">
      <c r="A4873" s="67">
        <v>45777</v>
      </c>
      <c r="B4873" t="str">
        <f>IFERROR(IF(VLOOKUP(C4873,Hoja1!$B$1:$C$6191,2,0)="",_xlfn.XLOOKUP(C4873,Hoja1!$B$2:$B$6191,Hoja1!$A$2:$A$6191),VLOOKUP(C4873,Hoja1!$B$1:$C$6191,2,0)),"No esta en Infor")</f>
        <v>NAC0624</v>
      </c>
      <c r="C4873" t="s">
        <v>105</v>
      </c>
      <c r="D4873" s="61">
        <v>0</v>
      </c>
      <c r="F4873" s="61">
        <v>6.51</v>
      </c>
      <c r="G4873" s="61">
        <v>0</v>
      </c>
      <c r="H4873" s="61">
        <v>0</v>
      </c>
      <c r="I4873" s="61">
        <v>-231</v>
      </c>
      <c r="J4873" s="61">
        <f t="shared" si="38"/>
        <v>-224.49</v>
      </c>
    </row>
    <row r="4874" spans="1:10" x14ac:dyDescent="0.25">
      <c r="A4874" s="67">
        <v>45777</v>
      </c>
      <c r="B4874" t="str">
        <f>IFERROR(IF(VLOOKUP(C4874,Hoja1!$B$1:$C$6191,2,0)="",_xlfn.XLOOKUP(C4874,Hoja1!$B$2:$B$6191,Hoja1!$A$2:$A$6191),VLOOKUP(C4874,Hoja1!$B$1:$C$6191,2,0)),"No esta en Infor")</f>
        <v>NAC0632</v>
      </c>
      <c r="C4874" t="s">
        <v>108</v>
      </c>
      <c r="D4874" s="61">
        <v>1570.98</v>
      </c>
      <c r="F4874" s="61">
        <v>1233.6300000000001</v>
      </c>
      <c r="G4874" s="61">
        <v>0</v>
      </c>
      <c r="H4874" s="61">
        <v>0</v>
      </c>
      <c r="I4874" s="61">
        <v>0</v>
      </c>
      <c r="J4874" s="61">
        <f t="shared" si="38"/>
        <v>2804.61</v>
      </c>
    </row>
    <row r="4875" spans="1:10" x14ac:dyDescent="0.25">
      <c r="A4875" s="67">
        <v>45777</v>
      </c>
      <c r="B4875" t="str">
        <f>IFERROR(IF(VLOOKUP(C4875,Hoja1!$B$1:$C$6191,2,0)="",_xlfn.XLOOKUP(C4875,Hoja1!$B$2:$B$6191,Hoja1!$A$2:$A$6191),VLOOKUP(C4875,Hoja1!$B$1:$C$6191,2,0)),"No esta en Infor")</f>
        <v>NAC0641</v>
      </c>
      <c r="C4875" t="s">
        <v>18</v>
      </c>
      <c r="D4875" s="61">
        <v>0</v>
      </c>
      <c r="F4875" s="61">
        <v>0</v>
      </c>
      <c r="G4875" s="61">
        <v>2082.4</v>
      </c>
      <c r="H4875" s="61">
        <v>0</v>
      </c>
      <c r="I4875" s="61">
        <v>0</v>
      </c>
      <c r="J4875" s="61">
        <f t="shared" si="38"/>
        <v>2082.4</v>
      </c>
    </row>
    <row r="4876" spans="1:10" x14ac:dyDescent="0.25">
      <c r="A4876" s="67">
        <v>45777</v>
      </c>
      <c r="B4876" t="str">
        <f>IFERROR(IF(VLOOKUP(C4876,Hoja1!$B$1:$C$6191,2,0)="",_xlfn.XLOOKUP(C4876,Hoja1!$B$2:$B$6191,Hoja1!$A$2:$A$6191),VLOOKUP(C4876,Hoja1!$B$1:$C$6191,2,0)),"No esta en Infor")</f>
        <v>NAC0645</v>
      </c>
      <c r="C4876" t="s">
        <v>110</v>
      </c>
      <c r="D4876" s="61">
        <v>0</v>
      </c>
      <c r="F4876" s="61">
        <v>310.64999999999998</v>
      </c>
      <c r="G4876" s="61">
        <v>0</v>
      </c>
      <c r="H4876" s="61">
        <v>0</v>
      </c>
      <c r="I4876" s="61">
        <v>0</v>
      </c>
      <c r="J4876" s="61">
        <f t="shared" si="38"/>
        <v>310.64999999999998</v>
      </c>
    </row>
    <row r="4877" spans="1:10" x14ac:dyDescent="0.25">
      <c r="A4877" s="67">
        <v>45777</v>
      </c>
      <c r="B4877" t="str">
        <f>IFERROR(IF(VLOOKUP(C4877,Hoja1!$B$1:$C$6191,2,0)="",_xlfn.XLOOKUP(C4877,Hoja1!$B$2:$B$6191,Hoja1!$A$2:$A$6191),VLOOKUP(C4877,Hoja1!$B$1:$C$6191,2,0)),"No esta en Infor")</f>
        <v>NAC0646</v>
      </c>
      <c r="C4877" t="s">
        <v>112</v>
      </c>
      <c r="D4877" s="61">
        <v>2497</v>
      </c>
      <c r="F4877" s="61">
        <v>0</v>
      </c>
      <c r="G4877" s="61">
        <v>0</v>
      </c>
      <c r="H4877" s="61">
        <v>0</v>
      </c>
      <c r="I4877" s="61">
        <v>0</v>
      </c>
      <c r="J4877" s="61">
        <f t="shared" si="38"/>
        <v>2497</v>
      </c>
    </row>
    <row r="4878" spans="1:10" x14ac:dyDescent="0.25">
      <c r="A4878" s="67">
        <v>45777</v>
      </c>
      <c r="B4878" t="str">
        <f>IFERROR(IF(VLOOKUP(C4878,Hoja1!$B$1:$C$6191,2,0)="",_xlfn.XLOOKUP(C4878,Hoja1!$B$2:$B$6191,Hoja1!$A$2:$A$6191),VLOOKUP(C4878,Hoja1!$B$1:$C$6191,2,0)),"No esta en Infor")</f>
        <v>NAC0652</v>
      </c>
      <c r="C4878" t="s">
        <v>113</v>
      </c>
      <c r="D4878" s="61">
        <v>124.88</v>
      </c>
      <c r="F4878" s="61">
        <v>0</v>
      </c>
      <c r="G4878" s="61">
        <v>0</v>
      </c>
      <c r="H4878" s="61">
        <v>0</v>
      </c>
      <c r="I4878" s="61">
        <v>0</v>
      </c>
      <c r="J4878" s="61">
        <f t="shared" si="38"/>
        <v>124.88</v>
      </c>
    </row>
    <row r="4879" spans="1:10" x14ac:dyDescent="0.25">
      <c r="A4879" s="67">
        <v>45777</v>
      </c>
      <c r="B4879" t="str">
        <f>IFERROR(IF(VLOOKUP(C4879,Hoja1!$B$1:$C$6191,2,0)="",_xlfn.XLOOKUP(C4879,Hoja1!$B$2:$B$6191,Hoja1!$A$2:$A$6191),VLOOKUP(C4879,Hoja1!$B$1:$C$6191,2,0)),"No esta en Infor")</f>
        <v>NAC0657</v>
      </c>
      <c r="C4879" t="s">
        <v>114</v>
      </c>
      <c r="D4879" s="61">
        <v>4030</v>
      </c>
      <c r="F4879" s="61">
        <v>0</v>
      </c>
      <c r="G4879" s="61">
        <v>0</v>
      </c>
      <c r="H4879" s="61">
        <v>0</v>
      </c>
      <c r="I4879" s="61">
        <v>0</v>
      </c>
      <c r="J4879" s="61">
        <f t="shared" si="38"/>
        <v>4030</v>
      </c>
    </row>
    <row r="4880" spans="1:10" x14ac:dyDescent="0.25">
      <c r="A4880" s="67">
        <v>45777</v>
      </c>
      <c r="B4880" t="str">
        <f>IFERROR(IF(VLOOKUP(C4880,Hoja1!$B$1:$C$6191,2,0)="",_xlfn.XLOOKUP(C4880,Hoja1!$B$2:$B$6191,Hoja1!$A$2:$A$6191),VLOOKUP(C4880,Hoja1!$B$1:$C$6191,2,0)),"No esta en Infor")</f>
        <v>NAC0665</v>
      </c>
      <c r="C4880" t="s">
        <v>117</v>
      </c>
      <c r="D4880" s="61">
        <v>39916.870000000003</v>
      </c>
      <c r="F4880" s="61">
        <v>-4400.8</v>
      </c>
      <c r="G4880" s="61">
        <v>0</v>
      </c>
      <c r="H4880" s="61">
        <v>0</v>
      </c>
      <c r="I4880" s="61">
        <v>0</v>
      </c>
      <c r="J4880" s="61">
        <f t="shared" si="38"/>
        <v>35516.07</v>
      </c>
    </row>
    <row r="4881" spans="1:10" x14ac:dyDescent="0.25">
      <c r="A4881" s="67">
        <v>45777</v>
      </c>
      <c r="B4881" t="str">
        <f>IFERROR(IF(VLOOKUP(C4881,Hoja1!$B$1:$C$6191,2,0)="",_xlfn.XLOOKUP(C4881,Hoja1!$B$2:$B$6191,Hoja1!$A$2:$A$6191),VLOOKUP(C4881,Hoja1!$B$1:$C$6191,2,0)),"No esta en Infor")</f>
        <v>NAC0666</v>
      </c>
      <c r="C4881" t="s">
        <v>118</v>
      </c>
      <c r="D4881" s="61">
        <v>125430.96</v>
      </c>
      <c r="F4881" s="61">
        <v>-630</v>
      </c>
      <c r="G4881" s="61">
        <v>0</v>
      </c>
      <c r="H4881" s="61">
        <v>0</v>
      </c>
      <c r="I4881" s="61">
        <v>0</v>
      </c>
      <c r="J4881" s="61">
        <f t="shared" si="38"/>
        <v>124800.96000000001</v>
      </c>
    </row>
    <row r="4882" spans="1:10" x14ac:dyDescent="0.25">
      <c r="A4882" s="67">
        <v>45777</v>
      </c>
      <c r="B4882" t="str">
        <f>IFERROR(IF(VLOOKUP(C4882,Hoja1!$B$1:$C$6191,2,0)="",_xlfn.XLOOKUP(C4882,Hoja1!$B$2:$B$6191,Hoja1!$A$2:$A$6191),VLOOKUP(C4882,Hoja1!$B$1:$C$6191,2,0)),"No esta en Infor")</f>
        <v>NAC0669</v>
      </c>
      <c r="C4882" t="s">
        <v>119</v>
      </c>
      <c r="D4882" s="61">
        <v>7448.25</v>
      </c>
      <c r="F4882" s="61">
        <v>0</v>
      </c>
      <c r="G4882" s="61">
        <v>0</v>
      </c>
      <c r="H4882" s="61">
        <v>0</v>
      </c>
      <c r="I4882" s="61">
        <v>0</v>
      </c>
      <c r="J4882" s="61">
        <f t="shared" si="38"/>
        <v>7448.25</v>
      </c>
    </row>
    <row r="4883" spans="1:10" x14ac:dyDescent="0.25">
      <c r="A4883" s="67">
        <v>45777</v>
      </c>
      <c r="B4883" t="str">
        <f>IFERROR(IF(VLOOKUP(C4883,Hoja1!$B$1:$C$6191,2,0)="",_xlfn.XLOOKUP(C4883,Hoja1!$B$2:$B$6191,Hoja1!$A$2:$A$6191),VLOOKUP(C4883,Hoja1!$B$1:$C$6191,2,0)),"No esta en Infor")</f>
        <v>NAC0670</v>
      </c>
      <c r="C4883" t="s">
        <v>120</v>
      </c>
      <c r="D4883" s="61">
        <v>1843.5</v>
      </c>
      <c r="F4883" s="61">
        <v>0</v>
      </c>
      <c r="G4883" s="61">
        <v>0</v>
      </c>
      <c r="H4883" s="61">
        <v>0</v>
      </c>
      <c r="I4883" s="61">
        <v>0</v>
      </c>
      <c r="J4883" s="61">
        <f t="shared" si="38"/>
        <v>1843.5</v>
      </c>
    </row>
    <row r="4884" spans="1:10" x14ac:dyDescent="0.25">
      <c r="A4884" s="67">
        <v>45777</v>
      </c>
      <c r="B4884" t="str">
        <f>IFERROR(IF(VLOOKUP(C4884,Hoja1!$B$1:$C$6191,2,0)="",_xlfn.XLOOKUP(C4884,Hoja1!$B$2:$B$6191,Hoja1!$A$2:$A$6191),VLOOKUP(C4884,Hoja1!$B$1:$C$6191,2,0)),"No esta en Infor")</f>
        <v>CAN0011</v>
      </c>
      <c r="C4884" t="s">
        <v>121</v>
      </c>
      <c r="D4884" s="61">
        <v>1300.6400000000001</v>
      </c>
      <c r="F4884" s="61">
        <v>344.83</v>
      </c>
      <c r="G4884" s="61">
        <v>589.86</v>
      </c>
      <c r="H4884" s="61">
        <v>2709.74</v>
      </c>
      <c r="I4884" s="61">
        <v>381.94</v>
      </c>
      <c r="J4884" s="61">
        <f t="shared" si="38"/>
        <v>5327.0099999999993</v>
      </c>
    </row>
    <row r="4885" spans="1:10" x14ac:dyDescent="0.25">
      <c r="A4885" s="67">
        <v>45777</v>
      </c>
      <c r="B4885" t="str">
        <f>IFERROR(IF(VLOOKUP(C4885,Hoja1!$B$1:$C$6191,2,0)="",_xlfn.XLOOKUP(C4885,Hoja1!$B$2:$B$6191,Hoja1!$A$2:$A$6191),VLOOKUP(C4885,Hoja1!$B$1:$C$6191,2,0)),"No esta en Infor")</f>
        <v>NAC0672</v>
      </c>
      <c r="C4885" t="s">
        <v>122</v>
      </c>
      <c r="D4885" s="61">
        <v>5938.6</v>
      </c>
      <c r="F4885" s="61">
        <v>144</v>
      </c>
      <c r="G4885" s="61">
        <v>7603</v>
      </c>
      <c r="H4885" s="61">
        <v>0</v>
      </c>
      <c r="I4885" s="61">
        <v>0</v>
      </c>
      <c r="J4885" s="61">
        <f t="shared" si="38"/>
        <v>13685.6</v>
      </c>
    </row>
    <row r="4886" spans="1:10" x14ac:dyDescent="0.25">
      <c r="A4886" s="67">
        <v>45777</v>
      </c>
      <c r="B4886" t="str">
        <f>IFERROR(IF(VLOOKUP(C4886,Hoja1!$B$1:$C$6191,2,0)="",_xlfn.XLOOKUP(C4886,Hoja1!$B$2:$B$6191,Hoja1!$A$2:$A$6191),VLOOKUP(C4886,Hoja1!$B$1:$C$6191,2,0)),"No esta en Infor")</f>
        <v>NAC0673</v>
      </c>
      <c r="C4886" t="s">
        <v>390</v>
      </c>
      <c r="D4886" s="61">
        <v>0</v>
      </c>
      <c r="F4886" s="61">
        <v>982.62</v>
      </c>
      <c r="G4886" s="61">
        <v>0</v>
      </c>
      <c r="H4886" s="61">
        <v>0</v>
      </c>
      <c r="I4886" s="61">
        <v>0</v>
      </c>
      <c r="J4886" s="61">
        <f t="shared" si="38"/>
        <v>982.62</v>
      </c>
    </row>
    <row r="4887" spans="1:10" x14ac:dyDescent="0.25">
      <c r="A4887" s="67">
        <v>45777</v>
      </c>
      <c r="B4887" t="str">
        <f>IFERROR(IF(VLOOKUP(C4887,Hoja1!$B$1:$C$6191,2,0)="",_xlfn.XLOOKUP(C4887,Hoja1!$B$2:$B$6191,Hoja1!$A$2:$A$6191),VLOOKUP(C4887,Hoja1!$B$1:$C$6191,2,0)),"No esta en Infor")</f>
        <v>NAC0675</v>
      </c>
      <c r="C4887" t="s">
        <v>124</v>
      </c>
      <c r="D4887" s="61">
        <v>16362</v>
      </c>
      <c r="F4887" s="61">
        <v>0</v>
      </c>
      <c r="G4887" s="61">
        <v>0</v>
      </c>
      <c r="H4887" s="61">
        <v>0</v>
      </c>
      <c r="I4887" s="61">
        <v>0</v>
      </c>
      <c r="J4887" s="61">
        <f t="shared" si="38"/>
        <v>16362</v>
      </c>
    </row>
    <row r="4888" spans="1:10" x14ac:dyDescent="0.25">
      <c r="A4888" s="67">
        <v>45777</v>
      </c>
      <c r="B4888" t="str">
        <f>IFERROR(IF(VLOOKUP(C4888,Hoja1!$B$1:$C$6191,2,0)="",_xlfn.XLOOKUP(C4888,Hoja1!$B$2:$B$6191,Hoja1!$A$2:$A$6191),VLOOKUP(C4888,Hoja1!$B$1:$C$6191,2,0)),"No esta en Infor")</f>
        <v>NAC0680</v>
      </c>
      <c r="C4888" t="s">
        <v>125</v>
      </c>
      <c r="D4888" s="61">
        <v>2210</v>
      </c>
      <c r="F4888" s="61">
        <v>0</v>
      </c>
      <c r="G4888" s="61">
        <v>0</v>
      </c>
      <c r="H4888" s="61">
        <v>0</v>
      </c>
      <c r="I4888" s="61">
        <v>0</v>
      </c>
      <c r="J4888" s="61">
        <f t="shared" si="38"/>
        <v>2210</v>
      </c>
    </row>
    <row r="4889" spans="1:10" x14ac:dyDescent="0.25">
      <c r="A4889" s="67">
        <v>45777</v>
      </c>
      <c r="B4889" t="str">
        <f>IFERROR(IF(VLOOKUP(C4889,Hoja1!$B$1:$C$6191,2,0)="",_xlfn.XLOOKUP(C4889,Hoja1!$B$2:$B$6191,Hoja1!$A$2:$A$6191),VLOOKUP(C4889,Hoja1!$B$1:$C$6191,2,0)),"No esta en Infor")</f>
        <v>NAC0682</v>
      </c>
      <c r="C4889" t="s">
        <v>127</v>
      </c>
      <c r="D4889" s="61">
        <v>749</v>
      </c>
      <c r="F4889" s="61">
        <v>0</v>
      </c>
      <c r="G4889" s="61">
        <v>0</v>
      </c>
      <c r="H4889" s="61">
        <v>0</v>
      </c>
      <c r="I4889" s="61">
        <v>0</v>
      </c>
      <c r="J4889" s="61">
        <f t="shared" si="38"/>
        <v>749</v>
      </c>
    </row>
    <row r="4890" spans="1:10" x14ac:dyDescent="0.25">
      <c r="A4890" s="67">
        <v>45777</v>
      </c>
      <c r="B4890" t="str">
        <f>IFERROR(IF(VLOOKUP(C4890,Hoja1!$B$1:$C$6191,2,0)="",_xlfn.XLOOKUP(C4890,Hoja1!$B$2:$B$6191,Hoja1!$A$2:$A$6191),VLOOKUP(C4890,Hoja1!$B$1:$C$6191,2,0)),"No esta en Infor")</f>
        <v>NAC0688</v>
      </c>
      <c r="C4890" t="s">
        <v>1515</v>
      </c>
      <c r="D4890" s="61">
        <v>63023.54</v>
      </c>
      <c r="F4890" s="61">
        <v>0</v>
      </c>
      <c r="G4890" s="61">
        <v>0</v>
      </c>
      <c r="H4890" s="61">
        <v>0</v>
      </c>
      <c r="I4890" s="61">
        <v>0</v>
      </c>
      <c r="J4890" s="61">
        <f t="shared" si="38"/>
        <v>63023.54</v>
      </c>
    </row>
    <row r="4891" spans="1:10" x14ac:dyDescent="0.25">
      <c r="A4891" s="67">
        <v>45777</v>
      </c>
      <c r="B4891" t="str">
        <f>IFERROR(IF(VLOOKUP(C4891,Hoja1!$B$1:$C$6191,2,0)="",_xlfn.XLOOKUP(C4891,Hoja1!$B$2:$B$6191,Hoja1!$A$2:$A$6191),VLOOKUP(C4891,Hoja1!$B$1:$C$6191,2,0)),"No esta en Infor")</f>
        <v>NAC0704</v>
      </c>
      <c r="C4891" t="s">
        <v>138</v>
      </c>
      <c r="D4891" s="61">
        <v>236</v>
      </c>
      <c r="F4891" s="61">
        <v>0</v>
      </c>
      <c r="G4891" s="61">
        <v>0</v>
      </c>
      <c r="H4891" s="61">
        <v>0</v>
      </c>
      <c r="I4891" s="61">
        <v>0</v>
      </c>
      <c r="J4891" s="61">
        <f t="shared" ref="J4891:J4954" si="39">SUM(D4891:I4891)</f>
        <v>236</v>
      </c>
    </row>
    <row r="4892" spans="1:10" x14ac:dyDescent="0.25">
      <c r="A4892" s="67">
        <v>45777</v>
      </c>
      <c r="B4892" t="str">
        <f>IFERROR(IF(VLOOKUP(C4892,Hoja1!$B$1:$C$6191,2,0)="",_xlfn.XLOOKUP(C4892,Hoja1!$B$2:$B$6191,Hoja1!$A$2:$A$6191),VLOOKUP(C4892,Hoja1!$B$1:$C$6191,2,0)),"No esta en Infor")</f>
        <v>NAC0706</v>
      </c>
      <c r="C4892" t="s">
        <v>139</v>
      </c>
      <c r="D4892" s="61">
        <v>2037</v>
      </c>
      <c r="F4892" s="61">
        <v>0</v>
      </c>
      <c r="G4892" s="61">
        <v>0</v>
      </c>
      <c r="H4892" s="61">
        <v>0</v>
      </c>
      <c r="I4892" s="61">
        <v>0</v>
      </c>
      <c r="J4892" s="61">
        <f t="shared" si="39"/>
        <v>2037</v>
      </c>
    </row>
    <row r="4893" spans="1:10" x14ac:dyDescent="0.25">
      <c r="A4893" s="67">
        <v>45777</v>
      </c>
      <c r="B4893" t="str">
        <f>IFERROR(IF(VLOOKUP(C4893,Hoja1!$B$1:$C$6191,2,0)="",_xlfn.XLOOKUP(C4893,Hoja1!$B$2:$B$6191,Hoja1!$A$2:$A$6191),VLOOKUP(C4893,Hoja1!$B$1:$C$6191,2,0)),"No esta en Infor")</f>
        <v>NAC0710</v>
      </c>
      <c r="C4893" t="s">
        <v>140</v>
      </c>
      <c r="D4893" s="61">
        <v>11502</v>
      </c>
      <c r="F4893" s="61">
        <v>-784</v>
      </c>
      <c r="G4893" s="61">
        <v>0</v>
      </c>
      <c r="H4893" s="61">
        <v>0</v>
      </c>
      <c r="I4893" s="61">
        <v>0</v>
      </c>
      <c r="J4893" s="61">
        <f t="shared" si="39"/>
        <v>10718</v>
      </c>
    </row>
    <row r="4894" spans="1:10" x14ac:dyDescent="0.25">
      <c r="A4894" s="67">
        <v>45777</v>
      </c>
      <c r="B4894" t="str">
        <f>IFERROR(IF(VLOOKUP(C4894,Hoja1!$B$1:$C$6191,2,0)="",_xlfn.XLOOKUP(C4894,Hoja1!$B$2:$B$6191,Hoja1!$A$2:$A$6191),VLOOKUP(C4894,Hoja1!$B$1:$C$6191,2,0)),"No esta en Infor")</f>
        <v>CAN0014</v>
      </c>
      <c r="C4894" t="s">
        <v>141</v>
      </c>
      <c r="D4894" s="61">
        <v>5355</v>
      </c>
      <c r="F4894" s="61">
        <v>0</v>
      </c>
      <c r="G4894" s="61">
        <v>0</v>
      </c>
      <c r="H4894" s="61">
        <v>0</v>
      </c>
      <c r="I4894" s="61">
        <v>0</v>
      </c>
      <c r="J4894" s="61">
        <f t="shared" si="39"/>
        <v>5355</v>
      </c>
    </row>
    <row r="4895" spans="1:10" x14ac:dyDescent="0.25">
      <c r="A4895" s="67">
        <v>45777</v>
      </c>
      <c r="B4895" t="str">
        <f>IFERROR(IF(VLOOKUP(C4895,Hoja1!$B$1:$C$6191,2,0)="",_xlfn.XLOOKUP(C4895,Hoja1!$B$2:$B$6191,Hoja1!$A$2:$A$6191),VLOOKUP(C4895,Hoja1!$B$1:$C$6191,2,0)),"No esta en Infor")</f>
        <v>NAC0726</v>
      </c>
      <c r="C4895" t="s">
        <v>147</v>
      </c>
      <c r="D4895" s="61">
        <v>14566</v>
      </c>
      <c r="F4895" s="61">
        <v>0</v>
      </c>
      <c r="G4895" s="61">
        <v>0</v>
      </c>
      <c r="H4895" s="61">
        <v>0</v>
      </c>
      <c r="I4895" s="61">
        <v>0</v>
      </c>
      <c r="J4895" s="61">
        <f t="shared" si="39"/>
        <v>14566</v>
      </c>
    </row>
    <row r="4896" spans="1:10" x14ac:dyDescent="0.25">
      <c r="A4896" s="67">
        <v>45777</v>
      </c>
      <c r="B4896" t="str">
        <f>IFERROR(IF(VLOOKUP(C4896,Hoja1!$B$1:$C$6191,2,0)="",_xlfn.XLOOKUP(C4896,Hoja1!$B$2:$B$6191,Hoja1!$A$2:$A$6191),VLOOKUP(C4896,Hoja1!$B$1:$C$6191,2,0)),"No esta en Infor")</f>
        <v>NAC0729</v>
      </c>
      <c r="C4896" t="s">
        <v>148</v>
      </c>
      <c r="D4896" s="61">
        <v>0</v>
      </c>
      <c r="F4896" s="61">
        <v>0</v>
      </c>
      <c r="G4896" s="61">
        <v>0</v>
      </c>
      <c r="H4896" s="61">
        <v>0</v>
      </c>
      <c r="I4896" s="61">
        <v>316</v>
      </c>
      <c r="J4896" s="61">
        <f t="shared" si="39"/>
        <v>316</v>
      </c>
    </row>
    <row r="4897" spans="1:10" x14ac:dyDescent="0.25">
      <c r="A4897" s="67">
        <v>45777</v>
      </c>
      <c r="B4897" t="str">
        <f>IFERROR(IF(VLOOKUP(C4897,Hoja1!$B$1:$C$6191,2,0)="",_xlfn.XLOOKUP(C4897,Hoja1!$B$2:$B$6191,Hoja1!$A$2:$A$6191),VLOOKUP(C4897,Hoja1!$B$1:$C$6191,2,0)),"No esta en Infor")</f>
        <v>NAC0738</v>
      </c>
      <c r="C4897" t="s">
        <v>150</v>
      </c>
      <c r="D4897" s="61">
        <v>1344</v>
      </c>
      <c r="F4897" s="61">
        <v>0</v>
      </c>
      <c r="G4897" s="61">
        <v>0</v>
      </c>
      <c r="H4897" s="61">
        <v>0</v>
      </c>
      <c r="I4897" s="61">
        <v>0</v>
      </c>
      <c r="J4897" s="61">
        <f t="shared" si="39"/>
        <v>1344</v>
      </c>
    </row>
    <row r="4898" spans="1:10" x14ac:dyDescent="0.25">
      <c r="A4898" s="67">
        <v>45777</v>
      </c>
      <c r="B4898" t="str">
        <f>IFERROR(IF(VLOOKUP(C4898,Hoja1!$B$1:$C$6191,2,0)="",_xlfn.XLOOKUP(C4898,Hoja1!$B$2:$B$6191,Hoja1!$A$2:$A$6191),VLOOKUP(C4898,Hoja1!$B$1:$C$6191,2,0)),"No esta en Infor")</f>
        <v>NAC1608</v>
      </c>
      <c r="C4898" t="s">
        <v>538</v>
      </c>
      <c r="D4898" s="61">
        <v>5819</v>
      </c>
      <c r="F4898" s="61">
        <v>0</v>
      </c>
      <c r="G4898" s="61">
        <v>1596.92</v>
      </c>
      <c r="H4898" s="61">
        <v>0</v>
      </c>
      <c r="I4898" s="61">
        <v>-370.57</v>
      </c>
      <c r="J4898" s="61">
        <f t="shared" si="39"/>
        <v>7045.35</v>
      </c>
    </row>
    <row r="4899" spans="1:10" x14ac:dyDescent="0.25">
      <c r="A4899" s="67">
        <v>45777</v>
      </c>
      <c r="B4899" t="str">
        <f>IFERROR(IF(VLOOKUP(C4899,Hoja1!$B$1:$C$6191,2,0)="",_xlfn.XLOOKUP(C4899,Hoja1!$B$2:$B$6191,Hoja1!$A$2:$A$6191),VLOOKUP(C4899,Hoja1!$B$1:$C$6191,2,0)),"No esta en Infor")</f>
        <v>NAC0759</v>
      </c>
      <c r="C4899" t="s">
        <v>581</v>
      </c>
      <c r="D4899" s="61">
        <v>0</v>
      </c>
      <c r="F4899" s="61">
        <v>0</v>
      </c>
      <c r="G4899" s="61">
        <v>-16.100000000000001</v>
      </c>
      <c r="H4899" s="61">
        <v>0</v>
      </c>
      <c r="I4899" s="61">
        <v>0</v>
      </c>
      <c r="J4899" s="61">
        <f t="shared" si="39"/>
        <v>-16.100000000000001</v>
      </c>
    </row>
    <row r="4900" spans="1:10" x14ac:dyDescent="0.25">
      <c r="A4900" s="67">
        <v>45777</v>
      </c>
      <c r="B4900" t="str">
        <f>IFERROR(IF(VLOOKUP(C4900,Hoja1!$B$1:$C$6191,2,0)="",_xlfn.XLOOKUP(C4900,Hoja1!$B$2:$B$6191,Hoja1!$A$2:$A$6191),VLOOKUP(C4900,Hoja1!$B$1:$C$6191,2,0)),"No esta en Infor")</f>
        <v>NAC0760</v>
      </c>
      <c r="C4900" t="s">
        <v>907</v>
      </c>
      <c r="D4900" s="61">
        <v>3250</v>
      </c>
      <c r="F4900" s="61">
        <v>0</v>
      </c>
      <c r="G4900" s="61">
        <v>0</v>
      </c>
      <c r="H4900" s="61">
        <v>0</v>
      </c>
      <c r="I4900" s="61">
        <v>0</v>
      </c>
      <c r="J4900" s="61">
        <f t="shared" si="39"/>
        <v>3250</v>
      </c>
    </row>
    <row r="4901" spans="1:10" x14ac:dyDescent="0.25">
      <c r="A4901" s="67">
        <v>45777</v>
      </c>
      <c r="B4901" t="str">
        <f>IFERROR(IF(VLOOKUP(C4901,Hoja1!$B$1:$C$6191,2,0)="",_xlfn.XLOOKUP(C4901,Hoja1!$B$2:$B$6191,Hoja1!$A$2:$A$6191),VLOOKUP(C4901,Hoja1!$B$1:$C$6191,2,0)),"No esta en Infor")</f>
        <v>NAC0767</v>
      </c>
      <c r="C4901" t="s">
        <v>155</v>
      </c>
      <c r="D4901" s="61">
        <v>1647417.05</v>
      </c>
      <c r="F4901" s="61">
        <v>0</v>
      </c>
      <c r="G4901" s="61">
        <v>0</v>
      </c>
      <c r="H4901" s="61">
        <v>-414</v>
      </c>
      <c r="I4901" s="61">
        <v>-20951.900000000001</v>
      </c>
      <c r="J4901" s="61">
        <f t="shared" si="39"/>
        <v>1626051.1500000001</v>
      </c>
    </row>
    <row r="4902" spans="1:10" x14ac:dyDescent="0.25">
      <c r="A4902" s="67">
        <v>45777</v>
      </c>
      <c r="B4902" t="str">
        <f>IFERROR(IF(VLOOKUP(C4902,Hoja1!$B$1:$C$6191,2,0)="",_xlfn.XLOOKUP(C4902,Hoja1!$B$2:$B$6191,Hoja1!$A$2:$A$6191),VLOOKUP(C4902,Hoja1!$B$1:$C$6191,2,0)),"No esta en Infor")</f>
        <v>NAC0769</v>
      </c>
      <c r="C4902" t="s">
        <v>156</v>
      </c>
      <c r="D4902" s="61">
        <v>11971</v>
      </c>
      <c r="F4902" s="61">
        <v>1137</v>
      </c>
      <c r="G4902" s="61">
        <v>0</v>
      </c>
      <c r="H4902" s="61">
        <v>0</v>
      </c>
      <c r="I4902" s="61">
        <v>-297.89</v>
      </c>
      <c r="J4902" s="61">
        <f t="shared" si="39"/>
        <v>12810.11</v>
      </c>
    </row>
    <row r="4903" spans="1:10" x14ac:dyDescent="0.25">
      <c r="A4903" s="67">
        <v>45777</v>
      </c>
      <c r="B4903" t="str">
        <f>IFERROR(IF(VLOOKUP(C4903,Hoja1!$B$1:$C$6191,2,0)="",_xlfn.XLOOKUP(C4903,Hoja1!$B$2:$B$6191,Hoja1!$A$2:$A$6191),VLOOKUP(C4903,Hoja1!$B$1:$C$6191,2,0)),"No esta en Infor")</f>
        <v>NAC0770</v>
      </c>
      <c r="C4903" t="s">
        <v>616</v>
      </c>
      <c r="D4903" s="61">
        <v>2916</v>
      </c>
      <c r="F4903" s="61">
        <v>0</v>
      </c>
      <c r="G4903" s="61">
        <v>0</v>
      </c>
      <c r="H4903" s="61">
        <v>0</v>
      </c>
      <c r="I4903" s="61">
        <v>0</v>
      </c>
      <c r="J4903" s="61">
        <f t="shared" si="39"/>
        <v>2916</v>
      </c>
    </row>
    <row r="4904" spans="1:10" x14ac:dyDescent="0.25">
      <c r="A4904" s="67">
        <v>45777</v>
      </c>
      <c r="B4904" t="str">
        <f>IFERROR(IF(VLOOKUP(C4904,Hoja1!$B$1:$C$6191,2,0)="",_xlfn.XLOOKUP(C4904,Hoja1!$B$2:$B$6191,Hoja1!$A$2:$A$6191),VLOOKUP(C4904,Hoja1!$B$1:$C$6191,2,0)),"No esta en Infor")</f>
        <v>NAC0778</v>
      </c>
      <c r="C4904" t="s">
        <v>159</v>
      </c>
      <c r="D4904" s="61">
        <v>0</v>
      </c>
      <c r="F4904" s="61">
        <v>0</v>
      </c>
      <c r="G4904" s="61">
        <v>0</v>
      </c>
      <c r="H4904" s="61">
        <v>0</v>
      </c>
      <c r="I4904" s="61">
        <v>-781.38</v>
      </c>
      <c r="J4904" s="61">
        <f t="shared" si="39"/>
        <v>-781.38</v>
      </c>
    </row>
    <row r="4905" spans="1:10" x14ac:dyDescent="0.25">
      <c r="A4905" s="67">
        <v>45777</v>
      </c>
      <c r="B4905" t="str">
        <f>IFERROR(IF(VLOOKUP(C4905,Hoja1!$B$1:$C$6191,2,0)="",_xlfn.XLOOKUP(C4905,Hoja1!$B$2:$B$6191,Hoja1!$A$2:$A$6191),VLOOKUP(C4905,Hoja1!$B$1:$C$6191,2,0)),"No esta en Infor")</f>
        <v>NAC0779</v>
      </c>
      <c r="C4905" t="s">
        <v>160</v>
      </c>
      <c r="D4905" s="61">
        <v>2662</v>
      </c>
      <c r="F4905" s="61">
        <v>0</v>
      </c>
      <c r="G4905" s="61">
        <v>0</v>
      </c>
      <c r="H4905" s="61">
        <v>0</v>
      </c>
      <c r="I4905" s="61">
        <v>0</v>
      </c>
      <c r="J4905" s="61">
        <f t="shared" si="39"/>
        <v>2662</v>
      </c>
    </row>
    <row r="4906" spans="1:10" x14ac:dyDescent="0.25">
      <c r="A4906" s="67">
        <v>45777</v>
      </c>
      <c r="B4906" t="str">
        <f>IFERROR(IF(VLOOKUP(C4906,Hoja1!$B$1:$C$6191,2,0)="",_xlfn.XLOOKUP(C4906,Hoja1!$B$2:$B$6191,Hoja1!$A$2:$A$6191),VLOOKUP(C4906,Hoja1!$B$1:$C$6191,2,0)),"No esta en Infor")</f>
        <v>NAC0780</v>
      </c>
      <c r="C4906" t="s">
        <v>161</v>
      </c>
      <c r="D4906" s="61">
        <v>10775.35</v>
      </c>
      <c r="F4906" s="61">
        <v>0</v>
      </c>
      <c r="G4906" s="61">
        <v>0</v>
      </c>
      <c r="H4906" s="61">
        <v>0</v>
      </c>
      <c r="I4906" s="61">
        <v>0</v>
      </c>
      <c r="J4906" s="61">
        <f t="shared" si="39"/>
        <v>10775.35</v>
      </c>
    </row>
    <row r="4907" spans="1:10" x14ac:dyDescent="0.25">
      <c r="A4907" s="67">
        <v>45777</v>
      </c>
      <c r="B4907" t="str">
        <f>IFERROR(IF(VLOOKUP(C4907,Hoja1!$B$1:$C$6191,2,0)="",_xlfn.XLOOKUP(C4907,Hoja1!$B$2:$B$6191,Hoja1!$A$2:$A$6191),VLOOKUP(C4907,Hoja1!$B$1:$C$6191,2,0)),"No esta en Infor")</f>
        <v>NAC0781</v>
      </c>
      <c r="C4907" t="s">
        <v>162</v>
      </c>
      <c r="D4907" s="61">
        <v>1562.2</v>
      </c>
      <c r="F4907" s="61">
        <v>0</v>
      </c>
      <c r="G4907" s="61">
        <v>0</v>
      </c>
      <c r="H4907" s="61">
        <v>0</v>
      </c>
      <c r="I4907" s="61">
        <v>-730</v>
      </c>
      <c r="J4907" s="61">
        <f t="shared" si="39"/>
        <v>832.2</v>
      </c>
    </row>
    <row r="4908" spans="1:10" x14ac:dyDescent="0.25">
      <c r="A4908" s="67">
        <v>45777</v>
      </c>
      <c r="B4908" t="str">
        <f>IFERROR(IF(VLOOKUP(C4908,Hoja1!$B$1:$C$6191,2,0)="",_xlfn.XLOOKUP(C4908,Hoja1!$B$2:$B$6191,Hoja1!$A$2:$A$6191),VLOOKUP(C4908,Hoja1!$B$1:$C$6191,2,0)),"No esta en Infor")</f>
        <v>NAC0788</v>
      </c>
      <c r="C4908" t="s">
        <v>163</v>
      </c>
      <c r="D4908" s="61">
        <v>0</v>
      </c>
      <c r="F4908" s="61">
        <v>435.88</v>
      </c>
      <c r="G4908" s="61">
        <v>0</v>
      </c>
      <c r="H4908" s="61">
        <v>0</v>
      </c>
      <c r="I4908" s="61">
        <v>0</v>
      </c>
      <c r="J4908" s="61">
        <f t="shared" si="39"/>
        <v>435.88</v>
      </c>
    </row>
    <row r="4909" spans="1:10" x14ac:dyDescent="0.25">
      <c r="A4909" s="67">
        <v>45777</v>
      </c>
      <c r="B4909" t="str">
        <f>IFERROR(IF(VLOOKUP(C4909,Hoja1!$B$1:$C$6191,2,0)="",_xlfn.XLOOKUP(C4909,Hoja1!$B$2:$B$6191,Hoja1!$A$2:$A$6191),VLOOKUP(C4909,Hoja1!$B$1:$C$6191,2,0)),"No esta en Infor")</f>
        <v>NAC0792</v>
      </c>
      <c r="C4909" t="s">
        <v>164</v>
      </c>
      <c r="D4909" s="61">
        <v>239575.94</v>
      </c>
      <c r="F4909" s="61">
        <v>-44.1</v>
      </c>
      <c r="G4909" s="61">
        <v>0</v>
      </c>
      <c r="H4909" s="61">
        <v>0</v>
      </c>
      <c r="I4909" s="61">
        <v>0</v>
      </c>
      <c r="J4909" s="61">
        <f t="shared" si="39"/>
        <v>239531.84</v>
      </c>
    </row>
    <row r="4910" spans="1:10" x14ac:dyDescent="0.25">
      <c r="A4910" s="67">
        <v>45777</v>
      </c>
      <c r="B4910" t="str">
        <f>IFERROR(IF(VLOOKUP(C4910,Hoja1!$B$1:$C$6191,2,0)="",_xlfn.XLOOKUP(C4910,Hoja1!$B$2:$B$6191,Hoja1!$A$2:$A$6191),VLOOKUP(C4910,Hoja1!$B$1:$C$6191,2,0)),"No esta en Infor")</f>
        <v>NAC1612</v>
      </c>
      <c r="C4910" t="s">
        <v>663</v>
      </c>
      <c r="D4910" s="61">
        <v>0</v>
      </c>
      <c r="F4910" s="61">
        <v>0</v>
      </c>
      <c r="G4910" s="61">
        <v>0</v>
      </c>
      <c r="H4910" s="61">
        <v>0</v>
      </c>
      <c r="I4910" s="61">
        <v>-0.02</v>
      </c>
      <c r="J4910" s="61">
        <f t="shared" si="39"/>
        <v>-0.02</v>
      </c>
    </row>
    <row r="4911" spans="1:10" x14ac:dyDescent="0.25">
      <c r="A4911" s="67">
        <v>45777</v>
      </c>
      <c r="B4911" t="str">
        <f>IFERROR(IF(VLOOKUP(C4911,Hoja1!$B$1:$C$6191,2,0)="",_xlfn.XLOOKUP(C4911,Hoja1!$B$2:$B$6191,Hoja1!$A$2:$A$6191),VLOOKUP(C4911,Hoja1!$B$1:$C$6191,2,0)),"No esta en Infor")</f>
        <v>NAC0798</v>
      </c>
      <c r="C4911" t="s">
        <v>167</v>
      </c>
      <c r="D4911" s="61">
        <v>19074.48</v>
      </c>
      <c r="F4911" s="61">
        <v>0</v>
      </c>
      <c r="G4911" s="61">
        <v>0</v>
      </c>
      <c r="H4911" s="61">
        <v>0</v>
      </c>
      <c r="I4911" s="61">
        <v>0</v>
      </c>
      <c r="J4911" s="61">
        <f t="shared" si="39"/>
        <v>19074.48</v>
      </c>
    </row>
    <row r="4912" spans="1:10" x14ac:dyDescent="0.25">
      <c r="A4912" s="67">
        <v>45777</v>
      </c>
      <c r="B4912" t="str">
        <f>IFERROR(IF(VLOOKUP(C4912,Hoja1!$B$1:$C$6191,2,0)="",_xlfn.XLOOKUP(C4912,Hoja1!$B$2:$B$6191,Hoja1!$A$2:$A$6191),VLOOKUP(C4912,Hoja1!$B$1:$C$6191,2,0)),"No esta en Infor")</f>
        <v>NAC0800</v>
      </c>
      <c r="C4912" t="s">
        <v>617</v>
      </c>
      <c r="D4912" s="61">
        <v>0</v>
      </c>
      <c r="F4912" s="61">
        <v>0</v>
      </c>
      <c r="G4912" s="61">
        <v>-1500</v>
      </c>
      <c r="H4912" s="61">
        <v>0</v>
      </c>
      <c r="I4912" s="61">
        <v>0</v>
      </c>
      <c r="J4912" s="61">
        <f t="shared" si="39"/>
        <v>-1500</v>
      </c>
    </row>
    <row r="4913" spans="1:10" x14ac:dyDescent="0.25">
      <c r="A4913" s="67">
        <v>45777</v>
      </c>
      <c r="B4913" t="str">
        <f>IFERROR(IF(VLOOKUP(C4913,Hoja1!$B$1:$C$6191,2,0)="",_xlfn.XLOOKUP(C4913,Hoja1!$B$2:$B$6191,Hoja1!$A$2:$A$6191),VLOOKUP(C4913,Hoja1!$B$1:$C$6191,2,0)),"No esta en Infor")</f>
        <v>NAC0801</v>
      </c>
      <c r="C4913" t="s">
        <v>168</v>
      </c>
      <c r="D4913" s="61">
        <v>1065.4000000000001</v>
      </c>
      <c r="F4913" s="61">
        <v>0</v>
      </c>
      <c r="G4913" s="61">
        <v>0</v>
      </c>
      <c r="H4913" s="61">
        <v>0</v>
      </c>
      <c r="I4913" s="61">
        <v>0</v>
      </c>
      <c r="J4913" s="61">
        <f t="shared" si="39"/>
        <v>1065.4000000000001</v>
      </c>
    </row>
    <row r="4914" spans="1:10" x14ac:dyDescent="0.25">
      <c r="A4914" s="67">
        <v>45777</v>
      </c>
      <c r="B4914" t="str">
        <f>IFERROR(IF(VLOOKUP(C4914,Hoja1!$B$1:$C$6191,2,0)="",_xlfn.XLOOKUP(C4914,Hoja1!$B$2:$B$6191,Hoja1!$A$2:$A$6191),VLOOKUP(C4914,Hoja1!$B$1:$C$6191,2,0)),"No esta en Infor")</f>
        <v>NAC0804</v>
      </c>
      <c r="C4914" t="s">
        <v>169</v>
      </c>
      <c r="D4914" s="61">
        <v>5500.8</v>
      </c>
      <c r="F4914" s="61">
        <v>0</v>
      </c>
      <c r="G4914" s="61">
        <v>0</v>
      </c>
      <c r="H4914" s="61">
        <v>0</v>
      </c>
      <c r="I4914" s="61">
        <v>0</v>
      </c>
      <c r="J4914" s="61">
        <f t="shared" si="39"/>
        <v>5500.8</v>
      </c>
    </row>
    <row r="4915" spans="1:10" x14ac:dyDescent="0.25">
      <c r="A4915" s="67">
        <v>45777</v>
      </c>
      <c r="B4915" t="str">
        <f>IFERROR(IF(VLOOKUP(C4915,Hoja1!$B$1:$C$6191,2,0)="",_xlfn.XLOOKUP(C4915,Hoja1!$B$2:$B$6191,Hoja1!$A$2:$A$6191),VLOOKUP(C4915,Hoja1!$B$1:$C$6191,2,0)),"No esta en Infor")</f>
        <v>CAN0018</v>
      </c>
      <c r="C4915" t="s">
        <v>21</v>
      </c>
      <c r="D4915" s="61">
        <v>12782.1</v>
      </c>
      <c r="F4915" s="61">
        <v>3861.62</v>
      </c>
      <c r="G4915" s="61">
        <v>20697.52</v>
      </c>
      <c r="H4915" s="61">
        <v>21588.880000000001</v>
      </c>
      <c r="I4915" s="61">
        <v>0</v>
      </c>
      <c r="J4915" s="61">
        <f t="shared" si="39"/>
        <v>58930.12000000001</v>
      </c>
    </row>
    <row r="4916" spans="1:10" x14ac:dyDescent="0.25">
      <c r="A4916" s="67">
        <v>45777</v>
      </c>
      <c r="B4916" t="str">
        <f>IFERROR(IF(VLOOKUP(C4916,Hoja1!$B$1:$C$6191,2,0)="",_xlfn.XLOOKUP(C4916,Hoja1!$B$2:$B$6191,Hoja1!$A$2:$A$6191),VLOOKUP(C4916,Hoja1!$B$1:$C$6191,2,0)),"No esta en Infor")</f>
        <v>CAN0019</v>
      </c>
      <c r="C4916" t="s">
        <v>172</v>
      </c>
      <c r="D4916" s="61">
        <v>24152.32</v>
      </c>
      <c r="F4916" s="61">
        <v>0</v>
      </c>
      <c r="G4916" s="61">
        <v>0</v>
      </c>
      <c r="H4916" s="61">
        <v>0</v>
      </c>
      <c r="I4916" s="61">
        <v>0</v>
      </c>
      <c r="J4916" s="61">
        <f t="shared" si="39"/>
        <v>24152.32</v>
      </c>
    </row>
    <row r="4917" spans="1:10" x14ac:dyDescent="0.25">
      <c r="A4917" s="67">
        <v>45777</v>
      </c>
      <c r="B4917" t="str">
        <f>IFERROR(IF(VLOOKUP(C4917,Hoja1!$B$1:$C$6191,2,0)="",_xlfn.XLOOKUP(C4917,Hoja1!$B$2:$B$6191,Hoja1!$A$2:$A$6191),VLOOKUP(C4917,Hoja1!$B$1:$C$6191,2,0)),"No esta en Infor")</f>
        <v>NAC0811</v>
      </c>
      <c r="C4917" t="s">
        <v>173</v>
      </c>
      <c r="D4917" s="61">
        <v>0</v>
      </c>
      <c r="F4917" s="61">
        <v>-270.47000000000003</v>
      </c>
      <c r="G4917" s="61">
        <v>0</v>
      </c>
      <c r="H4917" s="61">
        <v>0</v>
      </c>
      <c r="I4917" s="61">
        <v>0</v>
      </c>
      <c r="J4917" s="61">
        <f t="shared" si="39"/>
        <v>-270.47000000000003</v>
      </c>
    </row>
    <row r="4918" spans="1:10" x14ac:dyDescent="0.25">
      <c r="A4918" s="67">
        <v>45777</v>
      </c>
      <c r="B4918" t="str">
        <f>IFERROR(IF(VLOOKUP(C4918,Hoja1!$B$1:$C$6191,2,0)="",_xlfn.XLOOKUP(C4918,Hoja1!$B$2:$B$6191,Hoja1!$A$2:$A$6191),VLOOKUP(C4918,Hoja1!$B$1:$C$6191,2,0)),"No esta en Infor")</f>
        <v>CAN0020</v>
      </c>
      <c r="C4918" t="s">
        <v>174</v>
      </c>
      <c r="D4918" s="61">
        <v>0</v>
      </c>
      <c r="F4918" s="61">
        <v>0</v>
      </c>
      <c r="G4918" s="61">
        <v>-1842.35</v>
      </c>
      <c r="H4918" s="61">
        <v>0</v>
      </c>
      <c r="I4918" s="61">
        <v>0</v>
      </c>
      <c r="J4918" s="61">
        <f t="shared" si="39"/>
        <v>-1842.35</v>
      </c>
    </row>
    <row r="4919" spans="1:10" x14ac:dyDescent="0.25">
      <c r="A4919" s="67">
        <v>45777</v>
      </c>
      <c r="B4919" t="str">
        <f>IFERROR(IF(VLOOKUP(C4919,Hoja1!$B$1:$C$6191,2,0)="",_xlfn.XLOOKUP(C4919,Hoja1!$B$2:$B$6191,Hoja1!$A$2:$A$6191),VLOOKUP(C4919,Hoja1!$B$1:$C$6191,2,0)),"No esta en Infor")</f>
        <v>NAC0814</v>
      </c>
      <c r="C4919" t="s">
        <v>175</v>
      </c>
      <c r="D4919" s="61">
        <v>18960</v>
      </c>
      <c r="F4919" s="61">
        <v>0</v>
      </c>
      <c r="G4919" s="61">
        <v>0</v>
      </c>
      <c r="H4919" s="61">
        <v>0</v>
      </c>
      <c r="I4919" s="61">
        <v>0</v>
      </c>
      <c r="J4919" s="61">
        <f t="shared" si="39"/>
        <v>18960</v>
      </c>
    </row>
    <row r="4920" spans="1:10" x14ac:dyDescent="0.25">
      <c r="A4920" s="67">
        <v>45777</v>
      </c>
      <c r="B4920" t="str">
        <f>IFERROR(IF(VLOOKUP(C4920,Hoja1!$B$1:$C$6191,2,0)="",_xlfn.XLOOKUP(C4920,Hoja1!$B$2:$B$6191,Hoja1!$A$2:$A$6191),VLOOKUP(C4920,Hoja1!$B$1:$C$6191,2,0)),"No esta en Infor")</f>
        <v>NAC0816</v>
      </c>
      <c r="C4920" t="s">
        <v>176</v>
      </c>
      <c r="D4920" s="61">
        <v>0</v>
      </c>
      <c r="F4920" s="61">
        <v>0</v>
      </c>
      <c r="G4920" s="61">
        <v>-31.9</v>
      </c>
      <c r="H4920" s="61">
        <v>0</v>
      </c>
      <c r="I4920" s="61">
        <v>0</v>
      </c>
      <c r="J4920" s="61">
        <f t="shared" si="39"/>
        <v>-31.9</v>
      </c>
    </row>
    <row r="4921" spans="1:10" x14ac:dyDescent="0.25">
      <c r="A4921" s="67">
        <v>45777</v>
      </c>
      <c r="B4921" t="str">
        <f>IFERROR(IF(VLOOKUP(C4921,Hoja1!$B$1:$C$6191,2,0)="",_xlfn.XLOOKUP(C4921,Hoja1!$B$2:$B$6191,Hoja1!$A$2:$A$6191),VLOOKUP(C4921,Hoja1!$B$1:$C$6191,2,0)),"No esta en Infor")</f>
        <v>NAC0818</v>
      </c>
      <c r="C4921" t="s">
        <v>177</v>
      </c>
      <c r="D4921" s="61">
        <v>217</v>
      </c>
      <c r="F4921" s="61">
        <v>0</v>
      </c>
      <c r="G4921" s="61">
        <v>0</v>
      </c>
      <c r="H4921" s="61">
        <v>0</v>
      </c>
      <c r="I4921" s="61">
        <v>0</v>
      </c>
      <c r="J4921" s="61">
        <f t="shared" si="39"/>
        <v>217</v>
      </c>
    </row>
    <row r="4922" spans="1:10" x14ac:dyDescent="0.25">
      <c r="A4922" s="67">
        <v>45777</v>
      </c>
      <c r="B4922" t="str">
        <f>IFERROR(IF(VLOOKUP(C4922,Hoja1!$B$1:$C$6191,2,0)="",_xlfn.XLOOKUP(C4922,Hoja1!$B$2:$B$6191,Hoja1!$A$2:$A$6191),VLOOKUP(C4922,Hoja1!$B$1:$C$6191,2,0)),"No esta en Infor")</f>
        <v>NAC0823</v>
      </c>
      <c r="C4922" t="s">
        <v>497</v>
      </c>
      <c r="D4922" s="61">
        <v>0</v>
      </c>
      <c r="F4922" s="61">
        <v>0</v>
      </c>
      <c r="G4922" s="61">
        <v>0</v>
      </c>
      <c r="H4922" s="61">
        <v>25.01</v>
      </c>
      <c r="I4922" s="61">
        <v>39.479999999999997</v>
      </c>
      <c r="J4922" s="61">
        <f t="shared" si="39"/>
        <v>64.489999999999995</v>
      </c>
    </row>
    <row r="4923" spans="1:10" x14ac:dyDescent="0.25">
      <c r="A4923" s="67">
        <v>45777</v>
      </c>
      <c r="B4923" t="str">
        <f>IFERROR(IF(VLOOKUP(C4923,Hoja1!$B$1:$C$6191,2,0)="",_xlfn.XLOOKUP(C4923,Hoja1!$B$2:$B$6191,Hoja1!$A$2:$A$6191),VLOOKUP(C4923,Hoja1!$B$1:$C$6191,2,0)),"No esta en Infor")</f>
        <v>NAC0824</v>
      </c>
      <c r="C4923" t="s">
        <v>178</v>
      </c>
      <c r="D4923" s="61">
        <v>368</v>
      </c>
      <c r="F4923" s="61">
        <v>0</v>
      </c>
      <c r="G4923" s="61">
        <v>0</v>
      </c>
      <c r="H4923" s="61">
        <v>0</v>
      </c>
      <c r="I4923" s="61">
        <v>0</v>
      </c>
      <c r="J4923" s="61">
        <f t="shared" si="39"/>
        <v>368</v>
      </c>
    </row>
    <row r="4924" spans="1:10" x14ac:dyDescent="0.25">
      <c r="A4924" s="67">
        <v>45777</v>
      </c>
      <c r="B4924" t="str">
        <f>IFERROR(IF(VLOOKUP(C4924,Hoja1!$B$1:$C$6191,2,0)="",_xlfn.XLOOKUP(C4924,Hoja1!$B$2:$B$6191,Hoja1!$A$2:$A$6191),VLOOKUP(C4924,Hoja1!$B$1:$C$6191,2,0)),"No esta en Infor")</f>
        <v>NAC0825</v>
      </c>
      <c r="C4924" t="s">
        <v>179</v>
      </c>
      <c r="D4924" s="61">
        <v>1252.8</v>
      </c>
      <c r="F4924" s="61">
        <v>0</v>
      </c>
      <c r="G4924" s="61">
        <v>143.1</v>
      </c>
      <c r="H4924" s="61">
        <v>0</v>
      </c>
      <c r="I4924" s="61">
        <v>0</v>
      </c>
      <c r="J4924" s="61">
        <f t="shared" si="39"/>
        <v>1395.8999999999999</v>
      </c>
    </row>
    <row r="4925" spans="1:10" x14ac:dyDescent="0.25">
      <c r="A4925" s="67">
        <v>45777</v>
      </c>
      <c r="B4925" t="str">
        <f>IFERROR(IF(VLOOKUP(C4925,Hoja1!$B$1:$C$6191,2,0)="",_xlfn.XLOOKUP(C4925,Hoja1!$B$2:$B$6191,Hoja1!$A$2:$A$6191),VLOOKUP(C4925,Hoja1!$B$1:$C$6191,2,0)),"No esta en Infor")</f>
        <v>CAN0021</v>
      </c>
      <c r="C4925" t="s">
        <v>180</v>
      </c>
      <c r="D4925" s="61">
        <v>1213.3</v>
      </c>
      <c r="F4925" s="61">
        <v>0</v>
      </c>
      <c r="G4925" s="61">
        <v>0</v>
      </c>
      <c r="H4925" s="61">
        <v>0</v>
      </c>
      <c r="I4925" s="61">
        <v>0</v>
      </c>
      <c r="J4925" s="61">
        <f t="shared" si="39"/>
        <v>1213.3</v>
      </c>
    </row>
    <row r="4926" spans="1:10" x14ac:dyDescent="0.25">
      <c r="A4926" s="67">
        <v>45777</v>
      </c>
      <c r="B4926" t="str">
        <f>IFERROR(IF(VLOOKUP(C4926,Hoja1!$B$1:$C$6191,2,0)="",_xlfn.XLOOKUP(C4926,Hoja1!$B$2:$B$6191,Hoja1!$A$2:$A$6191),VLOOKUP(C4926,Hoja1!$B$1:$C$6191,2,0)),"No esta en Infor")</f>
        <v>NAC0838</v>
      </c>
      <c r="C4926" t="s">
        <v>396</v>
      </c>
      <c r="D4926" s="61">
        <v>0</v>
      </c>
      <c r="F4926" s="61">
        <v>517.5</v>
      </c>
      <c r="G4926" s="61">
        <v>0</v>
      </c>
      <c r="H4926" s="61">
        <v>0</v>
      </c>
      <c r="I4926" s="61">
        <v>54</v>
      </c>
      <c r="J4926" s="61">
        <f t="shared" si="39"/>
        <v>571.5</v>
      </c>
    </row>
    <row r="4927" spans="1:10" x14ac:dyDescent="0.25">
      <c r="A4927" s="67">
        <v>45777</v>
      </c>
      <c r="B4927" t="str">
        <f>IFERROR(IF(VLOOKUP(C4927,Hoja1!$B$1:$C$6191,2,0)="",_xlfn.XLOOKUP(C4927,Hoja1!$B$2:$B$6191,Hoja1!$A$2:$A$6191),VLOOKUP(C4927,Hoja1!$B$1:$C$6191,2,0)),"No esta en Infor")</f>
        <v>NAC0848</v>
      </c>
      <c r="C4927" t="s">
        <v>498</v>
      </c>
      <c r="D4927" s="61">
        <v>1487.86</v>
      </c>
      <c r="F4927" s="61">
        <v>0</v>
      </c>
      <c r="G4927" s="61">
        <v>842.34</v>
      </c>
      <c r="H4927" s="61">
        <v>0</v>
      </c>
      <c r="I4927" s="61">
        <v>0</v>
      </c>
      <c r="J4927" s="61">
        <f t="shared" si="39"/>
        <v>2330.1999999999998</v>
      </c>
    </row>
    <row r="4928" spans="1:10" x14ac:dyDescent="0.25">
      <c r="A4928" s="67">
        <v>45777</v>
      </c>
      <c r="B4928" t="str">
        <f>IFERROR(IF(VLOOKUP(C4928,Hoja1!$B$1:$C$6191,2,0)="",_xlfn.XLOOKUP(C4928,Hoja1!$B$2:$B$6191,Hoja1!$A$2:$A$6191),VLOOKUP(C4928,Hoja1!$B$1:$C$6191,2,0)),"No esta en Infor")</f>
        <v>NAC0849</v>
      </c>
      <c r="C4928" t="s">
        <v>914</v>
      </c>
      <c r="D4928" s="61">
        <v>0</v>
      </c>
      <c r="F4928" s="61">
        <v>44.04</v>
      </c>
      <c r="G4928" s="61">
        <v>0</v>
      </c>
      <c r="H4928" s="61">
        <v>0</v>
      </c>
      <c r="I4928" s="61">
        <v>0</v>
      </c>
      <c r="J4928" s="61">
        <f t="shared" si="39"/>
        <v>44.04</v>
      </c>
    </row>
    <row r="4929" spans="1:10" x14ac:dyDescent="0.25">
      <c r="A4929" s="67">
        <v>45777</v>
      </c>
      <c r="B4929" t="str">
        <f>IFERROR(IF(VLOOKUP(C4929,Hoja1!$B$1:$C$6191,2,0)="",_xlfn.XLOOKUP(C4929,Hoja1!$B$2:$B$6191,Hoja1!$A$2:$A$6191),VLOOKUP(C4929,Hoja1!$B$1:$C$6191,2,0)),"No esta en Infor")</f>
        <v>NAC0851</v>
      </c>
      <c r="C4929" t="s">
        <v>185</v>
      </c>
      <c r="D4929" s="61">
        <v>0</v>
      </c>
      <c r="F4929" s="61">
        <v>0</v>
      </c>
      <c r="G4929" s="61">
        <v>0</v>
      </c>
      <c r="H4929" s="61">
        <v>0</v>
      </c>
      <c r="I4929" s="61">
        <v>-831.6</v>
      </c>
      <c r="J4929" s="61">
        <f t="shared" si="39"/>
        <v>-831.6</v>
      </c>
    </row>
    <row r="4930" spans="1:10" x14ac:dyDescent="0.25">
      <c r="A4930" s="67">
        <v>45777</v>
      </c>
      <c r="B4930" t="str">
        <f>IFERROR(IF(VLOOKUP(C4930,Hoja1!$B$1:$C$6191,2,0)="",_xlfn.XLOOKUP(C4930,Hoja1!$B$2:$B$6191,Hoja1!$A$2:$A$6191),VLOOKUP(C4930,Hoja1!$B$1:$C$6191,2,0)),"No esta en Infor")</f>
        <v>NAC0852</v>
      </c>
      <c r="C4930" t="s">
        <v>499</v>
      </c>
      <c r="D4930" s="61">
        <v>262.19</v>
      </c>
      <c r="F4930" s="61">
        <v>0</v>
      </c>
      <c r="G4930" s="61">
        <v>0</v>
      </c>
      <c r="H4930" s="61">
        <v>0</v>
      </c>
      <c r="I4930" s="61">
        <v>0</v>
      </c>
      <c r="J4930" s="61">
        <f t="shared" si="39"/>
        <v>262.19</v>
      </c>
    </row>
    <row r="4931" spans="1:10" x14ac:dyDescent="0.25">
      <c r="A4931" s="67">
        <v>45777</v>
      </c>
      <c r="B4931" t="str">
        <f>IFERROR(IF(VLOOKUP(C4931,Hoja1!$B$1:$C$6191,2,0)="",_xlfn.XLOOKUP(C4931,Hoja1!$B$2:$B$6191,Hoja1!$A$2:$A$6191),VLOOKUP(C4931,Hoja1!$B$1:$C$6191,2,0)),"No esta en Infor")</f>
        <v>NAC0855</v>
      </c>
      <c r="C4931" t="s">
        <v>618</v>
      </c>
      <c r="D4931" s="61">
        <v>0</v>
      </c>
      <c r="F4931" s="61">
        <v>267.91000000000003</v>
      </c>
      <c r="G4931" s="61">
        <v>0</v>
      </c>
      <c r="H4931" s="61">
        <v>0</v>
      </c>
      <c r="I4931" s="61">
        <v>0</v>
      </c>
      <c r="J4931" s="61">
        <f t="shared" si="39"/>
        <v>267.91000000000003</v>
      </c>
    </row>
    <row r="4932" spans="1:10" x14ac:dyDescent="0.25">
      <c r="A4932" s="67">
        <v>45777</v>
      </c>
      <c r="B4932" t="str">
        <f>IFERROR(IF(VLOOKUP(C4932,Hoja1!$B$1:$C$6191,2,0)="",_xlfn.XLOOKUP(C4932,Hoja1!$B$2:$B$6191,Hoja1!$A$2:$A$6191),VLOOKUP(C4932,Hoja1!$B$1:$C$6191,2,0)),"No esta en Infor")</f>
        <v>NAC0858</v>
      </c>
      <c r="C4932" t="s">
        <v>188</v>
      </c>
      <c r="D4932" s="61">
        <v>9480</v>
      </c>
      <c r="F4932" s="61">
        <v>0</v>
      </c>
      <c r="G4932" s="61">
        <v>0</v>
      </c>
      <c r="H4932" s="61">
        <v>0</v>
      </c>
      <c r="I4932" s="61">
        <v>0</v>
      </c>
      <c r="J4932" s="61">
        <f t="shared" si="39"/>
        <v>9480</v>
      </c>
    </row>
    <row r="4933" spans="1:10" x14ac:dyDescent="0.25">
      <c r="A4933" s="67">
        <v>45777</v>
      </c>
      <c r="B4933" t="str">
        <f>IFERROR(IF(VLOOKUP(C4933,Hoja1!$B$1:$C$6191,2,0)="",_xlfn.XLOOKUP(C4933,Hoja1!$B$2:$B$6191,Hoja1!$A$2:$A$6191),VLOOKUP(C4933,Hoja1!$B$1:$C$6191,2,0)),"No esta en Infor")</f>
        <v>CAN0022</v>
      </c>
      <c r="C4933" t="s">
        <v>397</v>
      </c>
      <c r="D4933" s="61">
        <v>268.49</v>
      </c>
      <c r="F4933" s="61">
        <v>0</v>
      </c>
      <c r="G4933" s="61">
        <v>0</v>
      </c>
      <c r="H4933" s="61">
        <v>0</v>
      </c>
      <c r="I4933" s="61">
        <v>0</v>
      </c>
      <c r="J4933" s="61">
        <f t="shared" si="39"/>
        <v>268.49</v>
      </c>
    </row>
    <row r="4934" spans="1:10" x14ac:dyDescent="0.25">
      <c r="A4934" s="67">
        <v>45777</v>
      </c>
      <c r="B4934" t="str">
        <f>IFERROR(IF(VLOOKUP(C4934,Hoja1!$B$1:$C$6191,2,0)="",_xlfn.XLOOKUP(C4934,Hoja1!$B$2:$B$6191,Hoja1!$A$2:$A$6191),VLOOKUP(C4934,Hoja1!$B$1:$C$6191,2,0)),"No esta en Infor")</f>
        <v>NAC0862</v>
      </c>
      <c r="C4934" t="s">
        <v>190</v>
      </c>
      <c r="D4934" s="61">
        <v>2956.53</v>
      </c>
      <c r="F4934" s="61">
        <v>0</v>
      </c>
      <c r="G4934" s="61">
        <v>0</v>
      </c>
      <c r="H4934" s="61">
        <v>96.3</v>
      </c>
      <c r="I4934" s="61">
        <v>0</v>
      </c>
      <c r="J4934" s="61">
        <f t="shared" si="39"/>
        <v>3052.8300000000004</v>
      </c>
    </row>
    <row r="4935" spans="1:10" x14ac:dyDescent="0.25">
      <c r="A4935" s="67">
        <v>45777</v>
      </c>
      <c r="B4935" t="str">
        <f>IFERROR(IF(VLOOKUP(C4935,Hoja1!$B$1:$C$6191,2,0)="",_xlfn.XLOOKUP(C4935,Hoja1!$B$2:$B$6191,Hoja1!$A$2:$A$6191),VLOOKUP(C4935,Hoja1!$B$1:$C$6191,2,0)),"No esta en Infor")</f>
        <v>NAC0863</v>
      </c>
      <c r="C4935" t="s">
        <v>398</v>
      </c>
      <c r="D4935" s="61">
        <v>0</v>
      </c>
      <c r="F4935" s="61">
        <v>0</v>
      </c>
      <c r="G4935" s="61">
        <v>0</v>
      </c>
      <c r="H4935" s="61">
        <v>0</v>
      </c>
      <c r="I4935" s="61">
        <v>-43.97</v>
      </c>
      <c r="J4935" s="61">
        <f t="shared" si="39"/>
        <v>-43.97</v>
      </c>
    </row>
    <row r="4936" spans="1:10" x14ac:dyDescent="0.25">
      <c r="A4936" s="67">
        <v>45777</v>
      </c>
      <c r="B4936" t="str">
        <f>IFERROR(IF(VLOOKUP(C4936,Hoja1!$B$1:$C$6191,2,0)="",_xlfn.XLOOKUP(C4936,Hoja1!$B$2:$B$6191,Hoja1!$A$2:$A$6191),VLOOKUP(C4936,Hoja1!$B$1:$C$6191,2,0)),"No esta en Infor")</f>
        <v>NAC0864</v>
      </c>
      <c r="C4936" t="s">
        <v>917</v>
      </c>
      <c r="D4936" s="61">
        <v>0</v>
      </c>
      <c r="F4936" s="61">
        <v>438</v>
      </c>
      <c r="G4936" s="61">
        <v>0</v>
      </c>
      <c r="H4936" s="61">
        <v>0</v>
      </c>
      <c r="I4936" s="61">
        <v>0</v>
      </c>
      <c r="J4936" s="61">
        <f t="shared" si="39"/>
        <v>438</v>
      </c>
    </row>
    <row r="4937" spans="1:10" x14ac:dyDescent="0.25">
      <c r="A4937" s="67">
        <v>45777</v>
      </c>
      <c r="B4937" t="str">
        <f>IFERROR(IF(VLOOKUP(C4937,Hoja1!$B$1:$C$6191,2,0)="",_xlfn.XLOOKUP(C4937,Hoja1!$B$2:$B$6191,Hoja1!$A$2:$A$6191),VLOOKUP(C4937,Hoja1!$B$1:$C$6191,2,0)),"No esta en Infor")</f>
        <v>NAC0865</v>
      </c>
      <c r="C4937" t="s">
        <v>23</v>
      </c>
      <c r="D4937" s="61">
        <v>5929.83</v>
      </c>
      <c r="F4937" s="61">
        <v>0</v>
      </c>
      <c r="G4937" s="61">
        <v>0</v>
      </c>
      <c r="H4937" s="61">
        <v>0</v>
      </c>
      <c r="I4937" s="61">
        <v>0</v>
      </c>
      <c r="J4937" s="61">
        <f t="shared" si="39"/>
        <v>5929.83</v>
      </c>
    </row>
    <row r="4938" spans="1:10" x14ac:dyDescent="0.25">
      <c r="A4938" s="67">
        <v>45777</v>
      </c>
      <c r="B4938" t="str">
        <f>IFERROR(IF(VLOOKUP(C4938,Hoja1!$B$1:$C$6191,2,0)="",_xlfn.XLOOKUP(C4938,Hoja1!$B$2:$B$6191,Hoja1!$A$2:$A$6191),VLOOKUP(C4938,Hoja1!$B$1:$C$6191,2,0)),"No esta en Infor")</f>
        <v>NAC0869</v>
      </c>
      <c r="C4938" t="s">
        <v>192</v>
      </c>
      <c r="D4938" s="61">
        <v>0</v>
      </c>
      <c r="F4938" s="61">
        <v>0</v>
      </c>
      <c r="G4938" s="61">
        <v>0</v>
      </c>
      <c r="H4938" s="61">
        <v>133.5</v>
      </c>
      <c r="I4938" s="61">
        <v>399</v>
      </c>
      <c r="J4938" s="61">
        <f t="shared" si="39"/>
        <v>532.5</v>
      </c>
    </row>
    <row r="4939" spans="1:10" x14ac:dyDescent="0.25">
      <c r="A4939" s="67">
        <v>45777</v>
      </c>
      <c r="B4939" t="str">
        <f>IFERROR(IF(VLOOKUP(C4939,Hoja1!$B$1:$C$6191,2,0)="",_xlfn.XLOOKUP(C4939,Hoja1!$B$2:$B$6191,Hoja1!$A$2:$A$6191),VLOOKUP(C4939,Hoja1!$B$1:$C$6191,2,0)),"No esta en Infor")</f>
        <v>NAC0870</v>
      </c>
      <c r="C4939" t="s">
        <v>919</v>
      </c>
      <c r="D4939" s="61">
        <v>2845.64</v>
      </c>
      <c r="F4939" s="61">
        <v>0</v>
      </c>
      <c r="G4939" s="61">
        <v>0</v>
      </c>
      <c r="H4939" s="61">
        <v>0</v>
      </c>
      <c r="I4939" s="61">
        <v>0</v>
      </c>
      <c r="J4939" s="61">
        <f t="shared" si="39"/>
        <v>2845.64</v>
      </c>
    </row>
    <row r="4940" spans="1:10" x14ac:dyDescent="0.25">
      <c r="A4940" s="67">
        <v>45777</v>
      </c>
      <c r="B4940" t="str">
        <f>IFERROR(IF(VLOOKUP(C4940,Hoja1!$B$1:$C$6191,2,0)="",_xlfn.XLOOKUP(C4940,Hoja1!$B$2:$B$6191,Hoja1!$A$2:$A$6191),VLOOKUP(C4940,Hoja1!$B$1:$C$6191,2,0)),"No esta en Infor")</f>
        <v>NAC0871</v>
      </c>
      <c r="C4940" t="s">
        <v>193</v>
      </c>
      <c r="D4940" s="61">
        <v>86077.54</v>
      </c>
      <c r="F4940" s="61">
        <v>0</v>
      </c>
      <c r="G4940" s="61">
        <v>0</v>
      </c>
      <c r="H4940" s="61">
        <v>0</v>
      </c>
      <c r="I4940" s="61">
        <v>0</v>
      </c>
      <c r="J4940" s="61">
        <f t="shared" si="39"/>
        <v>86077.54</v>
      </c>
    </row>
    <row r="4941" spans="1:10" x14ac:dyDescent="0.25">
      <c r="A4941" s="67">
        <v>45777</v>
      </c>
      <c r="B4941" t="str">
        <f>IFERROR(IF(VLOOKUP(C4941,Hoja1!$B$1:$C$6191,2,0)="",_xlfn.XLOOKUP(C4941,Hoja1!$B$2:$B$6191,Hoja1!$A$2:$A$6191),VLOOKUP(C4941,Hoja1!$B$1:$C$6191,2,0)),"No esta en Infor")</f>
        <v>NAC0873</v>
      </c>
      <c r="C4941" t="s">
        <v>455</v>
      </c>
      <c r="D4941" s="61">
        <v>1312.29</v>
      </c>
      <c r="F4941" s="61">
        <v>0</v>
      </c>
      <c r="G4941" s="61">
        <v>0</v>
      </c>
      <c r="H4941" s="61">
        <v>0</v>
      </c>
      <c r="I4941" s="61">
        <v>0</v>
      </c>
      <c r="J4941" s="61">
        <f t="shared" si="39"/>
        <v>1312.29</v>
      </c>
    </row>
    <row r="4942" spans="1:10" x14ac:dyDescent="0.25">
      <c r="A4942" s="67">
        <v>45777</v>
      </c>
      <c r="B4942" t="str">
        <f>IFERROR(IF(VLOOKUP(C4942,Hoja1!$B$1:$C$6191,2,0)="",_xlfn.XLOOKUP(C4942,Hoja1!$B$2:$B$6191,Hoja1!$A$2:$A$6191),VLOOKUP(C4942,Hoja1!$B$1:$C$6191,2,0)),"No esta en Infor")</f>
        <v>NAC0879</v>
      </c>
      <c r="C4942" t="s">
        <v>194</v>
      </c>
      <c r="D4942" s="61">
        <v>392.15</v>
      </c>
      <c r="F4942" s="61">
        <v>0</v>
      </c>
      <c r="G4942" s="61">
        <v>0</v>
      </c>
      <c r="H4942" s="61">
        <v>0</v>
      </c>
      <c r="I4942" s="61">
        <v>-117.9</v>
      </c>
      <c r="J4942" s="61">
        <f t="shared" si="39"/>
        <v>274.25</v>
      </c>
    </row>
    <row r="4943" spans="1:10" x14ac:dyDescent="0.25">
      <c r="A4943" s="67">
        <v>45777</v>
      </c>
      <c r="B4943" t="str">
        <f>IFERROR(IF(VLOOKUP(C4943,Hoja1!$B$1:$C$6191,2,0)="",_xlfn.XLOOKUP(C4943,Hoja1!$B$2:$B$6191,Hoja1!$A$2:$A$6191),VLOOKUP(C4943,Hoja1!$B$1:$C$6191,2,0)),"No esta en Infor")</f>
        <v>NAC0880</v>
      </c>
      <c r="C4943" t="s">
        <v>24</v>
      </c>
      <c r="D4943" s="61">
        <v>1410.28</v>
      </c>
      <c r="F4943" s="61">
        <v>702.53</v>
      </c>
      <c r="G4943" s="61">
        <v>-142.84</v>
      </c>
      <c r="H4943" s="61">
        <v>0</v>
      </c>
      <c r="I4943" s="61">
        <v>0</v>
      </c>
      <c r="J4943" s="61">
        <f t="shared" si="39"/>
        <v>1969.97</v>
      </c>
    </row>
    <row r="4944" spans="1:10" x14ac:dyDescent="0.25">
      <c r="A4944" s="67">
        <v>45777</v>
      </c>
      <c r="B4944" t="str">
        <f>IFERROR(IF(VLOOKUP(C4944,Hoja1!$B$1:$C$6191,2,0)="",_xlfn.XLOOKUP(C4944,Hoja1!$B$2:$B$6191,Hoja1!$A$2:$A$6191),VLOOKUP(C4944,Hoja1!$B$1:$C$6191,2,0)),"No esta en Infor")</f>
        <v>NAC0881</v>
      </c>
      <c r="C4944" t="s">
        <v>195</v>
      </c>
      <c r="D4944" s="61">
        <v>30563.88</v>
      </c>
      <c r="F4944" s="61">
        <v>0</v>
      </c>
      <c r="G4944" s="61">
        <v>0</v>
      </c>
      <c r="H4944" s="61">
        <v>0</v>
      </c>
      <c r="I4944" s="61">
        <v>0</v>
      </c>
      <c r="J4944" s="61">
        <f t="shared" si="39"/>
        <v>30563.88</v>
      </c>
    </row>
    <row r="4945" spans="1:10" x14ac:dyDescent="0.25">
      <c r="A4945" s="67">
        <v>45777</v>
      </c>
      <c r="B4945" t="str">
        <f>IFERROR(IF(VLOOKUP(C4945,Hoja1!$B$1:$C$6191,2,0)="",_xlfn.XLOOKUP(C4945,Hoja1!$B$2:$B$6191,Hoja1!$A$2:$A$6191),VLOOKUP(C4945,Hoja1!$B$1:$C$6191,2,0)),"No esta en Infor")</f>
        <v>NAC0886</v>
      </c>
      <c r="C4945" t="s">
        <v>196</v>
      </c>
      <c r="D4945" s="61">
        <v>30519.25</v>
      </c>
      <c r="F4945" s="61">
        <v>0</v>
      </c>
      <c r="G4945" s="61">
        <v>0</v>
      </c>
      <c r="H4945" s="61">
        <v>0</v>
      </c>
      <c r="I4945" s="61">
        <v>0</v>
      </c>
      <c r="J4945" s="61">
        <f t="shared" si="39"/>
        <v>30519.25</v>
      </c>
    </row>
    <row r="4946" spans="1:10" x14ac:dyDescent="0.25">
      <c r="A4946" s="67">
        <v>45777</v>
      </c>
      <c r="B4946" t="str">
        <f>IFERROR(IF(VLOOKUP(C4946,Hoja1!$B$1:$C$6191,2,0)="",_xlfn.XLOOKUP(C4946,Hoja1!$B$2:$B$6191,Hoja1!$A$2:$A$6191),VLOOKUP(C4946,Hoja1!$B$1:$C$6191,2,0)),"No esta en Infor")</f>
        <v>NAC0888</v>
      </c>
      <c r="C4946" t="s">
        <v>198</v>
      </c>
      <c r="D4946" s="61">
        <v>0</v>
      </c>
      <c r="F4946" s="61">
        <v>1000</v>
      </c>
      <c r="G4946" s="61">
        <v>0</v>
      </c>
      <c r="H4946" s="61">
        <v>0</v>
      </c>
      <c r="I4946" s="61">
        <v>0</v>
      </c>
      <c r="J4946" s="61">
        <f t="shared" si="39"/>
        <v>1000</v>
      </c>
    </row>
    <row r="4947" spans="1:10" x14ac:dyDescent="0.25">
      <c r="A4947" s="67">
        <v>45777</v>
      </c>
      <c r="B4947" t="str">
        <f>IFERROR(IF(VLOOKUP(C4947,Hoja1!$B$1:$C$6191,2,0)="",_xlfn.XLOOKUP(C4947,Hoja1!$B$2:$B$6191,Hoja1!$A$2:$A$6191),VLOOKUP(C4947,Hoja1!$B$1:$C$6191,2,0)),"No esta en Infor")</f>
        <v>NAC1628</v>
      </c>
      <c r="C4947" t="s">
        <v>500</v>
      </c>
      <c r="D4947" s="61">
        <v>0</v>
      </c>
      <c r="F4947" s="61">
        <v>711.06</v>
      </c>
      <c r="G4947" s="61">
        <v>0</v>
      </c>
      <c r="H4947" s="61">
        <v>0</v>
      </c>
      <c r="I4947" s="61">
        <v>0</v>
      </c>
      <c r="J4947" s="61">
        <f t="shared" si="39"/>
        <v>711.06</v>
      </c>
    </row>
    <row r="4948" spans="1:10" x14ac:dyDescent="0.25">
      <c r="A4948" s="67">
        <v>45777</v>
      </c>
      <c r="B4948" t="str">
        <f>IFERROR(IF(VLOOKUP(C4948,Hoja1!$B$1:$C$6191,2,0)="",_xlfn.XLOOKUP(C4948,Hoja1!$B$2:$B$6191,Hoja1!$A$2:$A$6191),VLOOKUP(C4948,Hoja1!$B$1:$C$6191,2,0)),"No esta en Infor")</f>
        <v>NAC0893</v>
      </c>
      <c r="C4948" t="s">
        <v>876</v>
      </c>
      <c r="D4948" s="61">
        <v>967.2</v>
      </c>
      <c r="F4948" s="61">
        <v>-1040</v>
      </c>
      <c r="G4948" s="61">
        <v>0</v>
      </c>
      <c r="H4948" s="61">
        <v>0</v>
      </c>
      <c r="I4948" s="61">
        <v>0</v>
      </c>
      <c r="J4948" s="61">
        <f t="shared" si="39"/>
        <v>-72.799999999999955</v>
      </c>
    </row>
    <row r="4949" spans="1:10" x14ac:dyDescent="0.25">
      <c r="A4949" s="67">
        <v>45777</v>
      </c>
      <c r="B4949" t="str">
        <f>IFERROR(IF(VLOOKUP(C4949,Hoja1!$B$1:$C$6191,2,0)="",_xlfn.XLOOKUP(C4949,Hoja1!$B$2:$B$6191,Hoja1!$A$2:$A$6191),VLOOKUP(C4949,Hoja1!$B$1:$C$6191,2,0)),"No esta en Infor")</f>
        <v>NAC0894</v>
      </c>
      <c r="C4949" t="s">
        <v>199</v>
      </c>
      <c r="D4949" s="61">
        <v>12360</v>
      </c>
      <c r="F4949" s="61">
        <v>0</v>
      </c>
      <c r="G4949" s="61">
        <v>0</v>
      </c>
      <c r="H4949" s="61">
        <v>-2280</v>
      </c>
      <c r="I4949" s="61">
        <v>0</v>
      </c>
      <c r="J4949" s="61">
        <f t="shared" si="39"/>
        <v>10080</v>
      </c>
    </row>
    <row r="4950" spans="1:10" x14ac:dyDescent="0.25">
      <c r="A4950" s="67">
        <v>45777</v>
      </c>
      <c r="B4950" t="str">
        <f>IFERROR(IF(VLOOKUP(C4950,Hoja1!$B$1:$C$6191,2,0)="",_xlfn.XLOOKUP(C4950,Hoja1!$B$2:$B$6191,Hoja1!$A$2:$A$6191),VLOOKUP(C4950,Hoja1!$B$1:$C$6191,2,0)),"No esta en Infor")</f>
        <v>NAC0897</v>
      </c>
      <c r="C4950" t="s">
        <v>25</v>
      </c>
      <c r="D4950" s="61">
        <v>0</v>
      </c>
      <c r="F4950" s="61">
        <v>0</v>
      </c>
      <c r="G4950" s="61">
        <v>0</v>
      </c>
      <c r="H4950" s="61">
        <v>0</v>
      </c>
      <c r="I4950" s="61">
        <v>-303.5</v>
      </c>
      <c r="J4950" s="61">
        <f t="shared" si="39"/>
        <v>-303.5</v>
      </c>
    </row>
    <row r="4951" spans="1:10" x14ac:dyDescent="0.25">
      <c r="A4951" s="67">
        <v>45777</v>
      </c>
      <c r="B4951" t="str">
        <f>IFERROR(IF(VLOOKUP(C4951,Hoja1!$B$1:$C$6191,2,0)="",_xlfn.XLOOKUP(C4951,Hoja1!$B$2:$B$6191,Hoja1!$A$2:$A$6191),VLOOKUP(C4951,Hoja1!$B$1:$C$6191,2,0)),"No esta en Infor")</f>
        <v>NAC0898</v>
      </c>
      <c r="C4951" t="s">
        <v>200</v>
      </c>
      <c r="D4951" s="61">
        <v>187.92</v>
      </c>
      <c r="F4951" s="61">
        <v>471.11</v>
      </c>
      <c r="G4951" s="61">
        <v>0</v>
      </c>
      <c r="H4951" s="61">
        <v>0</v>
      </c>
      <c r="I4951" s="61">
        <v>0</v>
      </c>
      <c r="J4951" s="61">
        <f t="shared" si="39"/>
        <v>659.03</v>
      </c>
    </row>
    <row r="4952" spans="1:10" x14ac:dyDescent="0.25">
      <c r="A4952" s="67">
        <v>45777</v>
      </c>
      <c r="B4952" t="str">
        <f>IFERROR(IF(VLOOKUP(C4952,Hoja1!$B$1:$C$6191,2,0)="",_xlfn.XLOOKUP(C4952,Hoja1!$B$2:$B$6191,Hoja1!$A$2:$A$6191),VLOOKUP(C4952,Hoja1!$B$1:$C$6191,2,0)),"No esta en Infor")</f>
        <v>NAC0906</v>
      </c>
      <c r="C4952" t="s">
        <v>456</v>
      </c>
      <c r="D4952" s="61">
        <v>0</v>
      </c>
      <c r="F4952" s="61">
        <v>0</v>
      </c>
      <c r="G4952" s="61">
        <v>0</v>
      </c>
      <c r="H4952" s="61">
        <v>0</v>
      </c>
      <c r="I4952" s="61">
        <v>-8.93</v>
      </c>
      <c r="J4952" s="61">
        <f t="shared" si="39"/>
        <v>-8.93</v>
      </c>
    </row>
    <row r="4953" spans="1:10" x14ac:dyDescent="0.25">
      <c r="A4953" s="67">
        <v>45777</v>
      </c>
      <c r="B4953" t="str">
        <f>IFERROR(IF(VLOOKUP(C4953,Hoja1!$B$1:$C$6191,2,0)="",_xlfn.XLOOKUP(C4953,Hoja1!$B$2:$B$6191,Hoja1!$A$2:$A$6191),VLOOKUP(C4953,Hoja1!$B$1:$C$6191,2,0)),"No esta en Infor")</f>
        <v>NAC0909</v>
      </c>
      <c r="C4953" t="s">
        <v>921</v>
      </c>
      <c r="D4953" s="61">
        <v>0</v>
      </c>
      <c r="F4953" s="61">
        <v>2225.6</v>
      </c>
      <c r="G4953" s="61">
        <v>0</v>
      </c>
      <c r="H4953" s="61">
        <v>0</v>
      </c>
      <c r="I4953" s="61">
        <v>0</v>
      </c>
      <c r="J4953" s="61">
        <f t="shared" si="39"/>
        <v>2225.6</v>
      </c>
    </row>
    <row r="4954" spans="1:10" x14ac:dyDescent="0.25">
      <c r="A4954" s="67">
        <v>45777</v>
      </c>
      <c r="B4954" t="str">
        <f>IFERROR(IF(VLOOKUP(C4954,Hoja1!$B$1:$C$6191,2,0)="",_xlfn.XLOOKUP(C4954,Hoja1!$B$2:$B$6191,Hoja1!$A$2:$A$6191),VLOOKUP(C4954,Hoja1!$B$1:$C$6191,2,0)),"No esta en Infor")</f>
        <v>NAC0914</v>
      </c>
      <c r="C4954" t="s">
        <v>202</v>
      </c>
      <c r="D4954" s="61">
        <v>231</v>
      </c>
      <c r="F4954" s="61">
        <v>2896.3</v>
      </c>
      <c r="G4954" s="61">
        <v>0</v>
      </c>
      <c r="H4954" s="61">
        <v>0</v>
      </c>
      <c r="I4954" s="61">
        <v>354.79</v>
      </c>
      <c r="J4954" s="61">
        <f t="shared" si="39"/>
        <v>3482.09</v>
      </c>
    </row>
    <row r="4955" spans="1:10" x14ac:dyDescent="0.25">
      <c r="A4955" s="67">
        <v>45777</v>
      </c>
      <c r="B4955" t="str">
        <f>IFERROR(IF(VLOOKUP(C4955,Hoja1!$B$1:$C$6191,2,0)="",_xlfn.XLOOKUP(C4955,Hoja1!$B$2:$B$6191,Hoja1!$A$2:$A$6191),VLOOKUP(C4955,Hoja1!$B$1:$C$6191,2,0)),"No esta en Infor")</f>
        <v>CAN0025</v>
      </c>
      <c r="C4955" t="s">
        <v>26</v>
      </c>
      <c r="D4955" s="61">
        <v>-5117.53</v>
      </c>
      <c r="F4955" s="61">
        <v>8417.3700000000008</v>
      </c>
      <c r="G4955" s="61">
        <v>0</v>
      </c>
      <c r="H4955" s="61">
        <v>0</v>
      </c>
      <c r="I4955" s="61">
        <v>-19.25</v>
      </c>
      <c r="J4955" s="61">
        <f t="shared" ref="J4955:J5018" si="40">SUM(D4955:I4955)</f>
        <v>3280.5900000000011</v>
      </c>
    </row>
    <row r="4956" spans="1:10" x14ac:dyDescent="0.25">
      <c r="A4956" s="67">
        <v>45777</v>
      </c>
      <c r="B4956" t="str">
        <f>IFERROR(IF(VLOOKUP(C4956,Hoja1!$B$1:$C$6191,2,0)="",_xlfn.XLOOKUP(C4956,Hoja1!$B$2:$B$6191,Hoja1!$A$2:$A$6191),VLOOKUP(C4956,Hoja1!$B$1:$C$6191,2,0)),"No esta en Infor")</f>
        <v>NAC0924</v>
      </c>
      <c r="C4956" t="s">
        <v>205</v>
      </c>
      <c r="D4956" s="61">
        <v>74275.08</v>
      </c>
      <c r="F4956" s="61">
        <v>363.19</v>
      </c>
      <c r="G4956" s="61">
        <v>0</v>
      </c>
      <c r="H4956" s="61">
        <v>0</v>
      </c>
      <c r="I4956" s="61">
        <v>336.28</v>
      </c>
      <c r="J4956" s="61">
        <f t="shared" si="40"/>
        <v>74974.55</v>
      </c>
    </row>
    <row r="4957" spans="1:10" x14ac:dyDescent="0.25">
      <c r="A4957" s="67">
        <v>45777</v>
      </c>
      <c r="B4957" t="str">
        <f>IFERROR(IF(VLOOKUP(C4957,Hoja1!$B$1:$C$6191,2,0)="",_xlfn.XLOOKUP(C4957,Hoja1!$B$2:$B$6191,Hoja1!$A$2:$A$6191),VLOOKUP(C4957,Hoja1!$B$1:$C$6191,2,0)),"No esta en Infor")</f>
        <v>NAC0926</v>
      </c>
      <c r="C4957" t="s">
        <v>206</v>
      </c>
      <c r="D4957" s="61">
        <v>1869.03</v>
      </c>
      <c r="F4957" s="61">
        <v>0</v>
      </c>
      <c r="G4957" s="61">
        <v>0</v>
      </c>
      <c r="H4957" s="61">
        <v>0</v>
      </c>
      <c r="I4957" s="61">
        <v>0</v>
      </c>
      <c r="J4957" s="61">
        <f t="shared" si="40"/>
        <v>1869.03</v>
      </c>
    </row>
    <row r="4958" spans="1:10" x14ac:dyDescent="0.25">
      <c r="A4958" s="67">
        <v>45777</v>
      </c>
      <c r="B4958" t="str">
        <f>IFERROR(IF(VLOOKUP(C4958,Hoja1!$B$1:$C$6191,2,0)="",_xlfn.XLOOKUP(C4958,Hoja1!$B$2:$B$6191,Hoja1!$A$2:$A$6191),VLOOKUP(C4958,Hoja1!$B$1:$C$6191,2,0)),"No esta en Infor")</f>
        <v>CAN0027</v>
      </c>
      <c r="C4958" t="s">
        <v>667</v>
      </c>
      <c r="D4958" s="61">
        <v>372.9</v>
      </c>
      <c r="F4958" s="61">
        <v>0</v>
      </c>
      <c r="G4958" s="61">
        <v>0</v>
      </c>
      <c r="H4958" s="61">
        <v>0</v>
      </c>
      <c r="I4958" s="61">
        <v>0</v>
      </c>
      <c r="J4958" s="61">
        <f t="shared" si="40"/>
        <v>372.9</v>
      </c>
    </row>
    <row r="4959" spans="1:10" x14ac:dyDescent="0.25">
      <c r="A4959" s="67">
        <v>45777</v>
      </c>
      <c r="B4959" t="str">
        <f>IFERROR(IF(VLOOKUP(C4959,Hoja1!$B$1:$C$6191,2,0)="",_xlfn.XLOOKUP(C4959,Hoja1!$B$2:$B$6191,Hoja1!$A$2:$A$6191),VLOOKUP(C4959,Hoja1!$B$1:$C$6191,2,0)),"No esta en Infor")</f>
        <v>NAC0929</v>
      </c>
      <c r="C4959" t="s">
        <v>207</v>
      </c>
      <c r="D4959" s="61">
        <v>15873.6</v>
      </c>
      <c r="F4959" s="61">
        <v>0</v>
      </c>
      <c r="G4959" s="61">
        <v>0</v>
      </c>
      <c r="H4959" s="61">
        <v>0</v>
      </c>
      <c r="I4959" s="61">
        <v>0</v>
      </c>
      <c r="J4959" s="61">
        <f t="shared" si="40"/>
        <v>15873.6</v>
      </c>
    </row>
    <row r="4960" spans="1:10" x14ac:dyDescent="0.25">
      <c r="A4960" s="67">
        <v>45777</v>
      </c>
      <c r="B4960" t="str">
        <f>IFERROR(IF(VLOOKUP(C4960,Hoja1!$B$1:$C$6191,2,0)="",_xlfn.XLOOKUP(C4960,Hoja1!$B$2:$B$6191,Hoja1!$A$2:$A$6191),VLOOKUP(C4960,Hoja1!$B$1:$C$6191,2,0)),"No esta en Infor")</f>
        <v>NAC0933</v>
      </c>
      <c r="C4960" t="s">
        <v>728</v>
      </c>
      <c r="D4960" s="61">
        <v>8432</v>
      </c>
      <c r="F4960" s="61">
        <v>0</v>
      </c>
      <c r="G4960" s="61">
        <v>0</v>
      </c>
      <c r="H4960" s="61">
        <v>0</v>
      </c>
      <c r="I4960" s="61">
        <v>0</v>
      </c>
      <c r="J4960" s="61">
        <f t="shared" si="40"/>
        <v>8432</v>
      </c>
    </row>
    <row r="4961" spans="1:10" x14ac:dyDescent="0.25">
      <c r="A4961" s="67">
        <v>45777</v>
      </c>
      <c r="B4961" t="str">
        <f>IFERROR(IF(VLOOKUP(C4961,Hoja1!$B$1:$C$6191,2,0)="",_xlfn.XLOOKUP(C4961,Hoja1!$B$2:$B$6191,Hoja1!$A$2:$A$6191),VLOOKUP(C4961,Hoja1!$B$1:$C$6191,2,0)),"No esta en Infor")</f>
        <v>CAN0030</v>
      </c>
      <c r="C4961" t="s">
        <v>210</v>
      </c>
      <c r="D4961" s="61">
        <v>96133.18</v>
      </c>
      <c r="F4961" s="61">
        <v>0</v>
      </c>
      <c r="G4961" s="61">
        <v>0</v>
      </c>
      <c r="H4961" s="61">
        <v>0</v>
      </c>
      <c r="I4961" s="61">
        <v>0</v>
      </c>
      <c r="J4961" s="61">
        <f t="shared" si="40"/>
        <v>96133.18</v>
      </c>
    </row>
    <row r="4962" spans="1:10" x14ac:dyDescent="0.25">
      <c r="A4962" s="67">
        <v>45777</v>
      </c>
      <c r="B4962" t="str">
        <f>IFERROR(IF(VLOOKUP(C4962,Hoja1!$B$1:$C$6191,2,0)="",_xlfn.XLOOKUP(C4962,Hoja1!$B$2:$B$6191,Hoja1!$A$2:$A$6191),VLOOKUP(C4962,Hoja1!$B$1:$C$6191,2,0)),"No esta en Infor")</f>
        <v>NAC1607</v>
      </c>
      <c r="C4962" t="s">
        <v>668</v>
      </c>
      <c r="D4962" s="61">
        <v>225.48</v>
      </c>
      <c r="F4962" s="61">
        <v>0</v>
      </c>
      <c r="G4962" s="61">
        <v>-24.18</v>
      </c>
      <c r="H4962" s="61">
        <v>0</v>
      </c>
      <c r="I4962" s="61">
        <v>0</v>
      </c>
      <c r="J4962" s="61">
        <f t="shared" si="40"/>
        <v>201.29999999999998</v>
      </c>
    </row>
    <row r="4963" spans="1:10" x14ac:dyDescent="0.25">
      <c r="A4963" s="67">
        <v>45777</v>
      </c>
      <c r="B4963" t="str">
        <f>IFERROR(IF(VLOOKUP(C4963,Hoja1!$B$1:$C$6191,2,0)="",_xlfn.XLOOKUP(C4963,Hoja1!$B$2:$B$6191,Hoja1!$A$2:$A$6191),VLOOKUP(C4963,Hoja1!$B$1:$C$6191,2,0)),"No esta en Infor")</f>
        <v>NAC0953</v>
      </c>
      <c r="C4963" t="s">
        <v>28</v>
      </c>
      <c r="D4963" s="61">
        <v>238.28</v>
      </c>
      <c r="F4963" s="61">
        <v>0</v>
      </c>
      <c r="G4963" s="61">
        <v>0</v>
      </c>
      <c r="H4963" s="61">
        <v>0</v>
      </c>
      <c r="I4963" s="61">
        <v>0</v>
      </c>
      <c r="J4963" s="61">
        <f t="shared" si="40"/>
        <v>238.28</v>
      </c>
    </row>
    <row r="4964" spans="1:10" x14ac:dyDescent="0.25">
      <c r="A4964" s="67">
        <v>45777</v>
      </c>
      <c r="B4964" t="str">
        <f>IFERROR(IF(VLOOKUP(C4964,Hoja1!$B$1:$C$6191,2,0)="",_xlfn.XLOOKUP(C4964,Hoja1!$B$2:$B$6191,Hoja1!$A$2:$A$6191),VLOOKUP(C4964,Hoja1!$B$1:$C$6191,2,0)),"No esta en Infor")</f>
        <v>NAC0958</v>
      </c>
      <c r="C4964" t="s">
        <v>214</v>
      </c>
      <c r="D4964" s="61">
        <v>699.2</v>
      </c>
      <c r="F4964" s="61">
        <v>0</v>
      </c>
      <c r="G4964" s="61">
        <v>0</v>
      </c>
      <c r="H4964" s="61">
        <v>0</v>
      </c>
      <c r="I4964" s="61">
        <v>0</v>
      </c>
      <c r="J4964" s="61">
        <f t="shared" si="40"/>
        <v>699.2</v>
      </c>
    </row>
    <row r="4965" spans="1:10" x14ac:dyDescent="0.25">
      <c r="A4965" s="67">
        <v>45777</v>
      </c>
      <c r="B4965" t="str">
        <f>IFERROR(IF(VLOOKUP(C4965,Hoja1!$B$1:$C$6191,2,0)="",_xlfn.XLOOKUP(C4965,Hoja1!$B$2:$B$6191,Hoja1!$A$2:$A$6191),VLOOKUP(C4965,Hoja1!$B$1:$C$6191,2,0)),"No esta en Infor")</f>
        <v>NAC0960</v>
      </c>
      <c r="C4965" t="s">
        <v>216</v>
      </c>
      <c r="D4965" s="61">
        <v>0</v>
      </c>
      <c r="F4965" s="61">
        <v>2649.96</v>
      </c>
      <c r="G4965" s="61">
        <v>0</v>
      </c>
      <c r="H4965" s="61">
        <v>0</v>
      </c>
      <c r="I4965" s="61">
        <v>0</v>
      </c>
      <c r="J4965" s="61">
        <f t="shared" si="40"/>
        <v>2649.96</v>
      </c>
    </row>
    <row r="4966" spans="1:10" x14ac:dyDescent="0.25">
      <c r="A4966" s="67">
        <v>45777</v>
      </c>
      <c r="B4966" t="str">
        <f>IFERROR(IF(VLOOKUP(C4966,Hoja1!$B$1:$C$6191,2,0)="",_xlfn.XLOOKUP(C4966,Hoja1!$B$2:$B$6191,Hoja1!$A$2:$A$6191),VLOOKUP(C4966,Hoja1!$B$1:$C$6191,2,0)),"No esta en Infor")</f>
        <v>NAC0963</v>
      </c>
      <c r="C4966" t="s">
        <v>217</v>
      </c>
      <c r="D4966" s="61">
        <v>929.17</v>
      </c>
      <c r="F4966" s="61">
        <v>834</v>
      </c>
      <c r="G4966" s="61">
        <v>0</v>
      </c>
      <c r="H4966" s="61">
        <v>0</v>
      </c>
      <c r="I4966" s="61">
        <v>0</v>
      </c>
      <c r="J4966" s="61">
        <f t="shared" si="40"/>
        <v>1763.17</v>
      </c>
    </row>
    <row r="4967" spans="1:10" x14ac:dyDescent="0.25">
      <c r="A4967" s="67">
        <v>45777</v>
      </c>
      <c r="B4967" t="str">
        <f>IFERROR(IF(VLOOKUP(C4967,Hoja1!$B$1:$C$6191,2,0)="",_xlfn.XLOOKUP(C4967,Hoja1!$B$2:$B$6191,Hoja1!$A$2:$A$6191),VLOOKUP(C4967,Hoja1!$B$1:$C$6191,2,0)),"No esta en Infor")</f>
        <v>NAC0967</v>
      </c>
      <c r="C4967" t="s">
        <v>780</v>
      </c>
      <c r="D4967" s="61">
        <v>0</v>
      </c>
      <c r="F4967" s="61">
        <v>16.059999999999999</v>
      </c>
      <c r="G4967" s="61">
        <v>0</v>
      </c>
      <c r="H4967" s="61">
        <v>0</v>
      </c>
      <c r="I4967" s="61">
        <v>0</v>
      </c>
      <c r="J4967" s="61">
        <f t="shared" si="40"/>
        <v>16.059999999999999</v>
      </c>
    </row>
    <row r="4968" spans="1:10" x14ac:dyDescent="0.25">
      <c r="A4968" s="67">
        <v>45777</v>
      </c>
      <c r="B4968" t="str">
        <f>IFERROR(IF(VLOOKUP(C4968,Hoja1!$B$1:$C$6191,2,0)="",_xlfn.XLOOKUP(C4968,Hoja1!$B$2:$B$6191,Hoja1!$A$2:$A$6191),VLOOKUP(C4968,Hoja1!$B$1:$C$6191,2,0)),"No esta en Infor")</f>
        <v>NAC0971</v>
      </c>
      <c r="C4968" t="s">
        <v>219</v>
      </c>
      <c r="D4968" s="61">
        <v>0</v>
      </c>
      <c r="F4968" s="61">
        <v>-95.33</v>
      </c>
      <c r="G4968" s="61">
        <v>-88.24</v>
      </c>
      <c r="H4968" s="61">
        <v>0</v>
      </c>
      <c r="I4968" s="61">
        <v>0</v>
      </c>
      <c r="J4968" s="61">
        <f t="shared" si="40"/>
        <v>-183.57</v>
      </c>
    </row>
    <row r="4969" spans="1:10" x14ac:dyDescent="0.25">
      <c r="A4969" s="67">
        <v>45777</v>
      </c>
      <c r="B4969" t="str">
        <f>IFERROR(IF(VLOOKUP(C4969,Hoja1!$B$1:$C$6191,2,0)="",_xlfn.XLOOKUP(C4969,Hoja1!$B$2:$B$6191,Hoja1!$A$2:$A$6191),VLOOKUP(C4969,Hoja1!$B$1:$C$6191,2,0)),"No esta en Infor")</f>
        <v>NAC0972</v>
      </c>
      <c r="C4969" t="s">
        <v>221</v>
      </c>
      <c r="D4969" s="61">
        <v>0</v>
      </c>
      <c r="F4969" s="61">
        <v>173.58</v>
      </c>
      <c r="G4969" s="61">
        <v>0</v>
      </c>
      <c r="H4969" s="61">
        <v>0</v>
      </c>
      <c r="I4969" s="61">
        <v>217.86</v>
      </c>
      <c r="J4969" s="61">
        <f t="shared" si="40"/>
        <v>391.44000000000005</v>
      </c>
    </row>
    <row r="4970" spans="1:10" x14ac:dyDescent="0.25">
      <c r="A4970" s="67">
        <v>45777</v>
      </c>
      <c r="B4970" t="str">
        <f>IFERROR(IF(VLOOKUP(C4970,Hoja1!$B$1:$C$6191,2,0)="",_xlfn.XLOOKUP(C4970,Hoja1!$B$2:$B$6191,Hoja1!$A$2:$A$6191),VLOOKUP(C4970,Hoja1!$B$1:$C$6191,2,0)),"No esta en Infor")</f>
        <v>NAC0977</v>
      </c>
      <c r="C4970" t="s">
        <v>1959</v>
      </c>
      <c r="D4970" s="61">
        <v>-1560</v>
      </c>
      <c r="F4970" s="61">
        <v>0</v>
      </c>
      <c r="G4970" s="61">
        <v>0</v>
      </c>
      <c r="H4970" s="61">
        <v>0</v>
      </c>
      <c r="I4970" s="61">
        <v>0</v>
      </c>
      <c r="J4970" s="61">
        <f t="shared" si="40"/>
        <v>-1560</v>
      </c>
    </row>
    <row r="4971" spans="1:10" x14ac:dyDescent="0.25">
      <c r="A4971" s="67">
        <v>45777</v>
      </c>
      <c r="B4971" t="str">
        <f>IFERROR(IF(VLOOKUP(C4971,Hoja1!$B$1:$C$6191,2,0)="",_xlfn.XLOOKUP(C4971,Hoja1!$B$2:$B$6191,Hoja1!$A$2:$A$6191),VLOOKUP(C4971,Hoja1!$B$1:$C$6191,2,0)),"No esta en Infor")</f>
        <v>NAC0978</v>
      </c>
      <c r="C4971" t="s">
        <v>502</v>
      </c>
      <c r="D4971" s="61">
        <v>0</v>
      </c>
      <c r="F4971" s="61">
        <v>0</v>
      </c>
      <c r="G4971" s="61">
        <v>-9.48</v>
      </c>
      <c r="H4971" s="61">
        <v>0</v>
      </c>
      <c r="I4971" s="61">
        <v>0</v>
      </c>
      <c r="J4971" s="61">
        <f t="shared" si="40"/>
        <v>-9.48</v>
      </c>
    </row>
    <row r="4972" spans="1:10" x14ac:dyDescent="0.25">
      <c r="A4972" s="67">
        <v>45777</v>
      </c>
      <c r="B4972" t="str">
        <f>IFERROR(IF(VLOOKUP(C4972,Hoja1!$B$1:$C$6191,2,0)="",_xlfn.XLOOKUP(C4972,Hoja1!$B$2:$B$6191,Hoja1!$A$2:$A$6191),VLOOKUP(C4972,Hoja1!$B$1:$C$6191,2,0)),"No esta en Infor")</f>
        <v>NAC0988</v>
      </c>
      <c r="C4972" t="s">
        <v>29</v>
      </c>
      <c r="D4972" s="61">
        <v>202419.42</v>
      </c>
      <c r="F4972" s="61">
        <v>10725</v>
      </c>
      <c r="G4972" s="61">
        <v>0</v>
      </c>
      <c r="H4972" s="61">
        <v>0</v>
      </c>
      <c r="I4972" s="61">
        <v>8946</v>
      </c>
      <c r="J4972" s="61">
        <f t="shared" si="40"/>
        <v>222090.42</v>
      </c>
    </row>
    <row r="4973" spans="1:10" x14ac:dyDescent="0.25">
      <c r="A4973" s="67">
        <v>45777</v>
      </c>
      <c r="B4973" t="str">
        <f>IFERROR(IF(VLOOKUP(C4973,Hoja1!$B$1:$C$6191,2,0)="",_xlfn.XLOOKUP(C4973,Hoja1!$B$2:$B$6191,Hoja1!$A$2:$A$6191),VLOOKUP(C4973,Hoja1!$B$1:$C$6191,2,0)),"No esta en Infor")</f>
        <v>NAC0995</v>
      </c>
      <c r="C4973" t="s">
        <v>227</v>
      </c>
      <c r="D4973" s="61">
        <v>199</v>
      </c>
      <c r="F4973" s="61">
        <v>0</v>
      </c>
      <c r="G4973" s="61">
        <v>0</v>
      </c>
      <c r="H4973" s="61">
        <v>0</v>
      </c>
      <c r="I4973" s="61">
        <v>0</v>
      </c>
      <c r="J4973" s="61">
        <f t="shared" si="40"/>
        <v>199</v>
      </c>
    </row>
    <row r="4974" spans="1:10" x14ac:dyDescent="0.25">
      <c r="A4974" s="67">
        <v>45777</v>
      </c>
      <c r="B4974" t="str">
        <f>IFERROR(IF(VLOOKUP(C4974,Hoja1!$B$1:$C$6191,2,0)="",_xlfn.XLOOKUP(C4974,Hoja1!$B$2:$B$6191,Hoja1!$A$2:$A$6191),VLOOKUP(C4974,Hoja1!$B$1:$C$6191,2,0)),"No esta en Infor")</f>
        <v>NAC0812</v>
      </c>
      <c r="C4974" t="s">
        <v>1706</v>
      </c>
      <c r="D4974" s="61">
        <v>247.43</v>
      </c>
      <c r="F4974" s="61">
        <v>0</v>
      </c>
      <c r="G4974" s="61">
        <v>0</v>
      </c>
      <c r="H4974" s="61">
        <v>-6.34</v>
      </c>
      <c r="I4974" s="61">
        <v>0</v>
      </c>
      <c r="J4974" s="61">
        <f t="shared" si="40"/>
        <v>241.09</v>
      </c>
    </row>
    <row r="4975" spans="1:10" x14ac:dyDescent="0.25">
      <c r="A4975" s="67">
        <v>45777</v>
      </c>
      <c r="B4975" t="str">
        <f>IFERROR(IF(VLOOKUP(C4975,Hoja1!$B$1:$C$6191,2,0)="",_xlfn.XLOOKUP(C4975,Hoja1!$B$2:$B$6191,Hoja1!$A$2:$A$6191),VLOOKUP(C4975,Hoja1!$B$1:$C$6191,2,0)),"No esta en Infor")</f>
        <v>NAC1007</v>
      </c>
      <c r="C4975" t="s">
        <v>233</v>
      </c>
      <c r="D4975" s="61">
        <v>1453</v>
      </c>
      <c r="F4975" s="61">
        <v>7293</v>
      </c>
      <c r="G4975" s="61">
        <v>0</v>
      </c>
      <c r="H4975" s="61">
        <v>0</v>
      </c>
      <c r="I4975" s="61">
        <v>0</v>
      </c>
      <c r="J4975" s="61">
        <f t="shared" si="40"/>
        <v>8746</v>
      </c>
    </row>
    <row r="4976" spans="1:10" x14ac:dyDescent="0.25">
      <c r="A4976" s="67">
        <v>45777</v>
      </c>
      <c r="B4976" t="str">
        <f>IFERROR(IF(VLOOKUP(C4976,Hoja1!$B$1:$C$6191,2,0)="",_xlfn.XLOOKUP(C4976,Hoja1!$B$2:$B$6191,Hoja1!$A$2:$A$6191),VLOOKUP(C4976,Hoja1!$B$1:$C$6191,2,0)),"No esta en Infor")</f>
        <v>NAC1010</v>
      </c>
      <c r="C4976" t="s">
        <v>2008</v>
      </c>
      <c r="D4976" s="61">
        <v>-21.28</v>
      </c>
      <c r="F4976" s="61">
        <v>0</v>
      </c>
      <c r="G4976" s="61">
        <v>0</v>
      </c>
      <c r="H4976" s="61">
        <v>0</v>
      </c>
      <c r="I4976" s="61">
        <v>0</v>
      </c>
      <c r="J4976" s="61">
        <f t="shared" si="40"/>
        <v>-21.28</v>
      </c>
    </row>
    <row r="4977" spans="1:10" x14ac:dyDescent="0.25">
      <c r="A4977" s="67">
        <v>45777</v>
      </c>
      <c r="B4977" t="str">
        <f>IFERROR(IF(VLOOKUP(C4977,Hoja1!$B$1:$C$6191,2,0)="",_xlfn.XLOOKUP(C4977,Hoja1!$B$2:$B$6191,Hoja1!$A$2:$A$6191),VLOOKUP(C4977,Hoja1!$B$1:$C$6191,2,0)),"No esta en Infor")</f>
        <v>NAC1013</v>
      </c>
      <c r="C4977" t="s">
        <v>235</v>
      </c>
      <c r="D4977" s="61">
        <v>699.66</v>
      </c>
      <c r="F4977" s="61">
        <v>391.55</v>
      </c>
      <c r="G4977" s="61">
        <v>0</v>
      </c>
      <c r="H4977" s="61">
        <v>0</v>
      </c>
      <c r="I4977" s="61">
        <v>0</v>
      </c>
      <c r="J4977" s="61">
        <f t="shared" si="40"/>
        <v>1091.21</v>
      </c>
    </row>
    <row r="4978" spans="1:10" x14ac:dyDescent="0.25">
      <c r="A4978" s="67">
        <v>45777</v>
      </c>
      <c r="B4978" t="str">
        <f>IFERROR(IF(VLOOKUP(C4978,Hoja1!$B$1:$C$6191,2,0)="",_xlfn.XLOOKUP(C4978,Hoja1!$B$2:$B$6191,Hoja1!$A$2:$A$6191),VLOOKUP(C4978,Hoja1!$B$1:$C$6191,2,0)),"No esta en Infor")</f>
        <v>NAC1018</v>
      </c>
      <c r="C4978" t="s">
        <v>463</v>
      </c>
      <c r="D4978" s="61">
        <v>3220</v>
      </c>
      <c r="F4978" s="61">
        <v>223.83</v>
      </c>
      <c r="G4978" s="61">
        <v>0</v>
      </c>
      <c r="H4978" s="61">
        <v>0</v>
      </c>
      <c r="I4978" s="61">
        <v>0</v>
      </c>
      <c r="J4978" s="61">
        <f t="shared" si="40"/>
        <v>3443.83</v>
      </c>
    </row>
    <row r="4979" spans="1:10" x14ac:dyDescent="0.25">
      <c r="A4979" s="67">
        <v>45777</v>
      </c>
      <c r="B4979" t="str">
        <f>IFERROR(IF(VLOOKUP(C4979,Hoja1!$B$1:$C$6191,2,0)="",_xlfn.XLOOKUP(C4979,Hoja1!$B$2:$B$6191,Hoja1!$A$2:$A$6191),VLOOKUP(C4979,Hoja1!$B$1:$C$6191,2,0)),"No esta en Infor")</f>
        <v>NAC1606</v>
      </c>
      <c r="C4979" t="s">
        <v>561</v>
      </c>
      <c r="D4979" s="61">
        <v>22326.68</v>
      </c>
      <c r="F4979" s="61">
        <v>0</v>
      </c>
      <c r="G4979" s="61">
        <v>770</v>
      </c>
      <c r="H4979" s="61">
        <v>0</v>
      </c>
      <c r="I4979" s="61">
        <v>0</v>
      </c>
      <c r="J4979" s="61">
        <f t="shared" si="40"/>
        <v>23096.68</v>
      </c>
    </row>
    <row r="4980" spans="1:10" x14ac:dyDescent="0.25">
      <c r="A4980" s="67">
        <v>45777</v>
      </c>
      <c r="B4980" t="str">
        <f>IFERROR(IF(VLOOKUP(C4980,Hoja1!$B$1:$C$6191,2,0)="",_xlfn.XLOOKUP(C4980,Hoja1!$B$2:$B$6191,Hoja1!$A$2:$A$6191),VLOOKUP(C4980,Hoja1!$B$1:$C$6191,2,0)),"No esta en Infor")</f>
        <v>NAC1021</v>
      </c>
      <c r="C4980" t="s">
        <v>239</v>
      </c>
      <c r="D4980" s="61">
        <v>708.82</v>
      </c>
      <c r="F4980" s="61">
        <v>0</v>
      </c>
      <c r="G4980" s="61">
        <v>-5</v>
      </c>
      <c r="H4980" s="61">
        <v>0</v>
      </c>
      <c r="I4980" s="61">
        <v>0</v>
      </c>
      <c r="J4980" s="61">
        <f t="shared" si="40"/>
        <v>703.82</v>
      </c>
    </row>
    <row r="4981" spans="1:10" x14ac:dyDescent="0.25">
      <c r="A4981" s="67">
        <v>45777</v>
      </c>
      <c r="B4981" t="str">
        <f>IFERROR(IF(VLOOKUP(C4981,Hoja1!$B$1:$C$6191,2,0)="",_xlfn.XLOOKUP(C4981,Hoja1!$B$2:$B$6191,Hoja1!$A$2:$A$6191),VLOOKUP(C4981,Hoja1!$B$1:$C$6191,2,0)),"No esta en Infor")</f>
        <v>NAC1024</v>
      </c>
      <c r="C4981" t="s">
        <v>241</v>
      </c>
      <c r="D4981" s="61">
        <v>-720</v>
      </c>
      <c r="F4981" s="61">
        <v>0</v>
      </c>
      <c r="G4981" s="61">
        <v>0</v>
      </c>
      <c r="H4981" s="61">
        <v>0</v>
      </c>
      <c r="I4981" s="61">
        <v>0</v>
      </c>
      <c r="J4981" s="61">
        <f t="shared" si="40"/>
        <v>-720</v>
      </c>
    </row>
    <row r="4982" spans="1:10" x14ac:dyDescent="0.25">
      <c r="A4982" s="67">
        <v>45777</v>
      </c>
      <c r="B4982" t="str">
        <f>IFERROR(IF(VLOOKUP(C4982,Hoja1!$B$1:$C$6191,2,0)="",_xlfn.XLOOKUP(C4982,Hoja1!$B$2:$B$6191,Hoja1!$A$2:$A$6191),VLOOKUP(C4982,Hoja1!$B$1:$C$6191,2,0)),"No esta en Infor")</f>
        <v>NAC1027</v>
      </c>
      <c r="C4982" t="s">
        <v>243</v>
      </c>
      <c r="D4982" s="61">
        <v>1791.08</v>
      </c>
      <c r="F4982" s="61">
        <v>0</v>
      </c>
      <c r="G4982" s="61">
        <v>0</v>
      </c>
      <c r="H4982" s="61">
        <v>0</v>
      </c>
      <c r="I4982" s="61">
        <v>-2408</v>
      </c>
      <c r="J4982" s="61">
        <f t="shared" si="40"/>
        <v>-616.92000000000007</v>
      </c>
    </row>
    <row r="4983" spans="1:10" x14ac:dyDescent="0.25">
      <c r="A4983" s="67">
        <v>45777</v>
      </c>
      <c r="B4983" t="str">
        <f>IFERROR(IF(VLOOKUP(C4983,Hoja1!$B$1:$C$6191,2,0)="",_xlfn.XLOOKUP(C4983,Hoja1!$B$2:$B$6191,Hoja1!$A$2:$A$6191),VLOOKUP(C4983,Hoja1!$B$1:$C$6191,2,0)),"No esta en Infor")</f>
        <v>NAC1040</v>
      </c>
      <c r="C4983" t="s">
        <v>30</v>
      </c>
      <c r="D4983" s="61">
        <v>839736.11</v>
      </c>
      <c r="F4983" s="61">
        <v>0</v>
      </c>
      <c r="G4983" s="61">
        <v>0</v>
      </c>
      <c r="H4983" s="61">
        <v>0</v>
      </c>
      <c r="I4983" s="61">
        <v>0</v>
      </c>
      <c r="J4983" s="61">
        <f t="shared" si="40"/>
        <v>839736.11</v>
      </c>
    </row>
    <row r="4984" spans="1:10" x14ac:dyDescent="0.25">
      <c r="A4984" s="67">
        <v>45777</v>
      </c>
      <c r="B4984" t="str">
        <f>IFERROR(IF(VLOOKUP(C4984,Hoja1!$B$1:$C$6191,2,0)="",_xlfn.XLOOKUP(C4984,Hoja1!$B$2:$B$6191,Hoja1!$A$2:$A$6191),VLOOKUP(C4984,Hoja1!$B$1:$C$6191,2,0)),"No esta en Infor")</f>
        <v>NAC1042</v>
      </c>
      <c r="C4984" t="s">
        <v>244</v>
      </c>
      <c r="D4984" s="61">
        <v>28782.5</v>
      </c>
      <c r="F4984" s="61">
        <v>0</v>
      </c>
      <c r="G4984" s="61">
        <v>0</v>
      </c>
      <c r="H4984" s="61">
        <v>0</v>
      </c>
      <c r="I4984" s="61">
        <v>0</v>
      </c>
      <c r="J4984" s="61">
        <f t="shared" si="40"/>
        <v>28782.5</v>
      </c>
    </row>
    <row r="4985" spans="1:10" x14ac:dyDescent="0.25">
      <c r="A4985" s="67">
        <v>45777</v>
      </c>
      <c r="B4985" t="str">
        <f>IFERROR(IF(VLOOKUP(C4985,Hoja1!$B$1:$C$6191,2,0)="",_xlfn.XLOOKUP(C4985,Hoja1!$B$2:$B$6191,Hoja1!$A$2:$A$6191),VLOOKUP(C4985,Hoja1!$B$1:$C$6191,2,0)),"No esta en Infor")</f>
        <v>NAC1050</v>
      </c>
      <c r="C4985" t="s">
        <v>880</v>
      </c>
      <c r="D4985" s="61">
        <v>0</v>
      </c>
      <c r="F4985" s="61">
        <v>-1101.18</v>
      </c>
      <c r="G4985" s="61">
        <v>0</v>
      </c>
      <c r="H4985" s="61">
        <v>0</v>
      </c>
      <c r="I4985" s="61">
        <v>0</v>
      </c>
      <c r="J4985" s="61">
        <f t="shared" si="40"/>
        <v>-1101.18</v>
      </c>
    </row>
    <row r="4986" spans="1:10" x14ac:dyDescent="0.25">
      <c r="A4986" s="67">
        <v>45777</v>
      </c>
      <c r="B4986" t="str">
        <f>IFERROR(IF(VLOOKUP(C4986,Hoja1!$B$1:$C$6191,2,0)="",_xlfn.XLOOKUP(C4986,Hoja1!$B$2:$B$6191,Hoja1!$A$2:$A$6191),VLOOKUP(C4986,Hoja1!$B$1:$C$6191,2,0)),"No esta en Infor")</f>
        <v>NAC1051</v>
      </c>
      <c r="C4986" t="s">
        <v>246</v>
      </c>
      <c r="D4986" s="61">
        <v>896.52</v>
      </c>
      <c r="F4986" s="61">
        <v>515.29</v>
      </c>
      <c r="G4986" s="61">
        <v>0</v>
      </c>
      <c r="H4986" s="61">
        <v>0</v>
      </c>
      <c r="I4986" s="61">
        <v>0</v>
      </c>
      <c r="J4986" s="61">
        <f t="shared" si="40"/>
        <v>1411.81</v>
      </c>
    </row>
    <row r="4987" spans="1:10" x14ac:dyDescent="0.25">
      <c r="A4987" s="67">
        <v>45777</v>
      </c>
      <c r="B4987" t="str">
        <f>IFERROR(IF(VLOOKUP(C4987,Hoja1!$B$1:$C$6191,2,0)="",_xlfn.XLOOKUP(C4987,Hoja1!$B$2:$B$6191,Hoja1!$A$2:$A$6191),VLOOKUP(C4987,Hoja1!$B$1:$C$6191,2,0)),"No esta en Infor")</f>
        <v>FOC0001</v>
      </c>
      <c r="C4987" t="s">
        <v>247</v>
      </c>
      <c r="D4987" s="61">
        <v>608</v>
      </c>
      <c r="F4987" s="61">
        <v>0</v>
      </c>
      <c r="G4987" s="61">
        <v>0</v>
      </c>
      <c r="H4987" s="61">
        <v>0</v>
      </c>
      <c r="I4987" s="61">
        <v>0</v>
      </c>
      <c r="J4987" s="61">
        <f t="shared" si="40"/>
        <v>608</v>
      </c>
    </row>
    <row r="4988" spans="1:10" x14ac:dyDescent="0.25">
      <c r="A4988" s="67">
        <v>45777</v>
      </c>
      <c r="B4988" t="str">
        <f>IFERROR(IF(VLOOKUP(C4988,Hoja1!$B$1:$C$6191,2,0)="",_xlfn.XLOOKUP(C4988,Hoja1!$B$2:$B$6191,Hoja1!$A$2:$A$6191),VLOOKUP(C4988,Hoja1!$B$1:$C$6191,2,0)),"No esta en Infor")</f>
        <v>NAC1054</v>
      </c>
      <c r="C4988" t="s">
        <v>248</v>
      </c>
      <c r="D4988" s="61">
        <v>2096</v>
      </c>
      <c r="F4988" s="61">
        <v>0</v>
      </c>
      <c r="G4988" s="61">
        <v>0</v>
      </c>
      <c r="H4988" s="61">
        <v>0</v>
      </c>
      <c r="I4988" s="61">
        <v>0</v>
      </c>
      <c r="J4988" s="61">
        <f t="shared" si="40"/>
        <v>2096</v>
      </c>
    </row>
    <row r="4989" spans="1:10" x14ac:dyDescent="0.25">
      <c r="A4989" s="67">
        <v>45777</v>
      </c>
      <c r="B4989" t="str">
        <f>IFERROR(IF(VLOOKUP(C4989,Hoja1!$B$1:$C$6191,2,0)="",_xlfn.XLOOKUP(C4989,Hoja1!$B$2:$B$6191,Hoja1!$A$2:$A$6191),VLOOKUP(C4989,Hoja1!$B$1:$C$6191,2,0)),"No esta en Infor")</f>
        <v>NAC1056</v>
      </c>
      <c r="C4989" t="s">
        <v>465</v>
      </c>
      <c r="D4989" s="61">
        <v>1041</v>
      </c>
      <c r="F4989" s="61">
        <v>0</v>
      </c>
      <c r="G4989" s="61">
        <v>0</v>
      </c>
      <c r="H4989" s="61">
        <v>0</v>
      </c>
      <c r="I4989" s="61">
        <v>0</v>
      </c>
      <c r="J4989" s="61">
        <f t="shared" si="40"/>
        <v>1041</v>
      </c>
    </row>
    <row r="4990" spans="1:10" x14ac:dyDescent="0.25">
      <c r="A4990" s="67">
        <v>45777</v>
      </c>
      <c r="B4990" t="str">
        <f>IFERROR(IF(VLOOKUP(C4990,Hoja1!$B$1:$C$6191,2,0)="",_xlfn.XLOOKUP(C4990,Hoja1!$B$2:$B$6191,Hoja1!$A$2:$A$6191),VLOOKUP(C4990,Hoja1!$B$1:$C$6191,2,0)),"No esta en Infor")</f>
        <v>NAC1061</v>
      </c>
      <c r="C4990" t="s">
        <v>251</v>
      </c>
      <c r="D4990" s="61">
        <v>232</v>
      </c>
      <c r="F4990" s="61">
        <v>0</v>
      </c>
      <c r="G4990" s="61">
        <v>0</v>
      </c>
      <c r="H4990" s="61">
        <v>0</v>
      </c>
      <c r="I4990" s="61">
        <v>0</v>
      </c>
      <c r="J4990" s="61">
        <f t="shared" si="40"/>
        <v>232</v>
      </c>
    </row>
    <row r="4991" spans="1:10" x14ac:dyDescent="0.25">
      <c r="A4991" s="67">
        <v>45777</v>
      </c>
      <c r="B4991" t="str">
        <f>IFERROR(IF(VLOOKUP(C4991,Hoja1!$B$1:$C$6191,2,0)="",_xlfn.XLOOKUP(C4991,Hoja1!$B$2:$B$6191,Hoja1!$A$2:$A$6191),VLOOKUP(C4991,Hoja1!$B$1:$C$6191,2,0)),"No esta en Infor")</f>
        <v>NAC1073</v>
      </c>
      <c r="C4991" t="s">
        <v>683</v>
      </c>
      <c r="D4991" s="61">
        <v>88222.399999999994</v>
      </c>
      <c r="F4991" s="61">
        <v>0</v>
      </c>
      <c r="G4991" s="61">
        <v>0</v>
      </c>
      <c r="H4991" s="61">
        <v>0</v>
      </c>
      <c r="I4991" s="61">
        <v>0</v>
      </c>
      <c r="J4991" s="61">
        <f t="shared" si="40"/>
        <v>88222.399999999994</v>
      </c>
    </row>
    <row r="4992" spans="1:10" x14ac:dyDescent="0.25">
      <c r="A4992" s="67">
        <v>45777</v>
      </c>
      <c r="B4992" t="str">
        <f>IFERROR(IF(VLOOKUP(C4992,Hoja1!$B$1:$C$6191,2,0)="",_xlfn.XLOOKUP(C4992,Hoja1!$B$2:$B$6191,Hoja1!$A$2:$A$6191),VLOOKUP(C4992,Hoja1!$B$1:$C$6191,2,0)),"No esta en Infor")</f>
        <v>NAC1074</v>
      </c>
      <c r="C4992" t="s">
        <v>252</v>
      </c>
      <c r="D4992" s="61">
        <v>703.84</v>
      </c>
      <c r="F4992" s="61">
        <v>-103.32</v>
      </c>
      <c r="G4992" s="61">
        <v>0</v>
      </c>
      <c r="H4992" s="61">
        <v>0</v>
      </c>
      <c r="I4992" s="61">
        <v>0</v>
      </c>
      <c r="J4992" s="61">
        <f t="shared" si="40"/>
        <v>600.52</v>
      </c>
    </row>
    <row r="4993" spans="1:10" x14ac:dyDescent="0.25">
      <c r="A4993" s="67">
        <v>45777</v>
      </c>
      <c r="B4993" t="str">
        <f>IFERROR(IF(VLOOKUP(C4993,Hoja1!$B$1:$C$6191,2,0)="",_xlfn.XLOOKUP(C4993,Hoja1!$B$2:$B$6191,Hoja1!$A$2:$A$6191),VLOOKUP(C4993,Hoja1!$B$1:$C$6191,2,0)),"No esta en Infor")</f>
        <v>CAN0035</v>
      </c>
      <c r="C4993" t="s">
        <v>31</v>
      </c>
      <c r="D4993" s="61">
        <v>1118</v>
      </c>
      <c r="F4993" s="61">
        <v>224.56</v>
      </c>
      <c r="G4993" s="61">
        <v>0</v>
      </c>
      <c r="H4993" s="61">
        <v>0</v>
      </c>
      <c r="I4993" s="61">
        <v>374.36</v>
      </c>
      <c r="J4993" s="61">
        <f t="shared" si="40"/>
        <v>1716.92</v>
      </c>
    </row>
    <row r="4994" spans="1:10" x14ac:dyDescent="0.25">
      <c r="A4994" s="67">
        <v>45777</v>
      </c>
      <c r="B4994" t="str">
        <f>IFERROR(IF(VLOOKUP(C4994,Hoja1!$B$1:$C$6191,2,0)="",_xlfn.XLOOKUP(C4994,Hoja1!$B$2:$B$6191,Hoja1!$A$2:$A$6191),VLOOKUP(C4994,Hoja1!$B$1:$C$6191,2,0)),"No esta en Infor")</f>
        <v>NAC1077</v>
      </c>
      <c r="C4994" t="s">
        <v>254</v>
      </c>
      <c r="D4994" s="61">
        <v>5370.4</v>
      </c>
      <c r="F4994" s="61">
        <v>0</v>
      </c>
      <c r="G4994" s="61">
        <v>0</v>
      </c>
      <c r="H4994" s="61">
        <v>0</v>
      </c>
      <c r="I4994" s="61">
        <v>0</v>
      </c>
      <c r="J4994" s="61">
        <f t="shared" si="40"/>
        <v>5370.4</v>
      </c>
    </row>
    <row r="4995" spans="1:10" x14ac:dyDescent="0.25">
      <c r="A4995" s="67">
        <v>45777</v>
      </c>
      <c r="B4995" t="str">
        <f>IFERROR(IF(VLOOKUP(C4995,Hoja1!$B$1:$C$6191,2,0)="",_xlfn.XLOOKUP(C4995,Hoja1!$B$2:$B$6191,Hoja1!$A$2:$A$6191),VLOOKUP(C4995,Hoja1!$B$1:$C$6191,2,0)),"No esta en Infor")</f>
        <v>NAC1080</v>
      </c>
      <c r="C4995" t="s">
        <v>684</v>
      </c>
      <c r="D4995" s="61">
        <v>0</v>
      </c>
      <c r="F4995" s="61">
        <v>0</v>
      </c>
      <c r="G4995" s="61">
        <v>-18.45</v>
      </c>
      <c r="H4995" s="61">
        <v>0</v>
      </c>
      <c r="I4995" s="61">
        <v>0</v>
      </c>
      <c r="J4995" s="61">
        <f t="shared" si="40"/>
        <v>-18.45</v>
      </c>
    </row>
    <row r="4996" spans="1:10" x14ac:dyDescent="0.25">
      <c r="A4996" s="67">
        <v>45777</v>
      </c>
      <c r="B4996" t="str">
        <f>IFERROR(IF(VLOOKUP(C4996,Hoja1!$B$1:$C$6191,2,0)="",_xlfn.XLOOKUP(C4996,Hoja1!$B$2:$B$6191,Hoja1!$A$2:$A$6191),VLOOKUP(C4996,Hoja1!$B$1:$C$6191,2,0)),"No esta en Infor")</f>
        <v>NAC1081</v>
      </c>
      <c r="C4996" t="s">
        <v>255</v>
      </c>
      <c r="D4996" s="61">
        <v>142.86000000000001</v>
      </c>
      <c r="F4996" s="61">
        <v>0</v>
      </c>
      <c r="G4996" s="61">
        <v>0</v>
      </c>
      <c r="H4996" s="61">
        <v>0</v>
      </c>
      <c r="I4996" s="61">
        <v>0</v>
      </c>
      <c r="J4996" s="61">
        <f t="shared" si="40"/>
        <v>142.86000000000001</v>
      </c>
    </row>
    <row r="4997" spans="1:10" x14ac:dyDescent="0.25">
      <c r="A4997" s="67">
        <v>45777</v>
      </c>
      <c r="B4997" t="str">
        <f>IFERROR(IF(VLOOKUP(C4997,Hoja1!$B$1:$C$6191,2,0)="",_xlfn.XLOOKUP(C4997,Hoja1!$B$2:$B$6191,Hoja1!$A$2:$A$6191),VLOOKUP(C4997,Hoja1!$B$1:$C$6191,2,0)),"No esta en Infor")</f>
        <v>CAN0091</v>
      </c>
      <c r="C4997" t="s">
        <v>586</v>
      </c>
      <c r="D4997" s="61">
        <v>0</v>
      </c>
      <c r="F4997" s="61">
        <v>0</v>
      </c>
      <c r="G4997" s="61">
        <v>0</v>
      </c>
      <c r="H4997" s="61">
        <v>-646.09</v>
      </c>
      <c r="I4997" s="61">
        <v>0</v>
      </c>
      <c r="J4997" s="61">
        <f t="shared" si="40"/>
        <v>-646.09</v>
      </c>
    </row>
    <row r="4998" spans="1:10" x14ac:dyDescent="0.25">
      <c r="A4998" s="67">
        <v>45777</v>
      </c>
      <c r="B4998" t="str">
        <f>IFERROR(IF(VLOOKUP(C4998,Hoja1!$B$1:$C$6191,2,0)="",_xlfn.XLOOKUP(C4998,Hoja1!$B$2:$B$6191,Hoja1!$A$2:$A$6191),VLOOKUP(C4998,Hoja1!$B$1:$C$6191,2,0)),"No esta en Infor")</f>
        <v>CAN0036</v>
      </c>
      <c r="C4998" t="s">
        <v>256</v>
      </c>
      <c r="D4998" s="61">
        <v>40</v>
      </c>
      <c r="F4998" s="61">
        <v>0</v>
      </c>
      <c r="G4998" s="61">
        <v>0</v>
      </c>
      <c r="H4998" s="61">
        <v>0</v>
      </c>
      <c r="I4998" s="61">
        <v>0</v>
      </c>
      <c r="J4998" s="61">
        <f t="shared" si="40"/>
        <v>40</v>
      </c>
    </row>
    <row r="4999" spans="1:10" x14ac:dyDescent="0.25">
      <c r="A4999" s="67">
        <v>45777</v>
      </c>
      <c r="B4999" t="str">
        <f>IFERROR(IF(VLOOKUP(C4999,Hoja1!$B$1:$C$6191,2,0)="",_xlfn.XLOOKUP(C4999,Hoja1!$B$2:$B$6191,Hoja1!$A$2:$A$6191),VLOOKUP(C4999,Hoja1!$B$1:$C$6191,2,0)),"No esta en Infor")</f>
        <v>NAC1083</v>
      </c>
      <c r="C4999" t="s">
        <v>685</v>
      </c>
      <c r="D4999" s="61">
        <v>0</v>
      </c>
      <c r="F4999" s="61">
        <v>1464.36</v>
      </c>
      <c r="G4999" s="61">
        <v>0</v>
      </c>
      <c r="H4999" s="61">
        <v>0</v>
      </c>
      <c r="I4999" s="61">
        <v>0</v>
      </c>
      <c r="J4999" s="61">
        <f t="shared" si="40"/>
        <v>1464.36</v>
      </c>
    </row>
    <row r="5000" spans="1:10" x14ac:dyDescent="0.25">
      <c r="A5000" s="67">
        <v>45777</v>
      </c>
      <c r="B5000" t="str">
        <f>IFERROR(IF(VLOOKUP(C5000,Hoja1!$B$1:$C$6191,2,0)="",_xlfn.XLOOKUP(C5000,Hoja1!$B$2:$B$6191,Hoja1!$A$2:$A$6191),VLOOKUP(C5000,Hoja1!$B$1:$C$6191,2,0)),"No esta en Infor")</f>
        <v>NAC1084</v>
      </c>
      <c r="C5000" t="s">
        <v>257</v>
      </c>
      <c r="D5000" s="61">
        <v>51</v>
      </c>
      <c r="F5000" s="61">
        <v>0</v>
      </c>
      <c r="G5000" s="61">
        <v>0</v>
      </c>
      <c r="H5000" s="61">
        <v>0</v>
      </c>
      <c r="I5000" s="61">
        <v>0</v>
      </c>
      <c r="J5000" s="61">
        <f t="shared" si="40"/>
        <v>51</v>
      </c>
    </row>
    <row r="5001" spans="1:10" x14ac:dyDescent="0.25">
      <c r="A5001" s="67">
        <v>45777</v>
      </c>
      <c r="B5001" t="str">
        <f>IFERROR(IF(VLOOKUP(C5001,Hoja1!$B$1:$C$6191,2,0)="",_xlfn.XLOOKUP(C5001,Hoja1!$B$2:$B$6191,Hoja1!$A$2:$A$6191),VLOOKUP(C5001,Hoja1!$B$1:$C$6191,2,0)),"No esta en Infor")</f>
        <v>NAC1594</v>
      </c>
      <c r="C5001" t="s">
        <v>791</v>
      </c>
      <c r="D5001" s="61">
        <v>0</v>
      </c>
      <c r="F5001" s="61">
        <v>0</v>
      </c>
      <c r="G5001" s="61">
        <v>625.33000000000004</v>
      </c>
      <c r="H5001" s="61">
        <v>0</v>
      </c>
      <c r="I5001" s="61">
        <v>0</v>
      </c>
      <c r="J5001" s="61">
        <f t="shared" si="40"/>
        <v>625.33000000000004</v>
      </c>
    </row>
    <row r="5002" spans="1:10" x14ac:dyDescent="0.25">
      <c r="A5002" s="67">
        <v>45777</v>
      </c>
      <c r="B5002" t="str">
        <f>IFERROR(IF(VLOOKUP(C5002,Hoja1!$B$1:$C$6191,2,0)="",_xlfn.XLOOKUP(C5002,Hoja1!$B$2:$B$6191,Hoja1!$A$2:$A$6191),VLOOKUP(C5002,Hoja1!$B$1:$C$6191,2,0)),"No esta en Infor")</f>
        <v>NAC1087</v>
      </c>
      <c r="C5002" t="s">
        <v>631</v>
      </c>
      <c r="D5002" s="61">
        <v>0</v>
      </c>
      <c r="F5002" s="61">
        <v>0</v>
      </c>
      <c r="G5002" s="61">
        <v>908</v>
      </c>
      <c r="H5002" s="61">
        <v>0</v>
      </c>
      <c r="I5002" s="61">
        <v>0</v>
      </c>
      <c r="J5002" s="61">
        <f t="shared" si="40"/>
        <v>908</v>
      </c>
    </row>
    <row r="5003" spans="1:10" x14ac:dyDescent="0.25">
      <c r="A5003" s="67">
        <v>45777</v>
      </c>
      <c r="B5003" t="str">
        <f>IFERROR(IF(VLOOKUP(C5003,Hoja1!$B$1:$C$6191,2,0)="",_xlfn.XLOOKUP(C5003,Hoja1!$B$2:$B$6191,Hoja1!$A$2:$A$6191),VLOOKUP(C5003,Hoja1!$B$1:$C$6191,2,0)),"No esta en Infor")</f>
        <v>NAC1105</v>
      </c>
      <c r="C5003" t="s">
        <v>32</v>
      </c>
      <c r="D5003" s="61">
        <v>4469.3900000000003</v>
      </c>
      <c r="F5003" s="61">
        <v>1883.37</v>
      </c>
      <c r="G5003" s="61">
        <v>-220.53</v>
      </c>
      <c r="H5003" s="61">
        <v>0</v>
      </c>
      <c r="I5003" s="61">
        <v>2890.5</v>
      </c>
      <c r="J5003" s="61">
        <f t="shared" si="40"/>
        <v>9022.73</v>
      </c>
    </row>
    <row r="5004" spans="1:10" x14ac:dyDescent="0.25">
      <c r="A5004" s="67">
        <v>45777</v>
      </c>
      <c r="B5004" t="str">
        <f>IFERROR(IF(VLOOKUP(C5004,Hoja1!$B$1:$C$6191,2,0)="",_xlfn.XLOOKUP(C5004,Hoja1!$B$2:$B$6191,Hoja1!$A$2:$A$6191),VLOOKUP(C5004,Hoja1!$B$1:$C$6191,2,0)),"No esta en Infor")</f>
        <v>NAC1106</v>
      </c>
      <c r="C5004" t="s">
        <v>259</v>
      </c>
      <c r="D5004" s="61">
        <v>788</v>
      </c>
      <c r="F5004" s="61">
        <v>0</v>
      </c>
      <c r="G5004" s="61">
        <v>0</v>
      </c>
      <c r="H5004" s="61">
        <v>0</v>
      </c>
      <c r="I5004" s="61">
        <v>0</v>
      </c>
      <c r="J5004" s="61">
        <f t="shared" si="40"/>
        <v>788</v>
      </c>
    </row>
    <row r="5005" spans="1:10" x14ac:dyDescent="0.25">
      <c r="A5005" s="67">
        <v>45777</v>
      </c>
      <c r="B5005" t="str">
        <f>IFERROR(IF(VLOOKUP(C5005,Hoja1!$B$1:$C$6191,2,0)="",_xlfn.XLOOKUP(C5005,Hoja1!$B$2:$B$6191,Hoja1!$A$2:$A$6191),VLOOKUP(C5005,Hoja1!$B$1:$C$6191,2,0)),"No esta en Infor")</f>
        <v>NAC1108</v>
      </c>
      <c r="C5005" t="s">
        <v>468</v>
      </c>
      <c r="D5005" s="61">
        <v>792</v>
      </c>
      <c r="F5005" s="61">
        <v>0</v>
      </c>
      <c r="G5005" s="61">
        <v>0</v>
      </c>
      <c r="H5005" s="61">
        <v>0</v>
      </c>
      <c r="I5005" s="61">
        <v>152.83000000000001</v>
      </c>
      <c r="J5005" s="61">
        <f t="shared" si="40"/>
        <v>944.83</v>
      </c>
    </row>
    <row r="5006" spans="1:10" x14ac:dyDescent="0.25">
      <c r="A5006" s="67">
        <v>45777</v>
      </c>
      <c r="B5006" t="str">
        <f>IFERROR(IF(VLOOKUP(C5006,Hoja1!$B$1:$C$6191,2,0)="",_xlfn.XLOOKUP(C5006,Hoja1!$B$2:$B$6191,Hoja1!$A$2:$A$6191),VLOOKUP(C5006,Hoja1!$B$1:$C$6191,2,0)),"No esta en Infor")</f>
        <v>NAC1111</v>
      </c>
      <c r="C5006" t="s">
        <v>2171</v>
      </c>
      <c r="D5006" s="61">
        <v>126421.88</v>
      </c>
      <c r="F5006" s="61">
        <v>0</v>
      </c>
      <c r="G5006" s="61">
        <v>0</v>
      </c>
      <c r="H5006" s="61">
        <v>0</v>
      </c>
      <c r="I5006" s="61">
        <v>0</v>
      </c>
      <c r="J5006" s="61">
        <f t="shared" si="40"/>
        <v>126421.88</v>
      </c>
    </row>
    <row r="5007" spans="1:10" x14ac:dyDescent="0.25">
      <c r="A5007" s="67">
        <v>45777</v>
      </c>
      <c r="B5007" t="str">
        <f>IFERROR(IF(VLOOKUP(C5007,Hoja1!$B$1:$C$6191,2,0)="",_xlfn.XLOOKUP(C5007,Hoja1!$B$2:$B$6191,Hoja1!$A$2:$A$6191),VLOOKUP(C5007,Hoja1!$B$1:$C$6191,2,0)),"No esta en Infor")</f>
        <v>NAC1114</v>
      </c>
      <c r="C5007" t="s">
        <v>408</v>
      </c>
      <c r="D5007" s="61">
        <v>2096.38</v>
      </c>
      <c r="F5007" s="61">
        <v>0</v>
      </c>
      <c r="G5007" s="61">
        <v>0</v>
      </c>
      <c r="H5007" s="61">
        <v>0</v>
      </c>
      <c r="I5007" s="61">
        <v>-196.34</v>
      </c>
      <c r="J5007" s="61">
        <f t="shared" si="40"/>
        <v>1900.0400000000002</v>
      </c>
    </row>
    <row r="5008" spans="1:10" x14ac:dyDescent="0.25">
      <c r="A5008" s="67">
        <v>45777</v>
      </c>
      <c r="B5008" t="str">
        <f>IFERROR(IF(VLOOKUP(C5008,Hoja1!$B$1:$C$6191,2,0)="",_xlfn.XLOOKUP(C5008,Hoja1!$B$2:$B$6191,Hoja1!$A$2:$A$6191),VLOOKUP(C5008,Hoja1!$B$1:$C$6191,2,0)),"No esta en Infor")</f>
        <v>NAC1119</v>
      </c>
      <c r="C5008" t="s">
        <v>514</v>
      </c>
      <c r="D5008" s="61">
        <v>3786.27</v>
      </c>
      <c r="F5008" s="61">
        <v>0</v>
      </c>
      <c r="G5008" s="61">
        <v>0</v>
      </c>
      <c r="H5008" s="61">
        <v>0</v>
      </c>
      <c r="I5008" s="61">
        <v>0</v>
      </c>
      <c r="J5008" s="61">
        <f t="shared" si="40"/>
        <v>3786.27</v>
      </c>
    </row>
    <row r="5009" spans="1:10" x14ac:dyDescent="0.25">
      <c r="A5009" s="67">
        <v>45777</v>
      </c>
      <c r="B5009" t="str">
        <f>IFERROR(IF(VLOOKUP(C5009,Hoja1!$B$1:$C$6191,2,0)="",_xlfn.XLOOKUP(C5009,Hoja1!$B$2:$B$6191,Hoja1!$A$2:$A$6191),VLOOKUP(C5009,Hoja1!$B$1:$C$6191,2,0)),"No esta en Infor")</f>
        <v>NAC1122</v>
      </c>
      <c r="C5009" t="s">
        <v>515</v>
      </c>
      <c r="D5009" s="61">
        <v>962</v>
      </c>
      <c r="F5009" s="61">
        <v>9560.2000000000007</v>
      </c>
      <c r="G5009" s="61">
        <v>1499</v>
      </c>
      <c r="H5009" s="61">
        <v>0</v>
      </c>
      <c r="I5009" s="61">
        <v>0</v>
      </c>
      <c r="J5009" s="61">
        <f t="shared" si="40"/>
        <v>12021.2</v>
      </c>
    </row>
    <row r="5010" spans="1:10" x14ac:dyDescent="0.25">
      <c r="A5010" s="67">
        <v>45777</v>
      </c>
      <c r="B5010" t="str">
        <f>IFERROR(IF(VLOOKUP(C5010,Hoja1!$B$1:$C$6191,2,0)="",_xlfn.XLOOKUP(C5010,Hoja1!$B$2:$B$6191,Hoja1!$A$2:$A$6191),VLOOKUP(C5010,Hoja1!$B$1:$C$6191,2,0)),"No esta en Infor")</f>
        <v>CAN0037</v>
      </c>
      <c r="C5010" t="s">
        <v>687</v>
      </c>
      <c r="D5010" s="61">
        <v>27802.14</v>
      </c>
      <c r="F5010" s="61">
        <v>79.78</v>
      </c>
      <c r="G5010" s="61">
        <v>24.81</v>
      </c>
      <c r="H5010" s="61">
        <v>-240.46</v>
      </c>
      <c r="I5010" s="61">
        <v>-4056.13</v>
      </c>
      <c r="J5010" s="61">
        <f t="shared" si="40"/>
        <v>23610.14</v>
      </c>
    </row>
    <row r="5011" spans="1:10" x14ac:dyDescent="0.25">
      <c r="A5011" s="67">
        <v>45777</v>
      </c>
      <c r="B5011" t="str">
        <f>IFERROR(IF(VLOOKUP(C5011,Hoja1!$B$1:$C$6191,2,0)="",_xlfn.XLOOKUP(C5011,Hoja1!$B$2:$B$6191,Hoja1!$A$2:$A$6191),VLOOKUP(C5011,Hoja1!$B$1:$C$6191,2,0)),"No esta en Infor")</f>
        <v>NAC1128</v>
      </c>
      <c r="C5011" t="s">
        <v>263</v>
      </c>
      <c r="D5011" s="61">
        <v>8687.25</v>
      </c>
      <c r="F5011" s="61">
        <v>0</v>
      </c>
      <c r="G5011" s="61">
        <v>0</v>
      </c>
      <c r="H5011" s="61">
        <v>0</v>
      </c>
      <c r="I5011" s="61">
        <v>0</v>
      </c>
      <c r="J5011" s="61">
        <f t="shared" si="40"/>
        <v>8687.25</v>
      </c>
    </row>
    <row r="5012" spans="1:10" x14ac:dyDescent="0.25">
      <c r="A5012" s="67">
        <v>45777</v>
      </c>
      <c r="B5012" t="str">
        <f>IFERROR(IF(VLOOKUP(C5012,Hoja1!$B$1:$C$6191,2,0)="",_xlfn.XLOOKUP(C5012,Hoja1!$B$2:$B$6191,Hoja1!$A$2:$A$6191),VLOOKUP(C5012,Hoja1!$B$1:$C$6191,2,0)),"No esta en Infor")</f>
        <v>CAN0038</v>
      </c>
      <c r="C5012" t="s">
        <v>264</v>
      </c>
      <c r="D5012" s="61">
        <v>372.9</v>
      </c>
      <c r="F5012" s="61">
        <v>1640.76</v>
      </c>
      <c r="G5012" s="61">
        <v>-3834.29</v>
      </c>
      <c r="H5012" s="61">
        <v>0</v>
      </c>
      <c r="I5012" s="61">
        <v>0</v>
      </c>
      <c r="J5012" s="61">
        <f t="shared" si="40"/>
        <v>-1820.63</v>
      </c>
    </row>
    <row r="5013" spans="1:10" x14ac:dyDescent="0.25">
      <c r="A5013" s="67">
        <v>45777</v>
      </c>
      <c r="B5013" t="str">
        <f>IFERROR(IF(VLOOKUP(C5013,Hoja1!$B$1:$C$6191,2,0)="",_xlfn.XLOOKUP(C5013,Hoja1!$B$2:$B$6191,Hoja1!$A$2:$A$6191),VLOOKUP(C5013,Hoja1!$B$1:$C$6191,2,0)),"No esta en Infor")</f>
        <v>CAN0039</v>
      </c>
      <c r="C5013" t="s">
        <v>265</v>
      </c>
      <c r="D5013" s="61">
        <v>61495.92</v>
      </c>
      <c r="F5013" s="61">
        <v>0</v>
      </c>
      <c r="G5013" s="61">
        <v>0</v>
      </c>
      <c r="H5013" s="61">
        <v>0</v>
      </c>
      <c r="I5013" s="61">
        <v>0</v>
      </c>
      <c r="J5013" s="61">
        <f t="shared" si="40"/>
        <v>61495.92</v>
      </c>
    </row>
    <row r="5014" spans="1:10" x14ac:dyDescent="0.25">
      <c r="A5014" s="67">
        <v>45777</v>
      </c>
      <c r="B5014" t="str">
        <f>IFERROR(IF(VLOOKUP(C5014,Hoja1!$B$1:$C$6191,2,0)="",_xlfn.XLOOKUP(C5014,Hoja1!$B$2:$B$6191,Hoja1!$A$2:$A$6191),VLOOKUP(C5014,Hoja1!$B$1:$C$6191,2,0)),"No esta en Infor")</f>
        <v>NAC1135</v>
      </c>
      <c r="C5014" t="s">
        <v>689</v>
      </c>
      <c r="D5014" s="61">
        <v>0</v>
      </c>
      <c r="F5014" s="61">
        <v>-2038.7</v>
      </c>
      <c r="G5014" s="61">
        <v>0</v>
      </c>
      <c r="H5014" s="61">
        <v>0</v>
      </c>
      <c r="I5014" s="61">
        <v>0</v>
      </c>
      <c r="J5014" s="61">
        <f t="shared" si="40"/>
        <v>-2038.7</v>
      </c>
    </row>
    <row r="5015" spans="1:10" x14ac:dyDescent="0.25">
      <c r="A5015" s="67">
        <v>45777</v>
      </c>
      <c r="B5015" t="str">
        <f>IFERROR(IF(VLOOKUP(C5015,Hoja1!$B$1:$C$6191,2,0)="",_xlfn.XLOOKUP(C5015,Hoja1!$B$2:$B$6191,Hoja1!$A$2:$A$6191),VLOOKUP(C5015,Hoja1!$B$1:$C$6191,2,0)),"No esta en Infor")</f>
        <v>NAC1611</v>
      </c>
      <c r="C5015" t="s">
        <v>565</v>
      </c>
      <c r="D5015" s="61">
        <v>77679.83</v>
      </c>
      <c r="F5015" s="61">
        <v>253.5</v>
      </c>
      <c r="G5015" s="61">
        <v>0</v>
      </c>
      <c r="H5015" s="61">
        <v>-271.56</v>
      </c>
      <c r="I5015" s="61">
        <v>-3532.96</v>
      </c>
      <c r="J5015" s="61">
        <f t="shared" si="40"/>
        <v>74128.81</v>
      </c>
    </row>
    <row r="5016" spans="1:10" x14ac:dyDescent="0.25">
      <c r="A5016" s="67">
        <v>45777</v>
      </c>
      <c r="B5016" t="str">
        <f>IFERROR(IF(VLOOKUP(C5016,Hoja1!$B$1:$C$6191,2,0)="",_xlfn.XLOOKUP(C5016,Hoja1!$B$2:$B$6191,Hoja1!$A$2:$A$6191),VLOOKUP(C5016,Hoja1!$B$1:$C$6191,2,0)),"No esta en Infor")</f>
        <v>NAC1142</v>
      </c>
      <c r="C5016" t="s">
        <v>410</v>
      </c>
      <c r="D5016" s="61">
        <v>171.19</v>
      </c>
      <c r="F5016" s="61">
        <v>0</v>
      </c>
      <c r="G5016" s="61">
        <v>0</v>
      </c>
      <c r="H5016" s="61">
        <v>0</v>
      </c>
      <c r="I5016" s="61">
        <v>0</v>
      </c>
      <c r="J5016" s="61">
        <f t="shared" si="40"/>
        <v>171.19</v>
      </c>
    </row>
    <row r="5017" spans="1:10" x14ac:dyDescent="0.25">
      <c r="A5017" s="67">
        <v>45777</v>
      </c>
      <c r="B5017" t="str">
        <f>IFERROR(IF(VLOOKUP(C5017,Hoja1!$B$1:$C$6191,2,0)="",_xlfn.XLOOKUP(C5017,Hoja1!$B$2:$B$6191,Hoja1!$A$2:$A$6191),VLOOKUP(C5017,Hoja1!$B$1:$C$6191,2,0)),"No esta en Infor")</f>
        <v>NAC1143</v>
      </c>
      <c r="C5017" t="s">
        <v>268</v>
      </c>
      <c r="D5017" s="61">
        <v>4034.75</v>
      </c>
      <c r="F5017" s="61">
        <v>0</v>
      </c>
      <c r="G5017" s="61">
        <v>0</v>
      </c>
      <c r="H5017" s="61">
        <v>0</v>
      </c>
      <c r="I5017" s="61">
        <v>0</v>
      </c>
      <c r="J5017" s="61">
        <f t="shared" si="40"/>
        <v>4034.75</v>
      </c>
    </row>
    <row r="5018" spans="1:10" x14ac:dyDescent="0.25">
      <c r="A5018" s="67">
        <v>45777</v>
      </c>
      <c r="B5018" t="str">
        <f>IFERROR(IF(VLOOKUP(C5018,Hoja1!$B$1:$C$6191,2,0)="",_xlfn.XLOOKUP(C5018,Hoja1!$B$2:$B$6191,Hoja1!$A$2:$A$6191),VLOOKUP(C5018,Hoja1!$B$1:$C$6191,2,0)),"No esta en Infor")</f>
        <v>NAC1144</v>
      </c>
      <c r="C5018" t="s">
        <v>411</v>
      </c>
      <c r="D5018" s="61">
        <v>240</v>
      </c>
      <c r="F5018" s="61">
        <v>0</v>
      </c>
      <c r="G5018" s="61">
        <v>0</v>
      </c>
      <c r="H5018" s="61">
        <v>0</v>
      </c>
      <c r="I5018" s="61">
        <v>29.71</v>
      </c>
      <c r="J5018" s="61">
        <f t="shared" si="40"/>
        <v>269.70999999999998</v>
      </c>
    </row>
    <row r="5019" spans="1:10" x14ac:dyDescent="0.25">
      <c r="A5019" s="67">
        <v>45777</v>
      </c>
      <c r="B5019" t="str">
        <f>IFERROR(IF(VLOOKUP(C5019,Hoja1!$B$1:$C$6191,2,0)="",_xlfn.XLOOKUP(C5019,Hoja1!$B$2:$B$6191,Hoja1!$A$2:$A$6191),VLOOKUP(C5019,Hoja1!$B$1:$C$6191,2,0)),"No esta en Infor")</f>
        <v>NAC1146</v>
      </c>
      <c r="C5019" t="s">
        <v>33</v>
      </c>
      <c r="D5019" s="61">
        <v>6078.3</v>
      </c>
      <c r="F5019" s="61">
        <v>110.83</v>
      </c>
      <c r="G5019" s="61">
        <v>0</v>
      </c>
      <c r="H5019" s="61">
        <v>0</v>
      </c>
      <c r="I5019" s="61">
        <v>1602.35</v>
      </c>
      <c r="J5019" s="61">
        <f t="shared" ref="J5019:J5082" si="41">SUM(D5019:I5019)</f>
        <v>7791.48</v>
      </c>
    </row>
    <row r="5020" spans="1:10" x14ac:dyDescent="0.25">
      <c r="A5020" s="67">
        <v>45777</v>
      </c>
      <c r="B5020" t="str">
        <f>IFERROR(IF(VLOOKUP(C5020,Hoja1!$B$1:$C$6191,2,0)="",_xlfn.XLOOKUP(C5020,Hoja1!$B$2:$B$6191,Hoja1!$A$2:$A$6191),VLOOKUP(C5020,Hoja1!$B$1:$C$6191,2,0)),"No esta en Infor")</f>
        <v>NAC1148</v>
      </c>
      <c r="C5020" t="s">
        <v>270</v>
      </c>
      <c r="D5020" s="61">
        <v>26463.599999999999</v>
      </c>
      <c r="F5020" s="61">
        <v>1960</v>
      </c>
      <c r="G5020" s="61">
        <v>0</v>
      </c>
      <c r="H5020" s="61">
        <v>0</v>
      </c>
      <c r="I5020" s="61">
        <v>0</v>
      </c>
      <c r="J5020" s="61">
        <f t="shared" si="41"/>
        <v>28423.599999999999</v>
      </c>
    </row>
    <row r="5021" spans="1:10" x14ac:dyDescent="0.25">
      <c r="A5021" s="67">
        <v>45777</v>
      </c>
      <c r="B5021" t="str">
        <f>IFERROR(IF(VLOOKUP(C5021,Hoja1!$B$1:$C$6191,2,0)="",_xlfn.XLOOKUP(C5021,Hoja1!$B$2:$B$6191,Hoja1!$A$2:$A$6191),VLOOKUP(C5021,Hoja1!$B$1:$C$6191,2,0)),"No esta en Infor")</f>
        <v>NAC1151</v>
      </c>
      <c r="C5021" t="s">
        <v>271</v>
      </c>
      <c r="D5021" s="61">
        <v>-2335.12</v>
      </c>
      <c r="F5021" s="61">
        <v>0</v>
      </c>
      <c r="G5021" s="61">
        <v>0</v>
      </c>
      <c r="H5021" s="61">
        <v>0</v>
      </c>
      <c r="I5021" s="61">
        <v>-1172</v>
      </c>
      <c r="J5021" s="61">
        <f t="shared" si="41"/>
        <v>-3507.12</v>
      </c>
    </row>
    <row r="5022" spans="1:10" x14ac:dyDescent="0.25">
      <c r="A5022" s="67">
        <v>45777</v>
      </c>
      <c r="B5022" t="str">
        <f>IFERROR(IF(VLOOKUP(C5022,Hoja1!$B$1:$C$6191,2,0)="",_xlfn.XLOOKUP(C5022,Hoja1!$B$2:$B$6191,Hoja1!$A$2:$A$6191),VLOOKUP(C5022,Hoja1!$B$1:$C$6191,2,0)),"No esta en Infor")</f>
        <v>NAC1154</v>
      </c>
      <c r="C5022" t="s">
        <v>783</v>
      </c>
      <c r="D5022" s="61">
        <v>-32.340000000000003</v>
      </c>
      <c r="F5022" s="61">
        <v>152.24</v>
      </c>
      <c r="G5022" s="61">
        <v>0</v>
      </c>
      <c r="H5022" s="61">
        <v>0</v>
      </c>
      <c r="I5022" s="61">
        <v>0</v>
      </c>
      <c r="J5022" s="61">
        <f t="shared" si="41"/>
        <v>119.9</v>
      </c>
    </row>
    <row r="5023" spans="1:10" x14ac:dyDescent="0.25">
      <c r="A5023" s="67">
        <v>45777</v>
      </c>
      <c r="B5023" t="str">
        <f>IFERROR(IF(VLOOKUP(C5023,Hoja1!$B$1:$C$6191,2,0)="",_xlfn.XLOOKUP(C5023,Hoja1!$B$2:$B$6191,Hoja1!$A$2:$A$6191),VLOOKUP(C5023,Hoja1!$B$1:$C$6191,2,0)),"No esta en Infor")</f>
        <v>NAC1158</v>
      </c>
      <c r="C5023" t="s">
        <v>272</v>
      </c>
      <c r="D5023" s="61">
        <v>23765.52</v>
      </c>
      <c r="F5023" s="61">
        <v>0</v>
      </c>
      <c r="G5023" s="61">
        <v>0</v>
      </c>
      <c r="H5023" s="61">
        <v>0</v>
      </c>
      <c r="I5023" s="61">
        <v>0</v>
      </c>
      <c r="J5023" s="61">
        <f t="shared" si="41"/>
        <v>23765.52</v>
      </c>
    </row>
    <row r="5024" spans="1:10" x14ac:dyDescent="0.25">
      <c r="A5024" s="67">
        <v>45777</v>
      </c>
      <c r="B5024" t="str">
        <f>IFERROR(IF(VLOOKUP(C5024,Hoja1!$B$1:$C$6191,2,0)="",_xlfn.XLOOKUP(C5024,Hoja1!$B$2:$B$6191,Hoja1!$A$2:$A$6191),VLOOKUP(C5024,Hoja1!$B$1:$C$6191,2,0)),"No esta en Infor")</f>
        <v>NAC1604</v>
      </c>
      <c r="C5024" t="s">
        <v>693</v>
      </c>
      <c r="D5024" s="61">
        <v>118731.49</v>
      </c>
      <c r="F5024" s="61">
        <v>0</v>
      </c>
      <c r="G5024" s="61">
        <v>0</v>
      </c>
      <c r="H5024" s="61">
        <v>0</v>
      </c>
      <c r="I5024" s="61">
        <v>0</v>
      </c>
      <c r="J5024" s="61">
        <f t="shared" si="41"/>
        <v>118731.49</v>
      </c>
    </row>
    <row r="5025" spans="1:10" x14ac:dyDescent="0.25">
      <c r="A5025" s="67">
        <v>45777</v>
      </c>
      <c r="B5025" t="str">
        <f>IFERROR(IF(VLOOKUP(C5025,Hoja1!$B$1:$C$6191,2,0)="",_xlfn.XLOOKUP(C5025,Hoja1!$B$2:$B$6191,Hoja1!$A$2:$A$6191),VLOOKUP(C5025,Hoja1!$B$1:$C$6191,2,0)),"No esta en Infor")</f>
        <v>NAC1167</v>
      </c>
      <c r="C5025" t="s">
        <v>34</v>
      </c>
      <c r="D5025" s="61">
        <v>5242.89</v>
      </c>
      <c r="F5025" s="61">
        <v>0</v>
      </c>
      <c r="G5025" s="61">
        <v>0</v>
      </c>
      <c r="H5025" s="61">
        <v>0</v>
      </c>
      <c r="I5025" s="61">
        <v>0</v>
      </c>
      <c r="J5025" s="61">
        <f t="shared" si="41"/>
        <v>5242.89</v>
      </c>
    </row>
    <row r="5026" spans="1:10" x14ac:dyDescent="0.25">
      <c r="A5026" s="67">
        <v>45777</v>
      </c>
      <c r="B5026" t="str">
        <f>IFERROR(IF(VLOOKUP(C5026,Hoja1!$B$1:$C$6191,2,0)="",_xlfn.XLOOKUP(C5026,Hoja1!$B$2:$B$6191,Hoja1!$A$2:$A$6191),VLOOKUP(C5026,Hoja1!$B$1:$C$6191,2,0)),"No esta en Infor")</f>
        <v>NAC1168</v>
      </c>
      <c r="C5026" t="s">
        <v>277</v>
      </c>
      <c r="D5026" s="61">
        <v>265.5</v>
      </c>
      <c r="F5026" s="61">
        <v>0</v>
      </c>
      <c r="G5026" s="61">
        <v>0</v>
      </c>
      <c r="H5026" s="61">
        <v>0</v>
      </c>
      <c r="I5026" s="61">
        <v>0</v>
      </c>
      <c r="J5026" s="61">
        <f t="shared" si="41"/>
        <v>265.5</v>
      </c>
    </row>
    <row r="5027" spans="1:10" x14ac:dyDescent="0.25">
      <c r="A5027" s="67">
        <v>45777</v>
      </c>
      <c r="B5027" t="str">
        <f>IFERROR(IF(VLOOKUP(C5027,Hoja1!$B$1:$C$6191,2,0)="",_xlfn.XLOOKUP(C5027,Hoja1!$B$2:$B$6191,Hoja1!$A$2:$A$6191),VLOOKUP(C5027,Hoja1!$B$1:$C$6191,2,0)),"No esta en Infor")</f>
        <v>NAC1170</v>
      </c>
      <c r="C5027" t="s">
        <v>278</v>
      </c>
      <c r="D5027" s="61">
        <v>0</v>
      </c>
      <c r="F5027" s="61">
        <v>-1802.85</v>
      </c>
      <c r="G5027" s="61">
        <v>2126.4699999999998</v>
      </c>
      <c r="H5027" s="61">
        <v>0</v>
      </c>
      <c r="I5027" s="61">
        <v>0</v>
      </c>
      <c r="J5027" s="61">
        <f t="shared" si="41"/>
        <v>323.61999999999989</v>
      </c>
    </row>
    <row r="5028" spans="1:10" x14ac:dyDescent="0.25">
      <c r="A5028" s="67">
        <v>45777</v>
      </c>
      <c r="B5028" t="str">
        <f>IFERROR(IF(VLOOKUP(C5028,Hoja1!$B$1:$C$6191,2,0)="",_xlfn.XLOOKUP(C5028,Hoja1!$B$2:$B$6191,Hoja1!$A$2:$A$6191),VLOOKUP(C5028,Hoja1!$B$1:$C$6191,2,0)),"No esta en Infor")</f>
        <v>NAC1173</v>
      </c>
      <c r="C5028" t="s">
        <v>2260</v>
      </c>
      <c r="D5028" s="61">
        <v>236.36</v>
      </c>
      <c r="F5028" s="61">
        <v>0</v>
      </c>
      <c r="G5028" s="61">
        <v>0</v>
      </c>
      <c r="H5028" s="61">
        <v>0</v>
      </c>
      <c r="I5028" s="61">
        <v>0</v>
      </c>
      <c r="J5028" s="61">
        <f t="shared" si="41"/>
        <v>236.36</v>
      </c>
    </row>
    <row r="5029" spans="1:10" x14ac:dyDescent="0.25">
      <c r="A5029" s="67">
        <v>45777</v>
      </c>
      <c r="B5029" t="str">
        <f>IFERROR(IF(VLOOKUP(C5029,Hoja1!$B$1:$C$6191,2,0)="",_xlfn.XLOOKUP(C5029,Hoja1!$B$2:$B$6191,Hoja1!$A$2:$A$6191),VLOOKUP(C5029,Hoja1!$B$1:$C$6191,2,0)),"No esta en Infor")</f>
        <v>NAC1174</v>
      </c>
      <c r="C5029" t="s">
        <v>279</v>
      </c>
      <c r="D5029" s="61">
        <v>51.84</v>
      </c>
      <c r="F5029" s="61">
        <v>102.96</v>
      </c>
      <c r="G5029" s="61">
        <v>0</v>
      </c>
      <c r="H5029" s="61">
        <v>0</v>
      </c>
      <c r="I5029" s="61">
        <v>0</v>
      </c>
      <c r="J5029" s="61">
        <f t="shared" si="41"/>
        <v>154.80000000000001</v>
      </c>
    </row>
    <row r="5030" spans="1:10" x14ac:dyDescent="0.25">
      <c r="A5030" s="67">
        <v>45777</v>
      </c>
      <c r="B5030" t="str">
        <f>IFERROR(IF(VLOOKUP(C5030,Hoja1!$B$1:$C$6191,2,0)="",_xlfn.XLOOKUP(C5030,Hoja1!$B$2:$B$6191,Hoja1!$A$2:$A$6191),VLOOKUP(C5030,Hoja1!$B$1:$C$6191,2,0)),"No esta en Infor")</f>
        <v>NAC1177</v>
      </c>
      <c r="C5030" t="s">
        <v>566</v>
      </c>
      <c r="D5030" s="61">
        <v>0</v>
      </c>
      <c r="F5030" s="61">
        <v>0</v>
      </c>
      <c r="G5030" s="61">
        <v>0</v>
      </c>
      <c r="H5030" s="61">
        <v>-14.41</v>
      </c>
      <c r="I5030" s="61">
        <v>0</v>
      </c>
      <c r="J5030" s="61">
        <f t="shared" si="41"/>
        <v>-14.41</v>
      </c>
    </row>
    <row r="5031" spans="1:10" x14ac:dyDescent="0.25">
      <c r="A5031" s="67">
        <v>45777</v>
      </c>
      <c r="B5031" t="str">
        <f>IFERROR(IF(VLOOKUP(C5031,Hoja1!$B$1:$C$6191,2,0)="",_xlfn.XLOOKUP(C5031,Hoja1!$B$2:$B$6191,Hoja1!$A$2:$A$6191),VLOOKUP(C5031,Hoja1!$B$1:$C$6191,2,0)),"No esta en Infor")</f>
        <v>CAN0043</v>
      </c>
      <c r="C5031" t="s">
        <v>280</v>
      </c>
      <c r="D5031" s="61">
        <v>8179.69</v>
      </c>
      <c r="F5031" s="61">
        <v>0</v>
      </c>
      <c r="G5031" s="61">
        <v>0</v>
      </c>
      <c r="H5031" s="61">
        <v>0</v>
      </c>
      <c r="I5031" s="61">
        <v>0</v>
      </c>
      <c r="J5031" s="61">
        <f t="shared" si="41"/>
        <v>8179.69</v>
      </c>
    </row>
    <row r="5032" spans="1:10" x14ac:dyDescent="0.25">
      <c r="A5032" s="67">
        <v>45777</v>
      </c>
      <c r="B5032" t="str">
        <f>IFERROR(IF(VLOOKUP(C5032,Hoja1!$B$1:$C$6191,2,0)="",_xlfn.XLOOKUP(C5032,Hoja1!$B$2:$B$6191,Hoja1!$A$2:$A$6191),VLOOKUP(C5032,Hoja1!$B$1:$C$6191,2,0)),"No esta en Infor")</f>
        <v>NAC1187</v>
      </c>
      <c r="C5032" t="s">
        <v>471</v>
      </c>
      <c r="D5032" s="61">
        <v>0</v>
      </c>
      <c r="F5032" s="61">
        <v>0</v>
      </c>
      <c r="G5032" s="61">
        <v>0</v>
      </c>
      <c r="H5032" s="61">
        <v>0</v>
      </c>
      <c r="I5032" s="61">
        <v>882</v>
      </c>
      <c r="J5032" s="61">
        <f t="shared" si="41"/>
        <v>882</v>
      </c>
    </row>
    <row r="5033" spans="1:10" x14ac:dyDescent="0.25">
      <c r="A5033" s="67">
        <v>45777</v>
      </c>
      <c r="B5033" t="str">
        <f>IFERROR(IF(VLOOKUP(C5033,Hoja1!$B$1:$C$6191,2,0)="",_xlfn.XLOOKUP(C5033,Hoja1!$B$2:$B$6191,Hoja1!$A$2:$A$6191),VLOOKUP(C5033,Hoja1!$B$1:$C$6191,2,0)),"No esta en Infor")</f>
        <v>NAC1185</v>
      </c>
      <c r="C5033" t="s">
        <v>785</v>
      </c>
      <c r="D5033" s="61">
        <v>76.510000000000005</v>
      </c>
      <c r="F5033" s="61">
        <v>0</v>
      </c>
      <c r="G5033" s="61">
        <v>0</v>
      </c>
      <c r="H5033" s="61">
        <v>0</v>
      </c>
      <c r="I5033" s="61">
        <v>0</v>
      </c>
      <c r="J5033" s="61">
        <f t="shared" si="41"/>
        <v>76.510000000000005</v>
      </c>
    </row>
    <row r="5034" spans="1:10" x14ac:dyDescent="0.25">
      <c r="A5034" s="67">
        <v>45777</v>
      </c>
      <c r="B5034" t="str">
        <f>IFERROR(IF(VLOOKUP(C5034,Hoja1!$B$1:$C$6191,2,0)="",_xlfn.XLOOKUP(C5034,Hoja1!$B$2:$B$6191,Hoja1!$A$2:$A$6191),VLOOKUP(C5034,Hoja1!$B$1:$C$6191,2,0)),"No esta en Infor")</f>
        <v>CAN0044</v>
      </c>
      <c r="C5034" t="s">
        <v>35</v>
      </c>
      <c r="D5034" s="61">
        <v>63630.8</v>
      </c>
      <c r="F5034" s="61">
        <v>0</v>
      </c>
      <c r="G5034" s="61">
        <v>0</v>
      </c>
      <c r="H5034" s="61">
        <v>0</v>
      </c>
      <c r="I5034" s="61">
        <v>0</v>
      </c>
      <c r="J5034" s="61">
        <f t="shared" si="41"/>
        <v>63630.8</v>
      </c>
    </row>
    <row r="5035" spans="1:10" x14ac:dyDescent="0.25">
      <c r="A5035" s="67">
        <v>45777</v>
      </c>
      <c r="B5035" t="str">
        <f>IFERROR(IF(VLOOKUP(C5035,Hoja1!$B$1:$C$6191,2,0)="",_xlfn.XLOOKUP(C5035,Hoja1!$B$2:$B$6191,Hoja1!$A$2:$A$6191),VLOOKUP(C5035,Hoja1!$B$1:$C$6191,2,0)),"No esta en Infor")</f>
        <v>CAN0046</v>
      </c>
      <c r="C5035" t="s">
        <v>283</v>
      </c>
      <c r="D5035" s="61">
        <v>281</v>
      </c>
      <c r="F5035" s="61">
        <v>0</v>
      </c>
      <c r="G5035" s="61">
        <v>0</v>
      </c>
      <c r="H5035" s="61">
        <v>0</v>
      </c>
      <c r="I5035" s="61">
        <v>0</v>
      </c>
      <c r="J5035" s="61">
        <f t="shared" si="41"/>
        <v>281</v>
      </c>
    </row>
    <row r="5036" spans="1:10" x14ac:dyDescent="0.25">
      <c r="A5036" s="67">
        <v>45777</v>
      </c>
      <c r="B5036" t="str">
        <f>IFERROR(IF(VLOOKUP(C5036,Hoja1!$B$1:$C$6191,2,0)="",_xlfn.XLOOKUP(C5036,Hoja1!$B$2:$B$6191,Hoja1!$A$2:$A$6191),VLOOKUP(C5036,Hoja1!$B$1:$C$6191,2,0)),"No esta en Infor")</f>
        <v>CAN0048</v>
      </c>
      <c r="C5036" t="s">
        <v>567</v>
      </c>
      <c r="D5036" s="61">
        <v>0</v>
      </c>
      <c r="F5036" s="61">
        <v>0</v>
      </c>
      <c r="G5036" s="61">
        <v>0</v>
      </c>
      <c r="H5036" s="61">
        <v>-12463.9</v>
      </c>
      <c r="I5036" s="61">
        <v>0</v>
      </c>
      <c r="J5036" s="61">
        <f t="shared" si="41"/>
        <v>-12463.9</v>
      </c>
    </row>
    <row r="5037" spans="1:10" x14ac:dyDescent="0.25">
      <c r="A5037" s="67">
        <v>45777</v>
      </c>
      <c r="B5037" t="str">
        <f>IFERROR(IF(VLOOKUP(C5037,Hoja1!$B$1:$C$6191,2,0)="",_xlfn.XLOOKUP(C5037,Hoja1!$B$2:$B$6191,Hoja1!$A$2:$A$6191),VLOOKUP(C5037,Hoja1!$B$1:$C$6191,2,0)),"No esta en Infor")</f>
        <v>NAC1200</v>
      </c>
      <c r="C5037" t="s">
        <v>473</v>
      </c>
      <c r="D5037" s="61">
        <v>0</v>
      </c>
      <c r="F5037" s="61">
        <v>0</v>
      </c>
      <c r="G5037" s="61">
        <v>0</v>
      </c>
      <c r="H5037" s="61">
        <v>0</v>
      </c>
      <c r="I5037" s="61">
        <v>24.37</v>
      </c>
      <c r="J5037" s="61">
        <f t="shared" si="41"/>
        <v>24.37</v>
      </c>
    </row>
    <row r="5038" spans="1:10" x14ac:dyDescent="0.25">
      <c r="A5038" s="67">
        <v>45777</v>
      </c>
      <c r="B5038" t="str">
        <f>IFERROR(IF(VLOOKUP(C5038,Hoja1!$B$1:$C$6191,2,0)="",_xlfn.XLOOKUP(C5038,Hoja1!$B$2:$B$6191,Hoja1!$A$2:$A$6191),VLOOKUP(C5038,Hoja1!$B$1:$C$6191,2,0)),"No esta en Infor")</f>
        <v>NAC1207</v>
      </c>
      <c r="C5038" t="s">
        <v>417</v>
      </c>
      <c r="D5038" s="61">
        <v>2593.12</v>
      </c>
      <c r="F5038" s="61">
        <v>0</v>
      </c>
      <c r="G5038" s="61">
        <v>1505.05</v>
      </c>
      <c r="H5038" s="61">
        <v>0</v>
      </c>
      <c r="I5038" s="61">
        <v>0</v>
      </c>
      <c r="J5038" s="61">
        <f t="shared" si="41"/>
        <v>4098.17</v>
      </c>
    </row>
    <row r="5039" spans="1:10" x14ac:dyDescent="0.25">
      <c r="A5039" s="67">
        <v>45777</v>
      </c>
      <c r="B5039" t="str">
        <f>IFERROR(IF(VLOOKUP(C5039,Hoja1!$B$1:$C$6191,2,0)="",_xlfn.XLOOKUP(C5039,Hoja1!$B$2:$B$6191,Hoja1!$A$2:$A$6191),VLOOKUP(C5039,Hoja1!$B$1:$C$6191,2,0)),"No esta en Infor")</f>
        <v>NAC1209</v>
      </c>
      <c r="C5039" t="s">
        <v>753</v>
      </c>
      <c r="D5039" s="61">
        <v>0</v>
      </c>
      <c r="F5039" s="61">
        <v>0</v>
      </c>
      <c r="G5039" s="61">
        <v>178</v>
      </c>
      <c r="H5039" s="61">
        <v>0</v>
      </c>
      <c r="I5039" s="61">
        <v>0</v>
      </c>
      <c r="J5039" s="61">
        <f t="shared" si="41"/>
        <v>178</v>
      </c>
    </row>
    <row r="5040" spans="1:10" x14ac:dyDescent="0.25">
      <c r="A5040" s="67">
        <v>45777</v>
      </c>
      <c r="B5040" t="str">
        <f>IFERROR(IF(VLOOKUP(C5040,Hoja1!$B$1:$C$6191,2,0)="",_xlfn.XLOOKUP(C5040,Hoja1!$B$2:$B$6191,Hoja1!$A$2:$A$6191),VLOOKUP(C5040,Hoja1!$B$1:$C$6191,2,0)),"No esta en Infor")</f>
        <v>NAC1212</v>
      </c>
      <c r="C5040" t="s">
        <v>285</v>
      </c>
      <c r="D5040" s="61">
        <v>30978.6</v>
      </c>
      <c r="F5040" s="61">
        <v>0</v>
      </c>
      <c r="G5040" s="61">
        <v>0</v>
      </c>
      <c r="H5040" s="61">
        <v>0</v>
      </c>
      <c r="I5040" s="61">
        <v>0</v>
      </c>
      <c r="J5040" s="61">
        <f t="shared" si="41"/>
        <v>30978.6</v>
      </c>
    </row>
    <row r="5041" spans="1:10" x14ac:dyDescent="0.25">
      <c r="A5041" s="67">
        <v>45777</v>
      </c>
      <c r="B5041" t="str">
        <f>IFERROR(IF(VLOOKUP(C5041,Hoja1!$B$1:$C$6191,2,0)="",_xlfn.XLOOKUP(C5041,Hoja1!$B$2:$B$6191,Hoja1!$A$2:$A$6191),VLOOKUP(C5041,Hoja1!$B$1:$C$6191,2,0)),"No esta en Infor")</f>
        <v>NAC1211</v>
      </c>
      <c r="C5041" t="s">
        <v>284</v>
      </c>
      <c r="D5041" s="61">
        <v>83770.92</v>
      </c>
      <c r="F5041" s="61">
        <v>0</v>
      </c>
      <c r="G5041" s="61">
        <v>0</v>
      </c>
      <c r="H5041" s="61">
        <v>0</v>
      </c>
      <c r="I5041" s="61">
        <v>0</v>
      </c>
      <c r="J5041" s="61">
        <f t="shared" si="41"/>
        <v>83770.92</v>
      </c>
    </row>
    <row r="5042" spans="1:10" x14ac:dyDescent="0.25">
      <c r="A5042" s="67">
        <v>45777</v>
      </c>
      <c r="B5042" t="str">
        <f>IFERROR(IF(VLOOKUP(C5042,Hoja1!$B$1:$C$6191,2,0)="",_xlfn.XLOOKUP(C5042,Hoja1!$B$2:$B$6191,Hoja1!$A$2:$A$6191),VLOOKUP(C5042,Hoja1!$B$1:$C$6191,2,0)),"No esta en Infor")</f>
        <v>NAC1216</v>
      </c>
      <c r="C5042" t="s">
        <v>287</v>
      </c>
      <c r="D5042" s="61">
        <v>529.67999999999995</v>
      </c>
      <c r="F5042" s="61">
        <v>0</v>
      </c>
      <c r="G5042" s="61">
        <v>0</v>
      </c>
      <c r="H5042" s="61">
        <v>32.979999999999997</v>
      </c>
      <c r="I5042" s="61">
        <v>0</v>
      </c>
      <c r="J5042" s="61">
        <f t="shared" si="41"/>
        <v>562.66</v>
      </c>
    </row>
    <row r="5043" spans="1:10" x14ac:dyDescent="0.25">
      <c r="A5043" s="67">
        <v>45777</v>
      </c>
      <c r="B5043" t="str">
        <f>IFERROR(IF(VLOOKUP(C5043,Hoja1!$B$1:$C$6191,2,0)="",_xlfn.XLOOKUP(C5043,Hoja1!$B$2:$B$6191,Hoja1!$A$2:$A$6191),VLOOKUP(C5043,Hoja1!$B$1:$C$6191,2,0)),"No esta en Infor")</f>
        <v>NAC1218</v>
      </c>
      <c r="C5043" t="s">
        <v>474</v>
      </c>
      <c r="D5043" s="61">
        <v>0</v>
      </c>
      <c r="F5043" s="61">
        <v>2264.9</v>
      </c>
      <c r="G5043" s="61">
        <v>0</v>
      </c>
      <c r="H5043" s="61">
        <v>0</v>
      </c>
      <c r="I5043" s="61">
        <v>0</v>
      </c>
      <c r="J5043" s="61">
        <f t="shared" si="41"/>
        <v>2264.9</v>
      </c>
    </row>
    <row r="5044" spans="1:10" x14ac:dyDescent="0.25">
      <c r="A5044" s="67">
        <v>45777</v>
      </c>
      <c r="B5044" t="str">
        <f>IFERROR(IF(VLOOKUP(C5044,Hoja1!$B$1:$C$6191,2,0)="",_xlfn.XLOOKUP(C5044,Hoja1!$B$2:$B$6191,Hoja1!$A$2:$A$6191),VLOOKUP(C5044,Hoja1!$B$1:$C$6191,2,0)),"No esta en Infor")</f>
        <v>NAC1219</v>
      </c>
      <c r="C5044" t="s">
        <v>475</v>
      </c>
      <c r="D5044" s="61">
        <v>0</v>
      </c>
      <c r="F5044" s="61">
        <v>0</v>
      </c>
      <c r="G5044" s="61">
        <v>0</v>
      </c>
      <c r="H5044" s="61">
        <v>0</v>
      </c>
      <c r="I5044" s="61">
        <v>-299.55</v>
      </c>
      <c r="J5044" s="61">
        <f t="shared" si="41"/>
        <v>-299.55</v>
      </c>
    </row>
    <row r="5045" spans="1:10" x14ac:dyDescent="0.25">
      <c r="A5045" s="67">
        <v>45777</v>
      </c>
      <c r="B5045" t="str">
        <f>IFERROR(IF(VLOOKUP(C5045,Hoja1!$B$1:$C$6191,2,0)="",_xlfn.XLOOKUP(C5045,Hoja1!$B$2:$B$6191,Hoja1!$A$2:$A$6191),VLOOKUP(C5045,Hoja1!$B$1:$C$6191,2,0)),"No esta en Infor")</f>
        <v>CAN0049</v>
      </c>
      <c r="C5045" t="s">
        <v>289</v>
      </c>
      <c r="D5045" s="61">
        <v>19365.14</v>
      </c>
      <c r="F5045" s="61">
        <v>0</v>
      </c>
      <c r="G5045" s="61">
        <v>0</v>
      </c>
      <c r="H5045" s="61">
        <v>0</v>
      </c>
      <c r="I5045" s="61">
        <v>0</v>
      </c>
      <c r="J5045" s="61">
        <f t="shared" si="41"/>
        <v>19365.14</v>
      </c>
    </row>
    <row r="5046" spans="1:10" x14ac:dyDescent="0.25">
      <c r="A5046" s="67">
        <v>45777</v>
      </c>
      <c r="B5046" t="str">
        <f>IFERROR(IF(VLOOKUP(C5046,Hoja1!$B$1:$C$6191,2,0)="",_xlfn.XLOOKUP(C5046,Hoja1!$B$2:$B$6191,Hoja1!$A$2:$A$6191),VLOOKUP(C5046,Hoja1!$B$1:$C$6191,2,0)),"No esta en Infor")</f>
        <v>NAC1228</v>
      </c>
      <c r="C5046" t="s">
        <v>569</v>
      </c>
      <c r="D5046" s="61">
        <v>49937.3</v>
      </c>
      <c r="F5046" s="61">
        <v>0</v>
      </c>
      <c r="G5046" s="61">
        <v>0</v>
      </c>
      <c r="H5046" s="61">
        <v>0</v>
      </c>
      <c r="I5046" s="61">
        <v>0</v>
      </c>
      <c r="J5046" s="61">
        <f t="shared" si="41"/>
        <v>49937.3</v>
      </c>
    </row>
    <row r="5047" spans="1:10" x14ac:dyDescent="0.25">
      <c r="A5047" s="67">
        <v>45777</v>
      </c>
      <c r="B5047" t="str">
        <f>IFERROR(IF(VLOOKUP(C5047,Hoja1!$B$1:$C$6191,2,0)="",_xlfn.XLOOKUP(C5047,Hoja1!$B$2:$B$6191,Hoja1!$A$2:$A$6191),VLOOKUP(C5047,Hoja1!$B$1:$C$6191,2,0)),"No esta en Infor")</f>
        <v>NAC1229</v>
      </c>
      <c r="C5047" t="s">
        <v>418</v>
      </c>
      <c r="D5047" s="61">
        <v>138</v>
      </c>
      <c r="F5047" s="61">
        <v>136.5</v>
      </c>
      <c r="G5047" s="61">
        <v>0</v>
      </c>
      <c r="H5047" s="61">
        <v>0</v>
      </c>
      <c r="I5047" s="61">
        <v>0</v>
      </c>
      <c r="J5047" s="61">
        <f t="shared" si="41"/>
        <v>274.5</v>
      </c>
    </row>
    <row r="5048" spans="1:10" x14ac:dyDescent="0.25">
      <c r="A5048" s="67">
        <v>45777</v>
      </c>
      <c r="B5048" t="str">
        <f>IFERROR(IF(VLOOKUP(C5048,Hoja1!$B$1:$C$6191,2,0)="",_xlfn.XLOOKUP(C5048,Hoja1!$B$2:$B$6191,Hoja1!$A$2:$A$6191),VLOOKUP(C5048,Hoja1!$B$1:$C$6191,2,0)),"No esta en Infor")</f>
        <v>NAC1231</v>
      </c>
      <c r="C5048" t="s">
        <v>290</v>
      </c>
      <c r="D5048" s="61">
        <v>7280</v>
      </c>
      <c r="F5048" s="61">
        <v>32055.1</v>
      </c>
      <c r="G5048" s="61">
        <v>0</v>
      </c>
      <c r="H5048" s="61">
        <v>0</v>
      </c>
      <c r="I5048" s="61">
        <v>0</v>
      </c>
      <c r="J5048" s="61">
        <f t="shared" si="41"/>
        <v>39335.1</v>
      </c>
    </row>
    <row r="5049" spans="1:10" x14ac:dyDescent="0.25">
      <c r="A5049" s="67">
        <v>45777</v>
      </c>
      <c r="B5049" t="str">
        <f>IFERROR(IF(VLOOKUP(C5049,Hoja1!$B$1:$C$6191,2,0)="",_xlfn.XLOOKUP(C5049,Hoja1!$B$2:$B$6191,Hoja1!$A$2:$A$6191),VLOOKUP(C5049,Hoja1!$B$1:$C$6191,2,0)),"No esta en Infor")</f>
        <v>CAN0050</v>
      </c>
      <c r="C5049" t="s">
        <v>291</v>
      </c>
      <c r="D5049" s="61">
        <v>28637.82</v>
      </c>
      <c r="F5049" s="61">
        <v>0</v>
      </c>
      <c r="G5049" s="61">
        <v>0</v>
      </c>
      <c r="H5049" s="61">
        <v>0</v>
      </c>
      <c r="I5049" s="61">
        <v>0</v>
      </c>
      <c r="J5049" s="61">
        <f t="shared" si="41"/>
        <v>28637.82</v>
      </c>
    </row>
    <row r="5050" spans="1:10" x14ac:dyDescent="0.25">
      <c r="A5050" s="67">
        <v>45777</v>
      </c>
      <c r="B5050" t="str">
        <f>IFERROR(IF(VLOOKUP(C5050,Hoja1!$B$1:$C$6191,2,0)="",_xlfn.XLOOKUP(C5050,Hoja1!$B$2:$B$6191,Hoja1!$A$2:$A$6191),VLOOKUP(C5050,Hoja1!$B$1:$C$6191,2,0)),"No esta en Infor")</f>
        <v>NAC1667</v>
      </c>
      <c r="C5050" t="s">
        <v>3038</v>
      </c>
      <c r="D5050" s="61">
        <v>4269.38</v>
      </c>
      <c r="F5050" s="61">
        <v>0</v>
      </c>
      <c r="G5050" s="61">
        <v>0</v>
      </c>
      <c r="H5050" s="61">
        <v>0</v>
      </c>
      <c r="I5050" s="61">
        <v>0</v>
      </c>
      <c r="J5050" s="61">
        <f t="shared" si="41"/>
        <v>4269.38</v>
      </c>
    </row>
    <row r="5051" spans="1:10" x14ac:dyDescent="0.25">
      <c r="A5051" s="67">
        <v>45777</v>
      </c>
      <c r="B5051" t="str">
        <f>IFERROR(IF(VLOOKUP(C5051,Hoja1!$B$1:$C$6191,2,0)="",_xlfn.XLOOKUP(C5051,Hoja1!$B$2:$B$6191,Hoja1!$A$2:$A$6191),VLOOKUP(C5051,Hoja1!$B$1:$C$6191,2,0)),"No esta en Infor")</f>
        <v>NAC1234</v>
      </c>
      <c r="C5051" t="s">
        <v>293</v>
      </c>
      <c r="D5051" s="61">
        <v>2284</v>
      </c>
      <c r="F5051" s="61">
        <v>0</v>
      </c>
      <c r="G5051" s="61">
        <v>0</v>
      </c>
      <c r="H5051" s="61">
        <v>0</v>
      </c>
      <c r="I5051" s="61">
        <v>0</v>
      </c>
      <c r="J5051" s="61">
        <f t="shared" si="41"/>
        <v>2284</v>
      </c>
    </row>
    <row r="5052" spans="1:10" x14ac:dyDescent="0.25">
      <c r="A5052" s="67">
        <v>45777</v>
      </c>
      <c r="B5052" t="str">
        <f>IFERROR(IF(VLOOKUP(C5052,Hoja1!$B$1:$C$6191,2,0)="",_xlfn.XLOOKUP(C5052,Hoja1!$B$2:$B$6191,Hoja1!$A$2:$A$6191),VLOOKUP(C5052,Hoja1!$B$1:$C$6191,2,0)),"No esta en Infor")</f>
        <v>NAC1236</v>
      </c>
      <c r="C5052" t="s">
        <v>518</v>
      </c>
      <c r="D5052" s="61">
        <v>361</v>
      </c>
      <c r="F5052" s="61">
        <v>0</v>
      </c>
      <c r="G5052" s="61">
        <v>0</v>
      </c>
      <c r="H5052" s="61">
        <v>0</v>
      </c>
      <c r="I5052" s="61">
        <v>0</v>
      </c>
      <c r="J5052" s="61">
        <f t="shared" si="41"/>
        <v>361</v>
      </c>
    </row>
    <row r="5053" spans="1:10" x14ac:dyDescent="0.25">
      <c r="A5053" s="67">
        <v>45777</v>
      </c>
      <c r="B5053" t="str">
        <f>IFERROR(IF(VLOOKUP(C5053,Hoja1!$B$1:$C$6191,2,0)="",_xlfn.XLOOKUP(C5053,Hoja1!$B$2:$B$6191,Hoja1!$A$2:$A$6191),VLOOKUP(C5053,Hoja1!$B$1:$C$6191,2,0)),"No esta en Infor")</f>
        <v>NAC1237</v>
      </c>
      <c r="C5053" t="s">
        <v>757</v>
      </c>
      <c r="D5053" s="61">
        <v>1855.5</v>
      </c>
      <c r="F5053" s="61">
        <v>0</v>
      </c>
      <c r="G5053" s="61">
        <v>0</v>
      </c>
      <c r="H5053" s="61">
        <v>0</v>
      </c>
      <c r="I5053" s="61">
        <v>0</v>
      </c>
      <c r="J5053" s="61">
        <f t="shared" si="41"/>
        <v>1855.5</v>
      </c>
    </row>
    <row r="5054" spans="1:10" x14ac:dyDescent="0.25">
      <c r="A5054" s="67">
        <v>45777</v>
      </c>
      <c r="B5054" t="str">
        <f>IFERROR(IF(VLOOKUP(C5054,Hoja1!$B$1:$C$6191,2,0)="",_xlfn.XLOOKUP(C5054,Hoja1!$B$2:$B$6191,Hoja1!$A$2:$A$6191),VLOOKUP(C5054,Hoja1!$B$1:$C$6191,2,0)),"No esta en Infor")</f>
        <v>NAC1243</v>
      </c>
      <c r="C5054" t="s">
        <v>297</v>
      </c>
      <c r="D5054" s="61">
        <v>1002</v>
      </c>
      <c r="F5054" s="61">
        <v>0</v>
      </c>
      <c r="G5054" s="61">
        <v>0</v>
      </c>
      <c r="H5054" s="61">
        <v>0</v>
      </c>
      <c r="I5054" s="61">
        <v>0</v>
      </c>
      <c r="J5054" s="61">
        <f t="shared" si="41"/>
        <v>1002</v>
      </c>
    </row>
    <row r="5055" spans="1:10" x14ac:dyDescent="0.25">
      <c r="A5055" s="67">
        <v>45777</v>
      </c>
      <c r="B5055" t="str">
        <f>IFERROR(IF(VLOOKUP(C5055,Hoja1!$B$1:$C$6191,2,0)="",_xlfn.XLOOKUP(C5055,Hoja1!$B$2:$B$6191,Hoja1!$A$2:$A$6191),VLOOKUP(C5055,Hoja1!$B$1:$C$6191,2,0)),"No esta en Infor")</f>
        <v>NAC1247</v>
      </c>
      <c r="C5055" t="s">
        <v>298</v>
      </c>
      <c r="D5055" s="61">
        <v>15997.5</v>
      </c>
      <c r="F5055" s="61">
        <v>0</v>
      </c>
      <c r="G5055" s="61">
        <v>0</v>
      </c>
      <c r="H5055" s="61">
        <v>0</v>
      </c>
      <c r="I5055" s="61">
        <v>0</v>
      </c>
      <c r="J5055" s="61">
        <f t="shared" si="41"/>
        <v>15997.5</v>
      </c>
    </row>
    <row r="5056" spans="1:10" x14ac:dyDescent="0.25">
      <c r="A5056" s="67">
        <v>45777</v>
      </c>
      <c r="B5056" t="str">
        <f>IFERROR(IF(VLOOKUP(C5056,Hoja1!$B$1:$C$6191,2,0)="",_xlfn.XLOOKUP(C5056,Hoja1!$B$2:$B$6191,Hoja1!$A$2:$A$6191),VLOOKUP(C5056,Hoja1!$B$1:$C$6191,2,0)),"No esta en Infor")</f>
        <v>NAC1694</v>
      </c>
      <c r="C5056" t="s">
        <v>3061</v>
      </c>
      <c r="D5056" s="61">
        <v>-2687.59</v>
      </c>
      <c r="F5056" s="61">
        <v>0</v>
      </c>
      <c r="G5056" s="61">
        <v>0</v>
      </c>
      <c r="H5056" s="61">
        <v>0</v>
      </c>
      <c r="I5056" s="61">
        <v>0</v>
      </c>
      <c r="J5056" s="61">
        <f t="shared" si="41"/>
        <v>-2687.59</v>
      </c>
    </row>
    <row r="5057" spans="1:10" x14ac:dyDescent="0.25">
      <c r="A5057" s="67">
        <v>45777</v>
      </c>
      <c r="B5057" t="str">
        <f>IFERROR(IF(VLOOKUP(C5057,Hoja1!$B$1:$C$6191,2,0)="",_xlfn.XLOOKUP(C5057,Hoja1!$B$2:$B$6191,Hoja1!$A$2:$A$6191),VLOOKUP(C5057,Hoja1!$B$1:$C$6191,2,0)),"No esta en Infor")</f>
        <v>CAN0051</v>
      </c>
      <c r="C5057" t="s">
        <v>299</v>
      </c>
      <c r="D5057" s="61">
        <v>-2099.9499999999998</v>
      </c>
      <c r="F5057" s="61">
        <v>0</v>
      </c>
      <c r="G5057" s="61">
        <v>0</v>
      </c>
      <c r="H5057" s="61">
        <v>0</v>
      </c>
      <c r="I5057" s="61">
        <v>0</v>
      </c>
      <c r="J5057" s="61">
        <f t="shared" si="41"/>
        <v>-2099.9499999999998</v>
      </c>
    </row>
    <row r="5058" spans="1:10" x14ac:dyDescent="0.25">
      <c r="A5058" s="67">
        <v>45777</v>
      </c>
      <c r="B5058" t="str">
        <f>IFERROR(IF(VLOOKUP(C5058,Hoja1!$B$1:$C$6191,2,0)="",_xlfn.XLOOKUP(C5058,Hoja1!$B$2:$B$6191,Hoja1!$A$2:$A$6191),VLOOKUP(C5058,Hoja1!$B$1:$C$6191,2,0)),"No esta en Infor")</f>
        <v>NAC1666</v>
      </c>
      <c r="C5058" t="s">
        <v>3036</v>
      </c>
      <c r="D5058" s="61">
        <v>40657.199999999997</v>
      </c>
      <c r="F5058" s="61">
        <v>0</v>
      </c>
      <c r="G5058" s="61">
        <v>0</v>
      </c>
      <c r="H5058" s="61">
        <v>0</v>
      </c>
      <c r="I5058" s="61">
        <v>0</v>
      </c>
      <c r="J5058" s="61">
        <f t="shared" si="41"/>
        <v>40657.199999999997</v>
      </c>
    </row>
    <row r="5059" spans="1:10" x14ac:dyDescent="0.25">
      <c r="A5059" s="67">
        <v>45777</v>
      </c>
      <c r="B5059" t="str">
        <f>IFERROR(IF(VLOOKUP(C5059,Hoja1!$B$1:$C$6191,2,0)="",_xlfn.XLOOKUP(C5059,Hoja1!$B$2:$B$6191,Hoja1!$A$2:$A$6191),VLOOKUP(C5059,Hoja1!$B$1:$C$6191,2,0)),"No esta en Infor")</f>
        <v>NAC1249</v>
      </c>
      <c r="C5059" t="s">
        <v>300</v>
      </c>
      <c r="D5059" s="61">
        <v>18479.82</v>
      </c>
      <c r="F5059" s="61">
        <v>0</v>
      </c>
      <c r="G5059" s="61">
        <v>0</v>
      </c>
      <c r="H5059" s="61">
        <v>0</v>
      </c>
      <c r="I5059" s="61">
        <v>-17.760000000000002</v>
      </c>
      <c r="J5059" s="61">
        <f t="shared" si="41"/>
        <v>18462.060000000001</v>
      </c>
    </row>
    <row r="5060" spans="1:10" x14ac:dyDescent="0.25">
      <c r="A5060" s="67">
        <v>45777</v>
      </c>
      <c r="B5060" t="str">
        <f>IFERROR(IF(VLOOKUP(C5060,Hoja1!$B$1:$C$6191,2,0)="",_xlfn.XLOOKUP(C5060,Hoja1!$B$2:$B$6191,Hoja1!$A$2:$A$6191),VLOOKUP(C5060,Hoja1!$B$1:$C$6191,2,0)),"No esta en Infor")</f>
        <v>NAC1251</v>
      </c>
      <c r="C5060" t="s">
        <v>519</v>
      </c>
      <c r="D5060" s="61">
        <v>0</v>
      </c>
      <c r="F5060" s="61">
        <v>1415.61</v>
      </c>
      <c r="G5060" s="61">
        <v>0</v>
      </c>
      <c r="H5060" s="61">
        <v>0</v>
      </c>
      <c r="I5060" s="61">
        <v>0</v>
      </c>
      <c r="J5060" s="61">
        <f t="shared" si="41"/>
        <v>1415.61</v>
      </c>
    </row>
    <row r="5061" spans="1:10" x14ac:dyDescent="0.25">
      <c r="A5061" s="67">
        <v>45777</v>
      </c>
      <c r="B5061" t="str">
        <f>IFERROR(IF(VLOOKUP(C5061,Hoja1!$B$1:$C$6191,2,0)="",_xlfn.XLOOKUP(C5061,Hoja1!$B$2:$B$6191,Hoja1!$A$2:$A$6191),VLOOKUP(C5061,Hoja1!$B$1:$C$6191,2,0)),"No esta en Infor")</f>
        <v>NAC1252</v>
      </c>
      <c r="C5061" t="s">
        <v>301</v>
      </c>
      <c r="D5061" s="61">
        <v>97896.91</v>
      </c>
      <c r="F5061" s="61">
        <v>0</v>
      </c>
      <c r="G5061" s="61">
        <v>0</v>
      </c>
      <c r="H5061" s="61">
        <v>0</v>
      </c>
      <c r="I5061" s="61">
        <v>0</v>
      </c>
      <c r="J5061" s="61">
        <f t="shared" si="41"/>
        <v>97896.91</v>
      </c>
    </row>
    <row r="5062" spans="1:10" x14ac:dyDescent="0.25">
      <c r="A5062" s="67">
        <v>45777</v>
      </c>
      <c r="B5062" t="str">
        <f>IFERROR(IF(VLOOKUP(C5062,Hoja1!$B$1:$C$6191,2,0)="",_xlfn.XLOOKUP(C5062,Hoja1!$B$2:$B$6191,Hoja1!$A$2:$A$6191),VLOOKUP(C5062,Hoja1!$B$1:$C$6191,2,0)),"No esta en Infor")</f>
        <v>NAC1615</v>
      </c>
      <c r="C5062" t="s">
        <v>520</v>
      </c>
      <c r="D5062" s="61">
        <v>221.72</v>
      </c>
      <c r="F5062" s="61">
        <v>0</v>
      </c>
      <c r="G5062" s="61">
        <v>0</v>
      </c>
      <c r="H5062" s="61">
        <v>-17.64</v>
      </c>
      <c r="I5062" s="61">
        <v>-234.36</v>
      </c>
      <c r="J5062" s="61">
        <f t="shared" si="41"/>
        <v>-30.28000000000003</v>
      </c>
    </row>
    <row r="5063" spans="1:10" x14ac:dyDescent="0.25">
      <c r="A5063" s="67">
        <v>45777</v>
      </c>
      <c r="B5063" t="str">
        <f>IFERROR(IF(VLOOKUP(C5063,Hoja1!$B$1:$C$6191,2,0)="",_xlfn.XLOOKUP(C5063,Hoja1!$B$2:$B$6191,Hoja1!$A$2:$A$6191),VLOOKUP(C5063,Hoja1!$B$1:$C$6191,2,0)),"No esta en Infor")</f>
        <v>CAN0053</v>
      </c>
      <c r="C5063" t="s">
        <v>302</v>
      </c>
      <c r="D5063" s="61">
        <v>1990</v>
      </c>
      <c r="F5063" s="61">
        <v>1454.69</v>
      </c>
      <c r="G5063" s="61">
        <v>0</v>
      </c>
      <c r="H5063" s="61">
        <v>0</v>
      </c>
      <c r="I5063" s="61">
        <v>0</v>
      </c>
      <c r="J5063" s="61">
        <f t="shared" si="41"/>
        <v>3444.69</v>
      </c>
    </row>
    <row r="5064" spans="1:10" x14ac:dyDescent="0.25">
      <c r="A5064" s="67">
        <v>45777</v>
      </c>
      <c r="B5064" t="str">
        <f>IFERROR(IF(VLOOKUP(C5064,Hoja1!$B$1:$C$6191,2,0)="",_xlfn.XLOOKUP(C5064,Hoja1!$B$2:$B$6191,Hoja1!$A$2:$A$6191),VLOOKUP(C5064,Hoja1!$B$1:$C$6191,2,0)),"No esta en Infor")</f>
        <v>NAC1258</v>
      </c>
      <c r="C5064" t="s">
        <v>2386</v>
      </c>
      <c r="D5064" s="61">
        <v>-8140</v>
      </c>
      <c r="F5064" s="61">
        <v>0</v>
      </c>
      <c r="G5064" s="61">
        <v>0</v>
      </c>
      <c r="H5064" s="61">
        <v>0</v>
      </c>
      <c r="I5064" s="61">
        <v>0</v>
      </c>
      <c r="J5064" s="61">
        <f t="shared" si="41"/>
        <v>-8140</v>
      </c>
    </row>
    <row r="5065" spans="1:10" x14ac:dyDescent="0.25">
      <c r="A5065" s="67">
        <v>45777</v>
      </c>
      <c r="B5065" t="str">
        <f>IFERROR(IF(VLOOKUP(C5065,Hoja1!$B$1:$C$6191,2,0)="",_xlfn.XLOOKUP(C5065,Hoja1!$B$2:$B$6191,Hoja1!$A$2:$A$6191),VLOOKUP(C5065,Hoja1!$B$1:$C$6191,2,0)),"No esta en Infor")</f>
        <v>CAN0054</v>
      </c>
      <c r="C5065" t="s">
        <v>36</v>
      </c>
      <c r="D5065" s="61">
        <v>35905.78</v>
      </c>
      <c r="F5065" s="61">
        <v>0</v>
      </c>
      <c r="G5065" s="61">
        <v>-10723.33</v>
      </c>
      <c r="H5065" s="61">
        <v>0</v>
      </c>
      <c r="I5065" s="61">
        <v>1069.53</v>
      </c>
      <c r="J5065" s="61">
        <f t="shared" si="41"/>
        <v>26251.979999999996</v>
      </c>
    </row>
    <row r="5066" spans="1:10" x14ac:dyDescent="0.25">
      <c r="A5066" s="67">
        <v>45777</v>
      </c>
      <c r="B5066" t="str">
        <f>IFERROR(IF(VLOOKUP(C5066,Hoja1!$B$1:$C$6191,2,0)="",_xlfn.XLOOKUP(C5066,Hoja1!$B$2:$B$6191,Hoja1!$A$2:$A$6191),VLOOKUP(C5066,Hoja1!$B$1:$C$6191,2,0)),"No esta en Infor")</f>
        <v>NAC1260</v>
      </c>
      <c r="C5066" t="s">
        <v>571</v>
      </c>
      <c r="D5066" s="61">
        <v>96.96</v>
      </c>
      <c r="F5066" s="61">
        <v>0</v>
      </c>
      <c r="G5066" s="61">
        <v>0</v>
      </c>
      <c r="H5066" s="61">
        <v>-19694.63</v>
      </c>
      <c r="I5066" s="61">
        <v>0</v>
      </c>
      <c r="J5066" s="61">
        <f t="shared" si="41"/>
        <v>-19597.670000000002</v>
      </c>
    </row>
    <row r="5067" spans="1:10" x14ac:dyDescent="0.25">
      <c r="A5067" s="67">
        <v>45777</v>
      </c>
      <c r="B5067" t="str">
        <f>IFERROR(IF(VLOOKUP(C5067,Hoja1!$B$1:$C$6191,2,0)="",_xlfn.XLOOKUP(C5067,Hoja1!$B$2:$B$6191,Hoja1!$A$2:$A$6191),VLOOKUP(C5067,Hoja1!$B$1:$C$6191,2,0)),"No esta en Infor")</f>
        <v>NAC1261</v>
      </c>
      <c r="C5067" t="s">
        <v>303</v>
      </c>
      <c r="D5067" s="61">
        <v>0</v>
      </c>
      <c r="F5067" s="61">
        <v>1323</v>
      </c>
      <c r="G5067" s="61">
        <v>0</v>
      </c>
      <c r="H5067" s="61">
        <v>0</v>
      </c>
      <c r="I5067" s="61">
        <v>0</v>
      </c>
      <c r="J5067" s="61">
        <f t="shared" si="41"/>
        <v>1323</v>
      </c>
    </row>
    <row r="5068" spans="1:10" x14ac:dyDescent="0.25">
      <c r="A5068" s="67">
        <v>45777</v>
      </c>
      <c r="B5068" t="str">
        <f>IFERROR(IF(VLOOKUP(C5068,Hoja1!$B$1:$C$6191,2,0)="",_xlfn.XLOOKUP(C5068,Hoja1!$B$2:$B$6191,Hoja1!$A$2:$A$6191),VLOOKUP(C5068,Hoja1!$B$1:$C$6191,2,0)),"No esta en Infor")</f>
        <v>NAC1281</v>
      </c>
      <c r="C5068" t="s">
        <v>37</v>
      </c>
      <c r="D5068" s="61">
        <v>3854.16</v>
      </c>
      <c r="F5068" s="61">
        <v>4214.6499999999996</v>
      </c>
      <c r="G5068" s="61">
        <v>1394.73</v>
      </c>
      <c r="H5068" s="61">
        <v>933.35</v>
      </c>
      <c r="I5068" s="61">
        <v>10373.790000000001</v>
      </c>
      <c r="J5068" s="61">
        <f t="shared" si="41"/>
        <v>20770.68</v>
      </c>
    </row>
    <row r="5069" spans="1:10" x14ac:dyDescent="0.25">
      <c r="A5069" s="67">
        <v>45777</v>
      </c>
      <c r="B5069" t="str">
        <f>IFERROR(IF(VLOOKUP(C5069,Hoja1!$B$1:$C$6191,2,0)="",_xlfn.XLOOKUP(C5069,Hoja1!$B$2:$B$6191,Hoja1!$A$2:$A$6191),VLOOKUP(C5069,Hoja1!$B$1:$C$6191,2,0)),"No esta en Infor")</f>
        <v>NAC1283</v>
      </c>
      <c r="C5069" t="s">
        <v>308</v>
      </c>
      <c r="D5069" s="61">
        <v>2710</v>
      </c>
      <c r="F5069" s="61">
        <v>0</v>
      </c>
      <c r="G5069" s="61">
        <v>0</v>
      </c>
      <c r="H5069" s="61">
        <v>0</v>
      </c>
      <c r="I5069" s="61">
        <v>-118</v>
      </c>
      <c r="J5069" s="61">
        <f t="shared" si="41"/>
        <v>2592</v>
      </c>
    </row>
    <row r="5070" spans="1:10" x14ac:dyDescent="0.25">
      <c r="A5070" s="67">
        <v>45777</v>
      </c>
      <c r="B5070" t="str">
        <f>IFERROR(IF(VLOOKUP(C5070,Hoja1!$B$1:$C$6191,2,0)="",_xlfn.XLOOKUP(C5070,Hoja1!$B$2:$B$6191,Hoja1!$A$2:$A$6191),VLOOKUP(C5070,Hoja1!$B$1:$C$6191,2,0)),"No esta en Infor")</f>
        <v>NAC1288</v>
      </c>
      <c r="C5070" t="s">
        <v>787</v>
      </c>
      <c r="D5070" s="61">
        <v>-13.23</v>
      </c>
      <c r="F5070" s="61">
        <v>0</v>
      </c>
      <c r="G5070" s="61">
        <v>0</v>
      </c>
      <c r="H5070" s="61">
        <v>0</v>
      </c>
      <c r="I5070" s="61">
        <v>0</v>
      </c>
      <c r="J5070" s="61">
        <f t="shared" si="41"/>
        <v>-13.23</v>
      </c>
    </row>
    <row r="5071" spans="1:10" x14ac:dyDescent="0.25">
      <c r="A5071" s="67">
        <v>45777</v>
      </c>
      <c r="B5071" t="str">
        <f>IFERROR(IF(VLOOKUP(C5071,Hoja1!$B$1:$C$6191,2,0)="",_xlfn.XLOOKUP(C5071,Hoja1!$B$2:$B$6191,Hoja1!$A$2:$A$6191),VLOOKUP(C5071,Hoja1!$B$1:$C$6191,2,0)),"No esta en Infor")</f>
        <v>NAC1292</v>
      </c>
      <c r="C5071" t="s">
        <v>46</v>
      </c>
      <c r="D5071" s="61">
        <v>1020</v>
      </c>
      <c r="F5071" s="61">
        <v>0</v>
      </c>
      <c r="G5071" s="61">
        <v>0</v>
      </c>
      <c r="H5071" s="61">
        <v>0</v>
      </c>
      <c r="I5071" s="61">
        <v>0</v>
      </c>
      <c r="J5071" s="61">
        <f t="shared" si="41"/>
        <v>1020</v>
      </c>
    </row>
    <row r="5072" spans="1:10" x14ac:dyDescent="0.25">
      <c r="A5072" s="67">
        <v>45777</v>
      </c>
      <c r="B5072" t="str">
        <f>IFERROR(IF(VLOOKUP(C5072,Hoja1!$B$1:$C$6191,2,0)="",_xlfn.XLOOKUP(C5072,Hoja1!$B$2:$B$6191,Hoja1!$A$2:$A$6191),VLOOKUP(C5072,Hoja1!$B$1:$C$6191,2,0)),"No esta en Infor")</f>
        <v>CAN0056</v>
      </c>
      <c r="C5072" t="s">
        <v>590</v>
      </c>
      <c r="D5072" s="61">
        <v>4577.59</v>
      </c>
      <c r="F5072" s="61">
        <v>1448.66</v>
      </c>
      <c r="G5072" s="61">
        <v>0</v>
      </c>
      <c r="H5072" s="61">
        <v>0</v>
      </c>
      <c r="I5072" s="61">
        <v>0</v>
      </c>
      <c r="J5072" s="61">
        <f t="shared" si="41"/>
        <v>6026.25</v>
      </c>
    </row>
    <row r="5073" spans="1:10" x14ac:dyDescent="0.25">
      <c r="A5073" s="67">
        <v>45777</v>
      </c>
      <c r="B5073" t="str">
        <f>IFERROR(IF(VLOOKUP(C5073,Hoja1!$B$1:$C$6191,2,0)="",_xlfn.XLOOKUP(C5073,Hoja1!$B$2:$B$6191,Hoja1!$A$2:$A$6191),VLOOKUP(C5073,Hoja1!$B$1:$C$6191,2,0)),"No esta en Infor")</f>
        <v>NAC1297</v>
      </c>
      <c r="C5073" t="s">
        <v>961</v>
      </c>
      <c r="D5073" s="61">
        <v>-28.72</v>
      </c>
      <c r="F5073" s="61">
        <v>0</v>
      </c>
      <c r="G5073" s="61">
        <v>0</v>
      </c>
      <c r="H5073" s="61">
        <v>0</v>
      </c>
      <c r="I5073" s="61">
        <v>0</v>
      </c>
      <c r="J5073" s="61">
        <f t="shared" si="41"/>
        <v>-28.72</v>
      </c>
    </row>
    <row r="5074" spans="1:10" x14ac:dyDescent="0.25">
      <c r="A5074" s="67">
        <v>45777</v>
      </c>
      <c r="B5074" t="str">
        <f>IFERROR(IF(VLOOKUP(C5074,Hoja1!$B$1:$C$6191,2,0)="",_xlfn.XLOOKUP(C5074,Hoja1!$B$2:$B$6191,Hoja1!$A$2:$A$6191),VLOOKUP(C5074,Hoja1!$B$1:$C$6191,2,0)),"No esta en Infor")</f>
        <v>NAC1301</v>
      </c>
      <c r="C5074" t="s">
        <v>2452</v>
      </c>
      <c r="D5074" s="61">
        <v>569.72</v>
      </c>
      <c r="F5074" s="61">
        <v>0</v>
      </c>
      <c r="G5074" s="61">
        <v>0</v>
      </c>
      <c r="H5074" s="61">
        <v>0</v>
      </c>
      <c r="I5074" s="61">
        <v>0</v>
      </c>
      <c r="J5074" s="61">
        <f t="shared" si="41"/>
        <v>569.72</v>
      </c>
    </row>
    <row r="5075" spans="1:10" x14ac:dyDescent="0.25">
      <c r="A5075" s="67">
        <v>45777</v>
      </c>
      <c r="B5075" t="str">
        <f>IFERROR(IF(VLOOKUP(C5075,Hoja1!$B$1:$C$6191,2,0)="",_xlfn.XLOOKUP(C5075,Hoja1!$B$2:$B$6191,Hoja1!$A$2:$A$6191),VLOOKUP(C5075,Hoja1!$B$1:$C$6191,2,0)),"No esta en Infor")</f>
        <v>NAC1303</v>
      </c>
      <c r="C5075" t="s">
        <v>697</v>
      </c>
      <c r="D5075" s="61">
        <v>170.71</v>
      </c>
      <c r="F5075" s="61">
        <v>0</v>
      </c>
      <c r="G5075" s="61">
        <v>224</v>
      </c>
      <c r="H5075" s="61">
        <v>0</v>
      </c>
      <c r="I5075" s="61">
        <v>0</v>
      </c>
      <c r="J5075" s="61">
        <f t="shared" si="41"/>
        <v>394.71000000000004</v>
      </c>
    </row>
    <row r="5076" spans="1:10" x14ac:dyDescent="0.25">
      <c r="A5076" s="67">
        <v>45777</v>
      </c>
      <c r="B5076" t="str">
        <f>IFERROR(IF(VLOOKUP(C5076,Hoja1!$B$1:$C$6191,2,0)="",_xlfn.XLOOKUP(C5076,Hoja1!$B$2:$B$6191,Hoja1!$A$2:$A$6191),VLOOKUP(C5076,Hoja1!$B$1:$C$6191,2,0)),"No esta en Infor")</f>
        <v>NAC1313</v>
      </c>
      <c r="C5076" t="s">
        <v>315</v>
      </c>
      <c r="D5076" s="61">
        <v>12211.9</v>
      </c>
      <c r="F5076" s="61">
        <v>-3510.97</v>
      </c>
      <c r="G5076" s="61">
        <v>0</v>
      </c>
      <c r="H5076" s="61">
        <v>0</v>
      </c>
      <c r="I5076" s="61">
        <v>0</v>
      </c>
      <c r="J5076" s="61">
        <f t="shared" si="41"/>
        <v>8700.93</v>
      </c>
    </row>
    <row r="5077" spans="1:10" x14ac:dyDescent="0.25">
      <c r="A5077" s="67">
        <v>45777</v>
      </c>
      <c r="B5077" t="str">
        <f>IFERROR(IF(VLOOKUP(C5077,Hoja1!$B$1:$C$6191,2,0)="",_xlfn.XLOOKUP(C5077,Hoja1!$B$2:$B$6191,Hoja1!$A$2:$A$6191),VLOOKUP(C5077,Hoja1!$B$1:$C$6191,2,0)),"No esta en Infor")</f>
        <v>NAC1323</v>
      </c>
      <c r="C5077" t="s">
        <v>49</v>
      </c>
      <c r="D5077" s="61">
        <v>831350.17</v>
      </c>
      <c r="F5077" s="61">
        <v>8191.82</v>
      </c>
      <c r="G5077" s="61">
        <v>4420.1000000000004</v>
      </c>
      <c r="H5077" s="61">
        <v>-24.4</v>
      </c>
      <c r="I5077" s="61">
        <v>39517.72</v>
      </c>
      <c r="J5077" s="61">
        <f t="shared" si="41"/>
        <v>883455.40999999992</v>
      </c>
    </row>
    <row r="5078" spans="1:10" x14ac:dyDescent="0.25">
      <c r="A5078" s="67">
        <v>45777</v>
      </c>
      <c r="B5078" t="str">
        <f>IFERROR(IF(VLOOKUP(C5078,Hoja1!$B$1:$C$6191,2,0)="",_xlfn.XLOOKUP(C5078,Hoja1!$B$2:$B$6191,Hoja1!$A$2:$A$6191),VLOOKUP(C5078,Hoja1!$B$1:$C$6191,2,0)),"No esta en Infor")</f>
        <v>NAC1326</v>
      </c>
      <c r="C5078" t="s">
        <v>763</v>
      </c>
      <c r="D5078" s="61">
        <v>0</v>
      </c>
      <c r="F5078" s="61">
        <v>994.63</v>
      </c>
      <c r="G5078" s="61">
        <v>0</v>
      </c>
      <c r="H5078" s="61">
        <v>0</v>
      </c>
      <c r="I5078" s="61">
        <v>0</v>
      </c>
      <c r="J5078" s="61">
        <f t="shared" si="41"/>
        <v>994.63</v>
      </c>
    </row>
    <row r="5079" spans="1:10" x14ac:dyDescent="0.25">
      <c r="A5079" s="67">
        <v>45777</v>
      </c>
      <c r="B5079" t="str">
        <f>IFERROR(IF(VLOOKUP(C5079,Hoja1!$B$1:$C$6191,2,0)="",_xlfn.XLOOKUP(C5079,Hoja1!$B$2:$B$6191,Hoja1!$A$2:$A$6191),VLOOKUP(C5079,Hoja1!$B$1:$C$6191,2,0)),"No esta en Infor")</f>
        <v>NAC1327</v>
      </c>
      <c r="C5079" t="s">
        <v>50</v>
      </c>
      <c r="D5079" s="61">
        <v>290589.01</v>
      </c>
      <c r="F5079" s="61">
        <v>3733.44</v>
      </c>
      <c r="G5079" s="61">
        <v>-52.04</v>
      </c>
      <c r="H5079" s="61">
        <v>3776.04</v>
      </c>
      <c r="I5079" s="61">
        <v>-77.7</v>
      </c>
      <c r="J5079" s="61">
        <f t="shared" si="41"/>
        <v>297968.75</v>
      </c>
    </row>
    <row r="5080" spans="1:10" x14ac:dyDescent="0.25">
      <c r="A5080" s="67">
        <v>45777</v>
      </c>
      <c r="B5080" t="str">
        <f>IFERROR(IF(VLOOKUP(C5080,Hoja1!$B$1:$C$6191,2,0)="",_xlfn.XLOOKUP(C5080,Hoja1!$B$2:$B$6191,Hoja1!$A$2:$A$6191),VLOOKUP(C5080,Hoja1!$B$1:$C$6191,2,0)),"No esta en Infor")</f>
        <v>CAN0059</v>
      </c>
      <c r="C5080" t="s">
        <v>51</v>
      </c>
      <c r="D5080" s="61">
        <v>16058.12</v>
      </c>
      <c r="F5080" s="61">
        <v>0</v>
      </c>
      <c r="G5080" s="61">
        <v>0</v>
      </c>
      <c r="H5080" s="61">
        <v>0</v>
      </c>
      <c r="I5080" s="61">
        <v>49.14</v>
      </c>
      <c r="J5080" s="61">
        <f t="shared" si="41"/>
        <v>16107.26</v>
      </c>
    </row>
    <row r="5081" spans="1:10" x14ac:dyDescent="0.25">
      <c r="A5081" s="67">
        <v>45777</v>
      </c>
      <c r="B5081" t="str">
        <f>IFERROR(IF(VLOOKUP(C5081,Hoja1!$B$1:$C$6191,2,0)="",_xlfn.XLOOKUP(C5081,Hoja1!$B$2:$B$6191,Hoja1!$A$2:$A$6191),VLOOKUP(C5081,Hoja1!$B$1:$C$6191,2,0)),"No esta en Infor")</f>
        <v>CAN0060</v>
      </c>
      <c r="C5081" t="s">
        <v>422</v>
      </c>
      <c r="D5081" s="61">
        <v>209.05</v>
      </c>
      <c r="F5081" s="61">
        <v>2081.46</v>
      </c>
      <c r="G5081" s="61">
        <v>0</v>
      </c>
      <c r="H5081" s="61">
        <v>0</v>
      </c>
      <c r="I5081" s="61">
        <v>-28.5</v>
      </c>
      <c r="J5081" s="61">
        <f t="shared" si="41"/>
        <v>2262.0100000000002</v>
      </c>
    </row>
    <row r="5082" spans="1:10" x14ac:dyDescent="0.25">
      <c r="A5082" s="67">
        <v>45777</v>
      </c>
      <c r="B5082" t="str">
        <f>IFERROR(IF(VLOOKUP(C5082,Hoja1!$B$1:$C$6191,2,0)="",_xlfn.XLOOKUP(C5082,Hoja1!$B$2:$B$6191,Hoja1!$A$2:$A$6191),VLOOKUP(C5082,Hoja1!$B$1:$C$6191,2,0)),"No esta en Infor")</f>
        <v>NAC1332</v>
      </c>
      <c r="C5082" t="s">
        <v>317</v>
      </c>
      <c r="D5082" s="61">
        <v>1261.7</v>
      </c>
      <c r="F5082" s="61">
        <v>362</v>
      </c>
      <c r="G5082" s="61">
        <v>0</v>
      </c>
      <c r="H5082" s="61">
        <v>0</v>
      </c>
      <c r="I5082" s="61">
        <v>0</v>
      </c>
      <c r="J5082" s="61">
        <f t="shared" si="41"/>
        <v>1623.7</v>
      </c>
    </row>
    <row r="5083" spans="1:10" x14ac:dyDescent="0.25">
      <c r="A5083" s="67">
        <v>45777</v>
      </c>
      <c r="B5083" t="str">
        <f>IFERROR(IF(VLOOKUP(C5083,Hoja1!$B$1:$C$6191,2,0)="",_xlfn.XLOOKUP(C5083,Hoja1!$B$2:$B$6191,Hoja1!$A$2:$A$6191),VLOOKUP(C5083,Hoja1!$B$1:$C$6191,2,0)),"No esta en Infor")</f>
        <v>NAC1333</v>
      </c>
      <c r="C5083" t="s">
        <v>318</v>
      </c>
      <c r="D5083" s="61">
        <v>29189.77</v>
      </c>
      <c r="F5083" s="61">
        <v>82.97</v>
      </c>
      <c r="G5083" s="61">
        <v>72.989999999999995</v>
      </c>
      <c r="H5083" s="61">
        <v>32.840000000000003</v>
      </c>
      <c r="I5083" s="61">
        <v>0</v>
      </c>
      <c r="J5083" s="61">
        <f t="shared" ref="J5083:J5146" si="42">SUM(D5083:I5083)</f>
        <v>29378.570000000003</v>
      </c>
    </row>
    <row r="5084" spans="1:10" x14ac:dyDescent="0.25">
      <c r="A5084" s="67">
        <v>45777</v>
      </c>
      <c r="B5084" t="str">
        <f>IFERROR(IF(VLOOKUP(C5084,Hoja1!$B$1:$C$6191,2,0)="",_xlfn.XLOOKUP(C5084,Hoja1!$B$2:$B$6191,Hoja1!$A$2:$A$6191),VLOOKUP(C5084,Hoja1!$B$1:$C$6191,2,0)),"No esta en Infor")</f>
        <v>NAC1346</v>
      </c>
      <c r="C5084" t="s">
        <v>321</v>
      </c>
      <c r="D5084" s="61">
        <v>0</v>
      </c>
      <c r="F5084" s="61">
        <v>0</v>
      </c>
      <c r="G5084" s="61">
        <v>-47.94</v>
      </c>
      <c r="H5084" s="61">
        <v>0</v>
      </c>
      <c r="I5084" s="61">
        <v>0</v>
      </c>
      <c r="J5084" s="61">
        <f t="shared" si="42"/>
        <v>-47.94</v>
      </c>
    </row>
    <row r="5085" spans="1:10" x14ac:dyDescent="0.25">
      <c r="A5085" s="67">
        <v>45777</v>
      </c>
      <c r="B5085" t="str">
        <f>IFERROR(IF(VLOOKUP(C5085,Hoja1!$B$1:$C$6191,2,0)="",_xlfn.XLOOKUP(C5085,Hoja1!$B$2:$B$6191,Hoja1!$A$2:$A$6191),VLOOKUP(C5085,Hoja1!$B$1:$C$6191,2,0)),"No esta en Infor")</f>
        <v>NAC1349</v>
      </c>
      <c r="C5085" t="s">
        <v>322</v>
      </c>
      <c r="D5085" s="61">
        <v>0</v>
      </c>
      <c r="F5085" s="61">
        <v>0</v>
      </c>
      <c r="G5085" s="61">
        <v>0</v>
      </c>
      <c r="H5085" s="61">
        <v>0</v>
      </c>
      <c r="I5085" s="61">
        <v>-348.81</v>
      </c>
      <c r="J5085" s="61">
        <f t="shared" si="42"/>
        <v>-348.81</v>
      </c>
    </row>
    <row r="5086" spans="1:10" x14ac:dyDescent="0.25">
      <c r="A5086" s="67">
        <v>45777</v>
      </c>
      <c r="B5086" t="str">
        <f>IFERROR(IF(VLOOKUP(C5086,Hoja1!$B$1:$C$6191,2,0)="",_xlfn.XLOOKUP(C5086,Hoja1!$B$2:$B$6191,Hoja1!$A$2:$A$6191),VLOOKUP(C5086,Hoja1!$B$1:$C$6191,2,0)),"No esta en Infor")</f>
        <v>NAC1348</v>
      </c>
      <c r="C5086" t="s">
        <v>323</v>
      </c>
      <c r="D5086" s="61">
        <v>592.15</v>
      </c>
      <c r="F5086" s="61">
        <v>0</v>
      </c>
      <c r="G5086" s="61">
        <v>197.25</v>
      </c>
      <c r="H5086" s="61">
        <v>0</v>
      </c>
      <c r="I5086" s="61">
        <v>0</v>
      </c>
      <c r="J5086" s="61">
        <f t="shared" si="42"/>
        <v>789.4</v>
      </c>
    </row>
    <row r="5087" spans="1:10" x14ac:dyDescent="0.25">
      <c r="A5087" s="67">
        <v>45777</v>
      </c>
      <c r="B5087" t="str">
        <f>IFERROR(IF(VLOOKUP(C5087,Hoja1!$B$1:$C$6191,2,0)="",_xlfn.XLOOKUP(C5087,Hoja1!$B$2:$B$6191,Hoja1!$A$2:$A$6191),VLOOKUP(C5087,Hoja1!$B$1:$C$6191,2,0)),"No esta en Infor")</f>
        <v>NAC1353</v>
      </c>
      <c r="C5087" t="s">
        <v>700</v>
      </c>
      <c r="D5087" s="61">
        <v>340.83</v>
      </c>
      <c r="F5087" s="61">
        <v>0</v>
      </c>
      <c r="G5087" s="61">
        <v>0</v>
      </c>
      <c r="H5087" s="61">
        <v>0</v>
      </c>
      <c r="I5087" s="61">
        <v>0</v>
      </c>
      <c r="J5087" s="61">
        <f t="shared" si="42"/>
        <v>340.83</v>
      </c>
    </row>
    <row r="5088" spans="1:10" x14ac:dyDescent="0.25">
      <c r="A5088" s="67">
        <v>45777</v>
      </c>
      <c r="B5088" t="str">
        <f>IFERROR(IF(VLOOKUP(C5088,Hoja1!$B$1:$C$6191,2,0)="",_xlfn.XLOOKUP(C5088,Hoja1!$B$2:$B$6191,Hoja1!$A$2:$A$6191),VLOOKUP(C5088,Hoja1!$B$1:$C$6191,2,0)),"No esta en Infor")</f>
        <v>NAC1356</v>
      </c>
      <c r="C5088" t="s">
        <v>325</v>
      </c>
      <c r="D5088" s="61">
        <v>0</v>
      </c>
      <c r="F5088" s="61">
        <v>0</v>
      </c>
      <c r="G5088" s="61">
        <v>0</v>
      </c>
      <c r="H5088" s="61">
        <v>0</v>
      </c>
      <c r="I5088" s="61">
        <v>-421.28</v>
      </c>
      <c r="J5088" s="61">
        <f t="shared" si="42"/>
        <v>-421.28</v>
      </c>
    </row>
    <row r="5089" spans="1:10" x14ac:dyDescent="0.25">
      <c r="A5089" s="67">
        <v>45777</v>
      </c>
      <c r="B5089" t="str">
        <f>IFERROR(IF(VLOOKUP(C5089,Hoja1!$B$1:$C$6191,2,0)="",_xlfn.XLOOKUP(C5089,Hoja1!$B$2:$B$6191,Hoja1!$A$2:$A$6191),VLOOKUP(C5089,Hoja1!$B$1:$C$6191,2,0)),"No esta en Infor")</f>
        <v>NAC1357</v>
      </c>
      <c r="C5089" t="s">
        <v>423</v>
      </c>
      <c r="D5089" s="61">
        <v>1606.6</v>
      </c>
      <c r="F5089" s="61">
        <v>-359</v>
      </c>
      <c r="G5089" s="61">
        <v>0</v>
      </c>
      <c r="H5089" s="61">
        <v>0</v>
      </c>
      <c r="I5089" s="61">
        <v>0</v>
      </c>
      <c r="J5089" s="61">
        <f t="shared" si="42"/>
        <v>1247.5999999999999</v>
      </c>
    </row>
    <row r="5090" spans="1:10" x14ac:dyDescent="0.25">
      <c r="A5090" s="67">
        <v>45777</v>
      </c>
      <c r="B5090" t="str">
        <f>IFERROR(IF(VLOOKUP(C5090,Hoja1!$B$1:$C$6191,2,0)="",_xlfn.XLOOKUP(C5090,Hoja1!$B$2:$B$6191,Hoja1!$A$2:$A$6191),VLOOKUP(C5090,Hoja1!$B$1:$C$6191,2,0)),"No esta en Infor")</f>
        <v>NAC1359</v>
      </c>
      <c r="C5090" t="s">
        <v>524</v>
      </c>
      <c r="D5090" s="61">
        <v>23450</v>
      </c>
      <c r="F5090" s="61">
        <v>0</v>
      </c>
      <c r="G5090" s="61">
        <v>0</v>
      </c>
      <c r="H5090" s="61">
        <v>0</v>
      </c>
      <c r="I5090" s="61">
        <v>0</v>
      </c>
      <c r="J5090" s="61">
        <f t="shared" si="42"/>
        <v>23450</v>
      </c>
    </row>
    <row r="5091" spans="1:10" x14ac:dyDescent="0.25">
      <c r="A5091" s="67">
        <v>45777</v>
      </c>
      <c r="B5091" t="str">
        <f>IFERROR(IF(VLOOKUP(C5091,Hoja1!$B$1:$C$6191,2,0)="",_xlfn.XLOOKUP(C5091,Hoja1!$B$2:$B$6191,Hoja1!$A$2:$A$6191),VLOOKUP(C5091,Hoja1!$B$1:$C$6191,2,0)),"No esta en Infor")</f>
        <v>NAC1362</v>
      </c>
      <c r="C5091" t="s">
        <v>701</v>
      </c>
      <c r="D5091" s="61">
        <v>0</v>
      </c>
      <c r="F5091" s="61">
        <v>0</v>
      </c>
      <c r="G5091" s="61">
        <v>3780</v>
      </c>
      <c r="H5091" s="61">
        <v>0</v>
      </c>
      <c r="I5091" s="61">
        <v>0</v>
      </c>
      <c r="J5091" s="61">
        <f t="shared" si="42"/>
        <v>3780</v>
      </c>
    </row>
    <row r="5092" spans="1:10" x14ac:dyDescent="0.25">
      <c r="A5092" s="67">
        <v>45777</v>
      </c>
      <c r="B5092" t="str">
        <f>IFERROR(IF(VLOOKUP(C5092,Hoja1!$B$1:$C$6191,2,0)="",_xlfn.XLOOKUP(C5092,Hoja1!$B$2:$B$6191,Hoja1!$A$2:$A$6191),VLOOKUP(C5092,Hoja1!$B$1:$C$6191,2,0)),"No esta en Infor")</f>
        <v>CAN0065</v>
      </c>
      <c r="C5092" t="s">
        <v>327</v>
      </c>
      <c r="D5092" s="61">
        <v>6090.7</v>
      </c>
      <c r="F5092" s="61">
        <v>0</v>
      </c>
      <c r="G5092" s="61">
        <v>0</v>
      </c>
      <c r="H5092" s="61">
        <v>0</v>
      </c>
      <c r="I5092" s="61">
        <v>0</v>
      </c>
      <c r="J5092" s="61">
        <f t="shared" si="42"/>
        <v>6090.7</v>
      </c>
    </row>
    <row r="5093" spans="1:10" x14ac:dyDescent="0.25">
      <c r="A5093" s="67">
        <v>45777</v>
      </c>
      <c r="B5093" t="str">
        <f>IFERROR(IF(VLOOKUP(C5093,Hoja1!$B$1:$C$6191,2,0)="",_xlfn.XLOOKUP(C5093,Hoja1!$B$2:$B$6191,Hoja1!$A$2:$A$6191),VLOOKUP(C5093,Hoja1!$B$1:$C$6191,2,0)),"No esta en Infor")</f>
        <v>NAC1367</v>
      </c>
      <c r="C5093" t="s">
        <v>424</v>
      </c>
      <c r="D5093" s="61">
        <v>1265</v>
      </c>
      <c r="F5093" s="61">
        <v>0</v>
      </c>
      <c r="G5093" s="61">
        <v>0</v>
      </c>
      <c r="H5093" s="61">
        <v>0</v>
      </c>
      <c r="I5093" s="61">
        <v>0</v>
      </c>
      <c r="J5093" s="61">
        <f t="shared" si="42"/>
        <v>1265</v>
      </c>
    </row>
    <row r="5094" spans="1:10" x14ac:dyDescent="0.25">
      <c r="A5094" s="67">
        <v>45777</v>
      </c>
      <c r="B5094" t="str">
        <f>IFERROR(IF(VLOOKUP(C5094,Hoja1!$B$1:$C$6191,2,0)="",_xlfn.XLOOKUP(C5094,Hoja1!$B$2:$B$6191,Hoja1!$A$2:$A$6191),VLOOKUP(C5094,Hoja1!$B$1:$C$6191,2,0)),"No esta en Infor")</f>
        <v>NAC1372</v>
      </c>
      <c r="C5094" t="s">
        <v>607</v>
      </c>
      <c r="D5094" s="61">
        <v>0</v>
      </c>
      <c r="F5094" s="61">
        <v>420.12</v>
      </c>
      <c r="G5094" s="61">
        <v>0</v>
      </c>
      <c r="H5094" s="61">
        <v>0</v>
      </c>
      <c r="I5094" s="61">
        <v>0</v>
      </c>
      <c r="J5094" s="61">
        <f t="shared" si="42"/>
        <v>420.12</v>
      </c>
    </row>
    <row r="5095" spans="1:10" x14ac:dyDescent="0.25">
      <c r="A5095" s="67">
        <v>45777</v>
      </c>
      <c r="B5095" t="str">
        <f>IFERROR(IF(VLOOKUP(C5095,Hoja1!$B$1:$C$6191,2,0)="",_xlfn.XLOOKUP(C5095,Hoja1!$B$2:$B$6191,Hoja1!$A$2:$A$6191),VLOOKUP(C5095,Hoja1!$B$1:$C$6191,2,0)),"No esta en Infor")</f>
        <v>CAN0066</v>
      </c>
      <c r="C5095" t="s">
        <v>330</v>
      </c>
      <c r="D5095" s="61">
        <v>6977.55</v>
      </c>
      <c r="F5095" s="61">
        <v>-3525.48</v>
      </c>
      <c r="G5095" s="61">
        <v>0</v>
      </c>
      <c r="H5095" s="61">
        <v>0</v>
      </c>
      <c r="I5095" s="61">
        <v>0</v>
      </c>
      <c r="J5095" s="61">
        <f t="shared" si="42"/>
        <v>3452.07</v>
      </c>
    </row>
    <row r="5096" spans="1:10" x14ac:dyDescent="0.25">
      <c r="A5096" s="67">
        <v>45777</v>
      </c>
      <c r="B5096" t="str">
        <f>IFERROR(IF(VLOOKUP(C5096,Hoja1!$B$1:$C$6191,2,0)="",_xlfn.XLOOKUP(C5096,Hoja1!$B$2:$B$6191,Hoja1!$A$2:$A$6191),VLOOKUP(C5096,Hoja1!$B$1:$C$6191,2,0)),"No esta en Infor")</f>
        <v>NAC1377</v>
      </c>
      <c r="C5096" t="s">
        <v>525</v>
      </c>
      <c r="D5096" s="61">
        <v>0</v>
      </c>
      <c r="F5096" s="61">
        <v>356.67</v>
      </c>
      <c r="G5096" s="61">
        <v>0</v>
      </c>
      <c r="H5096" s="61">
        <v>0</v>
      </c>
      <c r="I5096" s="61">
        <v>0</v>
      </c>
      <c r="J5096" s="61">
        <f t="shared" si="42"/>
        <v>356.67</v>
      </c>
    </row>
    <row r="5097" spans="1:10" x14ac:dyDescent="0.25">
      <c r="A5097" s="67">
        <v>45777</v>
      </c>
      <c r="B5097" t="str">
        <f>IFERROR(IF(VLOOKUP(C5097,Hoja1!$B$1:$C$6191,2,0)="",_xlfn.XLOOKUP(C5097,Hoja1!$B$2:$B$6191,Hoja1!$A$2:$A$6191),VLOOKUP(C5097,Hoja1!$B$1:$C$6191,2,0)),"No esta en Infor")</f>
        <v>NAC1381</v>
      </c>
      <c r="C5097" t="s">
        <v>478</v>
      </c>
      <c r="D5097" s="61">
        <v>115.08</v>
      </c>
      <c r="F5097" s="61">
        <v>0</v>
      </c>
      <c r="G5097" s="61">
        <v>0</v>
      </c>
      <c r="H5097" s="61">
        <v>0</v>
      </c>
      <c r="I5097" s="61">
        <v>-5.28</v>
      </c>
      <c r="J5097" s="61">
        <f t="shared" si="42"/>
        <v>109.8</v>
      </c>
    </row>
    <row r="5098" spans="1:10" x14ac:dyDescent="0.25">
      <c r="A5098" s="67">
        <v>45777</v>
      </c>
      <c r="B5098" t="str">
        <f>IFERROR(IF(VLOOKUP(C5098,Hoja1!$B$1:$C$6191,2,0)="",_xlfn.XLOOKUP(C5098,Hoja1!$B$2:$B$6191,Hoja1!$A$2:$A$6191),VLOOKUP(C5098,Hoja1!$B$1:$C$6191,2,0)),"No esta en Infor")</f>
        <v>CAN0067</v>
      </c>
      <c r="C5098" t="s">
        <v>775</v>
      </c>
      <c r="D5098" s="61">
        <v>1405.9</v>
      </c>
      <c r="F5098" s="61">
        <v>0</v>
      </c>
      <c r="G5098" s="61">
        <v>0</v>
      </c>
      <c r="H5098" s="61">
        <v>0</v>
      </c>
      <c r="I5098" s="61">
        <v>0</v>
      </c>
      <c r="J5098" s="61">
        <f t="shared" si="42"/>
        <v>1405.9</v>
      </c>
    </row>
    <row r="5099" spans="1:10" x14ac:dyDescent="0.25">
      <c r="A5099" s="67">
        <v>45777</v>
      </c>
      <c r="B5099" t="str">
        <f>IFERROR(IF(VLOOKUP(C5099,Hoja1!$B$1:$C$6191,2,0)="",_xlfn.XLOOKUP(C5099,Hoja1!$B$2:$B$6191,Hoja1!$A$2:$A$6191),VLOOKUP(C5099,Hoja1!$B$1:$C$6191,2,0)),"No esta en Infor")</f>
        <v>NAC1382</v>
      </c>
      <c r="C5099" t="s">
        <v>332</v>
      </c>
      <c r="D5099" s="61">
        <v>241994.91</v>
      </c>
      <c r="F5099" s="61">
        <v>0</v>
      </c>
      <c r="G5099" s="61">
        <v>0</v>
      </c>
      <c r="H5099" s="61">
        <v>0</v>
      </c>
      <c r="I5099" s="61">
        <v>0</v>
      </c>
      <c r="J5099" s="61">
        <f t="shared" si="42"/>
        <v>241994.91</v>
      </c>
    </row>
    <row r="5100" spans="1:10" x14ac:dyDescent="0.25">
      <c r="A5100" s="67">
        <v>45777</v>
      </c>
      <c r="B5100" t="str">
        <f>IFERROR(IF(VLOOKUP(C5100,Hoja1!$B$1:$C$6191,2,0)="",_xlfn.XLOOKUP(C5100,Hoja1!$B$2:$B$6191,Hoja1!$A$2:$A$6191),VLOOKUP(C5100,Hoja1!$B$1:$C$6191,2,0)),"No esta en Infor")</f>
        <v>NAC1610</v>
      </c>
      <c r="C5100" t="s">
        <v>540</v>
      </c>
      <c r="D5100" s="61">
        <v>33.200000000000003</v>
      </c>
      <c r="F5100" s="61">
        <v>0</v>
      </c>
      <c r="G5100" s="61">
        <v>0</v>
      </c>
      <c r="H5100" s="61">
        <v>0</v>
      </c>
      <c r="I5100" s="61">
        <v>0</v>
      </c>
      <c r="J5100" s="61">
        <f t="shared" si="42"/>
        <v>33.200000000000003</v>
      </c>
    </row>
    <row r="5101" spans="1:10" x14ac:dyDescent="0.25">
      <c r="A5101" s="67">
        <v>45777</v>
      </c>
      <c r="B5101" t="str">
        <f>IFERROR(IF(VLOOKUP(C5101,Hoja1!$B$1:$C$6191,2,0)="",_xlfn.XLOOKUP(C5101,Hoja1!$B$2:$B$6191,Hoja1!$A$2:$A$6191),VLOOKUP(C5101,Hoja1!$B$1:$C$6191,2,0)),"No esta en Infor")</f>
        <v>NAC1394</v>
      </c>
      <c r="C5101" t="s">
        <v>767</v>
      </c>
      <c r="D5101" s="61">
        <v>-319.64999999999998</v>
      </c>
      <c r="F5101" s="61">
        <v>-97.5</v>
      </c>
      <c r="G5101" s="61">
        <v>-29.26</v>
      </c>
      <c r="H5101" s="61">
        <v>0</v>
      </c>
      <c r="I5101" s="61">
        <v>0</v>
      </c>
      <c r="J5101" s="61">
        <f t="shared" si="42"/>
        <v>-446.40999999999997</v>
      </c>
    </row>
    <row r="5102" spans="1:10" x14ac:dyDescent="0.25">
      <c r="A5102" s="67">
        <v>45777</v>
      </c>
      <c r="B5102" t="str">
        <f>IFERROR(IF(VLOOKUP(C5102,Hoja1!$B$1:$C$6191,2,0)="",_xlfn.XLOOKUP(C5102,Hoja1!$B$2:$B$6191,Hoja1!$A$2:$A$6191),VLOOKUP(C5102,Hoja1!$B$1:$C$6191,2,0)),"No esta en Infor")</f>
        <v>NAC1395</v>
      </c>
      <c r="C5102" t="s">
        <v>337</v>
      </c>
      <c r="D5102" s="61">
        <v>28773.599999999999</v>
      </c>
      <c r="F5102" s="61">
        <v>0</v>
      </c>
      <c r="G5102" s="61">
        <v>0</v>
      </c>
      <c r="H5102" s="61">
        <v>0</v>
      </c>
      <c r="I5102" s="61">
        <v>0</v>
      </c>
      <c r="J5102" s="61">
        <f t="shared" si="42"/>
        <v>28773.599999999999</v>
      </c>
    </row>
    <row r="5103" spans="1:10" x14ac:dyDescent="0.25">
      <c r="A5103" s="67">
        <v>45777</v>
      </c>
      <c r="B5103" t="str">
        <f>IFERROR(IF(VLOOKUP(C5103,Hoja1!$B$1:$C$6191,2,0)="",_xlfn.XLOOKUP(C5103,Hoja1!$B$2:$B$6191,Hoja1!$A$2:$A$6191),VLOOKUP(C5103,Hoja1!$B$1:$C$6191,2,0)),"No esta en Infor")</f>
        <v>NAC1400</v>
      </c>
      <c r="C5103" t="s">
        <v>2609</v>
      </c>
      <c r="D5103" s="61">
        <v>24812.62</v>
      </c>
      <c r="F5103" s="61">
        <v>0</v>
      </c>
      <c r="G5103" s="61">
        <v>0</v>
      </c>
      <c r="H5103" s="61">
        <v>0</v>
      </c>
      <c r="I5103" s="61">
        <v>0</v>
      </c>
      <c r="J5103" s="61">
        <f t="shared" si="42"/>
        <v>24812.62</v>
      </c>
    </row>
    <row r="5104" spans="1:10" x14ac:dyDescent="0.25">
      <c r="A5104" s="67">
        <v>45777</v>
      </c>
      <c r="B5104" t="str">
        <f>IFERROR(IF(VLOOKUP(C5104,Hoja1!$B$1:$C$6191,2,0)="",_xlfn.XLOOKUP(C5104,Hoja1!$B$2:$B$6191,Hoja1!$A$2:$A$6191),VLOOKUP(C5104,Hoja1!$B$1:$C$6191,2,0)),"No esta en Infor")</f>
        <v>NAC1404</v>
      </c>
      <c r="C5104" t="s">
        <v>592</v>
      </c>
      <c r="D5104" s="61">
        <v>0</v>
      </c>
      <c r="F5104" s="61">
        <v>0</v>
      </c>
      <c r="G5104" s="61">
        <v>0</v>
      </c>
      <c r="H5104" s="61">
        <v>-85.32</v>
      </c>
      <c r="I5104" s="61">
        <v>0</v>
      </c>
      <c r="J5104" s="61">
        <f t="shared" si="42"/>
        <v>-85.32</v>
      </c>
    </row>
    <row r="5105" spans="1:10" x14ac:dyDescent="0.25">
      <c r="A5105" s="67">
        <v>45777</v>
      </c>
      <c r="B5105" t="str">
        <f>IFERROR(IF(VLOOKUP(C5105,Hoja1!$B$1:$C$6191,2,0)="",_xlfn.XLOOKUP(C5105,Hoja1!$B$2:$B$6191,Hoja1!$A$2:$A$6191),VLOOKUP(C5105,Hoja1!$B$1:$C$6191,2,0)),"No esta en Infor")</f>
        <v>CAN0069</v>
      </c>
      <c r="C5105" t="s">
        <v>340</v>
      </c>
      <c r="D5105" s="61">
        <v>3054.14</v>
      </c>
      <c r="F5105" s="61">
        <v>0</v>
      </c>
      <c r="G5105" s="61">
        <v>0</v>
      </c>
      <c r="H5105" s="61">
        <v>0</v>
      </c>
      <c r="I5105" s="61">
        <v>540.15</v>
      </c>
      <c r="J5105" s="61">
        <f t="shared" si="42"/>
        <v>3594.29</v>
      </c>
    </row>
    <row r="5106" spans="1:10" x14ac:dyDescent="0.25">
      <c r="A5106" s="67">
        <v>45777</v>
      </c>
      <c r="B5106" t="str">
        <f>IFERROR(IF(VLOOKUP(C5106,Hoja1!$B$1:$C$6191,2,0)="",_xlfn.XLOOKUP(C5106,Hoja1!$B$2:$B$6191,Hoja1!$A$2:$A$6191),VLOOKUP(C5106,Hoja1!$B$1:$C$6191,2,0)),"No esta en Infor")</f>
        <v>NAC1408</v>
      </c>
      <c r="C5106" t="s">
        <v>530</v>
      </c>
      <c r="D5106" s="61">
        <v>3342.51</v>
      </c>
      <c r="F5106" s="61">
        <v>0</v>
      </c>
      <c r="G5106" s="61">
        <v>0</v>
      </c>
      <c r="H5106" s="61">
        <v>0</v>
      </c>
      <c r="I5106" s="61">
        <v>0</v>
      </c>
      <c r="J5106" s="61">
        <f t="shared" si="42"/>
        <v>3342.51</v>
      </c>
    </row>
    <row r="5107" spans="1:10" x14ac:dyDescent="0.25">
      <c r="A5107" s="67">
        <v>45777</v>
      </c>
      <c r="B5107" t="str">
        <f>IFERROR(IF(VLOOKUP(C5107,Hoja1!$B$1:$C$6191,2,0)="",_xlfn.XLOOKUP(C5107,Hoja1!$B$2:$B$6191,Hoja1!$A$2:$A$6191),VLOOKUP(C5107,Hoja1!$B$1:$C$6191,2,0)),"No esta en Infor")</f>
        <v>NAC0597</v>
      </c>
      <c r="C5107" t="s">
        <v>1368</v>
      </c>
      <c r="D5107" s="61">
        <v>736.78</v>
      </c>
      <c r="F5107" s="61">
        <v>0</v>
      </c>
      <c r="G5107" s="61">
        <v>0</v>
      </c>
      <c r="H5107" s="61">
        <v>0</v>
      </c>
      <c r="I5107" s="61">
        <v>0</v>
      </c>
      <c r="J5107" s="61">
        <f t="shared" si="42"/>
        <v>736.78</v>
      </c>
    </row>
    <row r="5108" spans="1:10" x14ac:dyDescent="0.25">
      <c r="A5108" s="67">
        <v>45777</v>
      </c>
      <c r="B5108" t="str">
        <f>IFERROR(IF(VLOOKUP(C5108,Hoja1!$B$1:$C$6191,2,0)="",_xlfn.XLOOKUP(C5108,Hoja1!$B$2:$B$6191,Hoja1!$A$2:$A$6191),VLOOKUP(C5108,Hoja1!$B$1:$C$6191,2,0)),"No esta en Infor")</f>
        <v>CAN0090</v>
      </c>
      <c r="C5108" t="s">
        <v>574</v>
      </c>
      <c r="D5108" s="61">
        <v>-92.4</v>
      </c>
      <c r="F5108" s="61">
        <v>-147.41999999999999</v>
      </c>
      <c r="G5108" s="61">
        <v>0</v>
      </c>
      <c r="H5108" s="61">
        <v>0</v>
      </c>
      <c r="I5108" s="61">
        <v>0</v>
      </c>
      <c r="J5108" s="61">
        <f t="shared" si="42"/>
        <v>-239.82</v>
      </c>
    </row>
    <row r="5109" spans="1:10" x14ac:dyDescent="0.25">
      <c r="A5109" s="67">
        <v>45777</v>
      </c>
      <c r="B5109" t="str">
        <f>IFERROR(IF(VLOOKUP(C5109,Hoja1!$B$1:$C$6191,2,0)="",_xlfn.XLOOKUP(C5109,Hoja1!$B$2:$B$6191,Hoja1!$A$2:$A$6191),VLOOKUP(C5109,Hoja1!$B$1:$C$6191,2,0)),"No esta en Infor")</f>
        <v>NAC1413</v>
      </c>
      <c r="C5109" t="s">
        <v>342</v>
      </c>
      <c r="D5109" s="61">
        <v>63484.97</v>
      </c>
      <c r="F5109" s="61">
        <v>0</v>
      </c>
      <c r="G5109" s="61">
        <v>0</v>
      </c>
      <c r="H5109" s="61">
        <v>0</v>
      </c>
      <c r="I5109" s="61">
        <v>0</v>
      </c>
      <c r="J5109" s="61">
        <f t="shared" si="42"/>
        <v>63484.97</v>
      </c>
    </row>
    <row r="5110" spans="1:10" x14ac:dyDescent="0.25">
      <c r="A5110" s="67">
        <v>45777</v>
      </c>
      <c r="B5110" t="str">
        <f>IFERROR(IF(VLOOKUP(C5110,Hoja1!$B$1:$C$6191,2,0)="",_xlfn.XLOOKUP(C5110,Hoja1!$B$2:$B$6191,Hoja1!$A$2:$A$6191),VLOOKUP(C5110,Hoja1!$B$1:$C$6191,2,0)),"No esta en Infor")</f>
        <v>NAC1417</v>
      </c>
      <c r="C5110" t="s">
        <v>645</v>
      </c>
      <c r="D5110" s="61">
        <v>0</v>
      </c>
      <c r="F5110" s="61">
        <v>-3189.87</v>
      </c>
      <c r="G5110" s="61">
        <v>0</v>
      </c>
      <c r="H5110" s="61">
        <v>0</v>
      </c>
      <c r="I5110" s="61">
        <v>0</v>
      </c>
      <c r="J5110" s="61">
        <f t="shared" si="42"/>
        <v>-3189.87</v>
      </c>
    </row>
    <row r="5111" spans="1:10" x14ac:dyDescent="0.25">
      <c r="A5111" s="67">
        <v>45777</v>
      </c>
      <c r="B5111" t="str">
        <f>IFERROR(IF(VLOOKUP(C5111,Hoja1!$B$1:$C$6191,2,0)="",_xlfn.XLOOKUP(C5111,Hoja1!$B$2:$B$6191,Hoja1!$A$2:$A$6191),VLOOKUP(C5111,Hoja1!$B$1:$C$6191,2,0)),"No esta en Infor")</f>
        <v>NAC1418</v>
      </c>
      <c r="C5111" t="s">
        <v>2640</v>
      </c>
      <c r="D5111" s="61">
        <v>332.75</v>
      </c>
      <c r="F5111" s="61">
        <v>0</v>
      </c>
      <c r="G5111" s="61">
        <v>0</v>
      </c>
      <c r="H5111" s="61">
        <v>0</v>
      </c>
      <c r="I5111" s="61">
        <v>0</v>
      </c>
      <c r="J5111" s="61">
        <f t="shared" si="42"/>
        <v>332.75</v>
      </c>
    </row>
    <row r="5112" spans="1:10" x14ac:dyDescent="0.25">
      <c r="A5112" s="67">
        <v>45777</v>
      </c>
      <c r="B5112" t="str">
        <f>IFERROR(IF(VLOOKUP(C5112,Hoja1!$B$1:$C$6191,2,0)="",_xlfn.XLOOKUP(C5112,Hoja1!$B$2:$B$6191,Hoja1!$A$2:$A$6191),VLOOKUP(C5112,Hoja1!$B$1:$C$6191,2,0)),"No esta en Infor")</f>
        <v>NAC1424</v>
      </c>
      <c r="C5112" t="s">
        <v>345</v>
      </c>
      <c r="D5112" s="61">
        <v>397998.65</v>
      </c>
      <c r="F5112" s="61">
        <v>0</v>
      </c>
      <c r="G5112" s="61">
        <v>0</v>
      </c>
      <c r="H5112" s="61">
        <v>0</v>
      </c>
      <c r="I5112" s="61">
        <v>0</v>
      </c>
      <c r="J5112" s="61">
        <f t="shared" si="42"/>
        <v>397998.65</v>
      </c>
    </row>
    <row r="5113" spans="1:10" x14ac:dyDescent="0.25">
      <c r="A5113" s="67">
        <v>45777</v>
      </c>
      <c r="B5113" t="str">
        <f>IFERROR(IF(VLOOKUP(C5113,Hoja1!$B$1:$C$6191,2,0)="",_xlfn.XLOOKUP(C5113,Hoja1!$B$2:$B$6191,Hoja1!$A$2:$A$6191),VLOOKUP(C5113,Hoja1!$B$1:$C$6191,2,0)),"No esta en Infor")</f>
        <v>NAC1545</v>
      </c>
      <c r="C5113" t="s">
        <v>769</v>
      </c>
      <c r="D5113" s="61">
        <v>0</v>
      </c>
      <c r="F5113" s="61">
        <v>0</v>
      </c>
      <c r="G5113" s="61">
        <v>4230</v>
      </c>
      <c r="H5113" s="61">
        <v>0</v>
      </c>
      <c r="I5113" s="61">
        <v>0</v>
      </c>
      <c r="J5113" s="61">
        <f t="shared" si="42"/>
        <v>4230</v>
      </c>
    </row>
    <row r="5114" spans="1:10" x14ac:dyDescent="0.25">
      <c r="A5114" s="67">
        <v>45777</v>
      </c>
      <c r="B5114" t="str">
        <f>IFERROR(IF(VLOOKUP(C5114,Hoja1!$B$1:$C$6191,2,0)="",_xlfn.XLOOKUP(C5114,Hoja1!$B$2:$B$6191,Hoja1!$A$2:$A$6191),VLOOKUP(C5114,Hoja1!$B$1:$C$6191,2,0)),"No esta en Infor")</f>
        <v>NAC1426</v>
      </c>
      <c r="C5114" t="s">
        <v>531</v>
      </c>
      <c r="D5114" s="61">
        <v>0</v>
      </c>
      <c r="F5114" s="61">
        <v>466</v>
      </c>
      <c r="G5114" s="61">
        <v>0</v>
      </c>
      <c r="H5114" s="61">
        <v>0</v>
      </c>
      <c r="I5114" s="61">
        <v>0</v>
      </c>
      <c r="J5114" s="61">
        <f t="shared" si="42"/>
        <v>466</v>
      </c>
    </row>
    <row r="5115" spans="1:10" x14ac:dyDescent="0.25">
      <c r="A5115" s="67">
        <v>45777</v>
      </c>
      <c r="B5115" t="str">
        <f>IFERROR(IF(VLOOKUP(C5115,Hoja1!$B$1:$C$6191,2,0)="",_xlfn.XLOOKUP(C5115,Hoja1!$B$2:$B$6191,Hoja1!$A$2:$A$6191),VLOOKUP(C5115,Hoja1!$B$1:$C$6191,2,0)),"No esta en Infor")</f>
        <v>NAC1432</v>
      </c>
      <c r="C5115" t="s">
        <v>575</v>
      </c>
      <c r="D5115" s="61">
        <v>0</v>
      </c>
      <c r="F5115" s="61">
        <v>0</v>
      </c>
      <c r="G5115" s="61">
        <v>0</v>
      </c>
      <c r="H5115" s="61">
        <v>-536.64</v>
      </c>
      <c r="I5115" s="61">
        <v>0</v>
      </c>
      <c r="J5115" s="61">
        <f t="shared" si="42"/>
        <v>-536.64</v>
      </c>
    </row>
    <row r="5116" spans="1:10" x14ac:dyDescent="0.25">
      <c r="A5116" s="67">
        <v>45777</v>
      </c>
      <c r="B5116" t="str">
        <f>IFERROR(IF(VLOOKUP(C5116,Hoja1!$B$1:$C$6191,2,0)="",_xlfn.XLOOKUP(C5116,Hoja1!$B$2:$B$6191,Hoja1!$A$2:$A$6191),VLOOKUP(C5116,Hoja1!$B$1:$C$6191,2,0)),"No esta en Infor")</f>
        <v>NAC1659</v>
      </c>
      <c r="C5116" t="s">
        <v>3028</v>
      </c>
      <c r="D5116" s="61">
        <v>75810</v>
      </c>
      <c r="F5116" s="61">
        <v>0</v>
      </c>
      <c r="G5116" s="61">
        <v>0</v>
      </c>
      <c r="H5116" s="61">
        <v>0</v>
      </c>
      <c r="I5116" s="61">
        <v>0</v>
      </c>
      <c r="J5116" s="61">
        <f t="shared" si="42"/>
        <v>75810</v>
      </c>
    </row>
    <row r="5117" spans="1:10" x14ac:dyDescent="0.25">
      <c r="A5117" s="67">
        <v>45777</v>
      </c>
      <c r="B5117" t="str">
        <f>IFERROR(IF(VLOOKUP(C5117,Hoja1!$B$1:$C$6191,2,0)="",_xlfn.XLOOKUP(C5117,Hoja1!$B$2:$B$6191,Hoja1!$A$2:$A$6191),VLOOKUP(C5117,Hoja1!$B$1:$C$6191,2,0)),"No esta en Infor")</f>
        <v>NAC1448</v>
      </c>
      <c r="C5117" t="s">
        <v>9</v>
      </c>
      <c r="D5117" s="61">
        <v>66053.83</v>
      </c>
      <c r="F5117" s="61">
        <v>14693.81</v>
      </c>
      <c r="G5117" s="61">
        <v>3620</v>
      </c>
      <c r="H5117" s="61">
        <v>5270</v>
      </c>
      <c r="I5117" s="61">
        <v>300</v>
      </c>
      <c r="J5117" s="61">
        <f t="shared" si="42"/>
        <v>89937.64</v>
      </c>
    </row>
    <row r="5118" spans="1:10" x14ac:dyDescent="0.25">
      <c r="A5118" s="67">
        <v>45777</v>
      </c>
      <c r="B5118" t="str">
        <f>IFERROR(IF(VLOOKUP(C5118,Hoja1!$B$1:$C$6191,2,0)="",_xlfn.XLOOKUP(C5118,Hoja1!$B$2:$B$6191,Hoja1!$A$2:$A$6191),VLOOKUP(C5118,Hoja1!$B$1:$C$6191,2,0)),"No esta en Infor")</f>
        <v>CAN0073</v>
      </c>
      <c r="C5118" t="s">
        <v>349</v>
      </c>
      <c r="D5118" s="61">
        <v>6643.37</v>
      </c>
      <c r="F5118" s="61">
        <v>777.12</v>
      </c>
      <c r="G5118" s="61">
        <v>0</v>
      </c>
      <c r="H5118" s="61">
        <v>0</v>
      </c>
      <c r="I5118" s="61">
        <v>0</v>
      </c>
      <c r="J5118" s="61">
        <f t="shared" si="42"/>
        <v>7420.49</v>
      </c>
    </row>
    <row r="5119" spans="1:10" x14ac:dyDescent="0.25">
      <c r="A5119" s="67">
        <v>45777</v>
      </c>
      <c r="B5119" t="str">
        <f>IFERROR(IF(VLOOKUP(C5119,Hoja1!$B$1:$C$6191,2,0)="",_xlfn.XLOOKUP(C5119,Hoja1!$B$2:$B$6191,Hoja1!$A$2:$A$6191),VLOOKUP(C5119,Hoja1!$B$1:$C$6191,2,0)),"No esta en Infor")</f>
        <v>CAN0074</v>
      </c>
      <c r="C5119" t="s">
        <v>350</v>
      </c>
      <c r="D5119" s="61">
        <v>0</v>
      </c>
      <c r="F5119" s="61">
        <v>274.64</v>
      </c>
      <c r="G5119" s="61">
        <v>0</v>
      </c>
      <c r="H5119" s="61">
        <v>0</v>
      </c>
      <c r="I5119" s="61">
        <v>0</v>
      </c>
      <c r="J5119" s="61">
        <f t="shared" si="42"/>
        <v>274.64</v>
      </c>
    </row>
    <row r="5120" spans="1:10" x14ac:dyDescent="0.25">
      <c r="A5120" s="67">
        <v>45777</v>
      </c>
      <c r="B5120" t="str">
        <f>IFERROR(IF(VLOOKUP(C5120,Hoja1!$B$1:$C$6191,2,0)="",_xlfn.XLOOKUP(C5120,Hoja1!$B$2:$B$6191,Hoja1!$A$2:$A$6191),VLOOKUP(C5120,Hoja1!$B$1:$C$6191,2,0)),"No esta en Infor")</f>
        <v>NAC1449</v>
      </c>
      <c r="C5120" t="s">
        <v>706</v>
      </c>
      <c r="D5120" s="61">
        <v>0</v>
      </c>
      <c r="F5120" s="61">
        <v>0</v>
      </c>
      <c r="G5120" s="61">
        <v>14911.15</v>
      </c>
      <c r="H5120" s="61">
        <v>0</v>
      </c>
      <c r="I5120" s="61">
        <v>0</v>
      </c>
      <c r="J5120" s="61">
        <f t="shared" si="42"/>
        <v>14911.15</v>
      </c>
    </row>
    <row r="5121" spans="1:10" x14ac:dyDescent="0.25">
      <c r="A5121" s="67">
        <v>45777</v>
      </c>
      <c r="B5121" t="str">
        <f>IFERROR(IF(VLOOKUP(C5121,Hoja1!$B$1:$C$6191,2,0)="",_xlfn.XLOOKUP(C5121,Hoja1!$B$2:$B$6191,Hoja1!$A$2:$A$6191),VLOOKUP(C5121,Hoja1!$B$1:$C$6191,2,0)),"No esta en Infor")</f>
        <v>NAC1450</v>
      </c>
      <c r="C5121" t="s">
        <v>54</v>
      </c>
      <c r="D5121" s="61">
        <v>33909.33</v>
      </c>
      <c r="F5121" s="61">
        <v>709.5</v>
      </c>
      <c r="G5121" s="61">
        <v>314.52999999999997</v>
      </c>
      <c r="H5121" s="61">
        <v>0</v>
      </c>
      <c r="I5121" s="61">
        <v>-100.66</v>
      </c>
      <c r="J5121" s="61">
        <f t="shared" si="42"/>
        <v>34832.699999999997</v>
      </c>
    </row>
    <row r="5122" spans="1:10" x14ac:dyDescent="0.25">
      <c r="A5122" s="67">
        <v>45777</v>
      </c>
      <c r="B5122" t="str">
        <f>IFERROR(IF(VLOOKUP(C5122,Hoja1!$B$1:$C$6191,2,0)="",_xlfn.XLOOKUP(C5122,Hoja1!$B$2:$B$6191,Hoja1!$A$2:$A$6191),VLOOKUP(C5122,Hoja1!$B$1:$C$6191,2,0)),"No esta en Infor")</f>
        <v>NAC1471</v>
      </c>
      <c r="C5122" t="s">
        <v>351</v>
      </c>
      <c r="D5122" s="61">
        <v>29791</v>
      </c>
      <c r="F5122" s="61">
        <v>0</v>
      </c>
      <c r="G5122" s="61">
        <v>0</v>
      </c>
      <c r="H5122" s="61">
        <v>0</v>
      </c>
      <c r="I5122" s="61">
        <v>0</v>
      </c>
      <c r="J5122" s="61">
        <f t="shared" si="42"/>
        <v>29791</v>
      </c>
    </row>
    <row r="5123" spans="1:10" x14ac:dyDescent="0.25">
      <c r="A5123" s="67">
        <v>45777</v>
      </c>
      <c r="B5123" t="str">
        <f>IFERROR(IF(VLOOKUP(C5123,Hoja1!$B$1:$C$6191,2,0)="",_xlfn.XLOOKUP(C5123,Hoja1!$B$2:$B$6191,Hoja1!$A$2:$A$6191),VLOOKUP(C5123,Hoja1!$B$1:$C$6191,2,0)),"No esta en Infor")</f>
        <v>NAC1472</v>
      </c>
      <c r="C5123" t="s">
        <v>647</v>
      </c>
      <c r="D5123" s="61">
        <v>916.5</v>
      </c>
      <c r="F5123" s="61">
        <v>0</v>
      </c>
      <c r="G5123" s="61">
        <v>0</v>
      </c>
      <c r="H5123" s="61">
        <v>0</v>
      </c>
      <c r="I5123" s="61">
        <v>0</v>
      </c>
      <c r="J5123" s="61">
        <f t="shared" si="42"/>
        <v>916.5</v>
      </c>
    </row>
    <row r="5124" spans="1:10" x14ac:dyDescent="0.25">
      <c r="A5124" s="67">
        <v>45777</v>
      </c>
      <c r="B5124" t="str">
        <f>IFERROR(IF(VLOOKUP(C5124,Hoja1!$B$1:$C$6191,2,0)="",_xlfn.XLOOKUP(C5124,Hoja1!$B$2:$B$6191,Hoja1!$A$2:$A$6191),VLOOKUP(C5124,Hoja1!$B$1:$C$6191,2,0)),"No esta en Infor")</f>
        <v>NAC1473</v>
      </c>
      <c r="C5124" t="s">
        <v>532</v>
      </c>
      <c r="D5124" s="61">
        <v>595</v>
      </c>
      <c r="F5124" s="61">
        <v>0</v>
      </c>
      <c r="G5124" s="61">
        <v>0</v>
      </c>
      <c r="H5124" s="61">
        <v>0</v>
      </c>
      <c r="I5124" s="61">
        <v>0</v>
      </c>
      <c r="J5124" s="61">
        <f t="shared" si="42"/>
        <v>595</v>
      </c>
    </row>
    <row r="5125" spans="1:10" x14ac:dyDescent="0.25">
      <c r="A5125" s="67">
        <v>45777</v>
      </c>
      <c r="B5125" t="str">
        <f>IFERROR(IF(VLOOKUP(C5125,Hoja1!$B$1:$C$6191,2,0)="",_xlfn.XLOOKUP(C5125,Hoja1!$B$2:$B$6191,Hoja1!$A$2:$A$6191),VLOOKUP(C5125,Hoja1!$B$1:$C$6191,2,0)),"No esta en Infor")</f>
        <v>CAN0080</v>
      </c>
      <c r="C5125" t="s">
        <v>533</v>
      </c>
      <c r="D5125" s="61">
        <v>0</v>
      </c>
      <c r="F5125" s="61">
        <v>0</v>
      </c>
      <c r="G5125" s="61">
        <v>0</v>
      </c>
      <c r="H5125" s="61">
        <v>0</v>
      </c>
      <c r="I5125" s="61">
        <v>-93.6</v>
      </c>
      <c r="J5125" s="61">
        <f t="shared" si="42"/>
        <v>-93.6</v>
      </c>
    </row>
    <row r="5126" spans="1:10" x14ac:dyDescent="0.25">
      <c r="A5126" s="67">
        <v>45777</v>
      </c>
      <c r="B5126" t="str">
        <f>IFERROR(IF(VLOOKUP(C5126,Hoja1!$B$1:$C$6191,2,0)="",_xlfn.XLOOKUP(C5126,Hoja1!$B$2:$B$6191,Hoja1!$A$2:$A$6191),VLOOKUP(C5126,Hoja1!$B$1:$C$6191,2,0)),"No esta en Infor")</f>
        <v>NAC1483</v>
      </c>
      <c r="C5126" t="s">
        <v>357</v>
      </c>
      <c r="D5126" s="61">
        <v>4683.03</v>
      </c>
      <c r="F5126" s="61">
        <v>0</v>
      </c>
      <c r="G5126" s="61">
        <v>0</v>
      </c>
      <c r="H5126" s="61">
        <v>0</v>
      </c>
      <c r="I5126" s="61">
        <v>0</v>
      </c>
      <c r="J5126" s="61">
        <f t="shared" si="42"/>
        <v>4683.03</v>
      </c>
    </row>
    <row r="5127" spans="1:10" x14ac:dyDescent="0.25">
      <c r="A5127" s="67">
        <v>45777</v>
      </c>
      <c r="B5127" t="str">
        <f>IFERROR(IF(VLOOKUP(C5127,Hoja1!$B$1:$C$6191,2,0)="",_xlfn.XLOOKUP(C5127,Hoja1!$B$2:$B$6191,Hoja1!$A$2:$A$6191),VLOOKUP(C5127,Hoja1!$B$1:$C$6191,2,0)),"No esta en Infor")</f>
        <v>NAC1486</v>
      </c>
      <c r="C5127" t="s">
        <v>609</v>
      </c>
      <c r="D5127" s="61">
        <v>1972.15</v>
      </c>
      <c r="F5127" s="61">
        <v>0</v>
      </c>
      <c r="G5127" s="61">
        <v>0</v>
      </c>
      <c r="H5127" s="61">
        <v>0</v>
      </c>
      <c r="I5127" s="61">
        <v>0</v>
      </c>
      <c r="J5127" s="61">
        <f t="shared" si="42"/>
        <v>1972.15</v>
      </c>
    </row>
    <row r="5128" spans="1:10" x14ac:dyDescent="0.25">
      <c r="A5128" s="67">
        <v>45777</v>
      </c>
      <c r="B5128" t="str">
        <f>IFERROR(IF(VLOOKUP(C5128,Hoja1!$B$1:$C$6191,2,0)="",_xlfn.XLOOKUP(C5128,Hoja1!$B$2:$B$6191,Hoja1!$A$2:$A$6191),VLOOKUP(C5128,Hoja1!$B$1:$C$6191,2,0)),"No esta en Infor")</f>
        <v>CAN0081</v>
      </c>
      <c r="C5128" t="s">
        <v>431</v>
      </c>
      <c r="D5128" s="61">
        <v>51418.44</v>
      </c>
      <c r="F5128" s="61">
        <v>0</v>
      </c>
      <c r="G5128" s="61">
        <v>57.46</v>
      </c>
      <c r="H5128" s="61">
        <v>-585</v>
      </c>
      <c r="I5128" s="61">
        <v>0</v>
      </c>
      <c r="J5128" s="61">
        <f t="shared" si="42"/>
        <v>50890.9</v>
      </c>
    </row>
    <row r="5129" spans="1:10" x14ac:dyDescent="0.25">
      <c r="A5129" s="67">
        <v>45777</v>
      </c>
      <c r="B5129" t="str">
        <f>IFERROR(IF(VLOOKUP(C5129,Hoja1!$B$1:$C$6191,2,0)="",_xlfn.XLOOKUP(C5129,Hoja1!$B$2:$B$6191,Hoja1!$A$2:$A$6191),VLOOKUP(C5129,Hoja1!$B$1:$C$6191,2,0)),"No esta en Infor")</f>
        <v>NAC1500</v>
      </c>
      <c r="C5129" t="s">
        <v>432</v>
      </c>
      <c r="D5129" s="61">
        <v>0</v>
      </c>
      <c r="F5129" s="61">
        <v>0</v>
      </c>
      <c r="G5129" s="61">
        <v>-0.06</v>
      </c>
      <c r="H5129" s="61">
        <v>0</v>
      </c>
      <c r="I5129" s="61">
        <v>51.8</v>
      </c>
      <c r="J5129" s="61">
        <f t="shared" si="42"/>
        <v>51.739999999999995</v>
      </c>
    </row>
    <row r="5130" spans="1:10" x14ac:dyDescent="0.25">
      <c r="A5130" s="67">
        <v>45777</v>
      </c>
      <c r="B5130" t="str">
        <f>IFERROR(IF(VLOOKUP(C5130,Hoja1!$B$1:$C$6191,2,0)="",_xlfn.XLOOKUP(C5130,Hoja1!$B$2:$B$6191,Hoja1!$A$2:$A$6191),VLOOKUP(C5130,Hoja1!$B$1:$C$6191,2,0)),"No esta en Infor")</f>
        <v>CAN0082</v>
      </c>
      <c r="C5130" t="s">
        <v>362</v>
      </c>
      <c r="D5130" s="61">
        <v>589.86</v>
      </c>
      <c r="F5130" s="61">
        <v>0</v>
      </c>
      <c r="G5130" s="61">
        <v>0</v>
      </c>
      <c r="H5130" s="61">
        <v>0</v>
      </c>
      <c r="I5130" s="61">
        <v>0</v>
      </c>
      <c r="J5130" s="61">
        <f t="shared" si="42"/>
        <v>589.86</v>
      </c>
    </row>
    <row r="5131" spans="1:10" x14ac:dyDescent="0.25">
      <c r="A5131" s="67">
        <v>45777</v>
      </c>
      <c r="B5131" t="str">
        <f>IFERROR(IF(VLOOKUP(C5131,Hoja1!$B$1:$C$6191,2,0)="",_xlfn.XLOOKUP(C5131,Hoja1!$B$2:$B$6191,Hoja1!$A$2:$A$6191),VLOOKUP(C5131,Hoja1!$B$1:$C$6191,2,0)),"No esta en Infor")</f>
        <v>NAC1504</v>
      </c>
      <c r="C5131" t="s">
        <v>363</v>
      </c>
      <c r="D5131" s="61">
        <v>-134.4</v>
      </c>
      <c r="F5131" s="61">
        <v>0</v>
      </c>
      <c r="G5131" s="61">
        <v>0</v>
      </c>
      <c r="H5131" s="61">
        <v>0</v>
      </c>
      <c r="I5131" s="61">
        <v>0</v>
      </c>
      <c r="J5131" s="61">
        <f t="shared" si="42"/>
        <v>-134.4</v>
      </c>
    </row>
    <row r="5132" spans="1:10" x14ac:dyDescent="0.25">
      <c r="A5132" s="67">
        <v>45777</v>
      </c>
      <c r="B5132" t="str">
        <f>IFERROR(IF(VLOOKUP(C5132,Hoja1!$B$1:$C$6191,2,0)="",_xlfn.XLOOKUP(C5132,Hoja1!$B$2:$B$6191,Hoja1!$A$2:$A$6191),VLOOKUP(C5132,Hoja1!$B$1:$C$6191,2,0)),"No esta en Infor")</f>
        <v>NAC1506</v>
      </c>
      <c r="C5132" t="s">
        <v>364</v>
      </c>
      <c r="D5132" s="61">
        <v>924</v>
      </c>
      <c r="F5132" s="61">
        <v>0</v>
      </c>
      <c r="G5132" s="61">
        <v>0</v>
      </c>
      <c r="H5132" s="61">
        <v>0</v>
      </c>
      <c r="I5132" s="61">
        <v>0</v>
      </c>
      <c r="J5132" s="61">
        <f t="shared" si="42"/>
        <v>924</v>
      </c>
    </row>
    <row r="5133" spans="1:10" x14ac:dyDescent="0.25">
      <c r="A5133" s="67">
        <v>45777</v>
      </c>
      <c r="B5133" t="str">
        <f>IFERROR(IF(VLOOKUP(C5133,Hoja1!$B$1:$C$6191,2,0)="",_xlfn.XLOOKUP(C5133,Hoja1!$B$2:$B$6191,Hoja1!$A$2:$A$6191),VLOOKUP(C5133,Hoja1!$B$1:$C$6191,2,0)),"No esta en Infor")</f>
        <v>NAC1511</v>
      </c>
      <c r="C5133" t="s">
        <v>534</v>
      </c>
      <c r="D5133" s="61">
        <v>1731.32</v>
      </c>
      <c r="F5133" s="61">
        <v>0</v>
      </c>
      <c r="G5133" s="61">
        <v>0</v>
      </c>
      <c r="H5133" s="61">
        <v>0</v>
      </c>
      <c r="I5133" s="61">
        <v>0</v>
      </c>
      <c r="J5133" s="61">
        <f t="shared" si="42"/>
        <v>1731.32</v>
      </c>
    </row>
    <row r="5134" spans="1:10" x14ac:dyDescent="0.25">
      <c r="A5134" s="67">
        <v>45777</v>
      </c>
      <c r="B5134" t="str">
        <f>IFERROR(IF(VLOOKUP(C5134,Hoja1!$B$1:$C$6191,2,0)="",_xlfn.XLOOKUP(C5134,Hoja1!$B$2:$B$6191,Hoja1!$A$2:$A$6191),VLOOKUP(C5134,Hoja1!$B$1:$C$6191,2,0)),"No esta en Infor")</f>
        <v>NAC1512</v>
      </c>
      <c r="C5134" t="s">
        <v>56</v>
      </c>
      <c r="D5134" s="61">
        <v>-1360</v>
      </c>
      <c r="F5134" s="61">
        <v>0</v>
      </c>
      <c r="G5134" s="61">
        <v>0</v>
      </c>
      <c r="H5134" s="61">
        <v>0</v>
      </c>
      <c r="I5134" s="61">
        <v>0</v>
      </c>
      <c r="J5134" s="61">
        <f t="shared" si="42"/>
        <v>-1360</v>
      </c>
    </row>
    <row r="5135" spans="1:10" x14ac:dyDescent="0.25">
      <c r="A5135" s="67">
        <v>45777</v>
      </c>
      <c r="B5135" t="str">
        <f>IFERROR(IF(VLOOKUP(C5135,Hoja1!$B$1:$C$6191,2,0)="",_xlfn.XLOOKUP(C5135,Hoja1!$B$2:$B$6191,Hoja1!$A$2:$A$6191),VLOOKUP(C5135,Hoja1!$B$1:$C$6191,2,0)),"No esta en Infor")</f>
        <v>CAN0084</v>
      </c>
      <c r="C5135" t="s">
        <v>535</v>
      </c>
      <c r="D5135" s="61">
        <v>470.08</v>
      </c>
      <c r="F5135" s="61">
        <v>0</v>
      </c>
      <c r="G5135" s="61">
        <v>0</v>
      </c>
      <c r="H5135" s="61">
        <v>0</v>
      </c>
      <c r="I5135" s="61">
        <v>0</v>
      </c>
      <c r="J5135" s="61">
        <f t="shared" si="42"/>
        <v>470.08</v>
      </c>
    </row>
    <row r="5136" spans="1:10" x14ac:dyDescent="0.25">
      <c r="A5136" s="67">
        <v>45777</v>
      </c>
      <c r="B5136" t="str">
        <f>IFERROR(IF(VLOOKUP(C5136,Hoja1!$B$1:$C$6191,2,0)="",_xlfn.XLOOKUP(C5136,Hoja1!$B$2:$B$6191,Hoja1!$A$2:$A$6191),VLOOKUP(C5136,Hoja1!$B$1:$C$6191,2,0)),"No esta en Infor")</f>
        <v>NAC1517</v>
      </c>
      <c r="C5136" t="s">
        <v>365</v>
      </c>
      <c r="D5136" s="61">
        <v>167738.54999999999</v>
      </c>
      <c r="F5136" s="61">
        <v>4118.7299999999996</v>
      </c>
      <c r="G5136" s="61">
        <v>1990.5</v>
      </c>
      <c r="H5136" s="61">
        <v>-904.53</v>
      </c>
      <c r="I5136" s="61">
        <v>-545</v>
      </c>
      <c r="J5136" s="61">
        <f t="shared" si="42"/>
        <v>172398.25</v>
      </c>
    </row>
    <row r="5137" spans="1:10" x14ac:dyDescent="0.25">
      <c r="A5137" s="67">
        <v>45777</v>
      </c>
      <c r="B5137" t="str">
        <f>IFERROR(IF(VLOOKUP(C5137,Hoja1!$B$1:$C$6191,2,0)="",_xlfn.XLOOKUP(C5137,Hoja1!$B$2:$B$6191,Hoja1!$A$2:$A$6191),VLOOKUP(C5137,Hoja1!$B$1:$C$6191,2,0)),"No esta en Infor")</f>
        <v>NAC1521</v>
      </c>
      <c r="C5137" t="s">
        <v>593</v>
      </c>
      <c r="D5137" s="61">
        <v>0</v>
      </c>
      <c r="F5137" s="61">
        <v>0</v>
      </c>
      <c r="G5137" s="61">
        <v>0</v>
      </c>
      <c r="H5137" s="61">
        <v>-100</v>
      </c>
      <c r="I5137" s="61">
        <v>0</v>
      </c>
      <c r="J5137" s="61">
        <f t="shared" si="42"/>
        <v>-100</v>
      </c>
    </row>
    <row r="5138" spans="1:10" x14ac:dyDescent="0.25">
      <c r="A5138" s="67">
        <v>45777</v>
      </c>
      <c r="B5138" t="str">
        <f>IFERROR(IF(VLOOKUP(C5138,Hoja1!$B$1:$C$6191,2,0)="",_xlfn.XLOOKUP(C5138,Hoja1!$B$2:$B$6191,Hoja1!$A$2:$A$6191),VLOOKUP(C5138,Hoja1!$B$1:$C$6191,2,0)),"No esta en Infor")</f>
        <v>NAC1522</v>
      </c>
      <c r="C5138" t="s">
        <v>366</v>
      </c>
      <c r="D5138" s="61">
        <v>0</v>
      </c>
      <c r="F5138" s="61">
        <v>502.82</v>
      </c>
      <c r="G5138" s="61">
        <v>0</v>
      </c>
      <c r="H5138" s="61">
        <v>0</v>
      </c>
      <c r="I5138" s="61">
        <v>0</v>
      </c>
      <c r="J5138" s="61">
        <f t="shared" si="42"/>
        <v>502.82</v>
      </c>
    </row>
    <row r="5139" spans="1:10" x14ac:dyDescent="0.25">
      <c r="A5139" s="67">
        <v>45777</v>
      </c>
      <c r="B5139" t="str">
        <f>IFERROR(IF(VLOOKUP(C5139,Hoja1!$B$1:$C$6191,2,0)="",_xlfn.XLOOKUP(C5139,Hoja1!$B$2:$B$6191,Hoja1!$A$2:$A$6191),VLOOKUP(C5139,Hoja1!$B$1:$C$6191,2,0)),"No esta en Infor")</f>
        <v>CAN0087</v>
      </c>
      <c r="C5139" t="s">
        <v>1091</v>
      </c>
      <c r="D5139" s="61">
        <v>19071.009999999998</v>
      </c>
      <c r="F5139" s="61">
        <v>0</v>
      </c>
      <c r="G5139" s="61">
        <v>3483.79</v>
      </c>
      <c r="H5139" s="61">
        <v>-1160.8900000000001</v>
      </c>
      <c r="I5139" s="61">
        <v>0</v>
      </c>
      <c r="J5139" s="61">
        <f t="shared" si="42"/>
        <v>21393.91</v>
      </c>
    </row>
    <row r="5140" spans="1:10" x14ac:dyDescent="0.25">
      <c r="A5140" s="67">
        <v>45777</v>
      </c>
      <c r="B5140" t="str">
        <f>IFERROR(IF(VLOOKUP(C5140,Hoja1!$B$1:$C$6191,2,0)="",_xlfn.XLOOKUP(C5140,Hoja1!$B$2:$B$6191,Hoja1!$A$2:$A$6191),VLOOKUP(C5140,Hoja1!$B$1:$C$6191,2,0)),"No esta en Infor")</f>
        <v>NAC1528</v>
      </c>
      <c r="C5140" t="s">
        <v>974</v>
      </c>
      <c r="D5140" s="61">
        <v>-20.2</v>
      </c>
      <c r="F5140" s="61">
        <v>232</v>
      </c>
      <c r="G5140" s="61">
        <v>0</v>
      </c>
      <c r="H5140" s="61">
        <v>0</v>
      </c>
      <c r="I5140" s="61">
        <v>0</v>
      </c>
      <c r="J5140" s="61">
        <f t="shared" si="42"/>
        <v>211.8</v>
      </c>
    </row>
    <row r="5141" spans="1:10" x14ac:dyDescent="0.25">
      <c r="A5141" s="67">
        <v>45777</v>
      </c>
      <c r="B5141" t="str">
        <f>IFERROR(IF(VLOOKUP(C5141,Hoja1!$B$1:$C$6191,2,0)="",_xlfn.XLOOKUP(C5141,Hoja1!$B$2:$B$6191,Hoja1!$A$2:$A$6191),VLOOKUP(C5141,Hoja1!$B$1:$C$6191,2,0)),"No esta en Infor")</f>
        <v>NAC1529</v>
      </c>
      <c r="C5141" t="s">
        <v>368</v>
      </c>
      <c r="D5141" s="61">
        <v>1265.21</v>
      </c>
      <c r="F5141" s="61">
        <v>0</v>
      </c>
      <c r="G5141" s="61">
        <v>0</v>
      </c>
      <c r="H5141" s="61">
        <v>0</v>
      </c>
      <c r="I5141" s="61">
        <v>0</v>
      </c>
      <c r="J5141" s="61">
        <f t="shared" si="42"/>
        <v>1265.21</v>
      </c>
    </row>
    <row r="5142" spans="1:10" x14ac:dyDescent="0.25">
      <c r="A5142" s="67">
        <v>45777</v>
      </c>
      <c r="B5142" t="str">
        <f>IFERROR(IF(VLOOKUP(C5142,Hoja1!$B$1:$C$6191,2,0)="",_xlfn.XLOOKUP(C5142,Hoja1!$B$2:$B$6191,Hoja1!$A$2:$A$6191),VLOOKUP(C5142,Hoja1!$B$1:$C$6191,2,0)),"No esta en Infor")</f>
        <v>CAN0088</v>
      </c>
      <c r="C5142" t="s">
        <v>369</v>
      </c>
      <c r="D5142" s="61">
        <v>0</v>
      </c>
      <c r="F5142" s="61">
        <v>0</v>
      </c>
      <c r="G5142" s="61">
        <v>0</v>
      </c>
      <c r="H5142" s="61">
        <v>0</v>
      </c>
      <c r="I5142" s="61">
        <v>-891</v>
      </c>
      <c r="J5142" s="61">
        <f t="shared" si="42"/>
        <v>-891</v>
      </c>
    </row>
    <row r="5143" spans="1:10" x14ac:dyDescent="0.25">
      <c r="A5143" s="67">
        <v>45777</v>
      </c>
      <c r="B5143" t="str">
        <f>IFERROR(IF(VLOOKUP(C5143,Hoja1!$B$1:$C$6191,2,0)="",_xlfn.XLOOKUP(C5143,Hoja1!$B$2:$B$6191,Hoja1!$A$2:$A$6191),VLOOKUP(C5143,Hoja1!$B$1:$C$6191,2,0)),"No esta en Infor")</f>
        <v>NAC1530</v>
      </c>
      <c r="C5143" t="s">
        <v>611</v>
      </c>
      <c r="D5143" s="61">
        <v>492.13</v>
      </c>
      <c r="F5143" s="61">
        <v>284.7</v>
      </c>
      <c r="G5143" s="61">
        <v>0</v>
      </c>
      <c r="H5143" s="61">
        <v>0</v>
      </c>
      <c r="I5143" s="61">
        <v>0</v>
      </c>
      <c r="J5143" s="61">
        <f t="shared" si="42"/>
        <v>776.82999999999993</v>
      </c>
    </row>
    <row r="5144" spans="1:10" x14ac:dyDescent="0.25">
      <c r="A5144" s="67">
        <v>45777</v>
      </c>
      <c r="B5144" t="str">
        <f>IFERROR(IF(VLOOKUP(C5144,Hoja1!$B$1:$C$6191,2,0)="",_xlfn.XLOOKUP(C5144,Hoja1!$B$2:$B$6191,Hoja1!$A$2:$A$6191),VLOOKUP(C5144,Hoja1!$B$1:$C$6191,2,0)),"No esta en Infor")</f>
        <v>NAC1531</v>
      </c>
      <c r="C5144" t="s">
        <v>2821</v>
      </c>
      <c r="D5144" s="61">
        <v>-447.3</v>
      </c>
      <c r="F5144" s="61">
        <v>0</v>
      </c>
      <c r="G5144" s="61">
        <v>0</v>
      </c>
      <c r="H5144" s="61">
        <v>0</v>
      </c>
      <c r="I5144" s="61">
        <v>0</v>
      </c>
      <c r="J5144" s="61">
        <f t="shared" si="42"/>
        <v>-447.3</v>
      </c>
    </row>
    <row r="5145" spans="1:10" x14ac:dyDescent="0.25">
      <c r="A5145" s="67">
        <v>45777</v>
      </c>
      <c r="B5145" t="str">
        <f>IFERROR(IF(VLOOKUP(C5145,Hoja1!$B$1:$C$6191,2,0)="",_xlfn.XLOOKUP(C5145,Hoja1!$B$2:$B$6191,Hoja1!$A$2:$A$6191),VLOOKUP(C5145,Hoja1!$B$1:$C$6191,2,0)),"No esta en Infor")</f>
        <v>NAC1538</v>
      </c>
      <c r="C5145" t="s">
        <v>536</v>
      </c>
      <c r="D5145" s="61">
        <v>1633.16</v>
      </c>
      <c r="F5145" s="61">
        <v>0</v>
      </c>
      <c r="G5145" s="61">
        <v>0</v>
      </c>
      <c r="H5145" s="61">
        <v>0</v>
      </c>
      <c r="I5145" s="61">
        <v>0</v>
      </c>
      <c r="J5145" s="61">
        <f t="shared" si="42"/>
        <v>1633.16</v>
      </c>
    </row>
    <row r="5146" spans="1:10" x14ac:dyDescent="0.25">
      <c r="A5146" s="67">
        <v>45777</v>
      </c>
      <c r="B5146" t="str">
        <f>IFERROR(IF(VLOOKUP(C5146,Hoja1!$B$1:$C$6191,2,0)="",_xlfn.XLOOKUP(C5146,Hoja1!$B$2:$B$6191,Hoja1!$A$2:$A$6191),VLOOKUP(C5146,Hoja1!$B$1:$C$6191,2,0)),"No esta en Infor")</f>
        <v>NAC1543</v>
      </c>
      <c r="C5146" t="s">
        <v>888</v>
      </c>
      <c r="D5146" s="61">
        <v>6907.02</v>
      </c>
      <c r="F5146" s="61">
        <v>0</v>
      </c>
      <c r="G5146" s="61">
        <v>0</v>
      </c>
      <c r="H5146" s="61">
        <v>0</v>
      </c>
      <c r="I5146" s="61">
        <v>0</v>
      </c>
      <c r="J5146" s="61">
        <f t="shared" si="42"/>
        <v>6907.02</v>
      </c>
    </row>
    <row r="5147" spans="1:10" x14ac:dyDescent="0.25">
      <c r="A5147" s="20">
        <v>45808</v>
      </c>
      <c r="B5147" t="str">
        <f>IFERROR(IF(VLOOKUP(C5147,Hoja1!$B$1:$C$6191,2,0)="",_xlfn.XLOOKUP(C5147,Hoja1!$B$2:$B$6191,Hoja1!$A$2:$A$6191),VLOOKUP(C5147,Hoja1!$B$1:$C$6191,2,0)),"No esta en Infor")</f>
        <v>CAN0001</v>
      </c>
      <c r="C5147" t="s">
        <v>64</v>
      </c>
      <c r="D5147" s="61">
        <v>19885.36</v>
      </c>
      <c r="F5147" s="61">
        <v>-1491.6</v>
      </c>
      <c r="G5147" s="61">
        <v>0</v>
      </c>
      <c r="H5147" s="61">
        <v>0</v>
      </c>
      <c r="I5147" s="61">
        <v>0</v>
      </c>
      <c r="J5147" s="61">
        <f t="shared" ref="J5147:J5210" si="43">SUM(D5147:I5147)</f>
        <v>18393.760000000002</v>
      </c>
    </row>
    <row r="5148" spans="1:10" x14ac:dyDescent="0.25">
      <c r="A5148" s="20">
        <v>45808</v>
      </c>
      <c r="B5148" t="str">
        <f>IFERROR(IF(VLOOKUP(C5148,Hoja1!$B$1:$C$6191,2,0)="",_xlfn.XLOOKUP(C5148,Hoja1!$B$2:$B$6191,Hoja1!$A$2:$A$6191),VLOOKUP(C5148,Hoja1!$B$1:$C$6191,2,0)),"No esta en Infor")</f>
        <v>CAN0002</v>
      </c>
      <c r="C5148" t="s">
        <v>87</v>
      </c>
      <c r="D5148" s="61">
        <v>5003.3100000000004</v>
      </c>
      <c r="F5148" s="61">
        <v>445.22</v>
      </c>
      <c r="G5148" s="61">
        <v>0</v>
      </c>
      <c r="H5148" s="61">
        <v>0</v>
      </c>
      <c r="I5148" s="61">
        <v>547.53</v>
      </c>
      <c r="J5148" s="61">
        <f t="shared" si="43"/>
        <v>5996.06</v>
      </c>
    </row>
    <row r="5149" spans="1:10" x14ac:dyDescent="0.25">
      <c r="A5149" s="20">
        <v>45808</v>
      </c>
      <c r="B5149" t="str">
        <f>IFERROR(IF(VLOOKUP(C5149,Hoja1!$B$1:$C$6191,2,0)="",_xlfn.XLOOKUP(C5149,Hoja1!$B$2:$B$6191,Hoja1!$A$2:$A$6191),VLOOKUP(C5149,Hoja1!$B$1:$C$6191,2,0)),"No esta en Infor")</f>
        <v>CAN0003</v>
      </c>
      <c r="C5149" t="s">
        <v>441</v>
      </c>
      <c r="D5149" s="61">
        <v>4475.97</v>
      </c>
      <c r="F5149" s="61">
        <v>0</v>
      </c>
      <c r="G5149" s="61">
        <v>0</v>
      </c>
      <c r="H5149" s="61">
        <v>0</v>
      </c>
      <c r="I5149" s="61">
        <v>0</v>
      </c>
      <c r="J5149" s="61">
        <f t="shared" si="43"/>
        <v>4475.97</v>
      </c>
    </row>
    <row r="5150" spans="1:10" x14ac:dyDescent="0.25">
      <c r="A5150" s="20">
        <v>45808</v>
      </c>
      <c r="B5150" t="str">
        <f>IFERROR(IF(VLOOKUP(C5150,Hoja1!$B$1:$C$6191,2,0)="",_xlfn.XLOOKUP(C5150,Hoja1!$B$2:$B$6191,Hoja1!$A$2:$A$6191),VLOOKUP(C5150,Hoja1!$B$1:$C$6191,2,0)),"No esta en Infor")</f>
        <v>CAN0005</v>
      </c>
      <c r="C5150" t="s">
        <v>90</v>
      </c>
      <c r="D5150" s="61">
        <v>137001.95000000001</v>
      </c>
      <c r="F5150" s="61">
        <v>0</v>
      </c>
      <c r="G5150" s="61">
        <v>0</v>
      </c>
      <c r="H5150" s="61">
        <v>0</v>
      </c>
      <c r="I5150" s="61">
        <v>0</v>
      </c>
      <c r="J5150" s="61">
        <f t="shared" si="43"/>
        <v>137001.95000000001</v>
      </c>
    </row>
    <row r="5151" spans="1:10" x14ac:dyDescent="0.25">
      <c r="A5151" s="20">
        <v>45808</v>
      </c>
      <c r="B5151" t="str">
        <f>IFERROR(IF(VLOOKUP(C5151,Hoja1!$B$1:$C$6191,2,0)="",_xlfn.XLOOKUP(C5151,Hoja1!$B$2:$B$6191,Hoja1!$A$2:$A$6191),VLOOKUP(C5151,Hoja1!$B$1:$C$6191,2,0)),"No esta en Infor")</f>
        <v>CAN0006</v>
      </c>
      <c r="C5151" t="s">
        <v>17</v>
      </c>
      <c r="D5151" s="61">
        <v>25798.5</v>
      </c>
      <c r="F5151" s="61">
        <v>0</v>
      </c>
      <c r="G5151" s="61">
        <v>0</v>
      </c>
      <c r="H5151" s="61">
        <v>0</v>
      </c>
      <c r="I5151" s="61">
        <v>-176.73</v>
      </c>
      <c r="J5151" s="61">
        <f t="shared" si="43"/>
        <v>25621.77</v>
      </c>
    </row>
    <row r="5152" spans="1:10" x14ac:dyDescent="0.25">
      <c r="A5152" s="20">
        <v>45808</v>
      </c>
      <c r="B5152" t="str">
        <f>IFERROR(IF(VLOOKUP(C5152,Hoja1!$B$1:$C$6191,2,0)="",_xlfn.XLOOKUP(C5152,Hoja1!$B$2:$B$6191,Hoja1!$A$2:$A$6191),VLOOKUP(C5152,Hoja1!$B$1:$C$6191,2,0)),"No esta en Infor")</f>
        <v>CAN0011</v>
      </c>
      <c r="C5152" t="s">
        <v>121</v>
      </c>
      <c r="D5152" s="61">
        <v>1300.6400000000001</v>
      </c>
      <c r="F5152" s="61">
        <v>344.83</v>
      </c>
      <c r="G5152" s="61">
        <v>589.86</v>
      </c>
      <c r="H5152" s="61">
        <v>0</v>
      </c>
      <c r="I5152" s="61">
        <v>3091.68</v>
      </c>
      <c r="J5152" s="61">
        <f t="shared" si="43"/>
        <v>5327.01</v>
      </c>
    </row>
    <row r="5153" spans="1:10" x14ac:dyDescent="0.25">
      <c r="A5153" s="20">
        <v>45808</v>
      </c>
      <c r="B5153" t="str">
        <f>IFERROR(IF(VLOOKUP(C5153,Hoja1!$B$1:$C$6191,2,0)="",_xlfn.XLOOKUP(C5153,Hoja1!$B$2:$B$6191,Hoja1!$A$2:$A$6191),VLOOKUP(C5153,Hoja1!$B$1:$C$6191,2,0)),"No esta en Infor")</f>
        <v>CAN0014</v>
      </c>
      <c r="C5153" t="s">
        <v>141</v>
      </c>
      <c r="D5153" s="61">
        <v>5355</v>
      </c>
      <c r="F5153" s="61">
        <v>0</v>
      </c>
      <c r="G5153" s="61">
        <v>0</v>
      </c>
      <c r="H5153" s="61">
        <v>0</v>
      </c>
      <c r="I5153" s="61">
        <v>0</v>
      </c>
      <c r="J5153" s="61">
        <f t="shared" si="43"/>
        <v>5355</v>
      </c>
    </row>
    <row r="5154" spans="1:10" x14ac:dyDescent="0.25">
      <c r="A5154" s="20">
        <v>45808</v>
      </c>
      <c r="B5154" t="str">
        <f>IFERROR(IF(VLOOKUP(C5154,Hoja1!$B$1:$C$6191,2,0)="",_xlfn.XLOOKUP(C5154,Hoja1!$B$2:$B$6191,Hoja1!$A$2:$A$6191),VLOOKUP(C5154,Hoja1!$B$1:$C$6191,2,0)),"No esta en Infor")</f>
        <v>CAN0018</v>
      </c>
      <c r="C5154" t="s">
        <v>21</v>
      </c>
      <c r="D5154" s="61">
        <v>0</v>
      </c>
      <c r="F5154" s="61">
        <v>15608.74</v>
      </c>
      <c r="G5154" s="61">
        <v>21732.5</v>
      </c>
      <c r="H5154" s="61">
        <v>21588.880000000001</v>
      </c>
      <c r="I5154" s="61">
        <v>0</v>
      </c>
      <c r="J5154" s="61">
        <f t="shared" si="43"/>
        <v>58930.119999999995</v>
      </c>
    </row>
    <row r="5155" spans="1:10" x14ac:dyDescent="0.25">
      <c r="A5155" s="20">
        <v>45808</v>
      </c>
      <c r="B5155" t="str">
        <f>IFERROR(IF(VLOOKUP(C5155,Hoja1!$B$1:$C$6191,2,0)="",_xlfn.XLOOKUP(C5155,Hoja1!$B$2:$B$6191,Hoja1!$A$2:$A$6191),VLOOKUP(C5155,Hoja1!$B$1:$C$6191,2,0)),"No esta en Infor")</f>
        <v>CAN0019</v>
      </c>
      <c r="C5155" t="s">
        <v>172</v>
      </c>
      <c r="D5155" s="61">
        <v>16034.54</v>
      </c>
      <c r="F5155" s="61">
        <v>0</v>
      </c>
      <c r="G5155" s="61">
        <v>0</v>
      </c>
      <c r="H5155" s="61">
        <v>0</v>
      </c>
      <c r="I5155" s="61">
        <v>0</v>
      </c>
      <c r="J5155" s="61">
        <f t="shared" si="43"/>
        <v>16034.54</v>
      </c>
    </row>
    <row r="5156" spans="1:10" x14ac:dyDescent="0.25">
      <c r="A5156" s="20">
        <v>45808</v>
      </c>
      <c r="B5156" t="str">
        <f>IFERROR(IF(VLOOKUP(C5156,Hoja1!$B$1:$C$6191,2,0)="",_xlfn.XLOOKUP(C5156,Hoja1!$B$2:$B$6191,Hoja1!$A$2:$A$6191),VLOOKUP(C5156,Hoja1!$B$1:$C$6191,2,0)),"No esta en Infor")</f>
        <v>CAN0020</v>
      </c>
      <c r="C5156" t="s">
        <v>174</v>
      </c>
      <c r="D5156" s="61">
        <v>3757</v>
      </c>
      <c r="F5156" s="61">
        <v>0</v>
      </c>
      <c r="G5156" s="61">
        <v>-946.26</v>
      </c>
      <c r="H5156" s="61">
        <v>-896.09</v>
      </c>
      <c r="I5156" s="61">
        <v>0</v>
      </c>
      <c r="J5156" s="61">
        <f t="shared" si="43"/>
        <v>1914.6499999999996</v>
      </c>
    </row>
    <row r="5157" spans="1:10" x14ac:dyDescent="0.25">
      <c r="A5157" s="20">
        <v>45808</v>
      </c>
      <c r="B5157" t="str">
        <f>IFERROR(IF(VLOOKUP(C5157,Hoja1!$B$1:$C$6191,2,0)="",_xlfn.XLOOKUP(C5157,Hoja1!$B$2:$B$6191,Hoja1!$A$2:$A$6191),VLOOKUP(C5157,Hoja1!$B$1:$C$6191,2,0)),"No esta en Infor")</f>
        <v>CAN0022</v>
      </c>
      <c r="C5157" t="s">
        <v>397</v>
      </c>
      <c r="D5157" s="61">
        <v>268.49</v>
      </c>
      <c r="F5157" s="61">
        <v>0</v>
      </c>
      <c r="G5157" s="61">
        <v>0</v>
      </c>
      <c r="H5157" s="61">
        <v>0</v>
      </c>
      <c r="I5157" s="61">
        <v>0</v>
      </c>
      <c r="J5157" s="61">
        <f t="shared" si="43"/>
        <v>268.49</v>
      </c>
    </row>
    <row r="5158" spans="1:10" x14ac:dyDescent="0.25">
      <c r="A5158" s="20">
        <v>45808</v>
      </c>
      <c r="B5158" t="str">
        <f>IFERROR(IF(VLOOKUP(C5158,Hoja1!$B$1:$C$6191,2,0)="",_xlfn.XLOOKUP(C5158,Hoja1!$B$2:$B$6191,Hoja1!$A$2:$A$6191),VLOOKUP(C5158,Hoja1!$B$1:$C$6191,2,0)),"No esta en Infor")</f>
        <v>CAN0025</v>
      </c>
      <c r="C5158" t="s">
        <v>26</v>
      </c>
      <c r="D5158" s="61">
        <v>1689.35</v>
      </c>
      <c r="F5158" s="61">
        <v>795.2</v>
      </c>
      <c r="G5158" s="61">
        <v>815.29</v>
      </c>
      <c r="H5158" s="61">
        <v>0</v>
      </c>
      <c r="I5158" s="61">
        <v>-19.25</v>
      </c>
      <c r="J5158" s="61">
        <f t="shared" si="43"/>
        <v>3280.59</v>
      </c>
    </row>
    <row r="5159" spans="1:10" x14ac:dyDescent="0.25">
      <c r="A5159" s="20">
        <v>45808</v>
      </c>
      <c r="B5159" t="str">
        <f>IFERROR(IF(VLOOKUP(C5159,Hoja1!$B$1:$C$6191,2,0)="",_xlfn.XLOOKUP(C5159,Hoja1!$B$2:$B$6191,Hoja1!$A$2:$A$6191),VLOOKUP(C5159,Hoja1!$B$1:$C$6191,2,0)),"No esta en Infor")</f>
        <v>CAN0030</v>
      </c>
      <c r="C5159" t="s">
        <v>210</v>
      </c>
      <c r="D5159" s="61">
        <v>69179.42</v>
      </c>
      <c r="F5159" s="61">
        <v>0</v>
      </c>
      <c r="G5159" s="61">
        <v>0</v>
      </c>
      <c r="H5159" s="61">
        <v>0</v>
      </c>
      <c r="I5159" s="61">
        <v>0</v>
      </c>
      <c r="J5159" s="61">
        <f t="shared" si="43"/>
        <v>69179.42</v>
      </c>
    </row>
    <row r="5160" spans="1:10" x14ac:dyDescent="0.25">
      <c r="A5160" s="20">
        <v>45808</v>
      </c>
      <c r="B5160" t="str">
        <f>IFERROR(IF(VLOOKUP(C5160,Hoja1!$B$1:$C$6191,2,0)="",_xlfn.XLOOKUP(C5160,Hoja1!$B$2:$B$6191,Hoja1!$A$2:$A$6191),VLOOKUP(C5160,Hoja1!$B$1:$C$6191,2,0)),"No esta en Infor")</f>
        <v>CAN0035</v>
      </c>
      <c r="C5160" t="s">
        <v>31</v>
      </c>
      <c r="D5160" s="61">
        <v>0</v>
      </c>
      <c r="F5160" s="61">
        <v>224.56</v>
      </c>
      <c r="G5160" s="61">
        <v>0</v>
      </c>
      <c r="H5160" s="61">
        <v>0</v>
      </c>
      <c r="I5160" s="61">
        <v>374.36</v>
      </c>
      <c r="J5160" s="61">
        <f t="shared" si="43"/>
        <v>598.92000000000007</v>
      </c>
    </row>
    <row r="5161" spans="1:10" x14ac:dyDescent="0.25">
      <c r="A5161" s="20">
        <v>45808</v>
      </c>
      <c r="B5161" t="str">
        <f>IFERROR(IF(VLOOKUP(C5161,Hoja1!$B$1:$C$6191,2,0)="",_xlfn.XLOOKUP(C5161,Hoja1!$B$2:$B$6191,Hoja1!$A$2:$A$6191),VLOOKUP(C5161,Hoja1!$B$1:$C$6191,2,0)),"No esta en Infor")</f>
        <v>CAN0036</v>
      </c>
      <c r="C5161" t="s">
        <v>256</v>
      </c>
      <c r="D5161" s="61">
        <v>40</v>
      </c>
      <c r="F5161" s="61">
        <v>0</v>
      </c>
      <c r="G5161" s="61">
        <v>0</v>
      </c>
      <c r="H5161" s="61">
        <v>0</v>
      </c>
      <c r="I5161" s="61">
        <v>0</v>
      </c>
      <c r="J5161" s="61">
        <f t="shared" si="43"/>
        <v>40</v>
      </c>
    </row>
    <row r="5162" spans="1:10" x14ac:dyDescent="0.25">
      <c r="A5162" s="20">
        <v>45808</v>
      </c>
      <c r="B5162" t="str">
        <f>IFERROR(IF(VLOOKUP(C5162,Hoja1!$B$1:$C$6191,2,0)="",_xlfn.XLOOKUP(C5162,Hoja1!$B$2:$B$6191,Hoja1!$A$2:$A$6191),VLOOKUP(C5162,Hoja1!$B$1:$C$6191,2,0)),"No esta en Infor")</f>
        <v>CAN0037</v>
      </c>
      <c r="C5162" t="s">
        <v>687</v>
      </c>
      <c r="D5162" s="61">
        <v>2210.79</v>
      </c>
      <c r="F5162" s="61">
        <v>224.04</v>
      </c>
      <c r="G5162" s="61">
        <v>24.81</v>
      </c>
      <c r="H5162" s="61">
        <v>-240.46</v>
      </c>
      <c r="I5162" s="61">
        <v>-4056.13</v>
      </c>
      <c r="J5162" s="61">
        <f t="shared" si="43"/>
        <v>-1836.9500000000003</v>
      </c>
    </row>
    <row r="5163" spans="1:10" x14ac:dyDescent="0.25">
      <c r="A5163" s="20">
        <v>45808</v>
      </c>
      <c r="B5163" t="str">
        <f>IFERROR(IF(VLOOKUP(C5163,Hoja1!$B$1:$C$6191,2,0)="",_xlfn.XLOOKUP(C5163,Hoja1!$B$2:$B$6191,Hoja1!$A$2:$A$6191),VLOOKUP(C5163,Hoja1!$B$1:$C$6191,2,0)),"No esta en Infor")</f>
        <v>CAN0038</v>
      </c>
      <c r="C5163" t="s">
        <v>264</v>
      </c>
      <c r="D5163" s="61">
        <v>372.9</v>
      </c>
      <c r="F5163" s="61">
        <v>1640.76</v>
      </c>
      <c r="G5163" s="61">
        <v>-3834.29</v>
      </c>
      <c r="H5163" s="61">
        <v>0</v>
      </c>
      <c r="I5163" s="61">
        <v>0</v>
      </c>
      <c r="J5163" s="61">
        <f t="shared" si="43"/>
        <v>-1820.63</v>
      </c>
    </row>
    <row r="5164" spans="1:10" x14ac:dyDescent="0.25">
      <c r="A5164" s="20">
        <v>45808</v>
      </c>
      <c r="B5164" t="str">
        <f>IFERROR(IF(VLOOKUP(C5164,Hoja1!$B$1:$C$6191,2,0)="",_xlfn.XLOOKUP(C5164,Hoja1!$B$2:$B$6191,Hoja1!$A$2:$A$6191),VLOOKUP(C5164,Hoja1!$B$1:$C$6191,2,0)),"No esta en Infor")</f>
        <v>CAN0039</v>
      </c>
      <c r="C5164" t="s">
        <v>265</v>
      </c>
      <c r="D5164" s="61">
        <v>64310.07</v>
      </c>
      <c r="F5164" s="61">
        <v>0</v>
      </c>
      <c r="G5164" s="61">
        <v>0</v>
      </c>
      <c r="H5164" s="61">
        <v>0</v>
      </c>
      <c r="I5164" s="61">
        <v>0</v>
      </c>
      <c r="J5164" s="61">
        <f t="shared" si="43"/>
        <v>64310.07</v>
      </c>
    </row>
    <row r="5165" spans="1:10" x14ac:dyDescent="0.25">
      <c r="A5165" s="20">
        <v>45808</v>
      </c>
      <c r="B5165" t="str">
        <f>IFERROR(IF(VLOOKUP(C5165,Hoja1!$B$1:$C$6191,2,0)="",_xlfn.XLOOKUP(C5165,Hoja1!$B$2:$B$6191,Hoja1!$A$2:$A$6191),VLOOKUP(C5165,Hoja1!$B$1:$C$6191,2,0)),"No esta en Infor")</f>
        <v>CAN0043</v>
      </c>
      <c r="C5165" t="s">
        <v>280</v>
      </c>
      <c r="D5165" s="61">
        <v>-2850.43</v>
      </c>
      <c r="F5165" s="61">
        <v>-41.77</v>
      </c>
      <c r="G5165" s="61">
        <v>0</v>
      </c>
      <c r="H5165" s="61">
        <v>0</v>
      </c>
      <c r="I5165" s="61">
        <v>0</v>
      </c>
      <c r="J5165" s="61">
        <f t="shared" si="43"/>
        <v>-2892.2</v>
      </c>
    </row>
    <row r="5166" spans="1:10" x14ac:dyDescent="0.25">
      <c r="A5166" s="20">
        <v>45808</v>
      </c>
      <c r="B5166" t="str">
        <f>IFERROR(IF(VLOOKUP(C5166,Hoja1!$B$1:$C$6191,2,0)="",_xlfn.XLOOKUP(C5166,Hoja1!$B$2:$B$6191,Hoja1!$A$2:$A$6191),VLOOKUP(C5166,Hoja1!$B$1:$C$6191,2,0)),"No esta en Infor")</f>
        <v>CAN0046</v>
      </c>
      <c r="C5166" t="s">
        <v>283</v>
      </c>
      <c r="D5166" s="61">
        <v>-36.53</v>
      </c>
      <c r="F5166" s="61">
        <v>0</v>
      </c>
      <c r="G5166" s="61">
        <v>0</v>
      </c>
      <c r="H5166" s="61">
        <v>0</v>
      </c>
      <c r="I5166" s="61">
        <v>0</v>
      </c>
      <c r="J5166" s="61">
        <f t="shared" si="43"/>
        <v>-36.53</v>
      </c>
    </row>
    <row r="5167" spans="1:10" x14ac:dyDescent="0.25">
      <c r="A5167" s="20">
        <v>45808</v>
      </c>
      <c r="B5167" t="str">
        <f>IFERROR(IF(VLOOKUP(C5167,Hoja1!$B$1:$C$6191,2,0)="",_xlfn.XLOOKUP(C5167,Hoja1!$B$2:$B$6191,Hoja1!$A$2:$A$6191),VLOOKUP(C5167,Hoja1!$B$1:$C$6191,2,0)),"No esta en Infor")</f>
        <v>CAN0048</v>
      </c>
      <c r="C5167" t="s">
        <v>567</v>
      </c>
      <c r="D5167" s="61">
        <v>0</v>
      </c>
      <c r="F5167" s="61">
        <v>0</v>
      </c>
      <c r="G5167" s="61">
        <v>0</v>
      </c>
      <c r="H5167" s="61">
        <v>0</v>
      </c>
      <c r="I5167" s="61">
        <v>-12463.9</v>
      </c>
      <c r="J5167" s="61">
        <f t="shared" si="43"/>
        <v>-12463.9</v>
      </c>
    </row>
    <row r="5168" spans="1:10" x14ac:dyDescent="0.25">
      <c r="A5168" s="20">
        <v>45808</v>
      </c>
      <c r="B5168" t="str">
        <f>IFERROR(IF(VLOOKUP(C5168,Hoja1!$B$1:$C$6191,2,0)="",_xlfn.XLOOKUP(C5168,Hoja1!$B$2:$B$6191,Hoja1!$A$2:$A$6191),VLOOKUP(C5168,Hoja1!$B$1:$C$6191,2,0)),"No esta en Infor")</f>
        <v>CAN0049</v>
      </c>
      <c r="C5168" t="s">
        <v>289</v>
      </c>
      <c r="D5168" s="61">
        <v>8862.31</v>
      </c>
      <c r="F5168" s="61">
        <v>0</v>
      </c>
      <c r="G5168" s="61">
        <v>0</v>
      </c>
      <c r="H5168" s="61">
        <v>0</v>
      </c>
      <c r="I5168" s="61">
        <v>0</v>
      </c>
      <c r="J5168" s="61">
        <f t="shared" si="43"/>
        <v>8862.31</v>
      </c>
    </row>
    <row r="5169" spans="1:10" x14ac:dyDescent="0.25">
      <c r="A5169" s="20">
        <v>45808</v>
      </c>
      <c r="B5169" t="str">
        <f>IFERROR(IF(VLOOKUP(C5169,Hoja1!$B$1:$C$6191,2,0)="",_xlfn.XLOOKUP(C5169,Hoja1!$B$2:$B$6191,Hoja1!$A$2:$A$6191),VLOOKUP(C5169,Hoja1!$B$1:$C$6191,2,0)),"No esta en Infor")</f>
        <v>CAN0053</v>
      </c>
      <c r="C5169" t="s">
        <v>302</v>
      </c>
      <c r="D5169" s="61">
        <v>10768</v>
      </c>
      <c r="F5169" s="61">
        <v>1454.69</v>
      </c>
      <c r="G5169" s="61">
        <v>0</v>
      </c>
      <c r="H5169" s="61">
        <v>0</v>
      </c>
      <c r="I5169" s="61">
        <v>0</v>
      </c>
      <c r="J5169" s="61">
        <f t="shared" si="43"/>
        <v>12222.69</v>
      </c>
    </row>
    <row r="5170" spans="1:10" x14ac:dyDescent="0.25">
      <c r="A5170" s="20">
        <v>45808</v>
      </c>
      <c r="B5170" t="str">
        <f>IFERROR(IF(VLOOKUP(C5170,Hoja1!$B$1:$C$6191,2,0)="",_xlfn.XLOOKUP(C5170,Hoja1!$B$2:$B$6191,Hoja1!$A$2:$A$6191),VLOOKUP(C5170,Hoja1!$B$1:$C$6191,2,0)),"No esta en Infor")</f>
        <v>CAN0054</v>
      </c>
      <c r="C5170" t="s">
        <v>36</v>
      </c>
      <c r="D5170" s="61">
        <v>0</v>
      </c>
      <c r="F5170" s="61">
        <v>0</v>
      </c>
      <c r="G5170" s="61">
        <v>0</v>
      </c>
      <c r="H5170" s="61">
        <v>0</v>
      </c>
      <c r="I5170" s="61">
        <v>1069.53</v>
      </c>
      <c r="J5170" s="61">
        <f t="shared" si="43"/>
        <v>1069.53</v>
      </c>
    </row>
    <row r="5171" spans="1:10" x14ac:dyDescent="0.25">
      <c r="A5171" s="20">
        <v>45808</v>
      </c>
      <c r="B5171" t="str">
        <f>IFERROR(IF(VLOOKUP(C5171,Hoja1!$B$1:$C$6191,2,0)="",_xlfn.XLOOKUP(C5171,Hoja1!$B$2:$B$6191,Hoja1!$A$2:$A$6191),VLOOKUP(C5171,Hoja1!$B$1:$C$6191,2,0)),"No esta en Infor")</f>
        <v>CAN0056</v>
      </c>
      <c r="C5171" t="s">
        <v>590</v>
      </c>
      <c r="D5171" s="61">
        <v>8168.77</v>
      </c>
      <c r="F5171" s="61">
        <v>0</v>
      </c>
      <c r="G5171" s="61">
        <v>0</v>
      </c>
      <c r="H5171" s="61">
        <v>0</v>
      </c>
      <c r="I5171" s="61">
        <v>0</v>
      </c>
      <c r="J5171" s="61">
        <f t="shared" si="43"/>
        <v>8168.77</v>
      </c>
    </row>
    <row r="5172" spans="1:10" x14ac:dyDescent="0.25">
      <c r="A5172" s="20">
        <v>45808</v>
      </c>
      <c r="B5172" t="str">
        <f>IFERROR(IF(VLOOKUP(C5172,Hoja1!$B$1:$C$6191,2,0)="",_xlfn.XLOOKUP(C5172,Hoja1!$B$2:$B$6191,Hoja1!$A$2:$A$6191),VLOOKUP(C5172,Hoja1!$B$1:$C$6191,2,0)),"No esta en Infor")</f>
        <v>CAN0059</v>
      </c>
      <c r="C5172" t="s">
        <v>51</v>
      </c>
      <c r="D5172" s="61">
        <v>2562.0700000000002</v>
      </c>
      <c r="F5172" s="61">
        <v>130.4</v>
      </c>
      <c r="G5172" s="61">
        <v>0</v>
      </c>
      <c r="H5172" s="61">
        <v>0</v>
      </c>
      <c r="I5172" s="61">
        <v>49.14</v>
      </c>
      <c r="J5172" s="61">
        <f t="shared" si="43"/>
        <v>2741.61</v>
      </c>
    </row>
    <row r="5173" spans="1:10" x14ac:dyDescent="0.25">
      <c r="A5173" s="20">
        <v>45808</v>
      </c>
      <c r="B5173" t="str">
        <f>IFERROR(IF(VLOOKUP(C5173,Hoja1!$B$1:$C$6191,2,0)="",_xlfn.XLOOKUP(C5173,Hoja1!$B$2:$B$6191,Hoja1!$A$2:$A$6191),VLOOKUP(C5173,Hoja1!$B$1:$C$6191,2,0)),"No esta en Infor")</f>
        <v>CAN0060</v>
      </c>
      <c r="C5173" t="s">
        <v>422</v>
      </c>
      <c r="D5173" s="61">
        <v>0</v>
      </c>
      <c r="F5173" s="61">
        <v>149.16</v>
      </c>
      <c r="G5173" s="61">
        <v>1932.3</v>
      </c>
      <c r="H5173" s="61">
        <v>0</v>
      </c>
      <c r="I5173" s="61">
        <v>-28.5</v>
      </c>
      <c r="J5173" s="61">
        <f t="shared" si="43"/>
        <v>2052.96</v>
      </c>
    </row>
    <row r="5174" spans="1:10" x14ac:dyDescent="0.25">
      <c r="A5174" s="20">
        <v>45808</v>
      </c>
      <c r="B5174" t="str">
        <f>IFERROR(IF(VLOOKUP(C5174,Hoja1!$B$1:$C$6191,2,0)="",_xlfn.XLOOKUP(C5174,Hoja1!$B$2:$B$6191,Hoja1!$A$2:$A$6191),VLOOKUP(C5174,Hoja1!$B$1:$C$6191,2,0)),"No esta en Infor")</f>
        <v>CAN0065</v>
      </c>
      <c r="C5174" t="s">
        <v>327</v>
      </c>
      <c r="D5174" s="61">
        <v>1152.5999999999999</v>
      </c>
      <c r="F5174" s="61">
        <v>0</v>
      </c>
      <c r="G5174" s="61">
        <v>0</v>
      </c>
      <c r="H5174" s="61">
        <v>0</v>
      </c>
      <c r="I5174" s="61">
        <v>0</v>
      </c>
      <c r="J5174" s="61">
        <f t="shared" si="43"/>
        <v>1152.5999999999999</v>
      </c>
    </row>
    <row r="5175" spans="1:10" x14ac:dyDescent="0.25">
      <c r="A5175" s="20">
        <v>45808</v>
      </c>
      <c r="B5175" t="str">
        <f>IFERROR(IF(VLOOKUP(C5175,Hoja1!$B$1:$C$6191,2,0)="",_xlfn.XLOOKUP(C5175,Hoja1!$B$2:$B$6191,Hoja1!$A$2:$A$6191),VLOOKUP(C5175,Hoja1!$B$1:$C$6191,2,0)),"No esta en Infor")</f>
        <v>CAN0066</v>
      </c>
      <c r="C5175" t="s">
        <v>330</v>
      </c>
      <c r="D5175" s="61">
        <v>3525.48</v>
      </c>
      <c r="F5175" s="61">
        <v>-73.41</v>
      </c>
      <c r="G5175" s="61">
        <v>0</v>
      </c>
      <c r="H5175" s="61">
        <v>0</v>
      </c>
      <c r="I5175" s="61">
        <v>0</v>
      </c>
      <c r="J5175" s="61">
        <f t="shared" si="43"/>
        <v>3452.07</v>
      </c>
    </row>
    <row r="5176" spans="1:10" x14ac:dyDescent="0.25">
      <c r="A5176" s="20">
        <v>45808</v>
      </c>
      <c r="B5176" t="str">
        <f>IFERROR(IF(VLOOKUP(C5176,Hoja1!$B$1:$C$6191,2,0)="",_xlfn.XLOOKUP(C5176,Hoja1!$B$2:$B$6191,Hoja1!$A$2:$A$6191),VLOOKUP(C5176,Hoja1!$B$1:$C$6191,2,0)),"No esta en Infor")</f>
        <v>CAN0067</v>
      </c>
      <c r="C5176" t="s">
        <v>775</v>
      </c>
      <c r="D5176" s="61">
        <v>1405.9</v>
      </c>
      <c r="F5176" s="61">
        <v>0</v>
      </c>
      <c r="G5176" s="61">
        <v>0</v>
      </c>
      <c r="H5176" s="61">
        <v>0</v>
      </c>
      <c r="I5176" s="61">
        <v>0</v>
      </c>
      <c r="J5176" s="61">
        <f t="shared" si="43"/>
        <v>1405.9</v>
      </c>
    </row>
    <row r="5177" spans="1:10" x14ac:dyDescent="0.25">
      <c r="A5177" s="20">
        <v>45808</v>
      </c>
      <c r="B5177" t="str">
        <f>IFERROR(IF(VLOOKUP(C5177,Hoja1!$B$1:$C$6191,2,0)="",_xlfn.XLOOKUP(C5177,Hoja1!$B$2:$B$6191,Hoja1!$A$2:$A$6191),VLOOKUP(C5177,Hoja1!$B$1:$C$6191,2,0)),"No esta en Infor")</f>
        <v>CAN0069</v>
      </c>
      <c r="C5177" t="s">
        <v>340</v>
      </c>
      <c r="D5177" s="61">
        <v>991.58</v>
      </c>
      <c r="F5177" s="61">
        <v>0</v>
      </c>
      <c r="G5177" s="61">
        <v>0</v>
      </c>
      <c r="H5177" s="61">
        <v>0</v>
      </c>
      <c r="I5177" s="61">
        <v>540.15</v>
      </c>
      <c r="J5177" s="61">
        <f t="shared" si="43"/>
        <v>1531.73</v>
      </c>
    </row>
    <row r="5178" spans="1:10" x14ac:dyDescent="0.25">
      <c r="A5178" s="20">
        <v>45808</v>
      </c>
      <c r="B5178" t="str">
        <f>IFERROR(IF(VLOOKUP(C5178,Hoja1!$B$1:$C$6191,2,0)="",_xlfn.XLOOKUP(C5178,Hoja1!$B$2:$B$6191,Hoja1!$A$2:$A$6191),VLOOKUP(C5178,Hoja1!$B$1:$C$6191,2,0)),"No esta en Infor")</f>
        <v>CAN0073</v>
      </c>
      <c r="C5178" t="s">
        <v>349</v>
      </c>
      <c r="D5178" s="61">
        <v>8824.27</v>
      </c>
      <c r="F5178" s="61">
        <v>0</v>
      </c>
      <c r="G5178" s="61">
        <v>777.12</v>
      </c>
      <c r="H5178" s="61">
        <v>0</v>
      </c>
      <c r="I5178" s="61">
        <v>0</v>
      </c>
      <c r="J5178" s="61">
        <f t="shared" si="43"/>
        <v>9601.3900000000012</v>
      </c>
    </row>
    <row r="5179" spans="1:10" x14ac:dyDescent="0.25">
      <c r="A5179" s="20">
        <v>45808</v>
      </c>
      <c r="B5179" t="str">
        <f>IFERROR(IF(VLOOKUP(C5179,Hoja1!$B$1:$C$6191,2,0)="",_xlfn.XLOOKUP(C5179,Hoja1!$B$2:$B$6191,Hoja1!$A$2:$A$6191),VLOOKUP(C5179,Hoja1!$B$1:$C$6191,2,0)),"No esta en Infor")</f>
        <v>CAN0074</v>
      </c>
      <c r="C5179" t="s">
        <v>350</v>
      </c>
      <c r="D5179" s="61">
        <v>0</v>
      </c>
      <c r="F5179" s="61">
        <v>274.64</v>
      </c>
      <c r="G5179" s="61">
        <v>0</v>
      </c>
      <c r="H5179" s="61">
        <v>0</v>
      </c>
      <c r="I5179" s="61">
        <v>0</v>
      </c>
      <c r="J5179" s="61">
        <f t="shared" si="43"/>
        <v>274.64</v>
      </c>
    </row>
    <row r="5180" spans="1:10" x14ac:dyDescent="0.25">
      <c r="A5180" s="20">
        <v>45808</v>
      </c>
      <c r="B5180" t="str">
        <f>IFERROR(IF(VLOOKUP(C5180,Hoja1!$B$1:$C$6191,2,0)="",_xlfn.XLOOKUP(C5180,Hoja1!$B$2:$B$6191,Hoja1!$A$2:$A$6191),VLOOKUP(C5180,Hoja1!$B$1:$C$6191,2,0)),"No esta en Infor")</f>
        <v>CAN0080</v>
      </c>
      <c r="C5180" t="s">
        <v>533</v>
      </c>
      <c r="D5180" s="61">
        <v>0</v>
      </c>
      <c r="F5180" s="61">
        <v>0</v>
      </c>
      <c r="G5180" s="61">
        <v>0</v>
      </c>
      <c r="H5180" s="61">
        <v>0</v>
      </c>
      <c r="I5180" s="61">
        <v>-93.6</v>
      </c>
      <c r="J5180" s="61">
        <f t="shared" si="43"/>
        <v>-93.6</v>
      </c>
    </row>
    <row r="5181" spans="1:10" x14ac:dyDescent="0.25">
      <c r="A5181" s="20">
        <v>45808</v>
      </c>
      <c r="B5181" t="str">
        <f>IFERROR(IF(VLOOKUP(C5181,Hoja1!$B$1:$C$6191,2,0)="",_xlfn.XLOOKUP(C5181,Hoja1!$B$2:$B$6191,Hoja1!$A$2:$A$6191),VLOOKUP(C5181,Hoja1!$B$1:$C$6191,2,0)),"No esta en Infor")</f>
        <v>CAN0081</v>
      </c>
      <c r="C5181" t="s">
        <v>431</v>
      </c>
      <c r="D5181" s="61">
        <v>51418.44</v>
      </c>
      <c r="F5181" s="61">
        <v>0</v>
      </c>
      <c r="G5181" s="61">
        <v>57.46</v>
      </c>
      <c r="H5181" s="61">
        <v>0</v>
      </c>
      <c r="I5181" s="61">
        <v>-585</v>
      </c>
      <c r="J5181" s="61">
        <f t="shared" si="43"/>
        <v>50890.9</v>
      </c>
    </row>
    <row r="5182" spans="1:10" x14ac:dyDescent="0.25">
      <c r="A5182" s="20">
        <v>45808</v>
      </c>
      <c r="B5182" t="str">
        <f>IFERROR(IF(VLOOKUP(C5182,Hoja1!$B$1:$C$6191,2,0)="",_xlfn.XLOOKUP(C5182,Hoja1!$B$2:$B$6191,Hoja1!$A$2:$A$6191),VLOOKUP(C5182,Hoja1!$B$1:$C$6191,2,0)),"No esta en Infor")</f>
        <v>CAN0084</v>
      </c>
      <c r="C5182" t="s">
        <v>535</v>
      </c>
      <c r="D5182" s="61">
        <v>470.08</v>
      </c>
      <c r="F5182" s="61">
        <v>0</v>
      </c>
      <c r="G5182" s="61">
        <v>0</v>
      </c>
      <c r="H5182" s="61">
        <v>0</v>
      </c>
      <c r="I5182" s="61">
        <v>0</v>
      </c>
      <c r="J5182" s="61">
        <f t="shared" si="43"/>
        <v>470.08</v>
      </c>
    </row>
    <row r="5183" spans="1:10" x14ac:dyDescent="0.25">
      <c r="A5183" s="20">
        <v>45808</v>
      </c>
      <c r="B5183" t="str">
        <f>IFERROR(IF(VLOOKUP(C5183,Hoja1!$B$1:$C$6191,2,0)="",_xlfn.XLOOKUP(C5183,Hoja1!$B$2:$B$6191,Hoja1!$A$2:$A$6191),VLOOKUP(C5183,Hoja1!$B$1:$C$6191,2,0)),"No esta en Infor")</f>
        <v>CAN0087</v>
      </c>
      <c r="C5183" t="s">
        <v>1091</v>
      </c>
      <c r="D5183" s="61">
        <v>0</v>
      </c>
      <c r="F5183" s="61">
        <v>0</v>
      </c>
      <c r="G5183" s="61">
        <v>0</v>
      </c>
      <c r="H5183" s="61">
        <v>3483.79</v>
      </c>
      <c r="I5183" s="61">
        <v>-1160.8900000000001</v>
      </c>
      <c r="J5183" s="61">
        <f t="shared" si="43"/>
        <v>2322.8999999999996</v>
      </c>
    </row>
    <row r="5184" spans="1:10" x14ac:dyDescent="0.25">
      <c r="A5184" s="20">
        <v>45808</v>
      </c>
      <c r="B5184" t="str">
        <f>IFERROR(IF(VLOOKUP(C5184,Hoja1!$B$1:$C$6191,2,0)="",_xlfn.XLOOKUP(C5184,Hoja1!$B$2:$B$6191,Hoja1!$A$2:$A$6191),VLOOKUP(C5184,Hoja1!$B$1:$C$6191,2,0)),"No esta en Infor")</f>
        <v>CAN0088</v>
      </c>
      <c r="C5184" t="s">
        <v>369</v>
      </c>
      <c r="D5184" s="61">
        <v>1552.5</v>
      </c>
      <c r="F5184" s="61">
        <v>0</v>
      </c>
      <c r="G5184" s="61">
        <v>0</v>
      </c>
      <c r="H5184" s="61">
        <v>0</v>
      </c>
      <c r="I5184" s="61">
        <v>-891</v>
      </c>
      <c r="J5184" s="61">
        <f t="shared" si="43"/>
        <v>661.5</v>
      </c>
    </row>
    <row r="5185" spans="1:10" x14ac:dyDescent="0.25">
      <c r="A5185" s="20">
        <v>45808</v>
      </c>
      <c r="B5185" t="str">
        <f>IFERROR(IF(VLOOKUP(C5185,Hoja1!$B$1:$C$6191,2,0)="",_xlfn.XLOOKUP(C5185,Hoja1!$B$2:$B$6191,Hoja1!$A$2:$A$6191),VLOOKUP(C5185,Hoja1!$B$1:$C$6191,2,0)),"No esta en Infor")</f>
        <v>CAN0090</v>
      </c>
      <c r="C5185" t="s">
        <v>574</v>
      </c>
      <c r="D5185" s="61">
        <v>0</v>
      </c>
      <c r="F5185" s="61">
        <v>-239.82</v>
      </c>
      <c r="G5185" s="61">
        <v>0</v>
      </c>
      <c r="H5185" s="61">
        <v>0</v>
      </c>
      <c r="I5185" s="61">
        <v>0</v>
      </c>
      <c r="J5185" s="61">
        <f t="shared" si="43"/>
        <v>-239.82</v>
      </c>
    </row>
    <row r="5186" spans="1:10" x14ac:dyDescent="0.25">
      <c r="A5186" s="20">
        <v>45808</v>
      </c>
      <c r="B5186" t="str">
        <f>IFERROR(IF(VLOOKUP(C5186,Hoja1!$B$1:$C$6191,2,0)="",_xlfn.XLOOKUP(C5186,Hoja1!$B$2:$B$6191,Hoja1!$A$2:$A$6191),VLOOKUP(C5186,Hoja1!$B$1:$C$6191,2,0)),"No esta en Infor")</f>
        <v>CAN0091</v>
      </c>
      <c r="C5186" t="s">
        <v>586</v>
      </c>
      <c r="D5186" s="61">
        <v>0</v>
      </c>
      <c r="F5186" s="61">
        <v>0</v>
      </c>
      <c r="G5186" s="61">
        <v>0</v>
      </c>
      <c r="H5186" s="61">
        <v>-646.09</v>
      </c>
      <c r="I5186" s="61">
        <v>0</v>
      </c>
      <c r="J5186" s="61">
        <f t="shared" si="43"/>
        <v>-646.09</v>
      </c>
    </row>
    <row r="5187" spans="1:10" x14ac:dyDescent="0.25">
      <c r="A5187" s="20">
        <v>45808</v>
      </c>
      <c r="B5187" t="str">
        <f>IFERROR(IF(VLOOKUP(C5187,Hoja1!$B$1:$C$6191,2,0)="",_xlfn.XLOOKUP(C5187,Hoja1!$B$2:$B$6191,Hoja1!$A$2:$A$6191),VLOOKUP(C5187,Hoja1!$B$1:$C$6191,2,0)),"No esta en Infor")</f>
        <v>NAC0456</v>
      </c>
      <c r="C5187" t="s">
        <v>10</v>
      </c>
      <c r="D5187" s="61">
        <v>58276.94</v>
      </c>
      <c r="F5187" s="61">
        <v>0</v>
      </c>
      <c r="G5187" s="61">
        <v>0</v>
      </c>
      <c r="H5187" s="61">
        <v>0</v>
      </c>
      <c r="I5187" s="61">
        <v>0</v>
      </c>
      <c r="J5187" s="61">
        <f t="shared" si="43"/>
        <v>58276.94</v>
      </c>
    </row>
    <row r="5188" spans="1:10" x14ac:dyDescent="0.25">
      <c r="A5188" s="20">
        <v>45808</v>
      </c>
      <c r="B5188" t="str">
        <f>IFERROR(IF(VLOOKUP(C5188,Hoja1!$B$1:$C$6191,2,0)="",_xlfn.XLOOKUP(C5188,Hoja1!$B$2:$B$6191,Hoja1!$A$2:$A$6191),VLOOKUP(C5188,Hoja1!$B$1:$C$6191,2,0)),"No esta en Infor")</f>
        <v>NAC0459</v>
      </c>
      <c r="C5188" t="s">
        <v>435</v>
      </c>
      <c r="D5188" s="61">
        <v>6279.07</v>
      </c>
      <c r="F5188" s="61">
        <v>0</v>
      </c>
      <c r="G5188" s="61">
        <v>0</v>
      </c>
      <c r="H5188" s="61">
        <v>0</v>
      </c>
      <c r="I5188" s="61">
        <v>0</v>
      </c>
      <c r="J5188" s="61">
        <f t="shared" si="43"/>
        <v>6279.07</v>
      </c>
    </row>
    <row r="5189" spans="1:10" x14ac:dyDescent="0.25">
      <c r="A5189" s="20">
        <v>45808</v>
      </c>
      <c r="B5189" t="str">
        <f>IFERROR(IF(VLOOKUP(C5189,Hoja1!$B$1:$C$6191,2,0)="",_xlfn.XLOOKUP(C5189,Hoja1!$B$2:$B$6191,Hoja1!$A$2:$A$6191),VLOOKUP(C5189,Hoja1!$B$1:$C$6191,2,0)),"No esta en Infor")</f>
        <v>NAC0474</v>
      </c>
      <c r="C5189" t="s">
        <v>375</v>
      </c>
      <c r="D5189" s="61">
        <v>0</v>
      </c>
      <c r="F5189" s="61">
        <v>0</v>
      </c>
      <c r="G5189" s="61">
        <v>-3</v>
      </c>
      <c r="H5189" s="61">
        <v>0</v>
      </c>
      <c r="I5189" s="61">
        <v>0</v>
      </c>
      <c r="J5189" s="61">
        <f t="shared" si="43"/>
        <v>-3</v>
      </c>
    </row>
    <row r="5190" spans="1:10" x14ac:dyDescent="0.25">
      <c r="A5190" s="20">
        <v>45808</v>
      </c>
      <c r="B5190" t="str">
        <f>IFERROR(IF(VLOOKUP(C5190,Hoja1!$B$1:$C$6191,2,0)="",_xlfn.XLOOKUP(C5190,Hoja1!$B$2:$B$6191,Hoja1!$A$2:$A$6191),VLOOKUP(C5190,Hoja1!$B$1:$C$6191,2,0)),"No esta en Infor")</f>
        <v>NAC0475</v>
      </c>
      <c r="C5190" t="s">
        <v>63</v>
      </c>
      <c r="D5190" s="61">
        <v>619.27</v>
      </c>
      <c r="F5190" s="61">
        <v>0</v>
      </c>
      <c r="G5190" s="61">
        <v>0</v>
      </c>
      <c r="H5190" s="61">
        <v>0</v>
      </c>
      <c r="I5190" s="61">
        <v>0</v>
      </c>
      <c r="J5190" s="61">
        <f t="shared" si="43"/>
        <v>619.27</v>
      </c>
    </row>
    <row r="5191" spans="1:10" x14ac:dyDescent="0.25">
      <c r="A5191" s="20">
        <v>45808</v>
      </c>
      <c r="B5191" t="str">
        <f>IFERROR(IF(VLOOKUP(C5191,Hoja1!$B$1:$C$6191,2,0)="",_xlfn.XLOOKUP(C5191,Hoja1!$B$2:$B$6191,Hoja1!$A$2:$A$6191),VLOOKUP(C5191,Hoja1!$B$1:$C$6191,2,0)),"No esta en Infor")</f>
        <v>NAC0476</v>
      </c>
      <c r="C5191" t="s">
        <v>11</v>
      </c>
      <c r="D5191" s="61">
        <v>355029.5</v>
      </c>
      <c r="F5191" s="61">
        <v>9487.14</v>
      </c>
      <c r="G5191" s="61">
        <v>241.29</v>
      </c>
      <c r="H5191" s="61">
        <v>0</v>
      </c>
      <c r="I5191" s="61">
        <v>-20.22</v>
      </c>
      <c r="J5191" s="61">
        <f t="shared" si="43"/>
        <v>364737.71</v>
      </c>
    </row>
    <row r="5192" spans="1:10" x14ac:dyDescent="0.25">
      <c r="A5192" s="20">
        <v>45808</v>
      </c>
      <c r="B5192" t="str">
        <f>IFERROR(IF(VLOOKUP(C5192,Hoja1!$B$1:$C$6191,2,0)="",_xlfn.XLOOKUP(C5192,Hoja1!$B$2:$B$6191,Hoja1!$A$2:$A$6191),VLOOKUP(C5192,Hoja1!$B$1:$C$6191,2,0)),"No esta en Infor")</f>
        <v>NAC0483</v>
      </c>
      <c r="C5192" t="s">
        <v>12</v>
      </c>
      <c r="D5192" s="61">
        <v>431.76</v>
      </c>
      <c r="F5192" s="61">
        <v>0</v>
      </c>
      <c r="G5192" s="61">
        <v>-96.77</v>
      </c>
      <c r="H5192" s="61">
        <v>-50.06</v>
      </c>
      <c r="I5192" s="61">
        <v>474.11</v>
      </c>
      <c r="J5192" s="61">
        <f t="shared" si="43"/>
        <v>759.04</v>
      </c>
    </row>
    <row r="5193" spans="1:10" x14ac:dyDescent="0.25">
      <c r="A5193" s="20">
        <v>45808</v>
      </c>
      <c r="B5193" t="str">
        <f>IFERROR(IF(VLOOKUP(C5193,Hoja1!$B$1:$C$6191,2,0)="",_xlfn.XLOOKUP(C5193,Hoja1!$B$2:$B$6191,Hoja1!$A$2:$A$6191),VLOOKUP(C5193,Hoja1!$B$1:$C$6191,2,0)),"No esta en Infor")</f>
        <v>NAC0513</v>
      </c>
      <c r="C5193" t="s">
        <v>377</v>
      </c>
      <c r="D5193" s="61">
        <v>0</v>
      </c>
      <c r="F5193" s="61">
        <v>0</v>
      </c>
      <c r="G5193" s="61">
        <v>0</v>
      </c>
      <c r="H5193" s="61">
        <v>0</v>
      </c>
      <c r="I5193" s="61">
        <v>-220.24</v>
      </c>
      <c r="J5193" s="61">
        <f t="shared" si="43"/>
        <v>-220.24</v>
      </c>
    </row>
    <row r="5194" spans="1:10" x14ac:dyDescent="0.25">
      <c r="A5194" s="20">
        <v>45808</v>
      </c>
      <c r="B5194" t="str">
        <f>IFERROR(IF(VLOOKUP(C5194,Hoja1!$B$1:$C$6191,2,0)="",_xlfn.XLOOKUP(C5194,Hoja1!$B$2:$B$6191,Hoja1!$A$2:$A$6191),VLOOKUP(C5194,Hoja1!$B$1:$C$6191,2,0)),"No esta en Infor")</f>
        <v>NAC0519</v>
      </c>
      <c r="C5194" t="s">
        <v>1245</v>
      </c>
      <c r="D5194" s="61">
        <v>902.01</v>
      </c>
      <c r="F5194" s="61">
        <v>0</v>
      </c>
      <c r="G5194" s="61">
        <v>0</v>
      </c>
      <c r="H5194" s="61">
        <v>0</v>
      </c>
      <c r="I5194" s="61">
        <v>0</v>
      </c>
      <c r="J5194" s="61">
        <f t="shared" si="43"/>
        <v>902.01</v>
      </c>
    </row>
    <row r="5195" spans="1:10" x14ac:dyDescent="0.25">
      <c r="A5195" s="20">
        <v>45808</v>
      </c>
      <c r="B5195" t="str">
        <f>IFERROR(IF(VLOOKUP(C5195,Hoja1!$B$1:$C$6191,2,0)="",_xlfn.XLOOKUP(C5195,Hoja1!$B$2:$B$6191,Hoja1!$A$2:$A$6191),VLOOKUP(C5195,Hoja1!$B$1:$C$6191,2,0)),"No esta en Infor")</f>
        <v>NAC0520</v>
      </c>
      <c r="C5195" t="s">
        <v>68</v>
      </c>
      <c r="D5195" s="61">
        <v>10985</v>
      </c>
      <c r="F5195" s="61">
        <v>0</v>
      </c>
      <c r="G5195" s="61">
        <v>0</v>
      </c>
      <c r="H5195" s="61">
        <v>0</v>
      </c>
      <c r="I5195" s="61">
        <v>0</v>
      </c>
      <c r="J5195" s="61">
        <f t="shared" si="43"/>
        <v>10985</v>
      </c>
    </row>
    <row r="5196" spans="1:10" x14ac:dyDescent="0.25">
      <c r="A5196" s="20">
        <v>45808</v>
      </c>
      <c r="B5196" t="str">
        <f>IFERROR(IF(VLOOKUP(C5196,Hoja1!$B$1:$C$6191,2,0)="",_xlfn.XLOOKUP(C5196,Hoja1!$B$2:$B$6191,Hoja1!$A$2:$A$6191),VLOOKUP(C5196,Hoja1!$B$1:$C$6191,2,0)),"No esta en Infor")</f>
        <v>NAC0524</v>
      </c>
      <c r="C5196" t="s">
        <v>1253</v>
      </c>
      <c r="D5196" s="61">
        <v>2101</v>
      </c>
      <c r="F5196" s="61">
        <v>0</v>
      </c>
      <c r="G5196" s="61">
        <v>0</v>
      </c>
      <c r="H5196" s="61">
        <v>0</v>
      </c>
      <c r="I5196" s="61">
        <v>0</v>
      </c>
      <c r="J5196" s="61">
        <f t="shared" si="43"/>
        <v>2101</v>
      </c>
    </row>
    <row r="5197" spans="1:10" x14ac:dyDescent="0.25">
      <c r="A5197" s="20">
        <v>45808</v>
      </c>
      <c r="B5197" t="str">
        <f>IFERROR(IF(VLOOKUP(C5197,Hoja1!$B$1:$C$6191,2,0)="",_xlfn.XLOOKUP(C5197,Hoja1!$B$2:$B$6191,Hoja1!$A$2:$A$6191),VLOOKUP(C5197,Hoja1!$B$1:$C$6191,2,0)),"No esta en Infor")</f>
        <v>NAC0525</v>
      </c>
      <c r="C5197" t="s">
        <v>71</v>
      </c>
      <c r="D5197" s="61">
        <v>4721.45</v>
      </c>
      <c r="F5197" s="61">
        <v>3643.91</v>
      </c>
      <c r="G5197" s="61">
        <v>0</v>
      </c>
      <c r="H5197" s="61">
        <v>0</v>
      </c>
      <c r="I5197" s="61">
        <v>0</v>
      </c>
      <c r="J5197" s="61">
        <f t="shared" si="43"/>
        <v>8365.36</v>
      </c>
    </row>
    <row r="5198" spans="1:10" x14ac:dyDescent="0.25">
      <c r="A5198" s="20">
        <v>45808</v>
      </c>
      <c r="B5198" t="str">
        <f>IFERROR(IF(VLOOKUP(C5198,Hoja1!$B$1:$C$6191,2,0)="",_xlfn.XLOOKUP(C5198,Hoja1!$B$2:$B$6191,Hoja1!$A$2:$A$6191),VLOOKUP(C5198,Hoja1!$B$1:$C$6191,2,0)),"No esta en Infor")</f>
        <v>NAC0528</v>
      </c>
      <c r="C5198" t="s">
        <v>76</v>
      </c>
      <c r="D5198" s="61">
        <v>35107.57</v>
      </c>
      <c r="F5198" s="61">
        <v>0</v>
      </c>
      <c r="G5198" s="61">
        <v>0</v>
      </c>
      <c r="H5198" s="61">
        <v>0</v>
      </c>
      <c r="I5198" s="61">
        <v>0</v>
      </c>
      <c r="J5198" s="61">
        <f t="shared" si="43"/>
        <v>35107.57</v>
      </c>
    </row>
    <row r="5199" spans="1:10" x14ac:dyDescent="0.25">
      <c r="A5199" s="20">
        <v>45808</v>
      </c>
      <c r="B5199" t="str">
        <f>IFERROR(IF(VLOOKUP(C5199,Hoja1!$B$1:$C$6191,2,0)="",_xlfn.XLOOKUP(C5199,Hoja1!$B$2:$B$6191,Hoja1!$A$2:$A$6191),VLOOKUP(C5199,Hoja1!$B$1:$C$6191,2,0)),"No esta en Infor")</f>
        <v>NAC0532</v>
      </c>
      <c r="C5199" t="s">
        <v>612</v>
      </c>
      <c r="D5199" s="61">
        <v>0</v>
      </c>
      <c r="F5199" s="61">
        <v>663.05</v>
      </c>
      <c r="G5199" s="61">
        <v>0</v>
      </c>
      <c r="H5199" s="61">
        <v>-92.32</v>
      </c>
      <c r="I5199" s="61">
        <v>0</v>
      </c>
      <c r="J5199" s="61">
        <f t="shared" si="43"/>
        <v>570.73</v>
      </c>
    </row>
    <row r="5200" spans="1:10" x14ac:dyDescent="0.25">
      <c r="A5200" s="20">
        <v>45808</v>
      </c>
      <c r="B5200" t="str">
        <f>IFERROR(IF(VLOOKUP(C5200,Hoja1!$B$1:$C$6191,2,0)="",_xlfn.XLOOKUP(C5200,Hoja1!$B$2:$B$6191,Hoja1!$A$2:$A$6191),VLOOKUP(C5200,Hoja1!$B$1:$C$6191,2,0)),"No esta en Infor")</f>
        <v>NAC0533</v>
      </c>
      <c r="C5200" t="s">
        <v>381</v>
      </c>
      <c r="D5200" s="61">
        <v>520</v>
      </c>
      <c r="F5200" s="61">
        <v>0</v>
      </c>
      <c r="G5200" s="61">
        <v>0</v>
      </c>
      <c r="H5200" s="61">
        <v>0</v>
      </c>
      <c r="I5200" s="61">
        <v>0</v>
      </c>
      <c r="J5200" s="61">
        <f t="shared" si="43"/>
        <v>520</v>
      </c>
    </row>
    <row r="5201" spans="1:10" x14ac:dyDescent="0.25">
      <c r="A5201" s="20">
        <v>45808</v>
      </c>
      <c r="B5201" t="str">
        <f>IFERROR(IF(VLOOKUP(C5201,Hoja1!$B$1:$C$6191,2,0)="",_xlfn.XLOOKUP(C5201,Hoja1!$B$2:$B$6191,Hoja1!$A$2:$A$6191),VLOOKUP(C5201,Hoja1!$B$1:$C$6191,2,0)),"No esta en Infor")</f>
        <v>NAC0534</v>
      </c>
      <c r="C5201" t="s">
        <v>78</v>
      </c>
      <c r="D5201" s="61">
        <v>0</v>
      </c>
      <c r="F5201" s="61">
        <v>9997.08</v>
      </c>
      <c r="G5201" s="61">
        <v>0</v>
      </c>
      <c r="H5201" s="61">
        <v>0</v>
      </c>
      <c r="I5201" s="61">
        <v>0</v>
      </c>
      <c r="J5201" s="61">
        <f t="shared" si="43"/>
        <v>9997.08</v>
      </c>
    </row>
    <row r="5202" spans="1:10" x14ac:dyDescent="0.25">
      <c r="A5202" s="20">
        <v>45808</v>
      </c>
      <c r="B5202" t="str">
        <f>IFERROR(IF(VLOOKUP(C5202,Hoja1!$B$1:$C$6191,2,0)="",_xlfn.XLOOKUP(C5202,Hoja1!$B$2:$B$6191,Hoja1!$A$2:$A$6191),VLOOKUP(C5202,Hoja1!$B$1:$C$6191,2,0)),"No esta en Infor")</f>
        <v>NAC0538</v>
      </c>
      <c r="C5202" t="s">
        <v>79</v>
      </c>
      <c r="D5202" s="61">
        <v>364.66</v>
      </c>
      <c r="F5202" s="61">
        <v>0</v>
      </c>
      <c r="G5202" s="61">
        <v>0</v>
      </c>
      <c r="H5202" s="61">
        <v>0</v>
      </c>
      <c r="I5202" s="61">
        <v>0</v>
      </c>
      <c r="J5202" s="61">
        <f t="shared" si="43"/>
        <v>364.66</v>
      </c>
    </row>
    <row r="5203" spans="1:10" x14ac:dyDescent="0.25">
      <c r="A5203" s="20">
        <v>45808</v>
      </c>
      <c r="B5203" t="str">
        <f>IFERROR(IF(VLOOKUP(C5203,Hoja1!$B$1:$C$6191,2,0)="",_xlfn.XLOOKUP(C5203,Hoja1!$B$2:$B$6191,Hoja1!$A$2:$A$6191),VLOOKUP(C5203,Hoja1!$B$1:$C$6191,2,0)),"No esta en Infor")</f>
        <v>NAC0539</v>
      </c>
      <c r="C5203" t="s">
        <v>80</v>
      </c>
      <c r="D5203" s="61">
        <v>860</v>
      </c>
      <c r="F5203" s="61">
        <v>0</v>
      </c>
      <c r="G5203" s="61">
        <v>0</v>
      </c>
      <c r="H5203" s="61">
        <v>0</v>
      </c>
      <c r="I5203" s="61">
        <v>0</v>
      </c>
      <c r="J5203" s="61">
        <f t="shared" si="43"/>
        <v>860</v>
      </c>
    </row>
    <row r="5204" spans="1:10" x14ac:dyDescent="0.25">
      <c r="A5204" s="20">
        <v>45808</v>
      </c>
      <c r="B5204" t="str">
        <f>IFERROR(IF(VLOOKUP(C5204,Hoja1!$B$1:$C$6191,2,0)="",_xlfn.XLOOKUP(C5204,Hoja1!$B$2:$B$6191,Hoja1!$A$2:$A$6191),VLOOKUP(C5204,Hoja1!$B$1:$C$6191,2,0)),"No esta en Infor")</f>
        <v>NAC0544</v>
      </c>
      <c r="C5204" t="s">
        <v>82</v>
      </c>
      <c r="D5204" s="61">
        <v>0</v>
      </c>
      <c r="F5204" s="61">
        <v>80</v>
      </c>
      <c r="G5204" s="61">
        <v>0</v>
      </c>
      <c r="H5204" s="61">
        <v>0</v>
      </c>
      <c r="I5204" s="61">
        <v>0</v>
      </c>
      <c r="J5204" s="61">
        <f t="shared" si="43"/>
        <v>80</v>
      </c>
    </row>
    <row r="5205" spans="1:10" x14ac:dyDescent="0.25">
      <c r="A5205" s="20">
        <v>45808</v>
      </c>
      <c r="B5205" t="str">
        <f>IFERROR(IF(VLOOKUP(C5205,Hoja1!$B$1:$C$6191,2,0)="",_xlfn.XLOOKUP(C5205,Hoja1!$B$2:$B$6191,Hoja1!$A$2:$A$6191),VLOOKUP(C5205,Hoja1!$B$1:$C$6191,2,0)),"No esta en Infor")</f>
        <v>NAC0546</v>
      </c>
      <c r="C5205" t="s">
        <v>83</v>
      </c>
      <c r="D5205" s="61">
        <v>2012</v>
      </c>
      <c r="F5205" s="61">
        <v>0</v>
      </c>
      <c r="G5205" s="61">
        <v>0</v>
      </c>
      <c r="H5205" s="61">
        <v>0</v>
      </c>
      <c r="I5205" s="61">
        <v>0</v>
      </c>
      <c r="J5205" s="61">
        <f t="shared" si="43"/>
        <v>2012</v>
      </c>
    </row>
    <row r="5206" spans="1:10" x14ac:dyDescent="0.25">
      <c r="A5206" s="20">
        <v>45808</v>
      </c>
      <c r="B5206" t="str">
        <f>IFERROR(IF(VLOOKUP(C5206,Hoja1!$B$1:$C$6191,2,0)="",_xlfn.XLOOKUP(C5206,Hoja1!$B$2:$B$6191,Hoja1!$A$2:$A$6191),VLOOKUP(C5206,Hoja1!$B$1:$C$6191,2,0)),"No esta en Infor")</f>
        <v>NAC0550</v>
      </c>
      <c r="C5206" t="s">
        <v>84</v>
      </c>
      <c r="D5206" s="61">
        <v>60706.65</v>
      </c>
      <c r="F5206" s="61">
        <v>0</v>
      </c>
      <c r="G5206" s="61">
        <v>0</v>
      </c>
      <c r="H5206" s="61">
        <v>0</v>
      </c>
      <c r="I5206" s="61">
        <v>0</v>
      </c>
      <c r="J5206" s="61">
        <f t="shared" si="43"/>
        <v>60706.65</v>
      </c>
    </row>
    <row r="5207" spans="1:10" x14ac:dyDescent="0.25">
      <c r="A5207" s="20">
        <v>45808</v>
      </c>
      <c r="B5207" t="str">
        <f>IFERROR(IF(VLOOKUP(C5207,Hoja1!$B$1:$C$6191,2,0)="",_xlfn.XLOOKUP(C5207,Hoja1!$B$2:$B$6191,Hoja1!$A$2:$A$6191),VLOOKUP(C5207,Hoja1!$B$1:$C$6191,2,0)),"No esta en Infor")</f>
        <v>NAC0551</v>
      </c>
      <c r="C5207" t="s">
        <v>85</v>
      </c>
      <c r="D5207" s="61">
        <v>2136</v>
      </c>
      <c r="F5207" s="61">
        <v>0</v>
      </c>
      <c r="G5207" s="61">
        <v>0</v>
      </c>
      <c r="H5207" s="61">
        <v>0</v>
      </c>
      <c r="I5207" s="61">
        <v>0</v>
      </c>
      <c r="J5207" s="61">
        <f t="shared" si="43"/>
        <v>2136</v>
      </c>
    </row>
    <row r="5208" spans="1:10" x14ac:dyDescent="0.25">
      <c r="A5208" s="20">
        <v>45808</v>
      </c>
      <c r="B5208" t="str">
        <f>IFERROR(IF(VLOOKUP(C5208,Hoja1!$B$1:$C$6191,2,0)="",_xlfn.XLOOKUP(C5208,Hoja1!$B$2:$B$6191,Hoja1!$A$2:$A$6191),VLOOKUP(C5208,Hoja1!$B$1:$C$6191,2,0)),"No esta en Infor")</f>
        <v>NAC0556</v>
      </c>
      <c r="C5208" t="s">
        <v>14</v>
      </c>
      <c r="D5208" s="61">
        <v>176</v>
      </c>
      <c r="F5208" s="61">
        <v>-226.8</v>
      </c>
      <c r="G5208" s="61">
        <v>2739.13</v>
      </c>
      <c r="H5208" s="61">
        <v>0</v>
      </c>
      <c r="I5208" s="61">
        <v>0</v>
      </c>
      <c r="J5208" s="61">
        <f t="shared" si="43"/>
        <v>2688.33</v>
      </c>
    </row>
    <row r="5209" spans="1:10" x14ac:dyDescent="0.25">
      <c r="A5209" s="20">
        <v>45808</v>
      </c>
      <c r="B5209" t="str">
        <f>IFERROR(IF(VLOOKUP(C5209,Hoja1!$B$1:$C$6191,2,0)="",_xlfn.XLOOKUP(C5209,Hoja1!$B$2:$B$6191,Hoja1!$A$2:$A$6191),VLOOKUP(C5209,Hoja1!$B$1:$C$6191,2,0)),"No esta en Infor")</f>
        <v>NAC0558</v>
      </c>
      <c r="C5209" t="s">
        <v>86</v>
      </c>
      <c r="D5209" s="61">
        <v>15983.85</v>
      </c>
      <c r="F5209" s="61">
        <v>0</v>
      </c>
      <c r="G5209" s="61">
        <v>0</v>
      </c>
      <c r="H5209" s="61">
        <v>0</v>
      </c>
      <c r="I5209" s="61">
        <v>0</v>
      </c>
      <c r="J5209" s="61">
        <f t="shared" si="43"/>
        <v>15983.85</v>
      </c>
    </row>
    <row r="5210" spans="1:10" x14ac:dyDescent="0.25">
      <c r="A5210" s="20">
        <v>45808</v>
      </c>
      <c r="B5210" t="str">
        <f>IFERROR(IF(VLOOKUP(C5210,Hoja1!$B$1:$C$6191,2,0)="",_xlfn.XLOOKUP(C5210,Hoja1!$B$2:$B$6191,Hoja1!$A$2:$A$6191),VLOOKUP(C5210,Hoja1!$B$1:$C$6191,2,0)),"No esta en Infor")</f>
        <v>NAC0567</v>
      </c>
      <c r="C5210" t="s">
        <v>541</v>
      </c>
      <c r="D5210" s="61">
        <v>0</v>
      </c>
      <c r="F5210" s="61">
        <v>0</v>
      </c>
      <c r="G5210" s="61">
        <v>0</v>
      </c>
      <c r="H5210" s="61">
        <v>-608.84</v>
      </c>
      <c r="I5210" s="61">
        <v>0</v>
      </c>
      <c r="J5210" s="61">
        <f t="shared" si="43"/>
        <v>-608.84</v>
      </c>
    </row>
    <row r="5211" spans="1:10" x14ac:dyDescent="0.25">
      <c r="A5211" s="20">
        <v>45808</v>
      </c>
      <c r="B5211" t="str">
        <f>IFERROR(IF(VLOOKUP(C5211,Hoja1!$B$1:$C$6191,2,0)="",_xlfn.XLOOKUP(C5211,Hoja1!$B$2:$B$6191,Hoja1!$A$2:$A$6191),VLOOKUP(C5211,Hoja1!$B$1:$C$6191,2,0)),"No esta en Infor")</f>
        <v>NAC0571</v>
      </c>
      <c r="C5211" t="s">
        <v>440</v>
      </c>
      <c r="D5211" s="61">
        <v>1569.49</v>
      </c>
      <c r="F5211" s="61">
        <v>0</v>
      </c>
      <c r="G5211" s="61">
        <v>0</v>
      </c>
      <c r="H5211" s="61">
        <v>0</v>
      </c>
      <c r="I5211" s="61">
        <v>0</v>
      </c>
      <c r="J5211" s="61">
        <f t="shared" ref="J5211:J5274" si="44">SUM(D5211:I5211)</f>
        <v>1569.49</v>
      </c>
    </row>
    <row r="5212" spans="1:10" x14ac:dyDescent="0.25">
      <c r="A5212" s="20">
        <v>45808</v>
      </c>
      <c r="B5212" t="str">
        <f>IFERROR(IF(VLOOKUP(C5212,Hoja1!$B$1:$C$6191,2,0)="",_xlfn.XLOOKUP(C5212,Hoja1!$B$2:$B$6191,Hoja1!$A$2:$A$6191),VLOOKUP(C5212,Hoja1!$B$1:$C$6191,2,0)),"No esta en Infor")</f>
        <v>NAC0573</v>
      </c>
      <c r="C5212" t="s">
        <v>15</v>
      </c>
      <c r="D5212" s="61">
        <v>10250.82</v>
      </c>
      <c r="F5212" s="61">
        <v>510.83</v>
      </c>
      <c r="G5212" s="61">
        <v>172.5</v>
      </c>
      <c r="H5212" s="61">
        <v>81.5</v>
      </c>
      <c r="I5212" s="61">
        <v>283.5</v>
      </c>
      <c r="J5212" s="61">
        <f t="shared" si="44"/>
        <v>11299.15</v>
      </c>
    </row>
    <row r="5213" spans="1:10" x14ac:dyDescent="0.25">
      <c r="A5213" s="20">
        <v>45808</v>
      </c>
      <c r="B5213" t="str">
        <f>IFERROR(IF(VLOOKUP(C5213,Hoja1!$B$1:$C$6191,2,0)="",_xlfn.XLOOKUP(C5213,Hoja1!$B$2:$B$6191,Hoja1!$A$2:$A$6191),VLOOKUP(C5213,Hoja1!$B$1:$C$6191,2,0)),"No esta en Infor")</f>
        <v>NAC0583</v>
      </c>
      <c r="C5213" t="s">
        <v>385</v>
      </c>
      <c r="D5213" s="61">
        <v>-996</v>
      </c>
      <c r="F5213" s="61">
        <v>0</v>
      </c>
      <c r="G5213" s="61">
        <v>-188.56</v>
      </c>
      <c r="H5213" s="61">
        <v>0</v>
      </c>
      <c r="I5213" s="61">
        <v>0</v>
      </c>
      <c r="J5213" s="61">
        <f t="shared" si="44"/>
        <v>-1184.56</v>
      </c>
    </row>
    <row r="5214" spans="1:10" x14ac:dyDescent="0.25">
      <c r="A5214" s="20">
        <v>45808</v>
      </c>
      <c r="B5214" t="str">
        <f>IFERROR(IF(VLOOKUP(C5214,Hoja1!$B$1:$C$6191,2,0)="",_xlfn.XLOOKUP(C5214,Hoja1!$B$2:$B$6191,Hoja1!$A$2:$A$6191),VLOOKUP(C5214,Hoja1!$B$1:$C$6191,2,0)),"No esta en Infor")</f>
        <v>NAC0586</v>
      </c>
      <c r="C5214" t="s">
        <v>893</v>
      </c>
      <c r="D5214" s="61">
        <v>-880</v>
      </c>
      <c r="F5214" s="61">
        <v>0</v>
      </c>
      <c r="G5214" s="61">
        <v>0</v>
      </c>
      <c r="H5214" s="61">
        <v>0</v>
      </c>
      <c r="I5214" s="61">
        <v>0</v>
      </c>
      <c r="J5214" s="61">
        <f t="shared" si="44"/>
        <v>-880</v>
      </c>
    </row>
    <row r="5215" spans="1:10" x14ac:dyDescent="0.25">
      <c r="A5215" s="20">
        <v>45808</v>
      </c>
      <c r="B5215" t="str">
        <f>IFERROR(IF(VLOOKUP(C5215,Hoja1!$B$1:$C$6191,2,0)="",_xlfn.XLOOKUP(C5215,Hoja1!$B$2:$B$6191,Hoja1!$A$2:$A$6191),VLOOKUP(C5215,Hoja1!$B$1:$C$6191,2,0)),"No esta en Infor")</f>
        <v>NAC0593</v>
      </c>
      <c r="C5215" t="s">
        <v>894</v>
      </c>
      <c r="D5215" s="61">
        <v>0</v>
      </c>
      <c r="F5215" s="61">
        <v>580.66</v>
      </c>
      <c r="G5215" s="61">
        <v>0</v>
      </c>
      <c r="H5215" s="61">
        <v>0</v>
      </c>
      <c r="I5215" s="61">
        <v>0</v>
      </c>
      <c r="J5215" s="61">
        <f t="shared" si="44"/>
        <v>580.66</v>
      </c>
    </row>
    <row r="5216" spans="1:10" x14ac:dyDescent="0.25">
      <c r="A5216" s="20">
        <v>45808</v>
      </c>
      <c r="B5216" t="str">
        <f>IFERROR(IF(VLOOKUP(C5216,Hoja1!$B$1:$C$6191,2,0)="",_xlfn.XLOOKUP(C5216,Hoja1!$B$2:$B$6191,Hoja1!$A$2:$A$6191),VLOOKUP(C5216,Hoja1!$B$1:$C$6191,2,0)),"No esta en Infor")</f>
        <v>NAC0594</v>
      </c>
      <c r="C5216" t="s">
        <v>94</v>
      </c>
      <c r="D5216" s="61">
        <v>50558.94</v>
      </c>
      <c r="F5216" s="61">
        <v>0</v>
      </c>
      <c r="G5216" s="61">
        <v>0</v>
      </c>
      <c r="H5216" s="61">
        <v>0</v>
      </c>
      <c r="I5216" s="61">
        <v>0</v>
      </c>
      <c r="J5216" s="61">
        <f t="shared" si="44"/>
        <v>50558.94</v>
      </c>
    </row>
    <row r="5217" spans="1:10" x14ac:dyDescent="0.25">
      <c r="A5217" s="20">
        <v>45808</v>
      </c>
      <c r="B5217" t="str">
        <f>IFERROR(IF(VLOOKUP(C5217,Hoja1!$B$1:$C$6191,2,0)="",_xlfn.XLOOKUP(C5217,Hoja1!$B$2:$B$6191,Hoja1!$A$2:$A$6191),VLOOKUP(C5217,Hoja1!$B$1:$C$6191,2,0)),"No esta en Infor")</f>
        <v>NAC0597</v>
      </c>
      <c r="C5217" t="s">
        <v>1368</v>
      </c>
      <c r="D5217" s="61">
        <v>736.78</v>
      </c>
      <c r="F5217" s="61">
        <v>0</v>
      </c>
      <c r="G5217" s="61">
        <v>0</v>
      </c>
      <c r="H5217" s="61">
        <v>0</v>
      </c>
      <c r="I5217" s="61">
        <v>0</v>
      </c>
      <c r="J5217" s="61">
        <f t="shared" si="44"/>
        <v>736.78</v>
      </c>
    </row>
    <row r="5218" spans="1:10" x14ac:dyDescent="0.25">
      <c r="A5218" s="20">
        <v>45808</v>
      </c>
      <c r="B5218" t="str">
        <f>IFERROR(IF(VLOOKUP(C5218,Hoja1!$B$1:$C$6191,2,0)="",_xlfn.XLOOKUP(C5218,Hoja1!$B$2:$B$6191,Hoja1!$A$2:$A$6191),VLOOKUP(C5218,Hoja1!$B$1:$C$6191,2,0)),"No esta en Infor")</f>
        <v>NAC0600</v>
      </c>
      <c r="C5218" t="s">
        <v>96</v>
      </c>
      <c r="D5218" s="61">
        <v>744</v>
      </c>
      <c r="F5218" s="61">
        <v>0</v>
      </c>
      <c r="G5218" s="61">
        <v>0</v>
      </c>
      <c r="H5218" s="61">
        <v>0</v>
      </c>
      <c r="I5218" s="61">
        <v>0</v>
      </c>
      <c r="J5218" s="61">
        <f t="shared" si="44"/>
        <v>744</v>
      </c>
    </row>
    <row r="5219" spans="1:10" x14ac:dyDescent="0.25">
      <c r="A5219" s="20">
        <v>45808</v>
      </c>
      <c r="B5219" t="str">
        <f>IFERROR(IF(VLOOKUP(C5219,Hoja1!$B$1:$C$6191,2,0)="",_xlfn.XLOOKUP(C5219,Hoja1!$B$2:$B$6191,Hoja1!$A$2:$A$6191),VLOOKUP(C5219,Hoja1!$B$1:$C$6191,2,0)),"No esta en Infor")</f>
        <v>NAC0604</v>
      </c>
      <c r="C5219" t="s">
        <v>97</v>
      </c>
      <c r="D5219" s="61">
        <v>-149.30000000000001</v>
      </c>
      <c r="F5219" s="61">
        <v>0</v>
      </c>
      <c r="G5219" s="61">
        <v>0</v>
      </c>
      <c r="H5219" s="61">
        <v>0</v>
      </c>
      <c r="I5219" s="61">
        <v>0</v>
      </c>
      <c r="J5219" s="61">
        <f t="shared" si="44"/>
        <v>-149.30000000000001</v>
      </c>
    </row>
    <row r="5220" spans="1:10" x14ac:dyDescent="0.25">
      <c r="A5220" s="20">
        <v>45808</v>
      </c>
      <c r="B5220" t="str">
        <f>IFERROR(IF(VLOOKUP(C5220,Hoja1!$B$1:$C$6191,2,0)="",_xlfn.XLOOKUP(C5220,Hoja1!$B$2:$B$6191,Hoja1!$A$2:$A$6191),VLOOKUP(C5220,Hoja1!$B$1:$C$6191,2,0)),"No esta en Infor")</f>
        <v>NAC0610</v>
      </c>
      <c r="C5220" t="s">
        <v>16</v>
      </c>
      <c r="D5220" s="61">
        <v>14626.8</v>
      </c>
      <c r="F5220" s="61">
        <v>4667.5</v>
      </c>
      <c r="G5220" s="61">
        <v>0</v>
      </c>
      <c r="H5220" s="61">
        <v>0</v>
      </c>
      <c r="I5220" s="61">
        <v>0</v>
      </c>
      <c r="J5220" s="61">
        <f t="shared" si="44"/>
        <v>19294.3</v>
      </c>
    </row>
    <row r="5221" spans="1:10" x14ac:dyDescent="0.25">
      <c r="A5221" s="20">
        <v>45808</v>
      </c>
      <c r="B5221" t="str">
        <f>IFERROR(IF(VLOOKUP(C5221,Hoja1!$B$1:$C$6191,2,0)="",_xlfn.XLOOKUP(C5221,Hoja1!$B$2:$B$6191,Hoja1!$A$2:$A$6191),VLOOKUP(C5221,Hoja1!$B$1:$C$6191,2,0)),"No esta en Infor")</f>
        <v>NAC0612</v>
      </c>
      <c r="C5221" t="s">
        <v>100</v>
      </c>
      <c r="D5221" s="61">
        <v>27396.5</v>
      </c>
      <c r="F5221" s="61">
        <v>0</v>
      </c>
      <c r="G5221" s="61">
        <v>0</v>
      </c>
      <c r="H5221" s="61">
        <v>0</v>
      </c>
      <c r="I5221" s="61">
        <v>0</v>
      </c>
      <c r="J5221" s="61">
        <f t="shared" si="44"/>
        <v>27396.5</v>
      </c>
    </row>
    <row r="5222" spans="1:10" x14ac:dyDescent="0.25">
      <c r="A5222" s="20">
        <v>45808</v>
      </c>
      <c r="B5222" t="str">
        <f>IFERROR(IF(VLOOKUP(C5222,Hoja1!$B$1:$C$6191,2,0)="",_xlfn.XLOOKUP(C5222,Hoja1!$B$2:$B$6191,Hoja1!$A$2:$A$6191),VLOOKUP(C5222,Hoja1!$B$1:$C$6191,2,0)),"No esta en Infor")</f>
        <v>NAC0613</v>
      </c>
      <c r="C5222" t="s">
        <v>101</v>
      </c>
      <c r="D5222" s="61">
        <v>187.5</v>
      </c>
      <c r="F5222" s="61">
        <v>38</v>
      </c>
      <c r="G5222" s="61">
        <v>871.47</v>
      </c>
      <c r="H5222" s="61">
        <v>0</v>
      </c>
      <c r="I5222" s="61">
        <v>-81.599999999999994</v>
      </c>
      <c r="J5222" s="61">
        <f t="shared" si="44"/>
        <v>1015.37</v>
      </c>
    </row>
    <row r="5223" spans="1:10" x14ac:dyDescent="0.25">
      <c r="A5223" s="20">
        <v>45808</v>
      </c>
      <c r="B5223" t="str">
        <f>IFERROR(IF(VLOOKUP(C5223,Hoja1!$B$1:$C$6191,2,0)="",_xlfn.XLOOKUP(C5223,Hoja1!$B$2:$B$6191,Hoja1!$A$2:$A$6191),VLOOKUP(C5223,Hoja1!$B$1:$C$6191,2,0)),"No esta en Infor")</f>
        <v>NAC0614</v>
      </c>
      <c r="C5223" t="s">
        <v>102</v>
      </c>
      <c r="D5223" s="61">
        <v>8621.5</v>
      </c>
      <c r="F5223" s="61">
        <v>0</v>
      </c>
      <c r="G5223" s="61">
        <v>0</v>
      </c>
      <c r="H5223" s="61">
        <v>0</v>
      </c>
      <c r="I5223" s="61">
        <v>0</v>
      </c>
      <c r="J5223" s="61">
        <f t="shared" si="44"/>
        <v>8621.5</v>
      </c>
    </row>
    <row r="5224" spans="1:10" x14ac:dyDescent="0.25">
      <c r="A5224" s="20">
        <v>45808</v>
      </c>
      <c r="B5224" t="str">
        <f>IFERROR(IF(VLOOKUP(C5224,Hoja1!$B$1:$C$6191,2,0)="",_xlfn.XLOOKUP(C5224,Hoja1!$B$2:$B$6191,Hoja1!$A$2:$A$6191),VLOOKUP(C5224,Hoja1!$B$1:$C$6191,2,0)),"No esta en Infor")</f>
        <v>NAC0624</v>
      </c>
      <c r="C5224" t="s">
        <v>105</v>
      </c>
      <c r="D5224" s="61">
        <v>0</v>
      </c>
      <c r="F5224" s="61">
        <v>0</v>
      </c>
      <c r="G5224" s="61">
        <v>6.51</v>
      </c>
      <c r="H5224" s="61">
        <v>0</v>
      </c>
      <c r="I5224" s="61">
        <v>-231</v>
      </c>
      <c r="J5224" s="61">
        <f t="shared" si="44"/>
        <v>-224.49</v>
      </c>
    </row>
    <row r="5225" spans="1:10" x14ac:dyDescent="0.25">
      <c r="A5225" s="20">
        <v>45808</v>
      </c>
      <c r="B5225" t="str">
        <f>IFERROR(IF(VLOOKUP(C5225,Hoja1!$B$1:$C$6191,2,0)="",_xlfn.XLOOKUP(C5225,Hoja1!$B$2:$B$6191,Hoja1!$A$2:$A$6191),VLOOKUP(C5225,Hoja1!$B$1:$C$6191,2,0)),"No esta en Infor")</f>
        <v>NAC0632</v>
      </c>
      <c r="C5225" t="s">
        <v>108</v>
      </c>
      <c r="D5225" s="61">
        <v>1570.98</v>
      </c>
      <c r="F5225" s="61">
        <v>1233.6300000000001</v>
      </c>
      <c r="G5225" s="61">
        <v>0</v>
      </c>
      <c r="H5225" s="61">
        <v>0</v>
      </c>
      <c r="I5225" s="61">
        <v>0</v>
      </c>
      <c r="J5225" s="61">
        <f t="shared" si="44"/>
        <v>2804.61</v>
      </c>
    </row>
    <row r="5226" spans="1:10" x14ac:dyDescent="0.25">
      <c r="A5226" s="20">
        <v>45808</v>
      </c>
      <c r="B5226" t="str">
        <f>IFERROR(IF(VLOOKUP(C5226,Hoja1!$B$1:$C$6191,2,0)="",_xlfn.XLOOKUP(C5226,Hoja1!$B$2:$B$6191,Hoja1!$A$2:$A$6191),VLOOKUP(C5226,Hoja1!$B$1:$C$6191,2,0)),"No esta en Infor")</f>
        <v>NAC0641</v>
      </c>
      <c r="C5226" t="s">
        <v>18</v>
      </c>
      <c r="D5226" s="61">
        <v>0</v>
      </c>
      <c r="F5226" s="61">
        <v>0</v>
      </c>
      <c r="G5226" s="61">
        <v>2092.4</v>
      </c>
      <c r="H5226" s="61">
        <v>-10</v>
      </c>
      <c r="I5226" s="61">
        <v>0</v>
      </c>
      <c r="J5226" s="61">
        <f t="shared" si="44"/>
        <v>2082.4</v>
      </c>
    </row>
    <row r="5227" spans="1:10" x14ac:dyDescent="0.25">
      <c r="A5227" s="20">
        <v>45808</v>
      </c>
      <c r="B5227" t="str">
        <f>IFERROR(IF(VLOOKUP(C5227,Hoja1!$B$1:$C$6191,2,0)="",_xlfn.XLOOKUP(C5227,Hoja1!$B$2:$B$6191,Hoja1!$A$2:$A$6191),VLOOKUP(C5227,Hoja1!$B$1:$C$6191,2,0)),"No esta en Infor")</f>
        <v>NAC0645</v>
      </c>
      <c r="C5227" t="s">
        <v>110</v>
      </c>
      <c r="D5227" s="61">
        <v>0</v>
      </c>
      <c r="F5227" s="61">
        <v>310.64999999999998</v>
      </c>
      <c r="G5227" s="61">
        <v>0</v>
      </c>
      <c r="H5227" s="61">
        <v>0</v>
      </c>
      <c r="I5227" s="61">
        <v>0</v>
      </c>
      <c r="J5227" s="61">
        <f t="shared" si="44"/>
        <v>310.64999999999998</v>
      </c>
    </row>
    <row r="5228" spans="1:10" x14ac:dyDescent="0.25">
      <c r="A5228" s="20">
        <v>45808</v>
      </c>
      <c r="B5228" t="str">
        <f>IFERROR(IF(VLOOKUP(C5228,Hoja1!$B$1:$C$6191,2,0)="",_xlfn.XLOOKUP(C5228,Hoja1!$B$2:$B$6191,Hoja1!$A$2:$A$6191),VLOOKUP(C5228,Hoja1!$B$1:$C$6191,2,0)),"No esta en Infor")</f>
        <v>NAC0652</v>
      </c>
      <c r="C5228" t="s">
        <v>113</v>
      </c>
      <c r="D5228" s="61">
        <v>0</v>
      </c>
      <c r="F5228" s="61">
        <v>124.88</v>
      </c>
      <c r="G5228" s="61">
        <v>0</v>
      </c>
      <c r="H5228" s="61">
        <v>0</v>
      </c>
      <c r="I5228" s="61">
        <v>0</v>
      </c>
      <c r="J5228" s="61">
        <f t="shared" si="44"/>
        <v>124.88</v>
      </c>
    </row>
    <row r="5229" spans="1:10" x14ac:dyDescent="0.25">
      <c r="A5229" s="20">
        <v>45808</v>
      </c>
      <c r="B5229" t="str">
        <f>IFERROR(IF(VLOOKUP(C5229,Hoja1!$B$1:$C$6191,2,0)="",_xlfn.XLOOKUP(C5229,Hoja1!$B$2:$B$6191,Hoja1!$A$2:$A$6191),VLOOKUP(C5229,Hoja1!$B$1:$C$6191,2,0)),"No esta en Infor")</f>
        <v>NAC0657</v>
      </c>
      <c r="C5229" t="s">
        <v>114</v>
      </c>
      <c r="D5229" s="61">
        <v>4030</v>
      </c>
      <c r="F5229" s="61">
        <v>0</v>
      </c>
      <c r="G5229" s="61">
        <v>0</v>
      </c>
      <c r="H5229" s="61">
        <v>0</v>
      </c>
      <c r="I5229" s="61">
        <v>0</v>
      </c>
      <c r="J5229" s="61">
        <f t="shared" si="44"/>
        <v>4030</v>
      </c>
    </row>
    <row r="5230" spans="1:10" x14ac:dyDescent="0.25">
      <c r="A5230" s="20">
        <v>45808</v>
      </c>
      <c r="B5230" t="str">
        <f>IFERROR(IF(VLOOKUP(C5230,Hoja1!$B$1:$C$6191,2,0)="",_xlfn.XLOOKUP(C5230,Hoja1!$B$2:$B$6191,Hoja1!$A$2:$A$6191),VLOOKUP(C5230,Hoja1!$B$1:$C$6191,2,0)),"No esta en Infor")</f>
        <v>NAC0665</v>
      </c>
      <c r="C5230" t="s">
        <v>117</v>
      </c>
      <c r="D5230" s="61">
        <v>20465.87</v>
      </c>
      <c r="F5230" s="61">
        <v>-4400.8</v>
      </c>
      <c r="G5230" s="61">
        <v>0</v>
      </c>
      <c r="H5230" s="61">
        <v>0</v>
      </c>
      <c r="I5230" s="61">
        <v>0</v>
      </c>
      <c r="J5230" s="61">
        <f t="shared" si="44"/>
        <v>16065.07</v>
      </c>
    </row>
    <row r="5231" spans="1:10" x14ac:dyDescent="0.25">
      <c r="A5231" s="20">
        <v>45808</v>
      </c>
      <c r="B5231" t="str">
        <f>IFERROR(IF(VLOOKUP(C5231,Hoja1!$B$1:$C$6191,2,0)="",_xlfn.XLOOKUP(C5231,Hoja1!$B$2:$B$6191,Hoja1!$A$2:$A$6191),VLOOKUP(C5231,Hoja1!$B$1:$C$6191,2,0)),"No esta en Infor")</f>
        <v>NAC0666</v>
      </c>
      <c r="C5231" t="s">
        <v>118</v>
      </c>
      <c r="D5231" s="61">
        <v>14744.72</v>
      </c>
      <c r="F5231" s="61">
        <v>0</v>
      </c>
      <c r="G5231" s="61">
        <v>-630</v>
      </c>
      <c r="H5231" s="61">
        <v>0</v>
      </c>
      <c r="I5231" s="61">
        <v>0</v>
      </c>
      <c r="J5231" s="61">
        <f t="shared" si="44"/>
        <v>14114.72</v>
      </c>
    </row>
    <row r="5232" spans="1:10" x14ac:dyDescent="0.25">
      <c r="A5232" s="20">
        <v>45808</v>
      </c>
      <c r="B5232" t="str">
        <f>IFERROR(IF(VLOOKUP(C5232,Hoja1!$B$1:$C$6191,2,0)="",_xlfn.XLOOKUP(C5232,Hoja1!$B$2:$B$6191,Hoja1!$A$2:$A$6191),VLOOKUP(C5232,Hoja1!$B$1:$C$6191,2,0)),"No esta en Infor")</f>
        <v>NAC0669</v>
      </c>
      <c r="C5232" t="s">
        <v>119</v>
      </c>
      <c r="D5232" s="61">
        <v>6050.27</v>
      </c>
      <c r="F5232" s="61">
        <v>0</v>
      </c>
      <c r="G5232" s="61">
        <v>0</v>
      </c>
      <c r="H5232" s="61">
        <v>0</v>
      </c>
      <c r="I5232" s="61">
        <v>0</v>
      </c>
      <c r="J5232" s="61">
        <f t="shared" si="44"/>
        <v>6050.27</v>
      </c>
    </row>
    <row r="5233" spans="1:10" x14ac:dyDescent="0.25">
      <c r="A5233" s="20">
        <v>45808</v>
      </c>
      <c r="B5233" t="str">
        <f>IFERROR(IF(VLOOKUP(C5233,Hoja1!$B$1:$C$6191,2,0)="",_xlfn.XLOOKUP(C5233,Hoja1!$B$2:$B$6191,Hoja1!$A$2:$A$6191),VLOOKUP(C5233,Hoja1!$B$1:$C$6191,2,0)),"No esta en Infor")</f>
        <v>NAC0670</v>
      </c>
      <c r="C5233" t="s">
        <v>120</v>
      </c>
      <c r="D5233" s="61">
        <v>151</v>
      </c>
      <c r="F5233" s="61">
        <v>0</v>
      </c>
      <c r="G5233" s="61">
        <v>0</v>
      </c>
      <c r="H5233" s="61">
        <v>0</v>
      </c>
      <c r="I5233" s="61">
        <v>0</v>
      </c>
      <c r="J5233" s="61">
        <f t="shared" si="44"/>
        <v>151</v>
      </c>
    </row>
    <row r="5234" spans="1:10" x14ac:dyDescent="0.25">
      <c r="A5234" s="20">
        <v>45808</v>
      </c>
      <c r="B5234" t="str">
        <f>IFERROR(IF(VLOOKUP(C5234,Hoja1!$B$1:$C$6191,2,0)="",_xlfn.XLOOKUP(C5234,Hoja1!$B$2:$B$6191,Hoja1!$A$2:$A$6191),VLOOKUP(C5234,Hoja1!$B$1:$C$6191,2,0)),"No esta en Infor")</f>
        <v>NAC0672</v>
      </c>
      <c r="C5234" t="s">
        <v>122</v>
      </c>
      <c r="D5234" s="61">
        <v>5938.6</v>
      </c>
      <c r="F5234" s="61">
        <v>0</v>
      </c>
      <c r="G5234" s="61">
        <v>7603</v>
      </c>
      <c r="H5234" s="61">
        <v>0</v>
      </c>
      <c r="I5234" s="61">
        <v>0</v>
      </c>
      <c r="J5234" s="61">
        <f t="shared" si="44"/>
        <v>13541.6</v>
      </c>
    </row>
    <row r="5235" spans="1:10" x14ac:dyDescent="0.25">
      <c r="A5235" s="20">
        <v>45808</v>
      </c>
      <c r="B5235" t="str">
        <f>IFERROR(IF(VLOOKUP(C5235,Hoja1!$B$1:$C$6191,2,0)="",_xlfn.XLOOKUP(C5235,Hoja1!$B$2:$B$6191,Hoja1!$A$2:$A$6191),VLOOKUP(C5235,Hoja1!$B$1:$C$6191,2,0)),"No esta en Infor")</f>
        <v>NAC0673</v>
      </c>
      <c r="C5235" t="s">
        <v>390</v>
      </c>
      <c r="D5235" s="61">
        <v>0</v>
      </c>
      <c r="F5235" s="61">
        <v>982.62</v>
      </c>
      <c r="G5235" s="61">
        <v>0</v>
      </c>
      <c r="H5235" s="61">
        <v>0</v>
      </c>
      <c r="I5235" s="61">
        <v>0</v>
      </c>
      <c r="J5235" s="61">
        <f t="shared" si="44"/>
        <v>982.62</v>
      </c>
    </row>
    <row r="5236" spans="1:10" x14ac:dyDescent="0.25">
      <c r="A5236" s="20">
        <v>45808</v>
      </c>
      <c r="B5236" t="str">
        <f>IFERROR(IF(VLOOKUP(C5236,Hoja1!$B$1:$C$6191,2,0)="",_xlfn.XLOOKUP(C5236,Hoja1!$B$2:$B$6191,Hoja1!$A$2:$A$6191),VLOOKUP(C5236,Hoja1!$B$1:$C$6191,2,0)),"No esta en Infor")</f>
        <v>NAC0680</v>
      </c>
      <c r="C5236" t="s">
        <v>125</v>
      </c>
      <c r="D5236" s="61">
        <v>2210</v>
      </c>
      <c r="F5236" s="61">
        <v>0</v>
      </c>
      <c r="G5236" s="61">
        <v>0</v>
      </c>
      <c r="H5236" s="61">
        <v>0</v>
      </c>
      <c r="I5236" s="61">
        <v>0</v>
      </c>
      <c r="J5236" s="61">
        <f t="shared" si="44"/>
        <v>2210</v>
      </c>
    </row>
    <row r="5237" spans="1:10" x14ac:dyDescent="0.25">
      <c r="A5237" s="20">
        <v>45808</v>
      </c>
      <c r="B5237" t="str">
        <f>IFERROR(IF(VLOOKUP(C5237,Hoja1!$B$1:$C$6191,2,0)="",_xlfn.XLOOKUP(C5237,Hoja1!$B$2:$B$6191,Hoja1!$A$2:$A$6191),VLOOKUP(C5237,Hoja1!$B$1:$C$6191,2,0)),"No esta en Infor")</f>
        <v>NAC0704</v>
      </c>
      <c r="C5237" t="s">
        <v>138</v>
      </c>
      <c r="D5237" s="61">
        <v>4500.29</v>
      </c>
      <c r="F5237" s="61">
        <v>236</v>
      </c>
      <c r="G5237" s="61">
        <v>0</v>
      </c>
      <c r="H5237" s="61">
        <v>0</v>
      </c>
      <c r="I5237" s="61">
        <v>0</v>
      </c>
      <c r="J5237" s="61">
        <f t="shared" si="44"/>
        <v>4736.29</v>
      </c>
    </row>
    <row r="5238" spans="1:10" x14ac:dyDescent="0.25">
      <c r="A5238" s="20">
        <v>45808</v>
      </c>
      <c r="B5238" t="str">
        <f>IFERROR(IF(VLOOKUP(C5238,Hoja1!$B$1:$C$6191,2,0)="",_xlfn.XLOOKUP(C5238,Hoja1!$B$2:$B$6191,Hoja1!$A$2:$A$6191),VLOOKUP(C5238,Hoja1!$B$1:$C$6191,2,0)),"No esta en Infor")</f>
        <v>NAC0710</v>
      </c>
      <c r="C5238" t="s">
        <v>140</v>
      </c>
      <c r="D5238" s="61">
        <v>11422</v>
      </c>
      <c r="F5238" s="61">
        <v>0</v>
      </c>
      <c r="G5238" s="61">
        <v>-784</v>
      </c>
      <c r="H5238" s="61">
        <v>0</v>
      </c>
      <c r="I5238" s="61">
        <v>0</v>
      </c>
      <c r="J5238" s="61">
        <f t="shared" si="44"/>
        <v>10638</v>
      </c>
    </row>
    <row r="5239" spans="1:10" x14ac:dyDescent="0.25">
      <c r="A5239" s="20">
        <v>45808</v>
      </c>
      <c r="B5239" t="str">
        <f>IFERROR(IF(VLOOKUP(C5239,Hoja1!$B$1:$C$6191,2,0)="",_xlfn.XLOOKUP(C5239,Hoja1!$B$2:$B$6191,Hoja1!$A$2:$A$6191),VLOOKUP(C5239,Hoja1!$B$1:$C$6191,2,0)),"No esta en Infor")</f>
        <v>NAC0726</v>
      </c>
      <c r="C5239" t="s">
        <v>147</v>
      </c>
      <c r="D5239" s="61">
        <v>18212</v>
      </c>
      <c r="F5239" s="61">
        <v>0</v>
      </c>
      <c r="G5239" s="61">
        <v>0</v>
      </c>
      <c r="H5239" s="61">
        <v>0</v>
      </c>
      <c r="I5239" s="61">
        <v>0</v>
      </c>
      <c r="J5239" s="61">
        <f t="shared" si="44"/>
        <v>18212</v>
      </c>
    </row>
    <row r="5240" spans="1:10" x14ac:dyDescent="0.25">
      <c r="A5240" s="20">
        <v>45808</v>
      </c>
      <c r="B5240" t="str">
        <f>IFERROR(IF(VLOOKUP(C5240,Hoja1!$B$1:$C$6191,2,0)="",_xlfn.XLOOKUP(C5240,Hoja1!$B$2:$B$6191,Hoja1!$A$2:$A$6191),VLOOKUP(C5240,Hoja1!$B$1:$C$6191,2,0)),"No esta en Infor")</f>
        <v>NAC0729</v>
      </c>
      <c r="C5240" t="s">
        <v>148</v>
      </c>
      <c r="D5240" s="61">
        <v>0</v>
      </c>
      <c r="F5240" s="61">
        <v>0</v>
      </c>
      <c r="G5240" s="61">
        <v>0</v>
      </c>
      <c r="H5240" s="61">
        <v>0</v>
      </c>
      <c r="I5240" s="61">
        <v>316</v>
      </c>
      <c r="J5240" s="61">
        <f t="shared" si="44"/>
        <v>316</v>
      </c>
    </row>
    <row r="5241" spans="1:10" x14ac:dyDescent="0.25">
      <c r="A5241" s="20">
        <v>45808</v>
      </c>
      <c r="B5241" t="str">
        <f>IFERROR(IF(VLOOKUP(C5241,Hoja1!$B$1:$C$6191,2,0)="",_xlfn.XLOOKUP(C5241,Hoja1!$B$2:$B$6191,Hoja1!$A$2:$A$6191),VLOOKUP(C5241,Hoja1!$B$1:$C$6191,2,0)),"No esta en Infor")</f>
        <v>NAC0759</v>
      </c>
      <c r="C5241" t="s">
        <v>581</v>
      </c>
      <c r="D5241" s="61">
        <v>0</v>
      </c>
      <c r="F5241" s="61">
        <v>0</v>
      </c>
      <c r="G5241" s="61">
        <v>0</v>
      </c>
      <c r="H5241" s="61">
        <v>-16.100000000000001</v>
      </c>
      <c r="I5241" s="61">
        <v>0</v>
      </c>
      <c r="J5241" s="61">
        <f t="shared" si="44"/>
        <v>-16.100000000000001</v>
      </c>
    </row>
    <row r="5242" spans="1:10" x14ac:dyDescent="0.25">
      <c r="A5242" s="20">
        <v>45808</v>
      </c>
      <c r="B5242" t="str">
        <f>IFERROR(IF(VLOOKUP(C5242,Hoja1!$B$1:$C$6191,2,0)="",_xlfn.XLOOKUP(C5242,Hoja1!$B$2:$B$6191,Hoja1!$A$2:$A$6191),VLOOKUP(C5242,Hoja1!$B$1:$C$6191,2,0)),"No esta en Infor")</f>
        <v>NAC0760</v>
      </c>
      <c r="C5242" t="s">
        <v>907</v>
      </c>
      <c r="D5242" s="61">
        <v>0</v>
      </c>
      <c r="F5242" s="61">
        <v>3250</v>
      </c>
      <c r="G5242" s="61">
        <v>0</v>
      </c>
      <c r="H5242" s="61">
        <v>0</v>
      </c>
      <c r="I5242" s="61">
        <v>0</v>
      </c>
      <c r="J5242" s="61">
        <f t="shared" si="44"/>
        <v>3250</v>
      </c>
    </row>
    <row r="5243" spans="1:10" x14ac:dyDescent="0.25">
      <c r="A5243" s="20">
        <v>45808</v>
      </c>
      <c r="B5243" t="str">
        <f>IFERROR(IF(VLOOKUP(C5243,Hoja1!$B$1:$C$6191,2,0)="",_xlfn.XLOOKUP(C5243,Hoja1!$B$2:$B$6191,Hoja1!$A$2:$A$6191),VLOOKUP(C5243,Hoja1!$B$1:$C$6191,2,0)),"No esta en Infor")</f>
        <v>NAC0767</v>
      </c>
      <c r="C5243" t="s">
        <v>155</v>
      </c>
      <c r="D5243" s="61">
        <v>-7839.01</v>
      </c>
      <c r="F5243" s="61">
        <v>-9.59</v>
      </c>
      <c r="G5243" s="61">
        <v>0</v>
      </c>
      <c r="H5243" s="61">
        <v>0</v>
      </c>
      <c r="I5243" s="61">
        <v>-21365.9</v>
      </c>
      <c r="J5243" s="61">
        <f t="shared" si="44"/>
        <v>-29214.5</v>
      </c>
    </row>
    <row r="5244" spans="1:10" x14ac:dyDescent="0.25">
      <c r="A5244" s="20">
        <v>45808</v>
      </c>
      <c r="B5244" t="str">
        <f>IFERROR(IF(VLOOKUP(C5244,Hoja1!$B$1:$C$6191,2,0)="",_xlfn.XLOOKUP(C5244,Hoja1!$B$2:$B$6191,Hoja1!$A$2:$A$6191),VLOOKUP(C5244,Hoja1!$B$1:$C$6191,2,0)),"No esta en Infor")</f>
        <v>NAC0769</v>
      </c>
      <c r="C5244" t="s">
        <v>156</v>
      </c>
      <c r="D5244" s="61">
        <v>1460</v>
      </c>
      <c r="F5244" s="61">
        <v>0</v>
      </c>
      <c r="G5244" s="61">
        <v>0</v>
      </c>
      <c r="H5244" s="61">
        <v>0</v>
      </c>
      <c r="I5244" s="61">
        <v>-297.89</v>
      </c>
      <c r="J5244" s="61">
        <f t="shared" si="44"/>
        <v>1162.1100000000001</v>
      </c>
    </row>
    <row r="5245" spans="1:10" x14ac:dyDescent="0.25">
      <c r="A5245" s="20">
        <v>45808</v>
      </c>
      <c r="B5245" t="str">
        <f>IFERROR(IF(VLOOKUP(C5245,Hoja1!$B$1:$C$6191,2,0)="",_xlfn.XLOOKUP(C5245,Hoja1!$B$2:$B$6191,Hoja1!$A$2:$A$6191),VLOOKUP(C5245,Hoja1!$B$1:$C$6191,2,0)),"No esta en Infor")</f>
        <v>NAC0778</v>
      </c>
      <c r="C5245" t="s">
        <v>159</v>
      </c>
      <c r="D5245" s="61">
        <v>0</v>
      </c>
      <c r="F5245" s="61">
        <v>0</v>
      </c>
      <c r="G5245" s="61">
        <v>0</v>
      </c>
      <c r="H5245" s="61">
        <v>0</v>
      </c>
      <c r="I5245" s="61">
        <v>-781.38</v>
      </c>
      <c r="J5245" s="61">
        <f t="shared" si="44"/>
        <v>-781.38</v>
      </c>
    </row>
    <row r="5246" spans="1:10" x14ac:dyDescent="0.25">
      <c r="A5246" s="20">
        <v>45808</v>
      </c>
      <c r="B5246" t="str">
        <f>IFERROR(IF(VLOOKUP(C5246,Hoja1!$B$1:$C$6191,2,0)="",_xlfn.XLOOKUP(C5246,Hoja1!$B$2:$B$6191,Hoja1!$A$2:$A$6191),VLOOKUP(C5246,Hoja1!$B$1:$C$6191,2,0)),"No esta en Infor")</f>
        <v>NAC0779</v>
      </c>
      <c r="C5246" t="s">
        <v>160</v>
      </c>
      <c r="D5246" s="61">
        <v>0</v>
      </c>
      <c r="F5246" s="61">
        <v>-101.64</v>
      </c>
      <c r="G5246" s="61">
        <v>0</v>
      </c>
      <c r="H5246" s="61">
        <v>0</v>
      </c>
      <c r="I5246" s="61">
        <v>0</v>
      </c>
      <c r="J5246" s="61">
        <f t="shared" si="44"/>
        <v>-101.64</v>
      </c>
    </row>
    <row r="5247" spans="1:10" x14ac:dyDescent="0.25">
      <c r="A5247" s="20">
        <v>45808</v>
      </c>
      <c r="B5247" t="str">
        <f>IFERROR(IF(VLOOKUP(C5247,Hoja1!$B$1:$C$6191,2,0)="",_xlfn.XLOOKUP(C5247,Hoja1!$B$2:$B$6191,Hoja1!$A$2:$A$6191),VLOOKUP(C5247,Hoja1!$B$1:$C$6191,2,0)),"No esta en Infor")</f>
        <v>NAC0780</v>
      </c>
      <c r="C5247" t="s">
        <v>161</v>
      </c>
      <c r="D5247" s="61">
        <v>582.45000000000005</v>
      </c>
      <c r="F5247" s="61">
        <v>0</v>
      </c>
      <c r="G5247" s="61">
        <v>0</v>
      </c>
      <c r="H5247" s="61">
        <v>0</v>
      </c>
      <c r="I5247" s="61">
        <v>0</v>
      </c>
      <c r="J5247" s="61">
        <f t="shared" si="44"/>
        <v>582.45000000000005</v>
      </c>
    </row>
    <row r="5248" spans="1:10" x14ac:dyDescent="0.25">
      <c r="A5248" s="20">
        <v>45808</v>
      </c>
      <c r="B5248" t="str">
        <f>IFERROR(IF(VLOOKUP(C5248,Hoja1!$B$1:$C$6191,2,0)="",_xlfn.XLOOKUP(C5248,Hoja1!$B$2:$B$6191,Hoja1!$A$2:$A$6191),VLOOKUP(C5248,Hoja1!$B$1:$C$6191,2,0)),"No esta en Infor")</f>
        <v>NAC0781</v>
      </c>
      <c r="C5248" t="s">
        <v>162</v>
      </c>
      <c r="D5248" s="61">
        <v>1562.2</v>
      </c>
      <c r="F5248" s="61">
        <v>0</v>
      </c>
      <c r="G5248" s="61">
        <v>0</v>
      </c>
      <c r="H5248" s="61">
        <v>0</v>
      </c>
      <c r="I5248" s="61">
        <v>-730</v>
      </c>
      <c r="J5248" s="61">
        <f t="shared" si="44"/>
        <v>832.2</v>
      </c>
    </row>
    <row r="5249" spans="1:10" x14ac:dyDescent="0.25">
      <c r="A5249" s="20">
        <v>45808</v>
      </c>
      <c r="B5249" t="str">
        <f>IFERROR(IF(VLOOKUP(C5249,Hoja1!$B$1:$C$6191,2,0)="",_xlfn.XLOOKUP(C5249,Hoja1!$B$2:$B$6191,Hoja1!$A$2:$A$6191),VLOOKUP(C5249,Hoja1!$B$1:$C$6191,2,0)),"No esta en Infor")</f>
        <v>NAC0788</v>
      </c>
      <c r="C5249" t="s">
        <v>163</v>
      </c>
      <c r="D5249" s="61">
        <v>0</v>
      </c>
      <c r="F5249" s="61">
        <v>435.88</v>
      </c>
      <c r="G5249" s="61">
        <v>0</v>
      </c>
      <c r="H5249" s="61">
        <v>0</v>
      </c>
      <c r="I5249" s="61">
        <v>0</v>
      </c>
      <c r="J5249" s="61">
        <f t="shared" si="44"/>
        <v>435.88</v>
      </c>
    </row>
    <row r="5250" spans="1:10" x14ac:dyDescent="0.25">
      <c r="A5250" s="20">
        <v>45808</v>
      </c>
      <c r="B5250" t="str">
        <f>IFERROR(IF(VLOOKUP(C5250,Hoja1!$B$1:$C$6191,2,0)="",_xlfn.XLOOKUP(C5250,Hoja1!$B$2:$B$6191,Hoja1!$A$2:$A$6191),VLOOKUP(C5250,Hoja1!$B$1:$C$6191,2,0)),"No esta en Infor")</f>
        <v>NAC0792</v>
      </c>
      <c r="C5250" t="s">
        <v>164</v>
      </c>
      <c r="D5250" s="61">
        <v>161984.85999999999</v>
      </c>
      <c r="F5250" s="61">
        <v>-118.3</v>
      </c>
      <c r="G5250" s="61">
        <v>0</v>
      </c>
      <c r="H5250" s="61">
        <v>0</v>
      </c>
      <c r="I5250" s="61">
        <v>0</v>
      </c>
      <c r="J5250" s="61">
        <f t="shared" si="44"/>
        <v>161866.56</v>
      </c>
    </row>
    <row r="5251" spans="1:10" x14ac:dyDescent="0.25">
      <c r="A5251" s="20">
        <v>45808</v>
      </c>
      <c r="B5251" t="str">
        <f>IFERROR(IF(VLOOKUP(C5251,Hoja1!$B$1:$C$6191,2,0)="",_xlfn.XLOOKUP(C5251,Hoja1!$B$2:$B$6191,Hoja1!$A$2:$A$6191),VLOOKUP(C5251,Hoja1!$B$1:$C$6191,2,0)),"No esta en Infor")</f>
        <v>NAC0798</v>
      </c>
      <c r="C5251" t="s">
        <v>167</v>
      </c>
      <c r="D5251" s="61">
        <v>2966.88</v>
      </c>
      <c r="F5251" s="61">
        <v>0</v>
      </c>
      <c r="G5251" s="61">
        <v>0</v>
      </c>
      <c r="H5251" s="61">
        <v>0</v>
      </c>
      <c r="I5251" s="61">
        <v>0</v>
      </c>
      <c r="J5251" s="61">
        <f t="shared" si="44"/>
        <v>2966.88</v>
      </c>
    </row>
    <row r="5252" spans="1:10" x14ac:dyDescent="0.25">
      <c r="A5252" s="20">
        <v>45808</v>
      </c>
      <c r="B5252" t="str">
        <f>IFERROR(IF(VLOOKUP(C5252,Hoja1!$B$1:$C$6191,2,0)="",_xlfn.XLOOKUP(C5252,Hoja1!$B$2:$B$6191,Hoja1!$A$2:$A$6191),VLOOKUP(C5252,Hoja1!$B$1:$C$6191,2,0)),"No esta en Infor")</f>
        <v>NAC0800</v>
      </c>
      <c r="C5252" t="s">
        <v>617</v>
      </c>
      <c r="D5252" s="61">
        <v>0</v>
      </c>
      <c r="F5252" s="61">
        <v>0</v>
      </c>
      <c r="G5252" s="61">
        <v>0</v>
      </c>
      <c r="H5252" s="61">
        <v>-1500</v>
      </c>
      <c r="I5252" s="61">
        <v>0</v>
      </c>
      <c r="J5252" s="61">
        <f t="shared" si="44"/>
        <v>-1500</v>
      </c>
    </row>
    <row r="5253" spans="1:10" x14ac:dyDescent="0.25">
      <c r="A5253" s="20">
        <v>45808</v>
      </c>
      <c r="B5253" t="str">
        <f>IFERROR(IF(VLOOKUP(C5253,Hoja1!$B$1:$C$6191,2,0)="",_xlfn.XLOOKUP(C5253,Hoja1!$B$2:$B$6191,Hoja1!$A$2:$A$6191),VLOOKUP(C5253,Hoja1!$B$1:$C$6191,2,0)),"No esta en Infor")</f>
        <v>NAC0801</v>
      </c>
      <c r="C5253" t="s">
        <v>168</v>
      </c>
      <c r="D5253" s="61">
        <v>2172.4</v>
      </c>
      <c r="F5253" s="61">
        <v>0</v>
      </c>
      <c r="G5253" s="61">
        <v>0</v>
      </c>
      <c r="H5253" s="61">
        <v>0</v>
      </c>
      <c r="I5253" s="61">
        <v>0</v>
      </c>
      <c r="J5253" s="61">
        <f t="shared" si="44"/>
        <v>2172.4</v>
      </c>
    </row>
    <row r="5254" spans="1:10" x14ac:dyDescent="0.25">
      <c r="A5254" s="20">
        <v>45808</v>
      </c>
      <c r="B5254" t="str">
        <f>IFERROR(IF(VLOOKUP(C5254,Hoja1!$B$1:$C$6191,2,0)="",_xlfn.XLOOKUP(C5254,Hoja1!$B$2:$B$6191,Hoja1!$A$2:$A$6191),VLOOKUP(C5254,Hoja1!$B$1:$C$6191,2,0)),"No esta en Infor")</f>
        <v>NAC0804</v>
      </c>
      <c r="C5254" t="s">
        <v>169</v>
      </c>
      <c r="D5254" s="61">
        <v>4005.03</v>
      </c>
      <c r="F5254" s="61">
        <v>-170.53</v>
      </c>
      <c r="G5254" s="61">
        <v>0</v>
      </c>
      <c r="H5254" s="61">
        <v>0</v>
      </c>
      <c r="I5254" s="61">
        <v>0</v>
      </c>
      <c r="J5254" s="61">
        <f t="shared" si="44"/>
        <v>3834.5</v>
      </c>
    </row>
    <row r="5255" spans="1:10" x14ac:dyDescent="0.25">
      <c r="A5255" s="20">
        <v>45808</v>
      </c>
      <c r="B5255" t="str">
        <f>IFERROR(IF(VLOOKUP(C5255,Hoja1!$B$1:$C$6191,2,0)="",_xlfn.XLOOKUP(C5255,Hoja1!$B$2:$B$6191,Hoja1!$A$2:$A$6191),VLOOKUP(C5255,Hoja1!$B$1:$C$6191,2,0)),"No esta en Infor")</f>
        <v>NAC0809</v>
      </c>
      <c r="C5255" t="s">
        <v>171</v>
      </c>
      <c r="D5255" s="61">
        <v>408.87</v>
      </c>
      <c r="F5255" s="61">
        <v>0</v>
      </c>
      <c r="G5255" s="61">
        <v>0</v>
      </c>
      <c r="H5255" s="61">
        <v>0</v>
      </c>
      <c r="I5255" s="61">
        <v>0</v>
      </c>
      <c r="J5255" s="61">
        <f t="shared" si="44"/>
        <v>408.87</v>
      </c>
    </row>
    <row r="5256" spans="1:10" x14ac:dyDescent="0.25">
      <c r="A5256" s="20">
        <v>45808</v>
      </c>
      <c r="B5256" t="str">
        <f>IFERROR(IF(VLOOKUP(C5256,Hoja1!$B$1:$C$6191,2,0)="",_xlfn.XLOOKUP(C5256,Hoja1!$B$2:$B$6191,Hoja1!$A$2:$A$6191),VLOOKUP(C5256,Hoja1!$B$1:$C$6191,2,0)),"No esta en Infor")</f>
        <v>NAC0811</v>
      </c>
      <c r="C5256" t="s">
        <v>173</v>
      </c>
      <c r="D5256" s="61">
        <v>0</v>
      </c>
      <c r="F5256" s="61">
        <v>-270.47000000000003</v>
      </c>
      <c r="G5256" s="61">
        <v>0</v>
      </c>
      <c r="H5256" s="61">
        <v>0</v>
      </c>
      <c r="I5256" s="61">
        <v>0</v>
      </c>
      <c r="J5256" s="61">
        <f t="shared" si="44"/>
        <v>-270.47000000000003</v>
      </c>
    </row>
    <row r="5257" spans="1:10" x14ac:dyDescent="0.25">
      <c r="A5257" s="20">
        <v>45808</v>
      </c>
      <c r="B5257" t="str">
        <f>IFERROR(IF(VLOOKUP(C5257,Hoja1!$B$1:$C$6191,2,0)="",_xlfn.XLOOKUP(C5257,Hoja1!$B$2:$B$6191,Hoja1!$A$2:$A$6191),VLOOKUP(C5257,Hoja1!$B$1:$C$6191,2,0)),"No esta en Infor")</f>
        <v>NAC0814</v>
      </c>
      <c r="C5257" t="s">
        <v>175</v>
      </c>
      <c r="D5257" s="61">
        <v>660</v>
      </c>
      <c r="F5257" s="61">
        <v>0</v>
      </c>
      <c r="G5257" s="61">
        <v>0</v>
      </c>
      <c r="H5257" s="61">
        <v>0</v>
      </c>
      <c r="I5257" s="61">
        <v>0</v>
      </c>
      <c r="J5257" s="61">
        <f t="shared" si="44"/>
        <v>660</v>
      </c>
    </row>
    <row r="5258" spans="1:10" x14ac:dyDescent="0.25">
      <c r="A5258" s="20">
        <v>45808</v>
      </c>
      <c r="B5258" t="str">
        <f>IFERROR(IF(VLOOKUP(C5258,Hoja1!$B$1:$C$6191,2,0)="",_xlfn.XLOOKUP(C5258,Hoja1!$B$2:$B$6191,Hoja1!$A$2:$A$6191),VLOOKUP(C5258,Hoja1!$B$1:$C$6191,2,0)),"No esta en Infor")</f>
        <v>NAC0816</v>
      </c>
      <c r="C5258" t="s">
        <v>176</v>
      </c>
      <c r="D5258" s="61">
        <v>0</v>
      </c>
      <c r="F5258" s="61">
        <v>0</v>
      </c>
      <c r="G5258" s="61">
        <v>0</v>
      </c>
      <c r="H5258" s="61">
        <v>-31.9</v>
      </c>
      <c r="I5258" s="61">
        <v>0</v>
      </c>
      <c r="J5258" s="61">
        <f t="shared" si="44"/>
        <v>-31.9</v>
      </c>
    </row>
    <row r="5259" spans="1:10" x14ac:dyDescent="0.25">
      <c r="A5259" s="20">
        <v>45808</v>
      </c>
      <c r="B5259" t="str">
        <f>IFERROR(IF(VLOOKUP(C5259,Hoja1!$B$1:$C$6191,2,0)="",_xlfn.XLOOKUP(C5259,Hoja1!$B$2:$B$6191,Hoja1!$A$2:$A$6191),VLOOKUP(C5259,Hoja1!$B$1:$C$6191,2,0)),"No esta en Infor")</f>
        <v>NAC0818</v>
      </c>
      <c r="C5259" t="s">
        <v>177</v>
      </c>
      <c r="D5259" s="61">
        <v>217</v>
      </c>
      <c r="F5259" s="61">
        <v>0</v>
      </c>
      <c r="G5259" s="61">
        <v>0</v>
      </c>
      <c r="H5259" s="61">
        <v>0</v>
      </c>
      <c r="I5259" s="61">
        <v>0</v>
      </c>
      <c r="J5259" s="61">
        <f t="shared" si="44"/>
        <v>217</v>
      </c>
    </row>
    <row r="5260" spans="1:10" x14ac:dyDescent="0.25">
      <c r="A5260" s="20">
        <v>45808</v>
      </c>
      <c r="B5260" t="str">
        <f>IFERROR(IF(VLOOKUP(C5260,Hoja1!$B$1:$C$6191,2,0)="",_xlfn.XLOOKUP(C5260,Hoja1!$B$2:$B$6191,Hoja1!$A$2:$A$6191),VLOOKUP(C5260,Hoja1!$B$1:$C$6191,2,0)),"No esta en Infor")</f>
        <v>NAC0823</v>
      </c>
      <c r="C5260" t="s">
        <v>497</v>
      </c>
      <c r="D5260" s="61">
        <v>-391.62</v>
      </c>
      <c r="F5260" s="61">
        <v>0</v>
      </c>
      <c r="G5260" s="61">
        <v>0</v>
      </c>
      <c r="H5260" s="61">
        <v>0</v>
      </c>
      <c r="I5260" s="61">
        <v>64.489999999999995</v>
      </c>
      <c r="J5260" s="61">
        <f t="shared" si="44"/>
        <v>-327.13</v>
      </c>
    </row>
    <row r="5261" spans="1:10" x14ac:dyDescent="0.25">
      <c r="A5261" s="20">
        <v>45808</v>
      </c>
      <c r="B5261" t="str">
        <f>IFERROR(IF(VLOOKUP(C5261,Hoja1!$B$1:$C$6191,2,0)="",_xlfn.XLOOKUP(C5261,Hoja1!$B$2:$B$6191,Hoja1!$A$2:$A$6191),VLOOKUP(C5261,Hoja1!$B$1:$C$6191,2,0)),"No esta en Infor")</f>
        <v>NAC0825</v>
      </c>
      <c r="C5261" t="s">
        <v>179</v>
      </c>
      <c r="D5261" s="61">
        <v>1252.8</v>
      </c>
      <c r="F5261" s="61">
        <v>0</v>
      </c>
      <c r="G5261" s="61">
        <v>0</v>
      </c>
      <c r="H5261" s="61">
        <v>0</v>
      </c>
      <c r="I5261" s="61">
        <v>0</v>
      </c>
      <c r="J5261" s="61">
        <f t="shared" si="44"/>
        <v>1252.8</v>
      </c>
    </row>
    <row r="5262" spans="1:10" x14ac:dyDescent="0.25">
      <c r="A5262" s="20">
        <v>45808</v>
      </c>
      <c r="B5262" t="str">
        <f>IFERROR(IF(VLOOKUP(C5262,Hoja1!$B$1:$C$6191,2,0)="",_xlfn.XLOOKUP(C5262,Hoja1!$B$2:$B$6191,Hoja1!$A$2:$A$6191),VLOOKUP(C5262,Hoja1!$B$1:$C$6191,2,0)),"No esta en Infor")</f>
        <v>NAC0838</v>
      </c>
      <c r="C5262" t="s">
        <v>396</v>
      </c>
      <c r="D5262" s="61">
        <v>0</v>
      </c>
      <c r="F5262" s="61">
        <v>517.5</v>
      </c>
      <c r="G5262" s="61">
        <v>0</v>
      </c>
      <c r="H5262" s="61">
        <v>0</v>
      </c>
      <c r="I5262" s="61">
        <v>54</v>
      </c>
      <c r="J5262" s="61">
        <f t="shared" si="44"/>
        <v>571.5</v>
      </c>
    </row>
    <row r="5263" spans="1:10" x14ac:dyDescent="0.25">
      <c r="A5263" s="20">
        <v>45808</v>
      </c>
      <c r="B5263" t="str">
        <f>IFERROR(IF(VLOOKUP(C5263,Hoja1!$B$1:$C$6191,2,0)="",_xlfn.XLOOKUP(C5263,Hoja1!$B$2:$B$6191,Hoja1!$A$2:$A$6191),VLOOKUP(C5263,Hoja1!$B$1:$C$6191,2,0)),"No esta en Infor")</f>
        <v>NAC0848</v>
      </c>
      <c r="C5263" t="s">
        <v>498</v>
      </c>
      <c r="D5263" s="61">
        <v>0</v>
      </c>
      <c r="F5263" s="61">
        <v>0</v>
      </c>
      <c r="G5263" s="61">
        <v>842.34</v>
      </c>
      <c r="H5263" s="61">
        <v>0</v>
      </c>
      <c r="I5263" s="61">
        <v>0</v>
      </c>
      <c r="J5263" s="61">
        <f t="shared" si="44"/>
        <v>842.34</v>
      </c>
    </row>
    <row r="5264" spans="1:10" x14ac:dyDescent="0.25">
      <c r="A5264" s="20">
        <v>45808</v>
      </c>
      <c r="B5264" t="str">
        <f>IFERROR(IF(VLOOKUP(C5264,Hoja1!$B$1:$C$6191,2,0)="",_xlfn.XLOOKUP(C5264,Hoja1!$B$2:$B$6191,Hoja1!$A$2:$A$6191),VLOOKUP(C5264,Hoja1!$B$1:$C$6191,2,0)),"No esta en Infor")</f>
        <v>NAC0849</v>
      </c>
      <c r="C5264" t="s">
        <v>914</v>
      </c>
      <c r="D5264" s="61">
        <v>0</v>
      </c>
      <c r="F5264" s="61">
        <v>44.04</v>
      </c>
      <c r="G5264" s="61">
        <v>0</v>
      </c>
      <c r="H5264" s="61">
        <v>0</v>
      </c>
      <c r="I5264" s="61">
        <v>0</v>
      </c>
      <c r="J5264" s="61">
        <f t="shared" si="44"/>
        <v>44.04</v>
      </c>
    </row>
    <row r="5265" spans="1:10" x14ac:dyDescent="0.25">
      <c r="A5265" s="20">
        <v>45808</v>
      </c>
      <c r="B5265" t="str">
        <f>IFERROR(IF(VLOOKUP(C5265,Hoja1!$B$1:$C$6191,2,0)="",_xlfn.XLOOKUP(C5265,Hoja1!$B$2:$B$6191,Hoja1!$A$2:$A$6191),VLOOKUP(C5265,Hoja1!$B$1:$C$6191,2,0)),"No esta en Infor")</f>
        <v>NAC0851</v>
      </c>
      <c r="C5265" t="s">
        <v>185</v>
      </c>
      <c r="D5265" s="61">
        <v>0</v>
      </c>
      <c r="F5265" s="61">
        <v>0</v>
      </c>
      <c r="G5265" s="61">
        <v>0</v>
      </c>
      <c r="H5265" s="61">
        <v>0</v>
      </c>
      <c r="I5265" s="61">
        <v>-831.6</v>
      </c>
      <c r="J5265" s="61">
        <f t="shared" si="44"/>
        <v>-831.6</v>
      </c>
    </row>
    <row r="5266" spans="1:10" x14ac:dyDescent="0.25">
      <c r="A5266" s="20">
        <v>45808</v>
      </c>
      <c r="B5266" t="str">
        <f>IFERROR(IF(VLOOKUP(C5266,Hoja1!$B$1:$C$6191,2,0)="",_xlfn.XLOOKUP(C5266,Hoja1!$B$2:$B$6191,Hoja1!$A$2:$A$6191),VLOOKUP(C5266,Hoja1!$B$1:$C$6191,2,0)),"No esta en Infor")</f>
        <v>NAC0855</v>
      </c>
      <c r="C5266" t="s">
        <v>618</v>
      </c>
      <c r="D5266" s="61">
        <v>0</v>
      </c>
      <c r="F5266" s="61">
        <v>267.91000000000003</v>
      </c>
      <c r="G5266" s="61">
        <v>0</v>
      </c>
      <c r="H5266" s="61">
        <v>0</v>
      </c>
      <c r="I5266" s="61">
        <v>0</v>
      </c>
      <c r="J5266" s="61">
        <f t="shared" si="44"/>
        <v>267.91000000000003</v>
      </c>
    </row>
    <row r="5267" spans="1:10" x14ac:dyDescent="0.25">
      <c r="A5267" s="20">
        <v>45808</v>
      </c>
      <c r="B5267" t="str">
        <f>IFERROR(IF(VLOOKUP(C5267,Hoja1!$B$1:$C$6191,2,0)="",_xlfn.XLOOKUP(C5267,Hoja1!$B$2:$B$6191,Hoja1!$A$2:$A$6191),VLOOKUP(C5267,Hoja1!$B$1:$C$6191,2,0)),"No esta en Infor")</f>
        <v>NAC0862</v>
      </c>
      <c r="C5267" t="s">
        <v>190</v>
      </c>
      <c r="D5267" s="61">
        <v>8375.69</v>
      </c>
      <c r="F5267" s="61">
        <v>0</v>
      </c>
      <c r="G5267" s="61">
        <v>0</v>
      </c>
      <c r="H5267" s="61">
        <v>0</v>
      </c>
      <c r="I5267" s="61">
        <v>96.3</v>
      </c>
      <c r="J5267" s="61">
        <f t="shared" si="44"/>
        <v>8471.99</v>
      </c>
    </row>
    <row r="5268" spans="1:10" x14ac:dyDescent="0.25">
      <c r="A5268" s="20">
        <v>45808</v>
      </c>
      <c r="B5268" t="str">
        <f>IFERROR(IF(VLOOKUP(C5268,Hoja1!$B$1:$C$6191,2,0)="",_xlfn.XLOOKUP(C5268,Hoja1!$B$2:$B$6191,Hoja1!$A$2:$A$6191),VLOOKUP(C5268,Hoja1!$B$1:$C$6191,2,0)),"No esta en Infor")</f>
        <v>NAC0863</v>
      </c>
      <c r="C5268" t="s">
        <v>398</v>
      </c>
      <c r="D5268" s="61">
        <v>0</v>
      </c>
      <c r="F5268" s="61">
        <v>0</v>
      </c>
      <c r="G5268" s="61">
        <v>0</v>
      </c>
      <c r="H5268" s="61">
        <v>0</v>
      </c>
      <c r="I5268" s="61">
        <v>-43.97</v>
      </c>
      <c r="J5268" s="61">
        <f t="shared" si="44"/>
        <v>-43.97</v>
      </c>
    </row>
    <row r="5269" spans="1:10" x14ac:dyDescent="0.25">
      <c r="A5269" s="20">
        <v>45808</v>
      </c>
      <c r="B5269" t="str">
        <f>IFERROR(IF(VLOOKUP(C5269,Hoja1!$B$1:$C$6191,2,0)="",_xlfn.XLOOKUP(C5269,Hoja1!$B$2:$B$6191,Hoja1!$A$2:$A$6191),VLOOKUP(C5269,Hoja1!$B$1:$C$6191,2,0)),"No esta en Infor")</f>
        <v>NAC0864</v>
      </c>
      <c r="C5269" t="s">
        <v>917</v>
      </c>
      <c r="D5269" s="61">
        <v>0</v>
      </c>
      <c r="F5269" s="61">
        <v>438</v>
      </c>
      <c r="G5269" s="61">
        <v>0</v>
      </c>
      <c r="H5269" s="61">
        <v>0</v>
      </c>
      <c r="I5269" s="61">
        <v>0</v>
      </c>
      <c r="J5269" s="61">
        <f t="shared" si="44"/>
        <v>438</v>
      </c>
    </row>
    <row r="5270" spans="1:10" x14ac:dyDescent="0.25">
      <c r="A5270" s="20">
        <v>45808</v>
      </c>
      <c r="B5270" t="str">
        <f>IFERROR(IF(VLOOKUP(C5270,Hoja1!$B$1:$C$6191,2,0)="",_xlfn.XLOOKUP(C5270,Hoja1!$B$2:$B$6191,Hoja1!$A$2:$A$6191),VLOOKUP(C5270,Hoja1!$B$1:$C$6191,2,0)),"No esta en Infor")</f>
        <v>NAC0865</v>
      </c>
      <c r="C5270" t="s">
        <v>23</v>
      </c>
      <c r="D5270" s="61">
        <v>2357.2600000000002</v>
      </c>
      <c r="F5270" s="61">
        <v>0</v>
      </c>
      <c r="G5270" s="61">
        <v>0</v>
      </c>
      <c r="H5270" s="61">
        <v>0</v>
      </c>
      <c r="I5270" s="61">
        <v>0</v>
      </c>
      <c r="J5270" s="61">
        <f t="shared" si="44"/>
        <v>2357.2600000000002</v>
      </c>
    </row>
    <row r="5271" spans="1:10" x14ac:dyDescent="0.25">
      <c r="A5271" s="20">
        <v>45808</v>
      </c>
      <c r="B5271" t="str">
        <f>IFERROR(IF(VLOOKUP(C5271,Hoja1!$B$1:$C$6191,2,0)="",_xlfn.XLOOKUP(C5271,Hoja1!$B$2:$B$6191,Hoja1!$A$2:$A$6191),VLOOKUP(C5271,Hoja1!$B$1:$C$6191,2,0)),"No esta en Infor")</f>
        <v>NAC0869</v>
      </c>
      <c r="C5271" t="s">
        <v>192</v>
      </c>
      <c r="D5271" s="61">
        <v>0</v>
      </c>
      <c r="F5271" s="61">
        <v>0</v>
      </c>
      <c r="G5271" s="61">
        <v>0</v>
      </c>
      <c r="H5271" s="61">
        <v>-0.4</v>
      </c>
      <c r="I5271" s="61">
        <v>532.9</v>
      </c>
      <c r="J5271" s="61">
        <f t="shared" si="44"/>
        <v>532.5</v>
      </c>
    </row>
    <row r="5272" spans="1:10" x14ac:dyDescent="0.25">
      <c r="A5272" s="20">
        <v>45808</v>
      </c>
      <c r="B5272" t="str">
        <f>IFERROR(IF(VLOOKUP(C5272,Hoja1!$B$1:$C$6191,2,0)="",_xlfn.XLOOKUP(C5272,Hoja1!$B$2:$B$6191,Hoja1!$A$2:$A$6191),VLOOKUP(C5272,Hoja1!$B$1:$C$6191,2,0)),"No esta en Infor")</f>
        <v>NAC0871</v>
      </c>
      <c r="C5272" t="s">
        <v>193</v>
      </c>
      <c r="D5272" s="61">
        <v>756</v>
      </c>
      <c r="F5272" s="61">
        <v>0</v>
      </c>
      <c r="G5272" s="61">
        <v>0</v>
      </c>
      <c r="H5272" s="61">
        <v>0</v>
      </c>
      <c r="I5272" s="61">
        <v>0</v>
      </c>
      <c r="J5272" s="61">
        <f t="shared" si="44"/>
        <v>756</v>
      </c>
    </row>
    <row r="5273" spans="1:10" x14ac:dyDescent="0.25">
      <c r="A5273" s="20">
        <v>45808</v>
      </c>
      <c r="B5273" t="str">
        <f>IFERROR(IF(VLOOKUP(C5273,Hoja1!$B$1:$C$6191,2,0)="",_xlfn.XLOOKUP(C5273,Hoja1!$B$2:$B$6191,Hoja1!$A$2:$A$6191),VLOOKUP(C5273,Hoja1!$B$1:$C$6191,2,0)),"No esta en Infor")</f>
        <v>NAC0879</v>
      </c>
      <c r="C5273" t="s">
        <v>194</v>
      </c>
      <c r="D5273" s="61">
        <v>0</v>
      </c>
      <c r="F5273" s="61">
        <v>0</v>
      </c>
      <c r="G5273" s="61">
        <v>0</v>
      </c>
      <c r="H5273" s="61">
        <v>0</v>
      </c>
      <c r="I5273" s="61">
        <v>-117.9</v>
      </c>
      <c r="J5273" s="61">
        <f t="shared" si="44"/>
        <v>-117.9</v>
      </c>
    </row>
    <row r="5274" spans="1:10" x14ac:dyDescent="0.25">
      <c r="A5274" s="20">
        <v>45808</v>
      </c>
      <c r="B5274" t="str">
        <f>IFERROR(IF(VLOOKUP(C5274,Hoja1!$B$1:$C$6191,2,0)="",_xlfn.XLOOKUP(C5274,Hoja1!$B$2:$B$6191,Hoja1!$A$2:$A$6191),VLOOKUP(C5274,Hoja1!$B$1:$C$6191,2,0)),"No esta en Infor")</f>
        <v>NAC0880</v>
      </c>
      <c r="C5274" t="s">
        <v>24</v>
      </c>
      <c r="D5274" s="61">
        <v>7274.74</v>
      </c>
      <c r="F5274" s="61">
        <v>1612.78</v>
      </c>
      <c r="G5274" s="61">
        <v>500.03</v>
      </c>
      <c r="H5274" s="61">
        <v>-142.84</v>
      </c>
      <c r="I5274" s="61">
        <v>0</v>
      </c>
      <c r="J5274" s="61">
        <f t="shared" si="44"/>
        <v>9244.7100000000009</v>
      </c>
    </row>
    <row r="5275" spans="1:10" x14ac:dyDescent="0.25">
      <c r="A5275" s="20">
        <v>45808</v>
      </c>
      <c r="B5275" t="str">
        <f>IFERROR(IF(VLOOKUP(C5275,Hoja1!$B$1:$C$6191,2,0)="",_xlfn.XLOOKUP(C5275,Hoja1!$B$2:$B$6191,Hoja1!$A$2:$A$6191),VLOOKUP(C5275,Hoja1!$B$1:$C$6191,2,0)),"No esta en Infor")</f>
        <v>NAC0881</v>
      </c>
      <c r="C5275" t="s">
        <v>195</v>
      </c>
      <c r="D5275" s="61">
        <v>5132.16</v>
      </c>
      <c r="F5275" s="61">
        <v>0</v>
      </c>
      <c r="G5275" s="61">
        <v>0</v>
      </c>
      <c r="H5275" s="61">
        <v>0</v>
      </c>
      <c r="I5275" s="61">
        <v>0</v>
      </c>
      <c r="J5275" s="61">
        <f t="shared" ref="J5275:J5338" si="45">SUM(D5275:I5275)</f>
        <v>5132.16</v>
      </c>
    </row>
    <row r="5276" spans="1:10" x14ac:dyDescent="0.25">
      <c r="A5276" s="20">
        <v>45808</v>
      </c>
      <c r="B5276" t="str">
        <f>IFERROR(IF(VLOOKUP(C5276,Hoja1!$B$1:$C$6191,2,0)="",_xlfn.XLOOKUP(C5276,Hoja1!$B$2:$B$6191,Hoja1!$A$2:$A$6191),VLOOKUP(C5276,Hoja1!$B$1:$C$6191,2,0)),"No esta en Infor")</f>
        <v>NAC0893</v>
      </c>
      <c r="C5276" t="s">
        <v>876</v>
      </c>
      <c r="D5276" s="61">
        <v>0</v>
      </c>
      <c r="F5276" s="61">
        <v>-1112.8</v>
      </c>
      <c r="G5276" s="61">
        <v>0</v>
      </c>
      <c r="H5276" s="61">
        <v>0</v>
      </c>
      <c r="I5276" s="61">
        <v>0</v>
      </c>
      <c r="J5276" s="61">
        <f t="shared" si="45"/>
        <v>-1112.8</v>
      </c>
    </row>
    <row r="5277" spans="1:10" x14ac:dyDescent="0.25">
      <c r="A5277" s="20">
        <v>45808</v>
      </c>
      <c r="B5277" t="str">
        <f>IFERROR(IF(VLOOKUP(C5277,Hoja1!$B$1:$C$6191,2,0)="",_xlfn.XLOOKUP(C5277,Hoja1!$B$2:$B$6191,Hoja1!$A$2:$A$6191),VLOOKUP(C5277,Hoja1!$B$1:$C$6191,2,0)),"No esta en Infor")</f>
        <v>NAC0894</v>
      </c>
      <c r="C5277" t="s">
        <v>199</v>
      </c>
      <c r="D5277" s="61">
        <v>3090</v>
      </c>
      <c r="F5277" s="61">
        <v>0</v>
      </c>
      <c r="G5277" s="61">
        <v>0</v>
      </c>
      <c r="H5277" s="61">
        <v>-2280</v>
      </c>
      <c r="I5277" s="61">
        <v>0</v>
      </c>
      <c r="J5277" s="61">
        <f t="shared" si="45"/>
        <v>810</v>
      </c>
    </row>
    <row r="5278" spans="1:10" x14ac:dyDescent="0.25">
      <c r="A5278" s="20">
        <v>45808</v>
      </c>
      <c r="B5278" t="str">
        <f>IFERROR(IF(VLOOKUP(C5278,Hoja1!$B$1:$C$6191,2,0)="",_xlfn.XLOOKUP(C5278,Hoja1!$B$2:$B$6191,Hoja1!$A$2:$A$6191),VLOOKUP(C5278,Hoja1!$B$1:$C$6191,2,0)),"No esta en Infor")</f>
        <v>NAC0897</v>
      </c>
      <c r="C5278" t="s">
        <v>25</v>
      </c>
      <c r="D5278" s="61">
        <v>0</v>
      </c>
      <c r="F5278" s="61">
        <v>0</v>
      </c>
      <c r="G5278" s="61">
        <v>0</v>
      </c>
      <c r="H5278" s="61">
        <v>0</v>
      </c>
      <c r="I5278" s="61">
        <v>-303.5</v>
      </c>
      <c r="J5278" s="61">
        <f t="shared" si="45"/>
        <v>-303.5</v>
      </c>
    </row>
    <row r="5279" spans="1:10" x14ac:dyDescent="0.25">
      <c r="A5279" s="20">
        <v>45808</v>
      </c>
      <c r="B5279" t="str">
        <f>IFERROR(IF(VLOOKUP(C5279,Hoja1!$B$1:$C$6191,2,0)="",_xlfn.XLOOKUP(C5279,Hoja1!$B$2:$B$6191,Hoja1!$A$2:$A$6191),VLOOKUP(C5279,Hoja1!$B$1:$C$6191,2,0)),"No esta en Infor")</f>
        <v>NAC0898</v>
      </c>
      <c r="C5279" t="s">
        <v>200</v>
      </c>
      <c r="D5279" s="61">
        <v>86.4</v>
      </c>
      <c r="F5279" s="61">
        <v>0</v>
      </c>
      <c r="G5279" s="61">
        <v>0</v>
      </c>
      <c r="H5279" s="61">
        <v>0</v>
      </c>
      <c r="I5279" s="61">
        <v>0</v>
      </c>
      <c r="J5279" s="61">
        <f t="shared" si="45"/>
        <v>86.4</v>
      </c>
    </row>
    <row r="5280" spans="1:10" x14ac:dyDescent="0.25">
      <c r="A5280" s="20">
        <v>45808</v>
      </c>
      <c r="B5280" t="str">
        <f>IFERROR(IF(VLOOKUP(C5280,Hoja1!$B$1:$C$6191,2,0)="",_xlfn.XLOOKUP(C5280,Hoja1!$B$2:$B$6191,Hoja1!$A$2:$A$6191),VLOOKUP(C5280,Hoja1!$B$1:$C$6191,2,0)),"No esta en Infor")</f>
        <v>NAC0909</v>
      </c>
      <c r="C5280" t="s">
        <v>921</v>
      </c>
      <c r="D5280" s="61">
        <v>0</v>
      </c>
      <c r="F5280" s="61">
        <v>2225.6</v>
      </c>
      <c r="G5280" s="61">
        <v>0</v>
      </c>
      <c r="H5280" s="61">
        <v>0</v>
      </c>
      <c r="I5280" s="61">
        <v>0</v>
      </c>
      <c r="J5280" s="61">
        <f t="shared" si="45"/>
        <v>2225.6</v>
      </c>
    </row>
    <row r="5281" spans="1:10" x14ac:dyDescent="0.25">
      <c r="A5281" s="20">
        <v>45808</v>
      </c>
      <c r="B5281" t="str">
        <f>IFERROR(IF(VLOOKUP(C5281,Hoja1!$B$1:$C$6191,2,0)="",_xlfn.XLOOKUP(C5281,Hoja1!$B$2:$B$6191,Hoja1!$A$2:$A$6191),VLOOKUP(C5281,Hoja1!$B$1:$C$6191,2,0)),"No esta en Infor")</f>
        <v>NAC0914</v>
      </c>
      <c r="C5281" t="s">
        <v>202</v>
      </c>
      <c r="D5281" s="61">
        <v>-193.05</v>
      </c>
      <c r="F5281" s="61">
        <v>0</v>
      </c>
      <c r="G5281" s="61">
        <v>0</v>
      </c>
      <c r="H5281" s="61">
        <v>0</v>
      </c>
      <c r="I5281" s="61">
        <v>354.79</v>
      </c>
      <c r="J5281" s="61">
        <f t="shared" si="45"/>
        <v>161.74</v>
      </c>
    </row>
    <row r="5282" spans="1:10" x14ac:dyDescent="0.25">
      <c r="A5282" s="20">
        <v>45808</v>
      </c>
      <c r="B5282" t="str">
        <f>IFERROR(IF(VLOOKUP(C5282,Hoja1!$B$1:$C$6191,2,0)="",_xlfn.XLOOKUP(C5282,Hoja1!$B$2:$B$6191,Hoja1!$A$2:$A$6191),VLOOKUP(C5282,Hoja1!$B$1:$C$6191,2,0)),"No esta en Infor")</f>
        <v>NAC0924</v>
      </c>
      <c r="C5282" t="s">
        <v>205</v>
      </c>
      <c r="D5282" s="61">
        <v>5348.93</v>
      </c>
      <c r="F5282" s="61">
        <v>436.99</v>
      </c>
      <c r="G5282" s="61">
        <v>0</v>
      </c>
      <c r="H5282" s="61">
        <v>0</v>
      </c>
      <c r="I5282" s="61">
        <v>336.28</v>
      </c>
      <c r="J5282" s="61">
        <f t="shared" si="45"/>
        <v>6122.2</v>
      </c>
    </row>
    <row r="5283" spans="1:10" x14ac:dyDescent="0.25">
      <c r="A5283" s="20">
        <v>45808</v>
      </c>
      <c r="B5283" t="str">
        <f>IFERROR(IF(VLOOKUP(C5283,Hoja1!$B$1:$C$6191,2,0)="",_xlfn.XLOOKUP(C5283,Hoja1!$B$2:$B$6191,Hoja1!$A$2:$A$6191),VLOOKUP(C5283,Hoja1!$B$1:$C$6191,2,0)),"No esta en Infor")</f>
        <v>NAC0926</v>
      </c>
      <c r="C5283" t="s">
        <v>206</v>
      </c>
      <c r="D5283" s="61">
        <v>6640.97</v>
      </c>
      <c r="F5283" s="61">
        <v>1869.03</v>
      </c>
      <c r="G5283" s="61">
        <v>0</v>
      </c>
      <c r="H5283" s="61">
        <v>0</v>
      </c>
      <c r="I5283" s="61">
        <v>0</v>
      </c>
      <c r="J5283" s="61">
        <f t="shared" si="45"/>
        <v>8510</v>
      </c>
    </row>
    <row r="5284" spans="1:10" x14ac:dyDescent="0.25">
      <c r="A5284" s="20">
        <v>45808</v>
      </c>
      <c r="B5284" t="str">
        <f>IFERROR(IF(VLOOKUP(C5284,Hoja1!$B$1:$C$6191,2,0)="",_xlfn.XLOOKUP(C5284,Hoja1!$B$2:$B$6191,Hoja1!$A$2:$A$6191),VLOOKUP(C5284,Hoja1!$B$1:$C$6191,2,0)),"No esta en Infor")</f>
        <v>NAC0929</v>
      </c>
      <c r="C5284" t="s">
        <v>207</v>
      </c>
      <c r="D5284" s="61">
        <v>-916.8</v>
      </c>
      <c r="F5284" s="61">
        <v>0</v>
      </c>
      <c r="G5284" s="61">
        <v>0</v>
      </c>
      <c r="H5284" s="61">
        <v>0</v>
      </c>
      <c r="I5284" s="61">
        <v>0</v>
      </c>
      <c r="J5284" s="61">
        <f t="shared" si="45"/>
        <v>-916.8</v>
      </c>
    </row>
    <row r="5285" spans="1:10" x14ac:dyDescent="0.25">
      <c r="A5285" s="20">
        <v>45808</v>
      </c>
      <c r="B5285" t="str">
        <f>IFERROR(IF(VLOOKUP(C5285,Hoja1!$B$1:$C$6191,2,0)="",_xlfn.XLOOKUP(C5285,Hoja1!$B$2:$B$6191,Hoja1!$A$2:$A$6191),VLOOKUP(C5285,Hoja1!$B$1:$C$6191,2,0)),"No esta en Infor")</f>
        <v>NAC0933</v>
      </c>
      <c r="C5285" t="s">
        <v>728</v>
      </c>
      <c r="D5285" s="61">
        <v>685</v>
      </c>
      <c r="F5285" s="61">
        <v>0</v>
      </c>
      <c r="G5285" s="61">
        <v>0</v>
      </c>
      <c r="H5285" s="61">
        <v>0</v>
      </c>
      <c r="I5285" s="61">
        <v>0</v>
      </c>
      <c r="J5285" s="61">
        <f t="shared" si="45"/>
        <v>685</v>
      </c>
    </row>
    <row r="5286" spans="1:10" x14ac:dyDescent="0.25">
      <c r="A5286" s="20">
        <v>45808</v>
      </c>
      <c r="B5286" t="str">
        <f>IFERROR(IF(VLOOKUP(C5286,Hoja1!$B$1:$C$6191,2,0)="",_xlfn.XLOOKUP(C5286,Hoja1!$B$2:$B$6191,Hoja1!$A$2:$A$6191),VLOOKUP(C5286,Hoja1!$B$1:$C$6191,2,0)),"No esta en Infor")</f>
        <v>NAC0958</v>
      </c>
      <c r="C5286" t="s">
        <v>214</v>
      </c>
      <c r="D5286" s="61">
        <v>0</v>
      </c>
      <c r="F5286" s="61">
        <v>699.2</v>
      </c>
      <c r="G5286" s="61">
        <v>0</v>
      </c>
      <c r="H5286" s="61">
        <v>0</v>
      </c>
      <c r="I5286" s="61">
        <v>0</v>
      </c>
      <c r="J5286" s="61">
        <f t="shared" si="45"/>
        <v>699.2</v>
      </c>
    </row>
    <row r="5287" spans="1:10" x14ac:dyDescent="0.25">
      <c r="A5287" s="20">
        <v>45808</v>
      </c>
      <c r="B5287" t="str">
        <f>IFERROR(IF(VLOOKUP(C5287,Hoja1!$B$1:$C$6191,2,0)="",_xlfn.XLOOKUP(C5287,Hoja1!$B$2:$B$6191,Hoja1!$A$2:$A$6191),VLOOKUP(C5287,Hoja1!$B$1:$C$6191,2,0)),"No esta en Infor")</f>
        <v>NAC0963</v>
      </c>
      <c r="C5287" t="s">
        <v>217</v>
      </c>
      <c r="D5287" s="61">
        <v>83</v>
      </c>
      <c r="F5287" s="61">
        <v>940.17</v>
      </c>
      <c r="G5287" s="61">
        <v>0</v>
      </c>
      <c r="H5287" s="61">
        <v>0</v>
      </c>
      <c r="I5287" s="61">
        <v>0</v>
      </c>
      <c r="J5287" s="61">
        <f t="shared" si="45"/>
        <v>1023.17</v>
      </c>
    </row>
    <row r="5288" spans="1:10" x14ac:dyDescent="0.25">
      <c r="A5288" s="20">
        <v>45808</v>
      </c>
      <c r="B5288" t="str">
        <f>IFERROR(IF(VLOOKUP(C5288,Hoja1!$B$1:$C$6191,2,0)="",_xlfn.XLOOKUP(C5288,Hoja1!$B$2:$B$6191,Hoja1!$A$2:$A$6191),VLOOKUP(C5288,Hoja1!$B$1:$C$6191,2,0)),"No esta en Infor")</f>
        <v>NAC0967</v>
      </c>
      <c r="C5288" t="s">
        <v>780</v>
      </c>
      <c r="D5288" s="61">
        <v>0</v>
      </c>
      <c r="F5288" s="61">
        <v>0</v>
      </c>
      <c r="G5288" s="61">
        <v>16.059999999999999</v>
      </c>
      <c r="H5288" s="61">
        <v>0</v>
      </c>
      <c r="I5288" s="61">
        <v>0</v>
      </c>
      <c r="J5288" s="61">
        <f t="shared" si="45"/>
        <v>16.059999999999999</v>
      </c>
    </row>
    <row r="5289" spans="1:10" x14ac:dyDescent="0.25">
      <c r="A5289" s="20">
        <v>45808</v>
      </c>
      <c r="B5289" t="str">
        <f>IFERROR(IF(VLOOKUP(C5289,Hoja1!$B$1:$C$6191,2,0)="",_xlfn.XLOOKUP(C5289,Hoja1!$B$2:$B$6191,Hoja1!$A$2:$A$6191),VLOOKUP(C5289,Hoja1!$B$1:$C$6191,2,0)),"No esta en Infor")</f>
        <v>NAC0971</v>
      </c>
      <c r="C5289" t="s">
        <v>219</v>
      </c>
      <c r="D5289" s="61">
        <v>0</v>
      </c>
      <c r="F5289" s="61">
        <v>0</v>
      </c>
      <c r="G5289" s="61">
        <v>-398.23</v>
      </c>
      <c r="H5289" s="61">
        <v>-23.66</v>
      </c>
      <c r="I5289" s="61">
        <v>0</v>
      </c>
      <c r="J5289" s="61">
        <f t="shared" si="45"/>
        <v>-421.89000000000004</v>
      </c>
    </row>
    <row r="5290" spans="1:10" x14ac:dyDescent="0.25">
      <c r="A5290" s="20">
        <v>45808</v>
      </c>
      <c r="B5290" t="str">
        <f>IFERROR(IF(VLOOKUP(C5290,Hoja1!$B$1:$C$6191,2,0)="",_xlfn.XLOOKUP(C5290,Hoja1!$B$2:$B$6191,Hoja1!$A$2:$A$6191),VLOOKUP(C5290,Hoja1!$B$1:$C$6191,2,0)),"No esta en Infor")</f>
        <v>NAC0978</v>
      </c>
      <c r="C5290" t="s">
        <v>502</v>
      </c>
      <c r="D5290" s="61">
        <v>0</v>
      </c>
      <c r="F5290" s="61">
        <v>0</v>
      </c>
      <c r="G5290" s="61">
        <v>0</v>
      </c>
      <c r="H5290" s="61">
        <v>-9.48</v>
      </c>
      <c r="I5290" s="61">
        <v>0</v>
      </c>
      <c r="J5290" s="61">
        <f t="shared" si="45"/>
        <v>-9.48</v>
      </c>
    </row>
    <row r="5291" spans="1:10" x14ac:dyDescent="0.25">
      <c r="A5291" s="20">
        <v>45808</v>
      </c>
      <c r="B5291" t="str">
        <f>IFERROR(IF(VLOOKUP(C5291,Hoja1!$B$1:$C$6191,2,0)="",_xlfn.XLOOKUP(C5291,Hoja1!$B$2:$B$6191,Hoja1!$A$2:$A$6191),VLOOKUP(C5291,Hoja1!$B$1:$C$6191,2,0)),"No esta en Infor")</f>
        <v>NAC0979</v>
      </c>
      <c r="C5291" t="s">
        <v>222</v>
      </c>
      <c r="D5291" s="61">
        <v>1852.95</v>
      </c>
      <c r="F5291" s="61">
        <v>0</v>
      </c>
      <c r="G5291" s="61">
        <v>0</v>
      </c>
      <c r="H5291" s="61">
        <v>0</v>
      </c>
      <c r="I5291" s="61">
        <v>0</v>
      </c>
      <c r="J5291" s="61">
        <f t="shared" si="45"/>
        <v>1852.95</v>
      </c>
    </row>
    <row r="5292" spans="1:10" x14ac:dyDescent="0.25">
      <c r="A5292" s="20">
        <v>45808</v>
      </c>
      <c r="B5292" t="str">
        <f>IFERROR(IF(VLOOKUP(C5292,Hoja1!$B$1:$C$6191,2,0)="",_xlfn.XLOOKUP(C5292,Hoja1!$B$2:$B$6191,Hoja1!$A$2:$A$6191),VLOOKUP(C5292,Hoja1!$B$1:$C$6191,2,0)),"No esta en Infor")</f>
        <v>NAC0988</v>
      </c>
      <c r="C5292" t="s">
        <v>29</v>
      </c>
      <c r="D5292" s="61">
        <v>137330.22</v>
      </c>
      <c r="F5292" s="61">
        <v>1450</v>
      </c>
      <c r="G5292" s="61">
        <v>7825</v>
      </c>
      <c r="H5292" s="61">
        <v>0</v>
      </c>
      <c r="I5292" s="61">
        <v>-414</v>
      </c>
      <c r="J5292" s="61">
        <f t="shared" si="45"/>
        <v>146191.22</v>
      </c>
    </row>
    <row r="5293" spans="1:10" x14ac:dyDescent="0.25">
      <c r="A5293" s="20">
        <v>45808</v>
      </c>
      <c r="B5293" t="str">
        <f>IFERROR(IF(VLOOKUP(C5293,Hoja1!$B$1:$C$6191,2,0)="",_xlfn.XLOOKUP(C5293,Hoja1!$B$2:$B$6191,Hoja1!$A$2:$A$6191),VLOOKUP(C5293,Hoja1!$B$1:$C$6191,2,0)),"No esta en Infor")</f>
        <v>NAC1010</v>
      </c>
      <c r="C5293" t="s">
        <v>2008</v>
      </c>
      <c r="D5293" s="61">
        <v>-21.28</v>
      </c>
      <c r="F5293" s="61">
        <v>0</v>
      </c>
      <c r="G5293" s="61">
        <v>0</v>
      </c>
      <c r="H5293" s="61">
        <v>0</v>
      </c>
      <c r="I5293" s="61">
        <v>0</v>
      </c>
      <c r="J5293" s="61">
        <f t="shared" si="45"/>
        <v>-21.28</v>
      </c>
    </row>
    <row r="5294" spans="1:10" x14ac:dyDescent="0.25">
      <c r="A5294" s="20">
        <v>45808</v>
      </c>
      <c r="B5294" t="str">
        <f>IFERROR(IF(VLOOKUP(C5294,Hoja1!$B$1:$C$6191,2,0)="",_xlfn.XLOOKUP(C5294,Hoja1!$B$2:$B$6191,Hoja1!$A$2:$A$6191),VLOOKUP(C5294,Hoja1!$B$1:$C$6191,2,0)),"No esta en Infor")</f>
        <v>NAC1011</v>
      </c>
      <c r="C5294" t="s">
        <v>560</v>
      </c>
      <c r="D5294" s="61">
        <v>7485</v>
      </c>
      <c r="F5294" s="61">
        <v>0</v>
      </c>
      <c r="G5294" s="61">
        <v>0</v>
      </c>
      <c r="H5294" s="61">
        <v>0</v>
      </c>
      <c r="I5294" s="61">
        <v>0</v>
      </c>
      <c r="J5294" s="61">
        <f t="shared" si="45"/>
        <v>7485</v>
      </c>
    </row>
    <row r="5295" spans="1:10" x14ac:dyDescent="0.25">
      <c r="A5295" s="20">
        <v>45808</v>
      </c>
      <c r="B5295" t="str">
        <f>IFERROR(IF(VLOOKUP(C5295,Hoja1!$B$1:$C$6191,2,0)="",_xlfn.XLOOKUP(C5295,Hoja1!$B$2:$B$6191,Hoja1!$A$2:$A$6191),VLOOKUP(C5295,Hoja1!$B$1:$C$6191,2,0)),"No esta en Infor")</f>
        <v>NAC1013</v>
      </c>
      <c r="C5295" t="s">
        <v>235</v>
      </c>
      <c r="D5295" s="61">
        <v>1090.72</v>
      </c>
      <c r="F5295" s="61">
        <v>0</v>
      </c>
      <c r="G5295" s="61">
        <v>0</v>
      </c>
      <c r="H5295" s="61">
        <v>0</v>
      </c>
      <c r="I5295" s="61">
        <v>0</v>
      </c>
      <c r="J5295" s="61">
        <f t="shared" si="45"/>
        <v>1090.72</v>
      </c>
    </row>
    <row r="5296" spans="1:10" x14ac:dyDescent="0.25">
      <c r="A5296" s="20">
        <v>45808</v>
      </c>
      <c r="B5296" t="str">
        <f>IFERROR(IF(VLOOKUP(C5296,Hoja1!$B$1:$C$6191,2,0)="",_xlfn.XLOOKUP(C5296,Hoja1!$B$2:$B$6191,Hoja1!$A$2:$A$6191),VLOOKUP(C5296,Hoja1!$B$1:$C$6191,2,0)),"No esta en Infor")</f>
        <v>NAC1018</v>
      </c>
      <c r="C5296" t="s">
        <v>463</v>
      </c>
      <c r="D5296" s="61">
        <v>0</v>
      </c>
      <c r="F5296" s="61">
        <v>0</v>
      </c>
      <c r="G5296" s="61">
        <v>223.83</v>
      </c>
      <c r="H5296" s="61">
        <v>0</v>
      </c>
      <c r="I5296" s="61">
        <v>0</v>
      </c>
      <c r="J5296" s="61">
        <f t="shared" si="45"/>
        <v>223.83</v>
      </c>
    </row>
    <row r="5297" spans="1:10" x14ac:dyDescent="0.25">
      <c r="A5297" s="20">
        <v>45808</v>
      </c>
      <c r="B5297" t="str">
        <f>IFERROR(IF(VLOOKUP(C5297,Hoja1!$B$1:$C$6191,2,0)="",_xlfn.XLOOKUP(C5297,Hoja1!$B$2:$B$6191,Hoja1!$A$2:$A$6191),VLOOKUP(C5297,Hoja1!$B$1:$C$6191,2,0)),"No esta en Infor")</f>
        <v>NAC1021</v>
      </c>
      <c r="C5297" t="s">
        <v>239</v>
      </c>
      <c r="D5297" s="61">
        <v>-59.15</v>
      </c>
      <c r="F5297" s="61">
        <v>0</v>
      </c>
      <c r="G5297" s="61">
        <v>0</v>
      </c>
      <c r="H5297" s="61">
        <v>0</v>
      </c>
      <c r="I5297" s="61">
        <v>0</v>
      </c>
      <c r="J5297" s="61">
        <f t="shared" si="45"/>
        <v>-59.15</v>
      </c>
    </row>
    <row r="5298" spans="1:10" x14ac:dyDescent="0.25">
      <c r="A5298" s="20">
        <v>45808</v>
      </c>
      <c r="B5298" t="str">
        <f>IFERROR(IF(VLOOKUP(C5298,Hoja1!$B$1:$C$6191,2,0)="",_xlfn.XLOOKUP(C5298,Hoja1!$B$2:$B$6191,Hoja1!$A$2:$A$6191),VLOOKUP(C5298,Hoja1!$B$1:$C$6191,2,0)),"No esta en Infor")</f>
        <v>NAC1024</v>
      </c>
      <c r="C5298" t="s">
        <v>241</v>
      </c>
      <c r="D5298" s="61">
        <v>-720</v>
      </c>
      <c r="F5298" s="61">
        <v>0</v>
      </c>
      <c r="G5298" s="61">
        <v>0</v>
      </c>
      <c r="H5298" s="61">
        <v>0</v>
      </c>
      <c r="I5298" s="61">
        <v>0</v>
      </c>
      <c r="J5298" s="61">
        <f t="shared" si="45"/>
        <v>-720</v>
      </c>
    </row>
    <row r="5299" spans="1:10" x14ac:dyDescent="0.25">
      <c r="A5299" s="20">
        <v>45808</v>
      </c>
      <c r="B5299" t="str">
        <f>IFERROR(IF(VLOOKUP(C5299,Hoja1!$B$1:$C$6191,2,0)="",_xlfn.XLOOKUP(C5299,Hoja1!$B$2:$B$6191,Hoja1!$A$2:$A$6191),VLOOKUP(C5299,Hoja1!$B$1:$C$6191,2,0)),"No esta en Infor")</f>
        <v>NAC1027</v>
      </c>
      <c r="C5299" t="s">
        <v>243</v>
      </c>
      <c r="D5299" s="61">
        <v>5177.3100000000004</v>
      </c>
      <c r="F5299" s="61">
        <v>0</v>
      </c>
      <c r="G5299" s="61">
        <v>0</v>
      </c>
      <c r="H5299" s="61">
        <v>0</v>
      </c>
      <c r="I5299" s="61">
        <v>-2408</v>
      </c>
      <c r="J5299" s="61">
        <f t="shared" si="45"/>
        <v>2769.3100000000004</v>
      </c>
    </row>
    <row r="5300" spans="1:10" x14ac:dyDescent="0.25">
      <c r="A5300" s="20">
        <v>45808</v>
      </c>
      <c r="B5300" t="str">
        <f>IFERROR(IF(VLOOKUP(C5300,Hoja1!$B$1:$C$6191,2,0)="",_xlfn.XLOOKUP(C5300,Hoja1!$B$2:$B$6191,Hoja1!$A$2:$A$6191),VLOOKUP(C5300,Hoja1!$B$1:$C$6191,2,0)),"No esta en Infor")</f>
        <v>NAC1040</v>
      </c>
      <c r="C5300" t="s">
        <v>30</v>
      </c>
      <c r="D5300" s="61">
        <v>775874.56000000006</v>
      </c>
      <c r="F5300" s="61">
        <v>0</v>
      </c>
      <c r="G5300" s="61">
        <v>0</v>
      </c>
      <c r="H5300" s="61">
        <v>0</v>
      </c>
      <c r="I5300" s="61">
        <v>0</v>
      </c>
      <c r="J5300" s="61">
        <f t="shared" si="45"/>
        <v>775874.56000000006</v>
      </c>
    </row>
    <row r="5301" spans="1:10" x14ac:dyDescent="0.25">
      <c r="A5301" s="20">
        <v>45808</v>
      </c>
      <c r="B5301" t="str">
        <f>IFERROR(IF(VLOOKUP(C5301,Hoja1!$B$1:$C$6191,2,0)="",_xlfn.XLOOKUP(C5301,Hoja1!$B$2:$B$6191,Hoja1!$A$2:$A$6191),VLOOKUP(C5301,Hoja1!$B$1:$C$6191,2,0)),"No esta en Infor")</f>
        <v>NAC1042</v>
      </c>
      <c r="C5301" t="s">
        <v>244</v>
      </c>
      <c r="D5301" s="61">
        <v>10400</v>
      </c>
      <c r="F5301" s="61">
        <v>0</v>
      </c>
      <c r="G5301" s="61">
        <v>0</v>
      </c>
      <c r="H5301" s="61">
        <v>0</v>
      </c>
      <c r="I5301" s="61">
        <v>0</v>
      </c>
      <c r="J5301" s="61">
        <f t="shared" si="45"/>
        <v>10400</v>
      </c>
    </row>
    <row r="5302" spans="1:10" x14ac:dyDescent="0.25">
      <c r="A5302" s="20">
        <v>45808</v>
      </c>
      <c r="B5302" t="str">
        <f>IFERROR(IF(VLOOKUP(C5302,Hoja1!$B$1:$C$6191,2,0)="",_xlfn.XLOOKUP(C5302,Hoja1!$B$2:$B$6191,Hoja1!$A$2:$A$6191),VLOOKUP(C5302,Hoja1!$B$1:$C$6191,2,0)),"No esta en Infor")</f>
        <v>NAC1050</v>
      </c>
      <c r="C5302" t="s">
        <v>880</v>
      </c>
      <c r="D5302" s="61">
        <v>0</v>
      </c>
      <c r="F5302" s="61">
        <v>-1101.18</v>
      </c>
      <c r="G5302" s="61">
        <v>0</v>
      </c>
      <c r="H5302" s="61">
        <v>0</v>
      </c>
      <c r="I5302" s="61">
        <v>0</v>
      </c>
      <c r="J5302" s="61">
        <f t="shared" si="45"/>
        <v>-1101.18</v>
      </c>
    </row>
    <row r="5303" spans="1:10" x14ac:dyDescent="0.25">
      <c r="A5303" s="20">
        <v>45808</v>
      </c>
      <c r="B5303" t="str">
        <f>IFERROR(IF(VLOOKUP(C5303,Hoja1!$B$1:$C$6191,2,0)="",_xlfn.XLOOKUP(C5303,Hoja1!$B$2:$B$6191,Hoja1!$A$2:$A$6191),VLOOKUP(C5303,Hoja1!$B$1:$C$6191,2,0)),"No esta en Infor")</f>
        <v>FOC0001</v>
      </c>
      <c r="C5303" t="s">
        <v>247</v>
      </c>
      <c r="D5303" s="61">
        <v>0</v>
      </c>
      <c r="F5303" s="61">
        <v>608</v>
      </c>
      <c r="G5303" s="61">
        <v>0</v>
      </c>
      <c r="H5303" s="61">
        <v>0</v>
      </c>
      <c r="I5303" s="61">
        <v>0</v>
      </c>
      <c r="J5303" s="61">
        <f t="shared" si="45"/>
        <v>608</v>
      </c>
    </row>
    <row r="5304" spans="1:10" x14ac:dyDescent="0.25">
      <c r="A5304" s="20">
        <v>45808</v>
      </c>
      <c r="B5304" t="str">
        <f>IFERROR(IF(VLOOKUP(C5304,Hoja1!$B$1:$C$6191,2,0)="",_xlfn.XLOOKUP(C5304,Hoja1!$B$2:$B$6191,Hoja1!$A$2:$A$6191),VLOOKUP(C5304,Hoja1!$B$1:$C$6191,2,0)),"No esta en Infor")</f>
        <v>NAC1054</v>
      </c>
      <c r="C5304" t="s">
        <v>248</v>
      </c>
      <c r="D5304" s="61">
        <v>276</v>
      </c>
      <c r="F5304" s="61">
        <v>0</v>
      </c>
      <c r="G5304" s="61">
        <v>0</v>
      </c>
      <c r="H5304" s="61">
        <v>0</v>
      </c>
      <c r="I5304" s="61">
        <v>0</v>
      </c>
      <c r="J5304" s="61">
        <f t="shared" si="45"/>
        <v>276</v>
      </c>
    </row>
    <row r="5305" spans="1:10" x14ac:dyDescent="0.25">
      <c r="A5305" s="20">
        <v>45808</v>
      </c>
      <c r="B5305" t="str">
        <f>IFERROR(IF(VLOOKUP(C5305,Hoja1!$B$1:$C$6191,2,0)="",_xlfn.XLOOKUP(C5305,Hoja1!$B$2:$B$6191,Hoja1!$A$2:$A$6191),VLOOKUP(C5305,Hoja1!$B$1:$C$6191,2,0)),"No esta en Infor")</f>
        <v>NAC1056</v>
      </c>
      <c r="C5305" t="s">
        <v>465</v>
      </c>
      <c r="D5305" s="61">
        <v>1401.88</v>
      </c>
      <c r="F5305" s="61">
        <v>0</v>
      </c>
      <c r="G5305" s="61">
        <v>0</v>
      </c>
      <c r="H5305" s="61">
        <v>0</v>
      </c>
      <c r="I5305" s="61">
        <v>0</v>
      </c>
      <c r="J5305" s="61">
        <f t="shared" si="45"/>
        <v>1401.88</v>
      </c>
    </row>
    <row r="5306" spans="1:10" x14ac:dyDescent="0.25">
      <c r="A5306" s="20">
        <v>45808</v>
      </c>
      <c r="B5306" t="str">
        <f>IFERROR(IF(VLOOKUP(C5306,Hoja1!$B$1:$C$6191,2,0)="",_xlfn.XLOOKUP(C5306,Hoja1!$B$2:$B$6191,Hoja1!$A$2:$A$6191),VLOOKUP(C5306,Hoja1!$B$1:$C$6191,2,0)),"No esta en Infor")</f>
        <v>NAC1061</v>
      </c>
      <c r="C5306" t="s">
        <v>251</v>
      </c>
      <c r="D5306" s="61">
        <v>3030</v>
      </c>
      <c r="F5306" s="61">
        <v>0</v>
      </c>
      <c r="G5306" s="61">
        <v>0</v>
      </c>
      <c r="H5306" s="61">
        <v>0</v>
      </c>
      <c r="I5306" s="61">
        <v>0</v>
      </c>
      <c r="J5306" s="61">
        <f t="shared" si="45"/>
        <v>3030</v>
      </c>
    </row>
    <row r="5307" spans="1:10" x14ac:dyDescent="0.25">
      <c r="A5307" s="20">
        <v>45808</v>
      </c>
      <c r="B5307" t="str">
        <f>IFERROR(IF(VLOOKUP(C5307,Hoja1!$B$1:$C$6191,2,0)="",_xlfn.XLOOKUP(C5307,Hoja1!$B$2:$B$6191,Hoja1!$A$2:$A$6191),VLOOKUP(C5307,Hoja1!$B$1:$C$6191,2,0)),"No esta en Infor")</f>
        <v>NAC1073</v>
      </c>
      <c r="C5307" t="s">
        <v>683</v>
      </c>
      <c r="D5307" s="61">
        <v>239311.41</v>
      </c>
      <c r="F5307" s="61">
        <v>0</v>
      </c>
      <c r="G5307" s="61">
        <v>0</v>
      </c>
      <c r="H5307" s="61">
        <v>0</v>
      </c>
      <c r="I5307" s="61">
        <v>0</v>
      </c>
      <c r="J5307" s="61">
        <f t="shared" si="45"/>
        <v>239311.41</v>
      </c>
    </row>
    <row r="5308" spans="1:10" x14ac:dyDescent="0.25">
      <c r="A5308" s="20">
        <v>45808</v>
      </c>
      <c r="B5308" t="str">
        <f>IFERROR(IF(VLOOKUP(C5308,Hoja1!$B$1:$C$6191,2,0)="",_xlfn.XLOOKUP(C5308,Hoja1!$B$2:$B$6191,Hoja1!$A$2:$A$6191),VLOOKUP(C5308,Hoja1!$B$1:$C$6191,2,0)),"No esta en Infor")</f>
        <v>NAC1074</v>
      </c>
      <c r="C5308" t="s">
        <v>252</v>
      </c>
      <c r="D5308" s="61">
        <v>399.79</v>
      </c>
      <c r="F5308" s="61">
        <v>0</v>
      </c>
      <c r="G5308" s="61">
        <v>-103.32</v>
      </c>
      <c r="H5308" s="61">
        <v>0</v>
      </c>
      <c r="I5308" s="61">
        <v>0</v>
      </c>
      <c r="J5308" s="61">
        <f t="shared" si="45"/>
        <v>296.47000000000003</v>
      </c>
    </row>
    <row r="5309" spans="1:10" x14ac:dyDescent="0.25">
      <c r="A5309" s="20">
        <v>45808</v>
      </c>
      <c r="B5309" t="str">
        <f>IFERROR(IF(VLOOKUP(C5309,Hoja1!$B$1:$C$6191,2,0)="",_xlfn.XLOOKUP(C5309,Hoja1!$B$2:$B$6191,Hoja1!$A$2:$A$6191),VLOOKUP(C5309,Hoja1!$B$1:$C$6191,2,0)),"No esta en Infor")</f>
        <v>NAC1077</v>
      </c>
      <c r="C5309" t="s">
        <v>254</v>
      </c>
      <c r="D5309" s="61">
        <v>5370.4</v>
      </c>
      <c r="F5309" s="61">
        <v>0</v>
      </c>
      <c r="G5309" s="61">
        <v>0</v>
      </c>
      <c r="H5309" s="61">
        <v>0</v>
      </c>
      <c r="I5309" s="61">
        <v>0</v>
      </c>
      <c r="J5309" s="61">
        <f t="shared" si="45"/>
        <v>5370.4</v>
      </c>
    </row>
    <row r="5310" spans="1:10" x14ac:dyDescent="0.25">
      <c r="A5310" s="20">
        <v>45808</v>
      </c>
      <c r="B5310" t="str">
        <f>IFERROR(IF(VLOOKUP(C5310,Hoja1!$B$1:$C$6191,2,0)="",_xlfn.XLOOKUP(C5310,Hoja1!$B$2:$B$6191,Hoja1!$A$2:$A$6191),VLOOKUP(C5310,Hoja1!$B$1:$C$6191,2,0)),"No esta en Infor")</f>
        <v>NAC1080</v>
      </c>
      <c r="C5310" t="s">
        <v>684</v>
      </c>
      <c r="D5310" s="61">
        <v>0</v>
      </c>
      <c r="F5310" s="61">
        <v>0</v>
      </c>
      <c r="G5310" s="61">
        <v>-18.45</v>
      </c>
      <c r="H5310" s="61">
        <v>0</v>
      </c>
      <c r="I5310" s="61">
        <v>0</v>
      </c>
      <c r="J5310" s="61">
        <f t="shared" si="45"/>
        <v>-18.45</v>
      </c>
    </row>
    <row r="5311" spans="1:10" x14ac:dyDescent="0.25">
      <c r="A5311" s="20">
        <v>45808</v>
      </c>
      <c r="B5311" t="str">
        <f>IFERROR(IF(VLOOKUP(C5311,Hoja1!$B$1:$C$6191,2,0)="",_xlfn.XLOOKUP(C5311,Hoja1!$B$2:$B$6191,Hoja1!$A$2:$A$6191),VLOOKUP(C5311,Hoja1!$B$1:$C$6191,2,0)),"No esta en Infor")</f>
        <v>NAC1083</v>
      </c>
      <c r="C5311" t="s">
        <v>685</v>
      </c>
      <c r="D5311" s="61">
        <v>0</v>
      </c>
      <c r="F5311" s="61">
        <v>1464.36</v>
      </c>
      <c r="G5311" s="61">
        <v>0</v>
      </c>
      <c r="H5311" s="61">
        <v>0</v>
      </c>
      <c r="I5311" s="61">
        <v>0</v>
      </c>
      <c r="J5311" s="61">
        <f t="shared" si="45"/>
        <v>1464.36</v>
      </c>
    </row>
    <row r="5312" spans="1:10" x14ac:dyDescent="0.25">
      <c r="A5312" s="20">
        <v>45808</v>
      </c>
      <c r="B5312" t="str">
        <f>IFERROR(IF(VLOOKUP(C5312,Hoja1!$B$1:$C$6191,2,0)="",_xlfn.XLOOKUP(C5312,Hoja1!$B$2:$B$6191,Hoja1!$A$2:$A$6191),VLOOKUP(C5312,Hoja1!$B$1:$C$6191,2,0)),"No esta en Infor")</f>
        <v>NAC1105</v>
      </c>
      <c r="C5312" t="s">
        <v>32</v>
      </c>
      <c r="D5312" s="61">
        <v>4288.33</v>
      </c>
      <c r="F5312" s="61">
        <v>1018.57</v>
      </c>
      <c r="G5312" s="61">
        <v>799.52</v>
      </c>
      <c r="H5312" s="61">
        <v>-155.25</v>
      </c>
      <c r="I5312" s="61">
        <v>2890.5</v>
      </c>
      <c r="J5312" s="61">
        <f t="shared" si="45"/>
        <v>8841.67</v>
      </c>
    </row>
    <row r="5313" spans="1:10" x14ac:dyDescent="0.25">
      <c r="A5313" s="20">
        <v>45808</v>
      </c>
      <c r="B5313" t="str">
        <f>IFERROR(IF(VLOOKUP(C5313,Hoja1!$B$1:$C$6191,2,0)="",_xlfn.XLOOKUP(C5313,Hoja1!$B$2:$B$6191,Hoja1!$A$2:$A$6191),VLOOKUP(C5313,Hoja1!$B$1:$C$6191,2,0)),"No esta en Infor")</f>
        <v>NAC1106</v>
      </c>
      <c r="C5313" t="s">
        <v>259</v>
      </c>
      <c r="D5313" s="61">
        <v>1046</v>
      </c>
      <c r="F5313" s="61">
        <v>0</v>
      </c>
      <c r="G5313" s="61">
        <v>0</v>
      </c>
      <c r="H5313" s="61">
        <v>0</v>
      </c>
      <c r="I5313" s="61">
        <v>0</v>
      </c>
      <c r="J5313" s="61">
        <f t="shared" si="45"/>
        <v>1046</v>
      </c>
    </row>
    <row r="5314" spans="1:10" x14ac:dyDescent="0.25">
      <c r="A5314" s="20">
        <v>45808</v>
      </c>
      <c r="B5314" t="str">
        <f>IFERROR(IF(VLOOKUP(C5314,Hoja1!$B$1:$C$6191,2,0)="",_xlfn.XLOOKUP(C5314,Hoja1!$B$2:$B$6191,Hoja1!$A$2:$A$6191),VLOOKUP(C5314,Hoja1!$B$1:$C$6191,2,0)),"No esta en Infor")</f>
        <v>NAC1108</v>
      </c>
      <c r="C5314" t="s">
        <v>468</v>
      </c>
      <c r="D5314" s="61">
        <v>792</v>
      </c>
      <c r="F5314" s="61">
        <v>0</v>
      </c>
      <c r="G5314" s="61">
        <v>0</v>
      </c>
      <c r="H5314" s="61">
        <v>0</v>
      </c>
      <c r="I5314" s="61">
        <v>0</v>
      </c>
      <c r="J5314" s="61">
        <f t="shared" si="45"/>
        <v>792</v>
      </c>
    </row>
    <row r="5315" spans="1:10" x14ac:dyDescent="0.25">
      <c r="A5315" s="20">
        <v>45808</v>
      </c>
      <c r="B5315" t="str">
        <f>IFERROR(IF(VLOOKUP(C5315,Hoja1!$B$1:$C$6191,2,0)="",_xlfn.XLOOKUP(C5315,Hoja1!$B$2:$B$6191,Hoja1!$A$2:$A$6191),VLOOKUP(C5315,Hoja1!$B$1:$C$6191,2,0)),"No esta en Infor")</f>
        <v>NAC1111</v>
      </c>
      <c r="C5315" t="s">
        <v>2171</v>
      </c>
      <c r="D5315" s="61">
        <v>116250</v>
      </c>
      <c r="F5315" s="61">
        <v>0</v>
      </c>
      <c r="G5315" s="61">
        <v>0</v>
      </c>
      <c r="H5315" s="61">
        <v>0</v>
      </c>
      <c r="I5315" s="61">
        <v>0</v>
      </c>
      <c r="J5315" s="61">
        <f t="shared" si="45"/>
        <v>116250</v>
      </c>
    </row>
    <row r="5316" spans="1:10" x14ac:dyDescent="0.25">
      <c r="A5316" s="20">
        <v>45808</v>
      </c>
      <c r="B5316" t="str">
        <f>IFERROR(IF(VLOOKUP(C5316,Hoja1!$B$1:$C$6191,2,0)="",_xlfn.XLOOKUP(C5316,Hoja1!$B$2:$B$6191,Hoja1!$A$2:$A$6191),VLOOKUP(C5316,Hoja1!$B$1:$C$6191,2,0)),"No esta en Infor")</f>
        <v>NAC1114</v>
      </c>
      <c r="C5316" t="s">
        <v>408</v>
      </c>
      <c r="D5316" s="61">
        <v>0</v>
      </c>
      <c r="F5316" s="61">
        <v>0</v>
      </c>
      <c r="G5316" s="61">
        <v>0</v>
      </c>
      <c r="H5316" s="61">
        <v>0</v>
      </c>
      <c r="I5316" s="61">
        <v>-196.34</v>
      </c>
      <c r="J5316" s="61">
        <f t="shared" si="45"/>
        <v>-196.34</v>
      </c>
    </row>
    <row r="5317" spans="1:10" x14ac:dyDescent="0.25">
      <c r="A5317" s="20">
        <v>45808</v>
      </c>
      <c r="B5317" t="str">
        <f>IFERROR(IF(VLOOKUP(C5317,Hoja1!$B$1:$C$6191,2,0)="",_xlfn.XLOOKUP(C5317,Hoja1!$B$2:$B$6191,Hoja1!$A$2:$A$6191),VLOOKUP(C5317,Hoja1!$B$1:$C$6191,2,0)),"No esta en Infor")</f>
        <v>NAC1119</v>
      </c>
      <c r="C5317" t="s">
        <v>514</v>
      </c>
      <c r="D5317" s="61">
        <v>0</v>
      </c>
      <c r="F5317" s="61">
        <v>-53.73</v>
      </c>
      <c r="G5317" s="61">
        <v>0</v>
      </c>
      <c r="H5317" s="61">
        <v>0</v>
      </c>
      <c r="I5317" s="61">
        <v>0</v>
      </c>
      <c r="J5317" s="61">
        <f t="shared" si="45"/>
        <v>-53.73</v>
      </c>
    </row>
    <row r="5318" spans="1:10" x14ac:dyDescent="0.25">
      <c r="A5318" s="20">
        <v>45808</v>
      </c>
      <c r="B5318" t="str">
        <f>IFERROR(IF(VLOOKUP(C5318,Hoja1!$B$1:$C$6191,2,0)="",_xlfn.XLOOKUP(C5318,Hoja1!$B$2:$B$6191,Hoja1!$A$2:$A$6191),VLOOKUP(C5318,Hoja1!$B$1:$C$6191,2,0)),"No esta en Infor")</f>
        <v>NAC1122</v>
      </c>
      <c r="C5318" t="s">
        <v>515</v>
      </c>
      <c r="D5318" s="61">
        <v>962</v>
      </c>
      <c r="F5318" s="61">
        <v>9560.2000000000007</v>
      </c>
      <c r="G5318" s="61">
        <v>0</v>
      </c>
      <c r="H5318" s="61">
        <v>-1</v>
      </c>
      <c r="I5318" s="61">
        <v>0</v>
      </c>
      <c r="J5318" s="61">
        <f t="shared" si="45"/>
        <v>10521.2</v>
      </c>
    </row>
    <row r="5319" spans="1:10" x14ac:dyDescent="0.25">
      <c r="A5319" s="20">
        <v>45808</v>
      </c>
      <c r="B5319" t="str">
        <f>IFERROR(IF(VLOOKUP(C5319,Hoja1!$B$1:$C$6191,2,0)="",_xlfn.XLOOKUP(C5319,Hoja1!$B$2:$B$6191,Hoja1!$A$2:$A$6191),VLOOKUP(C5319,Hoja1!$B$1:$C$6191,2,0)),"No esta en Infor")</f>
        <v>NAC1128</v>
      </c>
      <c r="C5319" t="s">
        <v>263</v>
      </c>
      <c r="D5319" s="61">
        <v>27202.25</v>
      </c>
      <c r="F5319" s="61">
        <v>0</v>
      </c>
      <c r="G5319" s="61">
        <v>0</v>
      </c>
      <c r="H5319" s="61">
        <v>0</v>
      </c>
      <c r="I5319" s="61">
        <v>0</v>
      </c>
      <c r="J5319" s="61">
        <f t="shared" si="45"/>
        <v>27202.25</v>
      </c>
    </row>
    <row r="5320" spans="1:10" x14ac:dyDescent="0.25">
      <c r="A5320" s="20">
        <v>45808</v>
      </c>
      <c r="B5320" t="str">
        <f>IFERROR(IF(VLOOKUP(C5320,Hoja1!$B$1:$C$6191,2,0)="",_xlfn.XLOOKUP(C5320,Hoja1!$B$2:$B$6191,Hoja1!$A$2:$A$6191),VLOOKUP(C5320,Hoja1!$B$1:$C$6191,2,0)),"No esta en Infor")</f>
        <v>NAC1135</v>
      </c>
      <c r="C5320" t="s">
        <v>689</v>
      </c>
      <c r="D5320" s="61">
        <v>0</v>
      </c>
      <c r="F5320" s="61">
        <v>0</v>
      </c>
      <c r="G5320" s="61">
        <v>-2038.7</v>
      </c>
      <c r="H5320" s="61">
        <v>0</v>
      </c>
      <c r="I5320" s="61">
        <v>0</v>
      </c>
      <c r="J5320" s="61">
        <f t="shared" si="45"/>
        <v>-2038.7</v>
      </c>
    </row>
    <row r="5321" spans="1:10" x14ac:dyDescent="0.25">
      <c r="A5321" s="20">
        <v>45808</v>
      </c>
      <c r="B5321" t="str">
        <f>IFERROR(IF(VLOOKUP(C5321,Hoja1!$B$1:$C$6191,2,0)="",_xlfn.XLOOKUP(C5321,Hoja1!$B$2:$B$6191,Hoja1!$A$2:$A$6191),VLOOKUP(C5321,Hoja1!$B$1:$C$6191,2,0)),"No esta en Infor")</f>
        <v>NAC1146</v>
      </c>
      <c r="C5321" t="s">
        <v>33</v>
      </c>
      <c r="D5321" s="61">
        <v>5608.06</v>
      </c>
      <c r="F5321" s="61">
        <v>-1014.23</v>
      </c>
      <c r="G5321" s="61">
        <v>1198.76</v>
      </c>
      <c r="H5321" s="61">
        <v>0</v>
      </c>
      <c r="I5321" s="61">
        <v>1602.35</v>
      </c>
      <c r="J5321" s="61">
        <f t="shared" si="45"/>
        <v>7394.9400000000005</v>
      </c>
    </row>
    <row r="5322" spans="1:10" x14ac:dyDescent="0.25">
      <c r="A5322" s="20">
        <v>45808</v>
      </c>
      <c r="B5322" t="str">
        <f>IFERROR(IF(VLOOKUP(C5322,Hoja1!$B$1:$C$6191,2,0)="",_xlfn.XLOOKUP(C5322,Hoja1!$B$2:$B$6191,Hoja1!$A$2:$A$6191),VLOOKUP(C5322,Hoja1!$B$1:$C$6191,2,0)),"No esta en Infor")</f>
        <v>NAC1148</v>
      </c>
      <c r="C5322" t="s">
        <v>270</v>
      </c>
      <c r="D5322" s="61">
        <v>8882</v>
      </c>
      <c r="F5322" s="61">
        <v>320</v>
      </c>
      <c r="G5322" s="61">
        <v>0</v>
      </c>
      <c r="H5322" s="61">
        <v>0</v>
      </c>
      <c r="I5322" s="61">
        <v>0</v>
      </c>
      <c r="J5322" s="61">
        <f t="shared" si="45"/>
        <v>9202</v>
      </c>
    </row>
    <row r="5323" spans="1:10" x14ac:dyDescent="0.25">
      <c r="A5323" s="20">
        <v>45808</v>
      </c>
      <c r="B5323" t="str">
        <f>IFERROR(IF(VLOOKUP(C5323,Hoja1!$B$1:$C$6191,2,0)="",_xlfn.XLOOKUP(C5323,Hoja1!$B$2:$B$6191,Hoja1!$A$2:$A$6191),VLOOKUP(C5323,Hoja1!$B$1:$C$6191,2,0)),"No esta en Infor")</f>
        <v>NAC1151</v>
      </c>
      <c r="C5323" t="s">
        <v>271</v>
      </c>
      <c r="D5323" s="61">
        <v>-2335.12</v>
      </c>
      <c r="F5323" s="61">
        <v>0</v>
      </c>
      <c r="G5323" s="61">
        <v>0</v>
      </c>
      <c r="H5323" s="61">
        <v>0</v>
      </c>
      <c r="I5323" s="61">
        <v>-1172</v>
      </c>
      <c r="J5323" s="61">
        <f t="shared" si="45"/>
        <v>-3507.12</v>
      </c>
    </row>
    <row r="5324" spans="1:10" x14ac:dyDescent="0.25">
      <c r="A5324" s="20">
        <v>45808</v>
      </c>
      <c r="B5324" t="str">
        <f>IFERROR(IF(VLOOKUP(C5324,Hoja1!$B$1:$C$6191,2,0)="",_xlfn.XLOOKUP(C5324,Hoja1!$B$2:$B$6191,Hoja1!$A$2:$A$6191),VLOOKUP(C5324,Hoja1!$B$1:$C$6191,2,0)),"No esta en Infor")</f>
        <v>NAC1152</v>
      </c>
      <c r="C5324" t="s">
        <v>470</v>
      </c>
      <c r="D5324" s="61">
        <v>14551.05</v>
      </c>
      <c r="F5324" s="61">
        <v>0</v>
      </c>
      <c r="G5324" s="61">
        <v>0</v>
      </c>
      <c r="H5324" s="61">
        <v>0</v>
      </c>
      <c r="I5324" s="61">
        <v>0</v>
      </c>
      <c r="J5324" s="61">
        <f t="shared" si="45"/>
        <v>14551.05</v>
      </c>
    </row>
    <row r="5325" spans="1:10" x14ac:dyDescent="0.25">
      <c r="A5325" s="20">
        <v>45808</v>
      </c>
      <c r="B5325" t="str">
        <f>IFERROR(IF(VLOOKUP(C5325,Hoja1!$B$1:$C$6191,2,0)="",_xlfn.XLOOKUP(C5325,Hoja1!$B$2:$B$6191,Hoja1!$A$2:$A$6191),VLOOKUP(C5325,Hoja1!$B$1:$C$6191,2,0)),"No esta en Infor")</f>
        <v>NAC1154</v>
      </c>
      <c r="C5325" t="s">
        <v>783</v>
      </c>
      <c r="D5325" s="61">
        <v>-32.340000000000003</v>
      </c>
      <c r="F5325" s="61">
        <v>184.58</v>
      </c>
      <c r="G5325" s="61">
        <v>-32.340000000000003</v>
      </c>
      <c r="H5325" s="61">
        <v>0</v>
      </c>
      <c r="I5325" s="61">
        <v>0</v>
      </c>
      <c r="J5325" s="61">
        <f t="shared" si="45"/>
        <v>119.9</v>
      </c>
    </row>
    <row r="5326" spans="1:10" x14ac:dyDescent="0.25">
      <c r="A5326" s="20">
        <v>45808</v>
      </c>
      <c r="B5326" t="str">
        <f>IFERROR(IF(VLOOKUP(C5326,Hoja1!$B$1:$C$6191,2,0)="",_xlfn.XLOOKUP(C5326,Hoja1!$B$2:$B$6191,Hoja1!$A$2:$A$6191),VLOOKUP(C5326,Hoja1!$B$1:$C$6191,2,0)),"No esta en Infor")</f>
        <v>NAC1158</v>
      </c>
      <c r="C5326" t="s">
        <v>272</v>
      </c>
      <c r="D5326" s="61">
        <v>10203.02</v>
      </c>
      <c r="F5326" s="61">
        <v>0</v>
      </c>
      <c r="G5326" s="61">
        <v>0</v>
      </c>
      <c r="H5326" s="61">
        <v>0</v>
      </c>
      <c r="I5326" s="61">
        <v>0</v>
      </c>
      <c r="J5326" s="61">
        <f t="shared" si="45"/>
        <v>10203.02</v>
      </c>
    </row>
    <row r="5327" spans="1:10" x14ac:dyDescent="0.25">
      <c r="A5327" s="20">
        <v>45808</v>
      </c>
      <c r="B5327" t="str">
        <f>IFERROR(IF(VLOOKUP(C5327,Hoja1!$B$1:$C$6191,2,0)="",_xlfn.XLOOKUP(C5327,Hoja1!$B$2:$B$6191,Hoja1!$A$2:$A$6191),VLOOKUP(C5327,Hoja1!$B$1:$C$6191,2,0)),"No esta en Infor")</f>
        <v>NAC1170</v>
      </c>
      <c r="C5327" t="s">
        <v>278</v>
      </c>
      <c r="D5327" s="61">
        <v>0</v>
      </c>
      <c r="F5327" s="61">
        <v>-1802.85</v>
      </c>
      <c r="G5327" s="61">
        <v>-0.01</v>
      </c>
      <c r="H5327" s="61">
        <v>0</v>
      </c>
      <c r="I5327" s="61">
        <v>0</v>
      </c>
      <c r="J5327" s="61">
        <f t="shared" si="45"/>
        <v>-1802.86</v>
      </c>
    </row>
    <row r="5328" spans="1:10" x14ac:dyDescent="0.25">
      <c r="A5328" s="20">
        <v>45808</v>
      </c>
      <c r="B5328" t="str">
        <f>IFERROR(IF(VLOOKUP(C5328,Hoja1!$B$1:$C$6191,2,0)="",_xlfn.XLOOKUP(C5328,Hoja1!$B$2:$B$6191,Hoja1!$A$2:$A$6191),VLOOKUP(C5328,Hoja1!$B$1:$C$6191,2,0)),"No esta en Infor")</f>
        <v>NAC1173</v>
      </c>
      <c r="C5328" t="s">
        <v>2260</v>
      </c>
      <c r="D5328" s="61">
        <v>236.36</v>
      </c>
      <c r="F5328" s="61">
        <v>0</v>
      </c>
      <c r="G5328" s="61">
        <v>0</v>
      </c>
      <c r="H5328" s="61">
        <v>0</v>
      </c>
      <c r="I5328" s="61">
        <v>0</v>
      </c>
      <c r="J5328" s="61">
        <f t="shared" si="45"/>
        <v>236.36</v>
      </c>
    </row>
    <row r="5329" spans="1:10" x14ac:dyDescent="0.25">
      <c r="A5329" s="20">
        <v>45808</v>
      </c>
      <c r="B5329" t="str">
        <f>IFERROR(IF(VLOOKUP(C5329,Hoja1!$B$1:$C$6191,2,0)="",_xlfn.XLOOKUP(C5329,Hoja1!$B$2:$B$6191,Hoja1!$A$2:$A$6191),VLOOKUP(C5329,Hoja1!$B$1:$C$6191,2,0)),"No esta en Infor")</f>
        <v>NAC1177</v>
      </c>
      <c r="C5329" t="s">
        <v>566</v>
      </c>
      <c r="D5329" s="61">
        <v>0</v>
      </c>
      <c r="F5329" s="61">
        <v>0</v>
      </c>
      <c r="G5329" s="61">
        <v>0</v>
      </c>
      <c r="H5329" s="61">
        <v>0</v>
      </c>
      <c r="I5329" s="61">
        <v>-14.41</v>
      </c>
      <c r="J5329" s="61">
        <f t="shared" si="45"/>
        <v>-14.41</v>
      </c>
    </row>
    <row r="5330" spans="1:10" x14ac:dyDescent="0.25">
      <c r="A5330" s="20">
        <v>45808</v>
      </c>
      <c r="B5330" t="str">
        <f>IFERROR(IF(VLOOKUP(C5330,Hoja1!$B$1:$C$6191,2,0)="",_xlfn.XLOOKUP(C5330,Hoja1!$B$2:$B$6191,Hoja1!$A$2:$A$6191),VLOOKUP(C5330,Hoja1!$B$1:$C$6191,2,0)),"No esta en Infor")</f>
        <v>NAC1185</v>
      </c>
      <c r="C5330" t="s">
        <v>785</v>
      </c>
      <c r="D5330" s="61">
        <v>76.510000000000005</v>
      </c>
      <c r="F5330" s="61">
        <v>0</v>
      </c>
      <c r="G5330" s="61">
        <v>0</v>
      </c>
      <c r="H5330" s="61">
        <v>0</v>
      </c>
      <c r="I5330" s="61">
        <v>0</v>
      </c>
      <c r="J5330" s="61">
        <f t="shared" si="45"/>
        <v>76.510000000000005</v>
      </c>
    </row>
    <row r="5331" spans="1:10" x14ac:dyDescent="0.25">
      <c r="A5331" s="20">
        <v>45808</v>
      </c>
      <c r="B5331" t="str">
        <f>IFERROR(IF(VLOOKUP(C5331,Hoja1!$B$1:$C$6191,2,0)="",_xlfn.XLOOKUP(C5331,Hoja1!$B$2:$B$6191,Hoja1!$A$2:$A$6191),VLOOKUP(C5331,Hoja1!$B$1:$C$6191,2,0)),"No esta en Infor")</f>
        <v>NAC1187</v>
      </c>
      <c r="C5331" t="s">
        <v>471</v>
      </c>
      <c r="D5331" s="61">
        <v>0</v>
      </c>
      <c r="F5331" s="61">
        <v>0</v>
      </c>
      <c r="G5331" s="61">
        <v>0</v>
      </c>
      <c r="H5331" s="61">
        <v>0</v>
      </c>
      <c r="I5331" s="61">
        <v>882</v>
      </c>
      <c r="J5331" s="61">
        <f t="shared" si="45"/>
        <v>882</v>
      </c>
    </row>
    <row r="5332" spans="1:10" x14ac:dyDescent="0.25">
      <c r="A5332" s="20">
        <v>45808</v>
      </c>
      <c r="B5332" t="str">
        <f>IFERROR(IF(VLOOKUP(C5332,Hoja1!$B$1:$C$6191,2,0)="",_xlfn.XLOOKUP(C5332,Hoja1!$B$2:$B$6191,Hoja1!$A$2:$A$6191),VLOOKUP(C5332,Hoja1!$B$1:$C$6191,2,0)),"No esta en Infor")</f>
        <v>NAC1207</v>
      </c>
      <c r="C5332" t="s">
        <v>417</v>
      </c>
      <c r="D5332" s="61">
        <v>1956.42</v>
      </c>
      <c r="F5332" s="61">
        <v>0</v>
      </c>
      <c r="G5332" s="61">
        <v>0</v>
      </c>
      <c r="H5332" s="61">
        <v>0</v>
      </c>
      <c r="I5332" s="61">
        <v>0</v>
      </c>
      <c r="J5332" s="61">
        <f t="shared" si="45"/>
        <v>1956.42</v>
      </c>
    </row>
    <row r="5333" spans="1:10" x14ac:dyDescent="0.25">
      <c r="A5333" s="20">
        <v>45808</v>
      </c>
      <c r="B5333" t="str">
        <f>IFERROR(IF(VLOOKUP(C5333,Hoja1!$B$1:$C$6191,2,0)="",_xlfn.XLOOKUP(C5333,Hoja1!$B$2:$B$6191,Hoja1!$A$2:$A$6191),VLOOKUP(C5333,Hoja1!$B$1:$C$6191,2,0)),"No esta en Infor")</f>
        <v>NAC1209</v>
      </c>
      <c r="C5333" t="s">
        <v>753</v>
      </c>
      <c r="D5333" s="61">
        <v>0</v>
      </c>
      <c r="F5333" s="61">
        <v>0</v>
      </c>
      <c r="G5333" s="61">
        <v>178</v>
      </c>
      <c r="H5333" s="61">
        <v>0</v>
      </c>
      <c r="I5333" s="61">
        <v>0</v>
      </c>
      <c r="J5333" s="61">
        <f t="shared" si="45"/>
        <v>178</v>
      </c>
    </row>
    <row r="5334" spans="1:10" x14ac:dyDescent="0.25">
      <c r="A5334" s="20">
        <v>45808</v>
      </c>
      <c r="B5334" t="str">
        <f>IFERROR(IF(VLOOKUP(C5334,Hoja1!$B$1:$C$6191,2,0)="",_xlfn.XLOOKUP(C5334,Hoja1!$B$2:$B$6191,Hoja1!$A$2:$A$6191),VLOOKUP(C5334,Hoja1!$B$1:$C$6191,2,0)),"No esta en Infor")</f>
        <v>NAC1211</v>
      </c>
      <c r="C5334" t="s">
        <v>284</v>
      </c>
      <c r="D5334" s="61">
        <v>94360.24</v>
      </c>
      <c r="F5334" s="61">
        <v>0</v>
      </c>
      <c r="G5334" s="61">
        <v>0</v>
      </c>
      <c r="H5334" s="61">
        <v>0</v>
      </c>
      <c r="I5334" s="61">
        <v>0</v>
      </c>
      <c r="J5334" s="61">
        <f t="shared" si="45"/>
        <v>94360.24</v>
      </c>
    </row>
    <row r="5335" spans="1:10" x14ac:dyDescent="0.25">
      <c r="A5335" s="20">
        <v>45808</v>
      </c>
      <c r="B5335" t="str">
        <f>IFERROR(IF(VLOOKUP(C5335,Hoja1!$B$1:$C$6191,2,0)="",_xlfn.XLOOKUP(C5335,Hoja1!$B$2:$B$6191,Hoja1!$A$2:$A$6191),VLOOKUP(C5335,Hoja1!$B$1:$C$6191,2,0)),"No esta en Infor")</f>
        <v>NAC1212</v>
      </c>
      <c r="C5335" t="s">
        <v>285</v>
      </c>
      <c r="D5335" s="61">
        <v>18894.919999999998</v>
      </c>
      <c r="F5335" s="61">
        <v>0</v>
      </c>
      <c r="G5335" s="61">
        <v>0</v>
      </c>
      <c r="H5335" s="61">
        <v>0</v>
      </c>
      <c r="I5335" s="61">
        <v>0</v>
      </c>
      <c r="J5335" s="61">
        <f t="shared" si="45"/>
        <v>18894.919999999998</v>
      </c>
    </row>
    <row r="5336" spans="1:10" x14ac:dyDescent="0.25">
      <c r="A5336" s="20">
        <v>45808</v>
      </c>
      <c r="B5336" t="str">
        <f>IFERROR(IF(VLOOKUP(C5336,Hoja1!$B$1:$C$6191,2,0)="",_xlfn.XLOOKUP(C5336,Hoja1!$B$2:$B$6191,Hoja1!$A$2:$A$6191),VLOOKUP(C5336,Hoja1!$B$1:$C$6191,2,0)),"No esta en Infor")</f>
        <v>NAC1216</v>
      </c>
      <c r="C5336" t="s">
        <v>287</v>
      </c>
      <c r="D5336" s="61">
        <v>32.92</v>
      </c>
      <c r="F5336" s="61">
        <v>0</v>
      </c>
      <c r="G5336" s="61">
        <v>0</v>
      </c>
      <c r="H5336" s="61">
        <v>32.979999999999997</v>
      </c>
      <c r="I5336" s="61">
        <v>0</v>
      </c>
      <c r="J5336" s="61">
        <f t="shared" si="45"/>
        <v>65.900000000000006</v>
      </c>
    </row>
    <row r="5337" spans="1:10" x14ac:dyDescent="0.25">
      <c r="A5337" s="20">
        <v>45808</v>
      </c>
      <c r="B5337" t="str">
        <f>IFERROR(IF(VLOOKUP(C5337,Hoja1!$B$1:$C$6191,2,0)="",_xlfn.XLOOKUP(C5337,Hoja1!$B$2:$B$6191,Hoja1!$A$2:$A$6191),VLOOKUP(C5337,Hoja1!$B$1:$C$6191,2,0)),"No esta en Infor")</f>
        <v>NAC1218</v>
      </c>
      <c r="C5337" t="s">
        <v>474</v>
      </c>
      <c r="D5337" s="61">
        <v>0</v>
      </c>
      <c r="F5337" s="61">
        <v>2264.9</v>
      </c>
      <c r="G5337" s="61">
        <v>0</v>
      </c>
      <c r="H5337" s="61">
        <v>0</v>
      </c>
      <c r="I5337" s="61">
        <v>0</v>
      </c>
      <c r="J5337" s="61">
        <f t="shared" si="45"/>
        <v>2264.9</v>
      </c>
    </row>
    <row r="5338" spans="1:10" x14ac:dyDescent="0.25">
      <c r="A5338" s="20">
        <v>45808</v>
      </c>
      <c r="B5338" t="str">
        <f>IFERROR(IF(VLOOKUP(C5338,Hoja1!$B$1:$C$6191,2,0)="",_xlfn.XLOOKUP(C5338,Hoja1!$B$2:$B$6191,Hoja1!$A$2:$A$6191),VLOOKUP(C5338,Hoja1!$B$1:$C$6191,2,0)),"No esta en Infor")</f>
        <v>NAC1219</v>
      </c>
      <c r="C5338" t="s">
        <v>475</v>
      </c>
      <c r="D5338" s="61">
        <v>0</v>
      </c>
      <c r="F5338" s="61">
        <v>0</v>
      </c>
      <c r="G5338" s="61">
        <v>0</v>
      </c>
      <c r="H5338" s="61">
        <v>0</v>
      </c>
      <c r="I5338" s="61">
        <v>-299.55</v>
      </c>
      <c r="J5338" s="61">
        <f t="shared" si="45"/>
        <v>-299.55</v>
      </c>
    </row>
    <row r="5339" spans="1:10" x14ac:dyDescent="0.25">
      <c r="A5339" s="20">
        <v>45808</v>
      </c>
      <c r="B5339" t="str">
        <f>IFERROR(IF(VLOOKUP(C5339,Hoja1!$B$1:$C$6191,2,0)="",_xlfn.XLOOKUP(C5339,Hoja1!$B$2:$B$6191,Hoja1!$A$2:$A$6191),VLOOKUP(C5339,Hoja1!$B$1:$C$6191,2,0)),"No esta en Infor")</f>
        <v>NAC1229</v>
      </c>
      <c r="C5339" t="s">
        <v>418</v>
      </c>
      <c r="D5339" s="61">
        <v>138</v>
      </c>
      <c r="F5339" s="61">
        <v>136.5</v>
      </c>
      <c r="G5339" s="61">
        <v>0</v>
      </c>
      <c r="H5339" s="61">
        <v>0</v>
      </c>
      <c r="I5339" s="61">
        <v>0</v>
      </c>
      <c r="J5339" s="61">
        <f t="shared" ref="J5339:J5402" si="46">SUM(D5339:I5339)</f>
        <v>274.5</v>
      </c>
    </row>
    <row r="5340" spans="1:10" x14ac:dyDescent="0.25">
      <c r="A5340" s="20">
        <v>45808</v>
      </c>
      <c r="B5340" t="str">
        <f>IFERROR(IF(VLOOKUP(C5340,Hoja1!$B$1:$C$6191,2,0)="",_xlfn.XLOOKUP(C5340,Hoja1!$B$2:$B$6191,Hoja1!$A$2:$A$6191),VLOOKUP(C5340,Hoja1!$B$1:$C$6191,2,0)),"No esta en Infor")</f>
        <v>NAC1231</v>
      </c>
      <c r="C5340" t="s">
        <v>290</v>
      </c>
      <c r="D5340" s="61">
        <v>0</v>
      </c>
      <c r="F5340" s="61">
        <v>30245.5</v>
      </c>
      <c r="G5340" s="61">
        <v>0</v>
      </c>
      <c r="H5340" s="61">
        <v>0</v>
      </c>
      <c r="I5340" s="61">
        <v>0</v>
      </c>
      <c r="J5340" s="61">
        <f t="shared" si="46"/>
        <v>30245.5</v>
      </c>
    </row>
    <row r="5341" spans="1:10" x14ac:dyDescent="0.25">
      <c r="A5341" s="20">
        <v>45808</v>
      </c>
      <c r="B5341" t="str">
        <f>IFERROR(IF(VLOOKUP(C5341,Hoja1!$B$1:$C$6191,2,0)="",_xlfn.XLOOKUP(C5341,Hoja1!$B$2:$B$6191,Hoja1!$A$2:$A$6191),VLOOKUP(C5341,Hoja1!$B$1:$C$6191,2,0)),"No esta en Infor")</f>
        <v>NAC1247</v>
      </c>
      <c r="C5341" t="s">
        <v>298</v>
      </c>
      <c r="D5341" s="61">
        <v>4085.96</v>
      </c>
      <c r="F5341" s="61">
        <v>0</v>
      </c>
      <c r="G5341" s="61">
        <v>0</v>
      </c>
      <c r="H5341" s="61">
        <v>0</v>
      </c>
      <c r="I5341" s="61">
        <v>0</v>
      </c>
      <c r="J5341" s="61">
        <f t="shared" si="46"/>
        <v>4085.96</v>
      </c>
    </row>
    <row r="5342" spans="1:10" x14ac:dyDescent="0.25">
      <c r="A5342" s="20">
        <v>45808</v>
      </c>
      <c r="B5342" t="str">
        <f>IFERROR(IF(VLOOKUP(C5342,Hoja1!$B$1:$C$6191,2,0)="",_xlfn.XLOOKUP(C5342,Hoja1!$B$2:$B$6191,Hoja1!$A$2:$A$6191),VLOOKUP(C5342,Hoja1!$B$1:$C$6191,2,0)),"No esta en Infor")</f>
        <v>NAC1249</v>
      </c>
      <c r="C5342" t="s">
        <v>300</v>
      </c>
      <c r="D5342" s="61">
        <v>15768.66</v>
      </c>
      <c r="F5342" s="61">
        <v>0</v>
      </c>
      <c r="G5342" s="61">
        <v>0</v>
      </c>
      <c r="H5342" s="61">
        <v>0</v>
      </c>
      <c r="I5342" s="61">
        <v>-17.760000000000002</v>
      </c>
      <c r="J5342" s="61">
        <f t="shared" si="46"/>
        <v>15750.9</v>
      </c>
    </row>
    <row r="5343" spans="1:10" x14ac:dyDescent="0.25">
      <c r="A5343" s="20">
        <v>45808</v>
      </c>
      <c r="B5343" t="str">
        <f>IFERROR(IF(VLOOKUP(C5343,Hoja1!$B$1:$C$6191,2,0)="",_xlfn.XLOOKUP(C5343,Hoja1!$B$2:$B$6191,Hoja1!$A$2:$A$6191),VLOOKUP(C5343,Hoja1!$B$1:$C$6191,2,0)),"No esta en Infor")</f>
        <v>NAC1252</v>
      </c>
      <c r="C5343" t="s">
        <v>301</v>
      </c>
      <c r="D5343" s="61">
        <v>30659.95</v>
      </c>
      <c r="F5343" s="61">
        <v>0</v>
      </c>
      <c r="G5343" s="61">
        <v>0</v>
      </c>
      <c r="H5343" s="61">
        <v>0</v>
      </c>
      <c r="I5343" s="61">
        <v>0</v>
      </c>
      <c r="J5343" s="61">
        <f t="shared" si="46"/>
        <v>30659.95</v>
      </c>
    </row>
    <row r="5344" spans="1:10" x14ac:dyDescent="0.25">
      <c r="A5344" s="20">
        <v>45808</v>
      </c>
      <c r="B5344" t="str">
        <f>IFERROR(IF(VLOOKUP(C5344,Hoja1!$B$1:$C$6191,2,0)="",_xlfn.XLOOKUP(C5344,Hoja1!$B$2:$B$6191,Hoja1!$A$2:$A$6191),VLOOKUP(C5344,Hoja1!$B$1:$C$6191,2,0)),"No esta en Infor")</f>
        <v>NAC1260</v>
      </c>
      <c r="C5344" t="s">
        <v>571</v>
      </c>
      <c r="D5344" s="61">
        <v>0</v>
      </c>
      <c r="F5344" s="61">
        <v>96.96</v>
      </c>
      <c r="G5344" s="61">
        <v>0</v>
      </c>
      <c r="H5344" s="61">
        <v>-19694.63</v>
      </c>
      <c r="I5344" s="61">
        <v>0</v>
      </c>
      <c r="J5344" s="61">
        <f t="shared" si="46"/>
        <v>-19597.670000000002</v>
      </c>
    </row>
    <row r="5345" spans="1:10" x14ac:dyDescent="0.25">
      <c r="A5345" s="20">
        <v>45808</v>
      </c>
      <c r="B5345" t="str">
        <f>IFERROR(IF(VLOOKUP(C5345,Hoja1!$B$1:$C$6191,2,0)="",_xlfn.XLOOKUP(C5345,Hoja1!$B$2:$B$6191,Hoja1!$A$2:$A$6191),VLOOKUP(C5345,Hoja1!$B$1:$C$6191,2,0)),"No esta en Infor")</f>
        <v>NAC1261</v>
      </c>
      <c r="C5345" t="s">
        <v>303</v>
      </c>
      <c r="D5345" s="61">
        <v>0</v>
      </c>
      <c r="F5345" s="61">
        <v>0</v>
      </c>
      <c r="G5345" s="61">
        <v>1323</v>
      </c>
      <c r="H5345" s="61">
        <v>0</v>
      </c>
      <c r="I5345" s="61">
        <v>0</v>
      </c>
      <c r="J5345" s="61">
        <f t="shared" si="46"/>
        <v>1323</v>
      </c>
    </row>
    <row r="5346" spans="1:10" x14ac:dyDescent="0.25">
      <c r="A5346" s="20">
        <v>45808</v>
      </c>
      <c r="B5346" t="str">
        <f>IFERROR(IF(VLOOKUP(C5346,Hoja1!$B$1:$C$6191,2,0)="",_xlfn.XLOOKUP(C5346,Hoja1!$B$2:$B$6191,Hoja1!$A$2:$A$6191),VLOOKUP(C5346,Hoja1!$B$1:$C$6191,2,0)),"No esta en Infor")</f>
        <v>NAC1281</v>
      </c>
      <c r="C5346" t="s">
        <v>37</v>
      </c>
      <c r="D5346" s="61">
        <v>4665.6400000000003</v>
      </c>
      <c r="F5346" s="61">
        <v>1550.97</v>
      </c>
      <c r="G5346" s="61">
        <v>4046.81</v>
      </c>
      <c r="H5346" s="61">
        <v>761.26</v>
      </c>
      <c r="I5346" s="61">
        <v>10723.31</v>
      </c>
      <c r="J5346" s="61">
        <f t="shared" si="46"/>
        <v>21747.989999999998</v>
      </c>
    </row>
    <row r="5347" spans="1:10" x14ac:dyDescent="0.25">
      <c r="A5347" s="20">
        <v>45808</v>
      </c>
      <c r="B5347" t="str">
        <f>IFERROR(IF(VLOOKUP(C5347,Hoja1!$B$1:$C$6191,2,0)="",_xlfn.XLOOKUP(C5347,Hoja1!$B$2:$B$6191,Hoja1!$A$2:$A$6191),VLOOKUP(C5347,Hoja1!$B$1:$C$6191,2,0)),"No esta en Infor")</f>
        <v>NAC1283</v>
      </c>
      <c r="C5347" t="s">
        <v>308</v>
      </c>
      <c r="D5347" s="61">
        <v>1290</v>
      </c>
      <c r="F5347" s="61">
        <v>0</v>
      </c>
      <c r="G5347" s="61">
        <v>0</v>
      </c>
      <c r="H5347" s="61">
        <v>0</v>
      </c>
      <c r="I5347" s="61">
        <v>-118</v>
      </c>
      <c r="J5347" s="61">
        <f t="shared" si="46"/>
        <v>1172</v>
      </c>
    </row>
    <row r="5348" spans="1:10" x14ac:dyDescent="0.25">
      <c r="A5348" s="20">
        <v>45808</v>
      </c>
      <c r="B5348" t="str">
        <f>IFERROR(IF(VLOOKUP(C5348,Hoja1!$B$1:$C$6191,2,0)="",_xlfn.XLOOKUP(C5348,Hoja1!$B$2:$B$6191,Hoja1!$A$2:$A$6191),VLOOKUP(C5348,Hoja1!$B$1:$C$6191,2,0)),"No esta en Infor")</f>
        <v>NAC1288</v>
      </c>
      <c r="C5348" t="s">
        <v>787</v>
      </c>
      <c r="D5348" s="61">
        <v>0</v>
      </c>
      <c r="F5348" s="61">
        <v>-13.23</v>
      </c>
      <c r="G5348" s="61">
        <v>0</v>
      </c>
      <c r="H5348" s="61">
        <v>0</v>
      </c>
      <c r="I5348" s="61">
        <v>0</v>
      </c>
      <c r="J5348" s="61">
        <f t="shared" si="46"/>
        <v>-13.23</v>
      </c>
    </row>
    <row r="5349" spans="1:10" x14ac:dyDescent="0.25">
      <c r="A5349" s="20">
        <v>45808</v>
      </c>
      <c r="B5349" t="str">
        <f>IFERROR(IF(VLOOKUP(C5349,Hoja1!$B$1:$C$6191,2,0)="",_xlfn.XLOOKUP(C5349,Hoja1!$B$2:$B$6191,Hoja1!$A$2:$A$6191),VLOOKUP(C5349,Hoja1!$B$1:$C$6191,2,0)),"No esta en Infor")</f>
        <v>NAC1292</v>
      </c>
      <c r="C5349" t="s">
        <v>46</v>
      </c>
      <c r="D5349" s="61">
        <v>11284.77</v>
      </c>
      <c r="F5349" s="61">
        <v>0</v>
      </c>
      <c r="G5349" s="61">
        <v>0</v>
      </c>
      <c r="H5349" s="61">
        <v>0</v>
      </c>
      <c r="I5349" s="61">
        <v>0</v>
      </c>
      <c r="J5349" s="61">
        <f t="shared" si="46"/>
        <v>11284.77</v>
      </c>
    </row>
    <row r="5350" spans="1:10" x14ac:dyDescent="0.25">
      <c r="A5350" s="20">
        <v>45808</v>
      </c>
      <c r="B5350" t="str">
        <f>IFERROR(IF(VLOOKUP(C5350,Hoja1!$B$1:$C$6191,2,0)="",_xlfn.XLOOKUP(C5350,Hoja1!$B$2:$B$6191,Hoja1!$A$2:$A$6191),VLOOKUP(C5350,Hoja1!$B$1:$C$6191,2,0)),"No esta en Infor")</f>
        <v>NAC1301</v>
      </c>
      <c r="C5350" t="s">
        <v>2452</v>
      </c>
      <c r="D5350" s="61">
        <v>0</v>
      </c>
      <c r="F5350" s="61">
        <v>569.72</v>
      </c>
      <c r="G5350" s="61">
        <v>0</v>
      </c>
      <c r="H5350" s="61">
        <v>0</v>
      </c>
      <c r="I5350" s="61">
        <v>0</v>
      </c>
      <c r="J5350" s="61">
        <f t="shared" si="46"/>
        <v>569.72</v>
      </c>
    </row>
    <row r="5351" spans="1:10" x14ac:dyDescent="0.25">
      <c r="A5351" s="20">
        <v>45808</v>
      </c>
      <c r="B5351" t="str">
        <f>IFERROR(IF(VLOOKUP(C5351,Hoja1!$B$1:$C$6191,2,0)="",_xlfn.XLOOKUP(C5351,Hoja1!$B$2:$B$6191,Hoja1!$A$2:$A$6191),VLOOKUP(C5351,Hoja1!$B$1:$C$6191,2,0)),"No esta en Infor")</f>
        <v>NAC1303</v>
      </c>
      <c r="C5351" t="s">
        <v>697</v>
      </c>
      <c r="D5351" s="61">
        <v>170.71</v>
      </c>
      <c r="F5351" s="61">
        <v>0</v>
      </c>
      <c r="G5351" s="61">
        <v>224</v>
      </c>
      <c r="H5351" s="61">
        <v>0</v>
      </c>
      <c r="I5351" s="61">
        <v>0</v>
      </c>
      <c r="J5351" s="61">
        <f t="shared" si="46"/>
        <v>394.71000000000004</v>
      </c>
    </row>
    <row r="5352" spans="1:10" x14ac:dyDescent="0.25">
      <c r="A5352" s="20">
        <v>45808</v>
      </c>
      <c r="B5352" t="str">
        <f>IFERROR(IF(VLOOKUP(C5352,Hoja1!$B$1:$C$6191,2,0)="",_xlfn.XLOOKUP(C5352,Hoja1!$B$2:$B$6191,Hoja1!$A$2:$A$6191),VLOOKUP(C5352,Hoja1!$B$1:$C$6191,2,0)),"No esta en Infor")</f>
        <v>NAC1313</v>
      </c>
      <c r="C5352" t="s">
        <v>315</v>
      </c>
      <c r="D5352" s="61">
        <v>5588</v>
      </c>
      <c r="F5352" s="61">
        <v>0</v>
      </c>
      <c r="G5352" s="61">
        <v>0</v>
      </c>
      <c r="H5352" s="61">
        <v>0</v>
      </c>
      <c r="I5352" s="61">
        <v>0</v>
      </c>
      <c r="J5352" s="61">
        <f t="shared" si="46"/>
        <v>5588</v>
      </c>
    </row>
    <row r="5353" spans="1:10" x14ac:dyDescent="0.25">
      <c r="A5353" s="20">
        <v>45808</v>
      </c>
      <c r="B5353" t="str">
        <f>IFERROR(IF(VLOOKUP(C5353,Hoja1!$B$1:$C$6191,2,0)="",_xlfn.XLOOKUP(C5353,Hoja1!$B$2:$B$6191,Hoja1!$A$2:$A$6191),VLOOKUP(C5353,Hoja1!$B$1:$C$6191,2,0)),"No esta en Infor")</f>
        <v>NAC1323</v>
      </c>
      <c r="C5353" t="s">
        <v>49</v>
      </c>
      <c r="D5353" s="61">
        <v>169937.57</v>
      </c>
      <c r="F5353" s="61">
        <v>10521.95</v>
      </c>
      <c r="G5353" s="61">
        <v>3055.57</v>
      </c>
      <c r="H5353" s="61">
        <v>3588.1</v>
      </c>
      <c r="I5353" s="61">
        <v>40302.68</v>
      </c>
      <c r="J5353" s="61">
        <f t="shared" si="46"/>
        <v>227405.87000000002</v>
      </c>
    </row>
    <row r="5354" spans="1:10" x14ac:dyDescent="0.25">
      <c r="A5354" s="20">
        <v>45808</v>
      </c>
      <c r="B5354" t="str">
        <f>IFERROR(IF(VLOOKUP(C5354,Hoja1!$B$1:$C$6191,2,0)="",_xlfn.XLOOKUP(C5354,Hoja1!$B$2:$B$6191,Hoja1!$A$2:$A$6191),VLOOKUP(C5354,Hoja1!$B$1:$C$6191,2,0)),"No esta en Infor")</f>
        <v>NAC1327</v>
      </c>
      <c r="C5354" t="s">
        <v>50</v>
      </c>
      <c r="D5354" s="61">
        <v>110528.09</v>
      </c>
      <c r="F5354" s="61">
        <v>35605.599999999999</v>
      </c>
      <c r="G5354" s="61">
        <v>-203.6</v>
      </c>
      <c r="H5354" s="61">
        <v>3776.04</v>
      </c>
      <c r="I5354" s="61">
        <v>-77.7</v>
      </c>
      <c r="J5354" s="61">
        <f t="shared" si="46"/>
        <v>149628.43</v>
      </c>
    </row>
    <row r="5355" spans="1:10" x14ac:dyDescent="0.25">
      <c r="A5355" s="20">
        <v>45808</v>
      </c>
      <c r="B5355" t="str">
        <f>IFERROR(IF(VLOOKUP(C5355,Hoja1!$B$1:$C$6191,2,0)="",_xlfn.XLOOKUP(C5355,Hoja1!$B$2:$B$6191,Hoja1!$A$2:$A$6191),VLOOKUP(C5355,Hoja1!$B$1:$C$6191,2,0)),"No esta en Infor")</f>
        <v>NAC1332</v>
      </c>
      <c r="C5355" t="s">
        <v>317</v>
      </c>
      <c r="D5355" s="61">
        <v>0</v>
      </c>
      <c r="F5355" s="61">
        <v>0</v>
      </c>
      <c r="G5355" s="61">
        <v>362</v>
      </c>
      <c r="H5355" s="61">
        <v>0</v>
      </c>
      <c r="I5355" s="61">
        <v>0</v>
      </c>
      <c r="J5355" s="61">
        <f t="shared" si="46"/>
        <v>362</v>
      </c>
    </row>
    <row r="5356" spans="1:10" x14ac:dyDescent="0.25">
      <c r="A5356" s="20">
        <v>45808</v>
      </c>
      <c r="B5356" t="str">
        <f>IFERROR(IF(VLOOKUP(C5356,Hoja1!$B$1:$C$6191,2,0)="",_xlfn.XLOOKUP(C5356,Hoja1!$B$2:$B$6191,Hoja1!$A$2:$A$6191),VLOOKUP(C5356,Hoja1!$B$1:$C$6191,2,0)),"No esta en Infor")</f>
        <v>NAC1333</v>
      </c>
      <c r="C5356" t="s">
        <v>318</v>
      </c>
      <c r="D5356" s="61">
        <v>13477</v>
      </c>
      <c r="F5356" s="61">
        <v>0</v>
      </c>
      <c r="G5356" s="61">
        <v>0</v>
      </c>
      <c r="H5356" s="61">
        <v>0</v>
      </c>
      <c r="I5356" s="61">
        <v>0</v>
      </c>
      <c r="J5356" s="61">
        <f t="shared" si="46"/>
        <v>13477</v>
      </c>
    </row>
    <row r="5357" spans="1:10" x14ac:dyDescent="0.25">
      <c r="A5357" s="20">
        <v>45808</v>
      </c>
      <c r="B5357" t="str">
        <f>IFERROR(IF(VLOOKUP(C5357,Hoja1!$B$1:$C$6191,2,0)="",_xlfn.XLOOKUP(C5357,Hoja1!$B$2:$B$6191,Hoja1!$A$2:$A$6191),VLOOKUP(C5357,Hoja1!$B$1:$C$6191,2,0)),"No esta en Infor")</f>
        <v>NAC1346</v>
      </c>
      <c r="C5357" t="s">
        <v>321</v>
      </c>
      <c r="D5357" s="61">
        <v>0</v>
      </c>
      <c r="F5357" s="61">
        <v>0</v>
      </c>
      <c r="G5357" s="61">
        <v>0</v>
      </c>
      <c r="H5357" s="61">
        <v>-47.94</v>
      </c>
      <c r="I5357" s="61">
        <v>0</v>
      </c>
      <c r="J5357" s="61">
        <f t="shared" si="46"/>
        <v>-47.94</v>
      </c>
    </row>
    <row r="5358" spans="1:10" x14ac:dyDescent="0.25">
      <c r="A5358" s="20">
        <v>45808</v>
      </c>
      <c r="B5358" t="str">
        <f>IFERROR(IF(VLOOKUP(C5358,Hoja1!$B$1:$C$6191,2,0)="",_xlfn.XLOOKUP(C5358,Hoja1!$B$2:$B$6191,Hoja1!$A$2:$A$6191),VLOOKUP(C5358,Hoja1!$B$1:$C$6191,2,0)),"No esta en Infor")</f>
        <v>NAC1348</v>
      </c>
      <c r="C5358" t="s">
        <v>323</v>
      </c>
      <c r="D5358" s="61">
        <v>0</v>
      </c>
      <c r="F5358" s="61">
        <v>0</v>
      </c>
      <c r="G5358" s="61">
        <v>197.25</v>
      </c>
      <c r="H5358" s="61">
        <v>0</v>
      </c>
      <c r="I5358" s="61">
        <v>0</v>
      </c>
      <c r="J5358" s="61">
        <f t="shared" si="46"/>
        <v>197.25</v>
      </c>
    </row>
    <row r="5359" spans="1:10" x14ac:dyDescent="0.25">
      <c r="A5359" s="20">
        <v>45808</v>
      </c>
      <c r="B5359" t="str">
        <f>IFERROR(IF(VLOOKUP(C5359,Hoja1!$B$1:$C$6191,2,0)="",_xlfn.XLOOKUP(C5359,Hoja1!$B$2:$B$6191,Hoja1!$A$2:$A$6191),VLOOKUP(C5359,Hoja1!$B$1:$C$6191,2,0)),"No esta en Infor")</f>
        <v>NAC1349</v>
      </c>
      <c r="C5359" t="s">
        <v>322</v>
      </c>
      <c r="D5359" s="61">
        <v>0</v>
      </c>
      <c r="F5359" s="61">
        <v>0</v>
      </c>
      <c r="G5359" s="61">
        <v>0</v>
      </c>
      <c r="H5359" s="61">
        <v>0</v>
      </c>
      <c r="I5359" s="61">
        <v>-348.81</v>
      </c>
      <c r="J5359" s="61">
        <f t="shared" si="46"/>
        <v>-348.81</v>
      </c>
    </row>
    <row r="5360" spans="1:10" x14ac:dyDescent="0.25">
      <c r="A5360" s="20">
        <v>45808</v>
      </c>
      <c r="B5360" t="str">
        <f>IFERROR(IF(VLOOKUP(C5360,Hoja1!$B$1:$C$6191,2,0)="",_xlfn.XLOOKUP(C5360,Hoja1!$B$2:$B$6191,Hoja1!$A$2:$A$6191),VLOOKUP(C5360,Hoja1!$B$1:$C$6191,2,0)),"No esta en Infor")</f>
        <v>NAC1353</v>
      </c>
      <c r="C5360" t="s">
        <v>700</v>
      </c>
      <c r="D5360" s="61">
        <v>340.83</v>
      </c>
      <c r="F5360" s="61">
        <v>0</v>
      </c>
      <c r="G5360" s="61">
        <v>0</v>
      </c>
      <c r="H5360" s="61">
        <v>0</v>
      </c>
      <c r="I5360" s="61">
        <v>0</v>
      </c>
      <c r="J5360" s="61">
        <f t="shared" si="46"/>
        <v>340.83</v>
      </c>
    </row>
    <row r="5361" spans="1:10" x14ac:dyDescent="0.25">
      <c r="A5361" s="20">
        <v>45808</v>
      </c>
      <c r="B5361" t="str">
        <f>IFERROR(IF(VLOOKUP(C5361,Hoja1!$B$1:$C$6191,2,0)="",_xlfn.XLOOKUP(C5361,Hoja1!$B$2:$B$6191,Hoja1!$A$2:$A$6191),VLOOKUP(C5361,Hoja1!$B$1:$C$6191,2,0)),"No esta en Infor")</f>
        <v>NAC1356</v>
      </c>
      <c r="C5361" t="s">
        <v>325</v>
      </c>
      <c r="D5361" s="61">
        <v>0</v>
      </c>
      <c r="F5361" s="61">
        <v>0</v>
      </c>
      <c r="G5361" s="61">
        <v>0</v>
      </c>
      <c r="H5361" s="61">
        <v>0</v>
      </c>
      <c r="I5361" s="61">
        <v>-421.28</v>
      </c>
      <c r="J5361" s="61">
        <f t="shared" si="46"/>
        <v>-421.28</v>
      </c>
    </row>
    <row r="5362" spans="1:10" x14ac:dyDescent="0.25">
      <c r="A5362" s="20">
        <v>45808</v>
      </c>
      <c r="B5362" t="str">
        <f>IFERROR(IF(VLOOKUP(C5362,Hoja1!$B$1:$C$6191,2,0)="",_xlfn.XLOOKUP(C5362,Hoja1!$B$2:$B$6191,Hoja1!$A$2:$A$6191),VLOOKUP(C5362,Hoja1!$B$1:$C$6191,2,0)),"No esta en Infor")</f>
        <v>NAC1357</v>
      </c>
      <c r="C5362" t="s">
        <v>423</v>
      </c>
      <c r="D5362" s="61">
        <v>460</v>
      </c>
      <c r="F5362" s="61">
        <v>0</v>
      </c>
      <c r="G5362" s="61">
        <v>0</v>
      </c>
      <c r="H5362" s="61">
        <v>0</v>
      </c>
      <c r="I5362" s="61">
        <v>0</v>
      </c>
      <c r="J5362" s="61">
        <f t="shared" si="46"/>
        <v>460</v>
      </c>
    </row>
    <row r="5363" spans="1:10" x14ac:dyDescent="0.25">
      <c r="A5363" s="20">
        <v>45808</v>
      </c>
      <c r="B5363" t="str">
        <f>IFERROR(IF(VLOOKUP(C5363,Hoja1!$B$1:$C$6191,2,0)="",_xlfn.XLOOKUP(C5363,Hoja1!$B$2:$B$6191,Hoja1!$A$2:$A$6191),VLOOKUP(C5363,Hoja1!$B$1:$C$6191,2,0)),"No esta en Infor")</f>
        <v>NAC1372</v>
      </c>
      <c r="C5363" t="s">
        <v>607</v>
      </c>
      <c r="D5363" s="61">
        <v>0</v>
      </c>
      <c r="F5363" s="61">
        <v>0</v>
      </c>
      <c r="G5363" s="61">
        <v>420.12</v>
      </c>
      <c r="H5363" s="61">
        <v>0</v>
      </c>
      <c r="I5363" s="61">
        <v>0</v>
      </c>
      <c r="J5363" s="61">
        <f t="shared" si="46"/>
        <v>420.12</v>
      </c>
    </row>
    <row r="5364" spans="1:10" x14ac:dyDescent="0.25">
      <c r="A5364" s="20">
        <v>45808</v>
      </c>
      <c r="B5364" t="str">
        <f>IFERROR(IF(VLOOKUP(C5364,Hoja1!$B$1:$C$6191,2,0)="",_xlfn.XLOOKUP(C5364,Hoja1!$B$2:$B$6191,Hoja1!$A$2:$A$6191),VLOOKUP(C5364,Hoja1!$B$1:$C$6191,2,0)),"No esta en Infor")</f>
        <v>NAC1377</v>
      </c>
      <c r="C5364" t="s">
        <v>525</v>
      </c>
      <c r="D5364" s="61">
        <v>0</v>
      </c>
      <c r="F5364" s="61">
        <v>0</v>
      </c>
      <c r="G5364" s="61">
        <v>356.67</v>
      </c>
      <c r="H5364" s="61">
        <v>0</v>
      </c>
      <c r="I5364" s="61">
        <v>0</v>
      </c>
      <c r="J5364" s="61">
        <f t="shared" si="46"/>
        <v>356.67</v>
      </c>
    </row>
    <row r="5365" spans="1:10" x14ac:dyDescent="0.25">
      <c r="A5365" s="20">
        <v>45808</v>
      </c>
      <c r="B5365" t="str">
        <f>IFERROR(IF(VLOOKUP(C5365,Hoja1!$B$1:$C$6191,2,0)="",_xlfn.XLOOKUP(C5365,Hoja1!$B$2:$B$6191,Hoja1!$A$2:$A$6191),VLOOKUP(C5365,Hoja1!$B$1:$C$6191,2,0)),"No esta en Infor")</f>
        <v>NAC1382</v>
      </c>
      <c r="C5365" t="s">
        <v>332</v>
      </c>
      <c r="D5365" s="61">
        <v>-5540</v>
      </c>
      <c r="F5365" s="61">
        <v>0</v>
      </c>
      <c r="G5365" s="61">
        <v>0</v>
      </c>
      <c r="H5365" s="61">
        <v>0</v>
      </c>
      <c r="I5365" s="61">
        <v>0</v>
      </c>
      <c r="J5365" s="61">
        <f t="shared" si="46"/>
        <v>-5540</v>
      </c>
    </row>
    <row r="5366" spans="1:10" x14ac:dyDescent="0.25">
      <c r="A5366" s="20">
        <v>45808</v>
      </c>
      <c r="B5366" t="str">
        <f>IFERROR(IF(VLOOKUP(C5366,Hoja1!$B$1:$C$6191,2,0)="",_xlfn.XLOOKUP(C5366,Hoja1!$B$2:$B$6191,Hoja1!$A$2:$A$6191),VLOOKUP(C5366,Hoja1!$B$1:$C$6191,2,0)),"No esta en Infor")</f>
        <v>NAC1394</v>
      </c>
      <c r="C5366" t="s">
        <v>767</v>
      </c>
      <c r="D5366" s="61">
        <v>-319.64999999999998</v>
      </c>
      <c r="F5366" s="61">
        <v>0</v>
      </c>
      <c r="G5366" s="61">
        <v>-126.76</v>
      </c>
      <c r="H5366" s="61">
        <v>0</v>
      </c>
      <c r="I5366" s="61">
        <v>0</v>
      </c>
      <c r="J5366" s="61">
        <f t="shared" si="46"/>
        <v>-446.40999999999997</v>
      </c>
    </row>
    <row r="5367" spans="1:10" x14ac:dyDescent="0.25">
      <c r="A5367" s="20">
        <v>45808</v>
      </c>
      <c r="B5367" t="str">
        <f>IFERROR(IF(VLOOKUP(C5367,Hoja1!$B$1:$C$6191,2,0)="",_xlfn.XLOOKUP(C5367,Hoja1!$B$2:$B$6191,Hoja1!$A$2:$A$6191),VLOOKUP(C5367,Hoja1!$B$1:$C$6191,2,0)),"No esta en Infor")</f>
        <v>NAC1395</v>
      </c>
      <c r="C5367" t="s">
        <v>337</v>
      </c>
      <c r="D5367" s="61">
        <v>22844.799999999999</v>
      </c>
      <c r="F5367" s="61">
        <v>0</v>
      </c>
      <c r="G5367" s="61">
        <v>0</v>
      </c>
      <c r="H5367" s="61">
        <v>0</v>
      </c>
      <c r="I5367" s="61">
        <v>0</v>
      </c>
      <c r="J5367" s="61">
        <f t="shared" si="46"/>
        <v>22844.799999999999</v>
      </c>
    </row>
    <row r="5368" spans="1:10" x14ac:dyDescent="0.25">
      <c r="A5368" s="20">
        <v>45808</v>
      </c>
      <c r="B5368" t="str">
        <f>IFERROR(IF(VLOOKUP(C5368,Hoja1!$B$1:$C$6191,2,0)="",_xlfn.XLOOKUP(C5368,Hoja1!$B$2:$B$6191,Hoja1!$A$2:$A$6191),VLOOKUP(C5368,Hoja1!$B$1:$C$6191,2,0)),"No esta en Infor")</f>
        <v>NAC1404</v>
      </c>
      <c r="C5368" t="s">
        <v>592</v>
      </c>
      <c r="D5368" s="61">
        <v>0</v>
      </c>
      <c r="F5368" s="61">
        <v>0</v>
      </c>
      <c r="G5368" s="61">
        <v>0</v>
      </c>
      <c r="H5368" s="61">
        <v>-85.32</v>
      </c>
      <c r="I5368" s="61">
        <v>0</v>
      </c>
      <c r="J5368" s="61">
        <f t="shared" si="46"/>
        <v>-85.32</v>
      </c>
    </row>
    <row r="5369" spans="1:10" x14ac:dyDescent="0.25">
      <c r="A5369" s="20">
        <v>45808</v>
      </c>
      <c r="B5369" t="str">
        <f>IFERROR(IF(VLOOKUP(C5369,Hoja1!$B$1:$C$6191,2,0)="",_xlfn.XLOOKUP(C5369,Hoja1!$B$2:$B$6191,Hoja1!$A$2:$A$6191),VLOOKUP(C5369,Hoja1!$B$1:$C$6191,2,0)),"No esta en Infor")</f>
        <v>NAC1413</v>
      </c>
      <c r="C5369" t="s">
        <v>342</v>
      </c>
      <c r="D5369" s="61">
        <v>63484.97</v>
      </c>
      <c r="F5369" s="61">
        <v>0</v>
      </c>
      <c r="G5369" s="61">
        <v>0</v>
      </c>
      <c r="H5369" s="61">
        <v>0</v>
      </c>
      <c r="I5369" s="61">
        <v>0</v>
      </c>
      <c r="J5369" s="61">
        <f t="shared" si="46"/>
        <v>63484.97</v>
      </c>
    </row>
    <row r="5370" spans="1:10" x14ac:dyDescent="0.25">
      <c r="A5370" s="20">
        <v>45808</v>
      </c>
      <c r="B5370" t="str">
        <f>IFERROR(IF(VLOOKUP(C5370,Hoja1!$B$1:$C$6191,2,0)="",_xlfn.XLOOKUP(C5370,Hoja1!$B$2:$B$6191,Hoja1!$A$2:$A$6191),VLOOKUP(C5370,Hoja1!$B$1:$C$6191,2,0)),"No esta en Infor")</f>
        <v>NAC1417</v>
      </c>
      <c r="C5370" t="s">
        <v>645</v>
      </c>
      <c r="D5370" s="61">
        <v>39166.400000000001</v>
      </c>
      <c r="F5370" s="61">
        <v>0</v>
      </c>
      <c r="G5370" s="61">
        <v>-3189.87</v>
      </c>
      <c r="H5370" s="61">
        <v>0</v>
      </c>
      <c r="I5370" s="61">
        <v>0</v>
      </c>
      <c r="J5370" s="61">
        <f t="shared" si="46"/>
        <v>35976.53</v>
      </c>
    </row>
    <row r="5371" spans="1:10" x14ac:dyDescent="0.25">
      <c r="A5371" s="20">
        <v>45808</v>
      </c>
      <c r="B5371" t="str">
        <f>IFERROR(IF(VLOOKUP(C5371,Hoja1!$B$1:$C$6191,2,0)="",_xlfn.XLOOKUP(C5371,Hoja1!$B$2:$B$6191,Hoja1!$A$2:$A$6191),VLOOKUP(C5371,Hoja1!$B$1:$C$6191,2,0)),"No esta en Infor")</f>
        <v>NAC1424</v>
      </c>
      <c r="C5371" t="s">
        <v>345</v>
      </c>
      <c r="D5371" s="61">
        <v>45121.94</v>
      </c>
      <c r="F5371" s="61">
        <v>100</v>
      </c>
      <c r="G5371" s="61">
        <v>0</v>
      </c>
      <c r="H5371" s="61">
        <v>0</v>
      </c>
      <c r="I5371" s="61">
        <v>0</v>
      </c>
      <c r="J5371" s="61">
        <f t="shared" si="46"/>
        <v>45221.94</v>
      </c>
    </row>
    <row r="5372" spans="1:10" x14ac:dyDescent="0.25">
      <c r="A5372" s="20">
        <v>45808</v>
      </c>
      <c r="B5372" t="str">
        <f>IFERROR(IF(VLOOKUP(C5372,Hoja1!$B$1:$C$6191,2,0)="",_xlfn.XLOOKUP(C5372,Hoja1!$B$2:$B$6191,Hoja1!$A$2:$A$6191),VLOOKUP(C5372,Hoja1!$B$1:$C$6191,2,0)),"No esta en Infor")</f>
        <v>NAC1426</v>
      </c>
      <c r="C5372" t="s">
        <v>531</v>
      </c>
      <c r="D5372" s="61">
        <v>0</v>
      </c>
      <c r="F5372" s="61">
        <v>466</v>
      </c>
      <c r="G5372" s="61">
        <v>0</v>
      </c>
      <c r="H5372" s="61">
        <v>0</v>
      </c>
      <c r="I5372" s="61">
        <v>0</v>
      </c>
      <c r="J5372" s="61">
        <f t="shared" si="46"/>
        <v>466</v>
      </c>
    </row>
    <row r="5373" spans="1:10" x14ac:dyDescent="0.25">
      <c r="A5373" s="20">
        <v>45808</v>
      </c>
      <c r="B5373" t="str">
        <f>IFERROR(IF(VLOOKUP(C5373,Hoja1!$B$1:$C$6191,2,0)="",_xlfn.XLOOKUP(C5373,Hoja1!$B$2:$B$6191,Hoja1!$A$2:$A$6191),VLOOKUP(C5373,Hoja1!$B$1:$C$6191,2,0)),"No esta en Infor")</f>
        <v>NAC1432</v>
      </c>
      <c r="C5373" t="s">
        <v>575</v>
      </c>
      <c r="D5373" s="61">
        <v>0</v>
      </c>
      <c r="F5373" s="61">
        <v>0</v>
      </c>
      <c r="G5373" s="61">
        <v>0</v>
      </c>
      <c r="H5373" s="61">
        <v>-536.64</v>
      </c>
      <c r="I5373" s="61">
        <v>0</v>
      </c>
      <c r="J5373" s="61">
        <f t="shared" si="46"/>
        <v>-536.64</v>
      </c>
    </row>
    <row r="5374" spans="1:10" x14ac:dyDescent="0.25">
      <c r="A5374" s="20">
        <v>45808</v>
      </c>
      <c r="B5374" t="str">
        <f>IFERROR(IF(VLOOKUP(C5374,Hoja1!$B$1:$C$6191,2,0)="",_xlfn.XLOOKUP(C5374,Hoja1!$B$2:$B$6191,Hoja1!$A$2:$A$6191),VLOOKUP(C5374,Hoja1!$B$1:$C$6191,2,0)),"No esta en Infor")</f>
        <v>NAC1448</v>
      </c>
      <c r="C5374" t="s">
        <v>9</v>
      </c>
      <c r="D5374" s="61">
        <v>25884.6</v>
      </c>
      <c r="F5374" s="61">
        <v>4015.55</v>
      </c>
      <c r="G5374" s="61">
        <v>600</v>
      </c>
      <c r="H5374" s="61">
        <v>5270</v>
      </c>
      <c r="I5374" s="61">
        <v>0</v>
      </c>
      <c r="J5374" s="61">
        <f t="shared" si="46"/>
        <v>35770.149999999994</v>
      </c>
    </row>
    <row r="5375" spans="1:10" x14ac:dyDescent="0.25">
      <c r="A5375" s="20">
        <v>45808</v>
      </c>
      <c r="B5375" t="str">
        <f>IFERROR(IF(VLOOKUP(C5375,Hoja1!$B$1:$C$6191,2,0)="",_xlfn.XLOOKUP(C5375,Hoja1!$B$2:$B$6191,Hoja1!$A$2:$A$6191),VLOOKUP(C5375,Hoja1!$B$1:$C$6191,2,0)),"No esta en Infor")</f>
        <v>NAC1449</v>
      </c>
      <c r="C5375" t="s">
        <v>706</v>
      </c>
      <c r="D5375" s="61">
        <v>0</v>
      </c>
      <c r="F5375" s="61">
        <v>0</v>
      </c>
      <c r="G5375" s="61">
        <v>14489.94</v>
      </c>
      <c r="H5375" s="61">
        <v>421.21</v>
      </c>
      <c r="I5375" s="61">
        <v>0</v>
      </c>
      <c r="J5375" s="61">
        <f t="shared" si="46"/>
        <v>14911.15</v>
      </c>
    </row>
    <row r="5376" spans="1:10" x14ac:dyDescent="0.25">
      <c r="A5376" s="20">
        <v>45808</v>
      </c>
      <c r="B5376" t="str">
        <f>IFERROR(IF(VLOOKUP(C5376,Hoja1!$B$1:$C$6191,2,0)="",_xlfn.XLOOKUP(C5376,Hoja1!$B$2:$B$6191,Hoja1!$A$2:$A$6191),VLOOKUP(C5376,Hoja1!$B$1:$C$6191,2,0)),"No esta en Infor")</f>
        <v>NAC1450</v>
      </c>
      <c r="C5376" t="s">
        <v>54</v>
      </c>
      <c r="D5376" s="61">
        <v>34231.72</v>
      </c>
      <c r="F5376" s="61">
        <v>675.17</v>
      </c>
      <c r="G5376" s="61">
        <v>587.33000000000004</v>
      </c>
      <c r="H5376" s="61">
        <v>-19.47</v>
      </c>
      <c r="I5376" s="61">
        <v>-100.66</v>
      </c>
      <c r="J5376" s="61">
        <f t="shared" si="46"/>
        <v>35374.089999999997</v>
      </c>
    </row>
    <row r="5377" spans="1:10" x14ac:dyDescent="0.25">
      <c r="A5377" s="20">
        <v>45808</v>
      </c>
      <c r="B5377" t="str">
        <f>IFERROR(IF(VLOOKUP(C5377,Hoja1!$B$1:$C$6191,2,0)="",_xlfn.XLOOKUP(C5377,Hoja1!$B$2:$B$6191,Hoja1!$A$2:$A$6191),VLOOKUP(C5377,Hoja1!$B$1:$C$6191,2,0)),"No esta en Infor")</f>
        <v>NAC1473</v>
      </c>
      <c r="C5377" t="s">
        <v>532</v>
      </c>
      <c r="D5377" s="61">
        <v>991</v>
      </c>
      <c r="F5377" s="61">
        <v>0</v>
      </c>
      <c r="G5377" s="61">
        <v>0</v>
      </c>
      <c r="H5377" s="61">
        <v>0</v>
      </c>
      <c r="I5377" s="61">
        <v>0</v>
      </c>
      <c r="J5377" s="61">
        <f t="shared" si="46"/>
        <v>991</v>
      </c>
    </row>
    <row r="5378" spans="1:10" x14ac:dyDescent="0.25">
      <c r="A5378" s="20">
        <v>45808</v>
      </c>
      <c r="B5378" t="str">
        <f>IFERROR(IF(VLOOKUP(C5378,Hoja1!$B$1:$C$6191,2,0)="",_xlfn.XLOOKUP(C5378,Hoja1!$B$2:$B$6191,Hoja1!$A$2:$A$6191),VLOOKUP(C5378,Hoja1!$B$1:$C$6191,2,0)),"No esta en Infor")</f>
        <v>NAC1483</v>
      </c>
      <c r="C5378" t="s">
        <v>357</v>
      </c>
      <c r="D5378" s="61">
        <v>-419.53</v>
      </c>
      <c r="F5378" s="61">
        <v>0</v>
      </c>
      <c r="G5378" s="61">
        <v>0</v>
      </c>
      <c r="H5378" s="61">
        <v>0</v>
      </c>
      <c r="I5378" s="61">
        <v>0</v>
      </c>
      <c r="J5378" s="61">
        <f t="shared" si="46"/>
        <v>-419.53</v>
      </c>
    </row>
    <row r="5379" spans="1:10" x14ac:dyDescent="0.25">
      <c r="A5379" s="20">
        <v>45808</v>
      </c>
      <c r="B5379" t="str">
        <f>IFERROR(IF(VLOOKUP(C5379,Hoja1!$B$1:$C$6191,2,0)="",_xlfn.XLOOKUP(C5379,Hoja1!$B$2:$B$6191,Hoja1!$A$2:$A$6191),VLOOKUP(C5379,Hoja1!$B$1:$C$6191,2,0)),"No esta en Infor")</f>
        <v>NAC1500</v>
      </c>
      <c r="C5379" t="s">
        <v>432</v>
      </c>
      <c r="D5379" s="61">
        <v>0</v>
      </c>
      <c r="F5379" s="61">
        <v>0</v>
      </c>
      <c r="G5379" s="61">
        <v>-0.06</v>
      </c>
      <c r="H5379" s="61">
        <v>0</v>
      </c>
      <c r="I5379" s="61">
        <v>51.8</v>
      </c>
      <c r="J5379" s="61">
        <f t="shared" si="46"/>
        <v>51.739999999999995</v>
      </c>
    </row>
    <row r="5380" spans="1:10" x14ac:dyDescent="0.25">
      <c r="A5380" s="20">
        <v>45808</v>
      </c>
      <c r="B5380" t="str">
        <f>IFERROR(IF(VLOOKUP(C5380,Hoja1!$B$1:$C$6191,2,0)="",_xlfn.XLOOKUP(C5380,Hoja1!$B$2:$B$6191,Hoja1!$A$2:$A$6191),VLOOKUP(C5380,Hoja1!$B$1:$C$6191,2,0)),"No esta en Infor")</f>
        <v>NAC1504</v>
      </c>
      <c r="C5380" t="s">
        <v>363</v>
      </c>
      <c r="D5380" s="61">
        <v>1072</v>
      </c>
      <c r="F5380" s="61">
        <v>-134.4</v>
      </c>
      <c r="G5380" s="61">
        <v>0</v>
      </c>
      <c r="H5380" s="61">
        <v>0</v>
      </c>
      <c r="I5380" s="61">
        <v>0</v>
      </c>
      <c r="J5380" s="61">
        <f t="shared" si="46"/>
        <v>937.6</v>
      </c>
    </row>
    <row r="5381" spans="1:10" x14ac:dyDescent="0.25">
      <c r="A5381" s="20">
        <v>45808</v>
      </c>
      <c r="B5381" t="str">
        <f>IFERROR(IF(VLOOKUP(C5381,Hoja1!$B$1:$C$6191,2,0)="",_xlfn.XLOOKUP(C5381,Hoja1!$B$2:$B$6191,Hoja1!$A$2:$A$6191),VLOOKUP(C5381,Hoja1!$B$1:$C$6191,2,0)),"No esta en Infor")</f>
        <v>NAC1506</v>
      </c>
      <c r="C5381" t="s">
        <v>364</v>
      </c>
      <c r="D5381" s="61">
        <v>924</v>
      </c>
      <c r="F5381" s="61">
        <v>0</v>
      </c>
      <c r="G5381" s="61">
        <v>0</v>
      </c>
      <c r="H5381" s="61">
        <v>0</v>
      </c>
      <c r="I5381" s="61">
        <v>0</v>
      </c>
      <c r="J5381" s="61">
        <f t="shared" si="46"/>
        <v>924</v>
      </c>
    </row>
    <row r="5382" spans="1:10" x14ac:dyDescent="0.25">
      <c r="A5382" s="20">
        <v>45808</v>
      </c>
      <c r="B5382" t="str">
        <f>IFERROR(IF(VLOOKUP(C5382,Hoja1!$B$1:$C$6191,2,0)="",_xlfn.XLOOKUP(C5382,Hoja1!$B$2:$B$6191,Hoja1!$A$2:$A$6191),VLOOKUP(C5382,Hoja1!$B$1:$C$6191,2,0)),"No esta en Infor")</f>
        <v>NAC1517</v>
      </c>
      <c r="C5382" t="s">
        <v>365</v>
      </c>
      <c r="D5382" s="61">
        <v>59457.9</v>
      </c>
      <c r="F5382" s="61">
        <v>-26</v>
      </c>
      <c r="G5382" s="61">
        <v>5559.95</v>
      </c>
      <c r="H5382" s="61">
        <v>-829.25</v>
      </c>
      <c r="I5382" s="61">
        <v>-710</v>
      </c>
      <c r="J5382" s="61">
        <f t="shared" si="46"/>
        <v>63452.6</v>
      </c>
    </row>
    <row r="5383" spans="1:10" x14ac:dyDescent="0.25">
      <c r="A5383" s="20">
        <v>45808</v>
      </c>
      <c r="B5383" t="str">
        <f>IFERROR(IF(VLOOKUP(C5383,Hoja1!$B$1:$C$6191,2,0)="",_xlfn.XLOOKUP(C5383,Hoja1!$B$2:$B$6191,Hoja1!$A$2:$A$6191),VLOOKUP(C5383,Hoja1!$B$1:$C$6191,2,0)),"No esta en Infor")</f>
        <v>NAC1521</v>
      </c>
      <c r="C5383" t="s">
        <v>593</v>
      </c>
      <c r="D5383" s="61">
        <v>0</v>
      </c>
      <c r="F5383" s="61">
        <v>0</v>
      </c>
      <c r="G5383" s="61">
        <v>0</v>
      </c>
      <c r="H5383" s="61">
        <v>-100</v>
      </c>
      <c r="I5383" s="61">
        <v>0</v>
      </c>
      <c r="J5383" s="61">
        <f t="shared" si="46"/>
        <v>-100</v>
      </c>
    </row>
    <row r="5384" spans="1:10" x14ac:dyDescent="0.25">
      <c r="A5384" s="20">
        <v>45808</v>
      </c>
      <c r="B5384" t="str">
        <f>IFERROR(IF(VLOOKUP(C5384,Hoja1!$B$1:$C$6191,2,0)="",_xlfn.XLOOKUP(C5384,Hoja1!$B$2:$B$6191,Hoja1!$A$2:$A$6191),VLOOKUP(C5384,Hoja1!$B$1:$C$6191,2,0)),"No esta en Infor")</f>
        <v>NAC1522</v>
      </c>
      <c r="C5384" t="s">
        <v>366</v>
      </c>
      <c r="D5384" s="61">
        <v>0</v>
      </c>
      <c r="F5384" s="61">
        <v>502.82</v>
      </c>
      <c r="G5384" s="61">
        <v>0</v>
      </c>
      <c r="H5384" s="61">
        <v>0</v>
      </c>
      <c r="I5384" s="61">
        <v>0</v>
      </c>
      <c r="J5384" s="61">
        <f t="shared" si="46"/>
        <v>502.82</v>
      </c>
    </row>
    <row r="5385" spans="1:10" x14ac:dyDescent="0.25">
      <c r="A5385" s="20">
        <v>45808</v>
      </c>
      <c r="B5385" t="str">
        <f>IFERROR(IF(VLOOKUP(C5385,Hoja1!$B$1:$C$6191,2,0)="",_xlfn.XLOOKUP(C5385,Hoja1!$B$2:$B$6191,Hoja1!$A$2:$A$6191),VLOOKUP(C5385,Hoja1!$B$1:$C$6191,2,0)),"No esta en Infor")</f>
        <v>NAC1528</v>
      </c>
      <c r="C5385" t="s">
        <v>974</v>
      </c>
      <c r="D5385" s="61">
        <v>-20.2</v>
      </c>
      <c r="F5385" s="61">
        <v>232</v>
      </c>
      <c r="G5385" s="61">
        <v>0</v>
      </c>
      <c r="H5385" s="61">
        <v>0</v>
      </c>
      <c r="I5385" s="61">
        <v>0</v>
      </c>
      <c r="J5385" s="61">
        <f t="shared" si="46"/>
        <v>211.8</v>
      </c>
    </row>
    <row r="5386" spans="1:10" x14ac:dyDescent="0.25">
      <c r="A5386" s="20">
        <v>45808</v>
      </c>
      <c r="B5386" t="str">
        <f>IFERROR(IF(VLOOKUP(C5386,Hoja1!$B$1:$C$6191,2,0)="",_xlfn.XLOOKUP(C5386,Hoja1!$B$2:$B$6191,Hoja1!$A$2:$A$6191),VLOOKUP(C5386,Hoja1!$B$1:$C$6191,2,0)),"No esta en Infor")</f>
        <v>NAC1530</v>
      </c>
      <c r="C5386" t="s">
        <v>611</v>
      </c>
      <c r="D5386" s="61">
        <v>492.13</v>
      </c>
      <c r="F5386" s="61">
        <v>284.7</v>
      </c>
      <c r="G5386" s="61">
        <v>0</v>
      </c>
      <c r="H5386" s="61">
        <v>0</v>
      </c>
      <c r="I5386" s="61">
        <v>0</v>
      </c>
      <c r="J5386" s="61">
        <f t="shared" si="46"/>
        <v>776.82999999999993</v>
      </c>
    </row>
    <row r="5387" spans="1:10" x14ac:dyDescent="0.25">
      <c r="A5387" s="20">
        <v>45808</v>
      </c>
      <c r="B5387" t="str">
        <f>IFERROR(IF(VLOOKUP(C5387,Hoja1!$B$1:$C$6191,2,0)="",_xlfn.XLOOKUP(C5387,Hoja1!$B$2:$B$6191,Hoja1!$A$2:$A$6191),VLOOKUP(C5387,Hoja1!$B$1:$C$6191,2,0)),"No esta en Infor")</f>
        <v>NAC1531</v>
      </c>
      <c r="C5387" t="s">
        <v>2821</v>
      </c>
      <c r="D5387" s="61">
        <v>0</v>
      </c>
      <c r="F5387" s="61">
        <v>-447.3</v>
      </c>
      <c r="G5387" s="61">
        <v>0</v>
      </c>
      <c r="H5387" s="61">
        <v>0</v>
      </c>
      <c r="I5387" s="61">
        <v>0</v>
      </c>
      <c r="J5387" s="61">
        <f t="shared" si="46"/>
        <v>-447.3</v>
      </c>
    </row>
    <row r="5388" spans="1:10" x14ac:dyDescent="0.25">
      <c r="A5388" s="20">
        <v>45808</v>
      </c>
      <c r="B5388" t="str">
        <f>IFERROR(IF(VLOOKUP(C5388,Hoja1!$B$1:$C$6191,2,0)="",_xlfn.XLOOKUP(C5388,Hoja1!$B$2:$B$6191,Hoja1!$A$2:$A$6191),VLOOKUP(C5388,Hoja1!$B$1:$C$6191,2,0)),"No esta en Infor")</f>
        <v>NAC1538</v>
      </c>
      <c r="C5388" t="s">
        <v>536</v>
      </c>
      <c r="D5388" s="61">
        <v>1633.16</v>
      </c>
      <c r="F5388" s="61">
        <v>0</v>
      </c>
      <c r="G5388" s="61">
        <v>0</v>
      </c>
      <c r="H5388" s="61">
        <v>0</v>
      </c>
      <c r="I5388" s="61">
        <v>0</v>
      </c>
      <c r="J5388" s="61">
        <f t="shared" si="46"/>
        <v>1633.16</v>
      </c>
    </row>
    <row r="5389" spans="1:10" x14ac:dyDescent="0.25">
      <c r="A5389" s="20">
        <v>45808</v>
      </c>
      <c r="B5389" t="str">
        <f>IFERROR(IF(VLOOKUP(C5389,Hoja1!$B$1:$C$6191,2,0)="",_xlfn.XLOOKUP(C5389,Hoja1!$B$2:$B$6191,Hoja1!$A$2:$A$6191),VLOOKUP(C5389,Hoja1!$B$1:$C$6191,2,0)),"No esta en Infor")</f>
        <v>NAC1539</v>
      </c>
      <c r="C5389" t="s">
        <v>58</v>
      </c>
      <c r="D5389" s="61">
        <v>58755.5</v>
      </c>
      <c r="F5389" s="61">
        <v>0</v>
      </c>
      <c r="G5389" s="61">
        <v>0</v>
      </c>
      <c r="H5389" s="61">
        <v>0</v>
      </c>
      <c r="I5389" s="61">
        <v>0</v>
      </c>
      <c r="J5389" s="61">
        <f t="shared" si="46"/>
        <v>58755.5</v>
      </c>
    </row>
    <row r="5390" spans="1:10" x14ac:dyDescent="0.25">
      <c r="A5390" s="20">
        <v>45808</v>
      </c>
      <c r="B5390" t="str">
        <f>IFERROR(IF(VLOOKUP(C5390,Hoja1!$B$1:$C$6191,2,0)="",_xlfn.XLOOKUP(C5390,Hoja1!$B$2:$B$6191,Hoja1!$A$2:$A$6191),VLOOKUP(C5390,Hoja1!$B$1:$C$6191,2,0)),"No esta en Infor")</f>
        <v>NAC1545</v>
      </c>
      <c r="C5390" t="s">
        <v>769</v>
      </c>
      <c r="D5390" s="61">
        <v>0</v>
      </c>
      <c r="F5390" s="61">
        <v>0</v>
      </c>
      <c r="G5390" s="61">
        <v>4230</v>
      </c>
      <c r="H5390" s="61">
        <v>0</v>
      </c>
      <c r="I5390" s="61">
        <v>0</v>
      </c>
      <c r="J5390" s="61">
        <f t="shared" si="46"/>
        <v>4230</v>
      </c>
    </row>
    <row r="5391" spans="1:10" x14ac:dyDescent="0.25">
      <c r="A5391" s="20">
        <v>45808</v>
      </c>
      <c r="B5391" t="str">
        <f>IFERROR(IF(VLOOKUP(C5391,Hoja1!$B$1:$C$6191,2,0)="",_xlfn.XLOOKUP(C5391,Hoja1!$B$2:$B$6191,Hoja1!$A$2:$A$6191),VLOOKUP(C5391,Hoja1!$B$1:$C$6191,2,0)),"No esta en Infor")</f>
        <v>NAC1574</v>
      </c>
      <c r="C5391" t="s">
        <v>2899</v>
      </c>
      <c r="D5391" s="61">
        <v>6200</v>
      </c>
      <c r="F5391" s="61">
        <v>0</v>
      </c>
      <c r="G5391" s="61">
        <v>0</v>
      </c>
      <c r="H5391" s="61">
        <v>0</v>
      </c>
      <c r="I5391" s="61">
        <v>0</v>
      </c>
      <c r="J5391" s="61">
        <f t="shared" si="46"/>
        <v>6200</v>
      </c>
    </row>
    <row r="5392" spans="1:10" x14ac:dyDescent="0.25">
      <c r="A5392" s="20">
        <v>45808</v>
      </c>
      <c r="B5392" t="str">
        <f>IFERROR(IF(VLOOKUP(C5392,Hoja1!$B$1:$C$6191,2,0)="",_xlfn.XLOOKUP(C5392,Hoja1!$B$2:$B$6191,Hoja1!$A$2:$A$6191),VLOOKUP(C5392,Hoja1!$B$1:$C$6191,2,0)),"No esta en Infor")</f>
        <v>NAC1594</v>
      </c>
      <c r="C5392" t="s">
        <v>791</v>
      </c>
      <c r="D5392" s="61">
        <v>0</v>
      </c>
      <c r="F5392" s="61">
        <v>0</v>
      </c>
      <c r="G5392" s="61">
        <v>625.33000000000004</v>
      </c>
      <c r="H5392" s="61">
        <v>0</v>
      </c>
      <c r="I5392" s="61">
        <v>0</v>
      </c>
      <c r="J5392" s="61">
        <f t="shared" si="46"/>
        <v>625.33000000000004</v>
      </c>
    </row>
    <row r="5393" spans="1:10" x14ac:dyDescent="0.25">
      <c r="A5393" s="20">
        <v>45808</v>
      </c>
      <c r="B5393" t="str">
        <f>IFERROR(IF(VLOOKUP(C5393,Hoja1!$B$1:$C$6191,2,0)="",_xlfn.XLOOKUP(C5393,Hoja1!$B$2:$B$6191,Hoja1!$A$2:$A$6191),VLOOKUP(C5393,Hoja1!$B$1:$C$6191,2,0)),"No esta en Infor")</f>
        <v>NAC1604</v>
      </c>
      <c r="C5393" t="s">
        <v>693</v>
      </c>
      <c r="D5393" s="61">
        <v>26342.01</v>
      </c>
      <c r="F5393" s="61">
        <v>0</v>
      </c>
      <c r="G5393" s="61">
        <v>0</v>
      </c>
      <c r="H5393" s="61">
        <v>0</v>
      </c>
      <c r="I5393" s="61">
        <v>0</v>
      </c>
      <c r="J5393" s="61">
        <f t="shared" si="46"/>
        <v>26342.01</v>
      </c>
    </row>
    <row r="5394" spans="1:10" x14ac:dyDescent="0.25">
      <c r="A5394" s="20">
        <v>45808</v>
      </c>
      <c r="B5394" t="str">
        <f>IFERROR(IF(VLOOKUP(C5394,Hoja1!$B$1:$C$6191,2,0)="",_xlfn.XLOOKUP(C5394,Hoja1!$B$2:$B$6191,Hoja1!$A$2:$A$6191),VLOOKUP(C5394,Hoja1!$B$1:$C$6191,2,0)),"No esta en Infor")</f>
        <v>NAC1606</v>
      </c>
      <c r="C5394" t="s">
        <v>561</v>
      </c>
      <c r="D5394" s="61">
        <v>1048.24</v>
      </c>
      <c r="F5394" s="61">
        <v>0</v>
      </c>
      <c r="G5394" s="61">
        <v>0</v>
      </c>
      <c r="H5394" s="61">
        <v>0</v>
      </c>
      <c r="I5394" s="61">
        <v>0</v>
      </c>
      <c r="J5394" s="61">
        <f t="shared" si="46"/>
        <v>1048.24</v>
      </c>
    </row>
    <row r="5395" spans="1:10" x14ac:dyDescent="0.25">
      <c r="A5395" s="20">
        <v>45808</v>
      </c>
      <c r="B5395" t="str">
        <f>IFERROR(IF(VLOOKUP(C5395,Hoja1!$B$1:$C$6191,2,0)="",_xlfn.XLOOKUP(C5395,Hoja1!$B$2:$B$6191,Hoja1!$A$2:$A$6191),VLOOKUP(C5395,Hoja1!$B$1:$C$6191,2,0)),"No esta en Infor")</f>
        <v>NAC1607</v>
      </c>
      <c r="C5395" t="s">
        <v>668</v>
      </c>
      <c r="D5395" s="61">
        <v>0</v>
      </c>
      <c r="F5395" s="61">
        <v>0</v>
      </c>
      <c r="G5395" s="61">
        <v>0</v>
      </c>
      <c r="H5395" s="61">
        <v>-24.18</v>
      </c>
      <c r="I5395" s="61">
        <v>0</v>
      </c>
      <c r="J5395" s="61">
        <f t="shared" si="46"/>
        <v>-24.18</v>
      </c>
    </row>
    <row r="5396" spans="1:10" x14ac:dyDescent="0.25">
      <c r="A5396" s="20">
        <v>45808</v>
      </c>
      <c r="B5396" t="str">
        <f>IFERROR(IF(VLOOKUP(C5396,Hoja1!$B$1:$C$6191,2,0)="",_xlfn.XLOOKUP(C5396,Hoja1!$B$2:$B$6191,Hoja1!$A$2:$A$6191),VLOOKUP(C5396,Hoja1!$B$1:$C$6191,2,0)),"No esta en Infor")</f>
        <v>NAC1608</v>
      </c>
      <c r="C5396" t="s">
        <v>538</v>
      </c>
      <c r="D5396" s="61">
        <v>1907</v>
      </c>
      <c r="F5396" s="61">
        <v>0</v>
      </c>
      <c r="G5396" s="61">
        <v>1454.92</v>
      </c>
      <c r="H5396" s="61">
        <v>0</v>
      </c>
      <c r="I5396" s="61">
        <v>-370.57</v>
      </c>
      <c r="J5396" s="61">
        <f t="shared" si="46"/>
        <v>2991.35</v>
      </c>
    </row>
    <row r="5397" spans="1:10" x14ac:dyDescent="0.25">
      <c r="A5397" s="20">
        <v>45808</v>
      </c>
      <c r="B5397" t="str">
        <f>IFERROR(IF(VLOOKUP(C5397,Hoja1!$B$1:$C$6191,2,0)="",_xlfn.XLOOKUP(C5397,Hoja1!$B$2:$B$6191,Hoja1!$A$2:$A$6191),VLOOKUP(C5397,Hoja1!$B$1:$C$6191,2,0)),"No esta en Infor")</f>
        <v>NAC1610</v>
      </c>
      <c r="C5397" t="s">
        <v>540</v>
      </c>
      <c r="D5397" s="61">
        <v>33.200000000000003</v>
      </c>
      <c r="F5397" s="61">
        <v>0</v>
      </c>
      <c r="G5397" s="61">
        <v>0</v>
      </c>
      <c r="H5397" s="61">
        <v>0</v>
      </c>
      <c r="I5397" s="61">
        <v>0</v>
      </c>
      <c r="J5397" s="61">
        <f t="shared" si="46"/>
        <v>33.200000000000003</v>
      </c>
    </row>
    <row r="5398" spans="1:10" x14ac:dyDescent="0.25">
      <c r="A5398" s="20">
        <v>45808</v>
      </c>
      <c r="B5398" t="str">
        <f>IFERROR(IF(VLOOKUP(C5398,Hoja1!$B$1:$C$6191,2,0)="",_xlfn.XLOOKUP(C5398,Hoja1!$B$2:$B$6191,Hoja1!$A$2:$A$6191),VLOOKUP(C5398,Hoja1!$B$1:$C$6191,2,0)),"No esta en Infor")</f>
        <v>NAC1611</v>
      </c>
      <c r="C5398" t="s">
        <v>565</v>
      </c>
      <c r="D5398" s="61">
        <v>61079.08</v>
      </c>
      <c r="F5398" s="61">
        <v>0</v>
      </c>
      <c r="G5398" s="61">
        <v>0</v>
      </c>
      <c r="H5398" s="61">
        <v>0</v>
      </c>
      <c r="I5398" s="61">
        <v>-3804.52</v>
      </c>
      <c r="J5398" s="61">
        <f t="shared" si="46"/>
        <v>57274.560000000005</v>
      </c>
    </row>
    <row r="5399" spans="1:10" x14ac:dyDescent="0.25">
      <c r="A5399" s="20">
        <v>45808</v>
      </c>
      <c r="B5399" t="str">
        <f>IFERROR(IF(VLOOKUP(C5399,Hoja1!$B$1:$C$6191,2,0)="",_xlfn.XLOOKUP(C5399,Hoja1!$B$2:$B$6191,Hoja1!$A$2:$A$6191),VLOOKUP(C5399,Hoja1!$B$1:$C$6191,2,0)),"No esta en Infor")</f>
        <v>NAC1615</v>
      </c>
      <c r="C5399" t="s">
        <v>520</v>
      </c>
      <c r="D5399" s="61">
        <v>356.36</v>
      </c>
      <c r="F5399" s="61">
        <v>0</v>
      </c>
      <c r="G5399" s="61">
        <v>0</v>
      </c>
      <c r="H5399" s="61">
        <v>0</v>
      </c>
      <c r="I5399" s="61">
        <v>-252</v>
      </c>
      <c r="J5399" s="61">
        <f t="shared" si="46"/>
        <v>104.36000000000001</v>
      </c>
    </row>
    <row r="5400" spans="1:10" x14ac:dyDescent="0.25">
      <c r="A5400" s="20">
        <v>45808</v>
      </c>
      <c r="B5400" t="str">
        <f>IFERROR(IF(VLOOKUP(C5400,Hoja1!$B$1:$C$6191,2,0)="",_xlfn.XLOOKUP(C5400,Hoja1!$B$2:$B$6191,Hoja1!$A$2:$A$6191),VLOOKUP(C5400,Hoja1!$B$1:$C$6191,2,0)),"No esta en Infor")</f>
        <v>NAC1621</v>
      </c>
      <c r="C5400" t="s">
        <v>792</v>
      </c>
      <c r="D5400" s="61">
        <v>336</v>
      </c>
      <c r="F5400" s="61">
        <v>0</v>
      </c>
      <c r="G5400" s="61">
        <v>0</v>
      </c>
      <c r="H5400" s="61">
        <v>0</v>
      </c>
      <c r="I5400" s="61">
        <v>0</v>
      </c>
      <c r="J5400" s="61">
        <f t="shared" si="46"/>
        <v>336</v>
      </c>
    </row>
    <row r="5401" spans="1:10" x14ac:dyDescent="0.25">
      <c r="A5401" s="20">
        <v>45808</v>
      </c>
      <c r="B5401" t="str">
        <f>IFERROR(IF(VLOOKUP(C5401,Hoja1!$B$1:$C$6191,2,0)="",_xlfn.XLOOKUP(C5401,Hoja1!$B$2:$B$6191,Hoja1!$A$2:$A$6191),VLOOKUP(C5401,Hoja1!$B$1:$C$6191,2,0)),"No esta en Infor")</f>
        <v>NAC1628</v>
      </c>
      <c r="C5401" t="s">
        <v>500</v>
      </c>
      <c r="D5401" s="61">
        <v>0</v>
      </c>
      <c r="F5401" s="61">
        <v>711.06</v>
      </c>
      <c r="G5401" s="61">
        <v>0</v>
      </c>
      <c r="H5401" s="61">
        <v>0</v>
      </c>
      <c r="I5401" s="61">
        <v>0</v>
      </c>
      <c r="J5401" s="61">
        <f t="shared" si="46"/>
        <v>711.06</v>
      </c>
    </row>
    <row r="5402" spans="1:10" x14ac:dyDescent="0.25">
      <c r="A5402" s="20">
        <v>45808</v>
      </c>
      <c r="B5402" t="str">
        <f>IFERROR(IF(VLOOKUP(C5402,Hoja1!$B$1:$C$6191,2,0)="",_xlfn.XLOOKUP(C5402,Hoja1!$B$2:$B$6191,Hoja1!$A$2:$A$6191),VLOOKUP(C5402,Hoja1!$B$1:$C$6191,2,0)),"No esta en Infor")</f>
        <v>NAC1659</v>
      </c>
      <c r="C5402" t="s">
        <v>3028</v>
      </c>
      <c r="D5402" s="61">
        <v>147273</v>
      </c>
      <c r="F5402" s="61">
        <v>0</v>
      </c>
      <c r="G5402" s="61">
        <v>0</v>
      </c>
      <c r="H5402" s="61">
        <v>0</v>
      </c>
      <c r="I5402" s="61">
        <v>0</v>
      </c>
      <c r="J5402" s="61">
        <f t="shared" si="46"/>
        <v>147273</v>
      </c>
    </row>
    <row r="5403" spans="1:10" x14ac:dyDescent="0.25">
      <c r="A5403" s="20">
        <v>45808</v>
      </c>
      <c r="B5403" t="str">
        <f>IFERROR(IF(VLOOKUP(C5403,Hoja1!$B$1:$C$6191,2,0)="",_xlfn.XLOOKUP(C5403,Hoja1!$B$2:$B$6191,Hoja1!$A$2:$A$6191),VLOOKUP(C5403,Hoja1!$B$1:$C$6191,2,0)),"No esta en Infor")</f>
        <v>NAC1666</v>
      </c>
      <c r="C5403" t="s">
        <v>3036</v>
      </c>
      <c r="D5403" s="61">
        <v>40657.199999999997</v>
      </c>
      <c r="F5403" s="61">
        <v>0</v>
      </c>
      <c r="G5403" s="61">
        <v>0</v>
      </c>
      <c r="H5403" s="61">
        <v>0</v>
      </c>
      <c r="I5403" s="61">
        <v>0</v>
      </c>
      <c r="J5403" s="61">
        <f t="shared" ref="J5403:J5405" si="47">SUM(D5403:I5403)</f>
        <v>40657.199999999997</v>
      </c>
    </row>
    <row r="5404" spans="1:10" x14ac:dyDescent="0.25">
      <c r="A5404" s="20">
        <v>45808</v>
      </c>
      <c r="B5404" t="str">
        <f>IFERROR(IF(VLOOKUP(C5404,Hoja1!$B$1:$C$6191,2,0)="",_xlfn.XLOOKUP(C5404,Hoja1!$B$2:$B$6191,Hoja1!$A$2:$A$6191),VLOOKUP(C5404,Hoja1!$B$1:$C$6191,2,0)),"No esta en Infor")</f>
        <v>NAC1667</v>
      </c>
      <c r="C5404" t="s">
        <v>3038</v>
      </c>
      <c r="D5404" s="61">
        <v>4269.38</v>
      </c>
      <c r="F5404" s="61">
        <v>0</v>
      </c>
      <c r="G5404" s="61">
        <v>0</v>
      </c>
      <c r="H5404" s="61">
        <v>0</v>
      </c>
      <c r="I5404" s="61">
        <v>0</v>
      </c>
      <c r="J5404" s="61">
        <f t="shared" si="47"/>
        <v>4269.38</v>
      </c>
    </row>
    <row r="5405" spans="1:10" x14ac:dyDescent="0.25">
      <c r="A5405" s="20">
        <v>45808</v>
      </c>
      <c r="B5405" t="str">
        <f>IFERROR(IF(VLOOKUP(C5405,Hoja1!$B$1:$C$6191,2,0)="",_xlfn.XLOOKUP(C5405,Hoja1!$B$2:$B$6191,Hoja1!$A$2:$A$6191),VLOOKUP(C5405,Hoja1!$B$1:$C$6191,2,0)),"No esta en Infor")</f>
        <v>NAC1724</v>
      </c>
      <c r="C5405" t="s">
        <v>3087</v>
      </c>
      <c r="D5405" s="61">
        <v>1448</v>
      </c>
      <c r="F5405" s="61">
        <v>0</v>
      </c>
      <c r="G5405" s="61">
        <v>0</v>
      </c>
      <c r="H5405" s="61">
        <v>0</v>
      </c>
      <c r="I5405" s="61">
        <v>0</v>
      </c>
      <c r="J5405" s="61">
        <f t="shared" si="47"/>
        <v>1448</v>
      </c>
    </row>
    <row r="5406" spans="1:10" x14ac:dyDescent="0.25">
      <c r="A5406" s="20">
        <v>45838</v>
      </c>
      <c r="B5406" t="s">
        <v>976</v>
      </c>
      <c r="C5406" t="s">
        <v>64</v>
      </c>
      <c r="D5406" s="61">
        <v>16410.43</v>
      </c>
      <c r="F5406" s="61">
        <v>-1491.6</v>
      </c>
      <c r="G5406" s="61">
        <v>0</v>
      </c>
      <c r="H5406" s="61">
        <v>0</v>
      </c>
      <c r="I5406" s="61">
        <v>0</v>
      </c>
      <c r="J5406" s="61">
        <f t="shared" ref="J5406:J5469" si="48">SUM(D5406:I5406)</f>
        <v>14918.83</v>
      </c>
    </row>
    <row r="5407" spans="1:10" x14ac:dyDescent="0.25">
      <c r="A5407" s="20">
        <v>45838</v>
      </c>
      <c r="B5407" t="s">
        <v>977</v>
      </c>
      <c r="C5407" t="s">
        <v>87</v>
      </c>
      <c r="D5407" s="61">
        <v>5090.8900000000003</v>
      </c>
      <c r="F5407" s="61">
        <v>445.22</v>
      </c>
      <c r="G5407" s="61">
        <v>0</v>
      </c>
      <c r="H5407" s="61">
        <v>0</v>
      </c>
      <c r="I5407" s="61">
        <v>547.53</v>
      </c>
      <c r="J5407" s="61">
        <f t="shared" si="48"/>
        <v>6083.64</v>
      </c>
    </row>
    <row r="5408" spans="1:10" x14ac:dyDescent="0.25">
      <c r="A5408" s="20">
        <v>45838</v>
      </c>
      <c r="B5408" t="s">
        <v>978</v>
      </c>
      <c r="C5408" t="s">
        <v>441</v>
      </c>
      <c r="D5408" s="61">
        <v>4475.97</v>
      </c>
      <c r="F5408" s="61">
        <v>0</v>
      </c>
      <c r="G5408" s="61">
        <v>0</v>
      </c>
      <c r="H5408" s="61">
        <v>0</v>
      </c>
      <c r="I5408" s="61">
        <v>0</v>
      </c>
      <c r="J5408" s="61">
        <f t="shared" si="48"/>
        <v>4475.97</v>
      </c>
    </row>
    <row r="5409" spans="1:10" x14ac:dyDescent="0.25">
      <c r="A5409" s="20">
        <v>45838</v>
      </c>
      <c r="B5409" t="s">
        <v>980</v>
      </c>
      <c r="C5409" t="s">
        <v>90</v>
      </c>
      <c r="D5409" s="61">
        <v>63061.51</v>
      </c>
      <c r="F5409" s="61">
        <v>0</v>
      </c>
      <c r="G5409" s="61">
        <v>0</v>
      </c>
      <c r="H5409" s="61">
        <v>0</v>
      </c>
      <c r="I5409" s="61">
        <v>0</v>
      </c>
      <c r="J5409" s="61">
        <f t="shared" si="48"/>
        <v>63061.51</v>
      </c>
    </row>
    <row r="5410" spans="1:10" x14ac:dyDescent="0.25">
      <c r="A5410" s="20">
        <v>45838</v>
      </c>
      <c r="B5410" t="s">
        <v>981</v>
      </c>
      <c r="C5410" t="s">
        <v>17</v>
      </c>
      <c r="D5410" s="61">
        <v>39915.75</v>
      </c>
      <c r="F5410" s="61">
        <v>0</v>
      </c>
      <c r="G5410" s="61">
        <v>0</v>
      </c>
      <c r="H5410" s="61">
        <v>0</v>
      </c>
      <c r="I5410" s="61">
        <v>0</v>
      </c>
      <c r="J5410" s="61">
        <f t="shared" si="48"/>
        <v>39915.75</v>
      </c>
    </row>
    <row r="5411" spans="1:10" x14ac:dyDescent="0.25">
      <c r="A5411" s="20">
        <v>45838</v>
      </c>
      <c r="B5411" t="s">
        <v>987</v>
      </c>
      <c r="C5411" t="s">
        <v>121</v>
      </c>
      <c r="D5411" s="61">
        <v>1300.6400000000001</v>
      </c>
      <c r="F5411" s="61">
        <v>-1494.99</v>
      </c>
      <c r="G5411" s="61">
        <v>2429.6799999999998</v>
      </c>
      <c r="H5411" s="61">
        <v>0</v>
      </c>
      <c r="I5411" s="61">
        <v>3091.68</v>
      </c>
      <c r="J5411" s="61">
        <f t="shared" si="48"/>
        <v>5327.01</v>
      </c>
    </row>
    <row r="5412" spans="1:10" x14ac:dyDescent="0.25">
      <c r="A5412" s="20">
        <v>45838</v>
      </c>
      <c r="B5412" t="s">
        <v>991</v>
      </c>
      <c r="C5412" t="s">
        <v>141</v>
      </c>
      <c r="D5412" s="61">
        <v>5355</v>
      </c>
      <c r="F5412" s="61">
        <v>0</v>
      </c>
      <c r="G5412" s="61">
        <v>0</v>
      </c>
      <c r="H5412" s="61">
        <v>0</v>
      </c>
      <c r="I5412" s="61">
        <v>0</v>
      </c>
      <c r="J5412" s="61">
        <f t="shared" si="48"/>
        <v>5355</v>
      </c>
    </row>
    <row r="5413" spans="1:10" x14ac:dyDescent="0.25">
      <c r="A5413" s="20">
        <v>45838</v>
      </c>
      <c r="B5413" t="s">
        <v>998</v>
      </c>
      <c r="C5413" t="s">
        <v>21</v>
      </c>
      <c r="D5413" s="61">
        <v>0</v>
      </c>
      <c r="F5413" s="61">
        <v>13309.24</v>
      </c>
      <c r="G5413" s="61">
        <v>24032</v>
      </c>
      <c r="H5413" s="61">
        <v>0</v>
      </c>
      <c r="I5413" s="61">
        <v>21588.880000000001</v>
      </c>
      <c r="J5413" s="61">
        <f t="shared" si="48"/>
        <v>58930.119999999995</v>
      </c>
    </row>
    <row r="5414" spans="1:10" x14ac:dyDescent="0.25">
      <c r="A5414" s="20">
        <v>45838</v>
      </c>
      <c r="B5414" t="s">
        <v>999</v>
      </c>
      <c r="C5414" t="s">
        <v>172</v>
      </c>
      <c r="D5414" s="61">
        <v>25342.14</v>
      </c>
      <c r="F5414" s="61">
        <v>0</v>
      </c>
      <c r="G5414" s="61">
        <v>0</v>
      </c>
      <c r="H5414" s="61">
        <v>0</v>
      </c>
      <c r="I5414" s="61">
        <v>0</v>
      </c>
      <c r="J5414" s="61">
        <f t="shared" si="48"/>
        <v>25342.14</v>
      </c>
    </row>
    <row r="5415" spans="1:10" x14ac:dyDescent="0.25">
      <c r="A5415" s="20">
        <v>45838</v>
      </c>
      <c r="B5415" t="s">
        <v>1000</v>
      </c>
      <c r="C5415" t="s">
        <v>174</v>
      </c>
      <c r="D5415" s="61">
        <v>0</v>
      </c>
      <c r="F5415" s="61">
        <v>0</v>
      </c>
      <c r="G5415" s="61">
        <v>-946.26</v>
      </c>
      <c r="H5415" s="61">
        <v>-896.09</v>
      </c>
      <c r="I5415" s="61">
        <v>0</v>
      </c>
      <c r="J5415" s="61">
        <f t="shared" si="48"/>
        <v>-1842.35</v>
      </c>
    </row>
    <row r="5416" spans="1:10" x14ac:dyDescent="0.25">
      <c r="A5416" s="20">
        <v>45838</v>
      </c>
      <c r="B5416" t="s">
        <v>1001</v>
      </c>
      <c r="C5416" t="s">
        <v>180</v>
      </c>
      <c r="D5416" s="61">
        <v>7721.7</v>
      </c>
      <c r="F5416" s="61">
        <v>0</v>
      </c>
      <c r="G5416" s="61">
        <v>0</v>
      </c>
      <c r="H5416" s="61">
        <v>0</v>
      </c>
      <c r="I5416" s="61">
        <v>0</v>
      </c>
      <c r="J5416" s="61">
        <f t="shared" si="48"/>
        <v>7721.7</v>
      </c>
    </row>
    <row r="5417" spans="1:10" x14ac:dyDescent="0.25">
      <c r="A5417" s="20">
        <v>45838</v>
      </c>
      <c r="B5417" t="s">
        <v>1006</v>
      </c>
      <c r="C5417" t="s">
        <v>26</v>
      </c>
      <c r="D5417" s="61">
        <v>-19.25</v>
      </c>
      <c r="F5417" s="61">
        <v>795.2</v>
      </c>
      <c r="G5417" s="61">
        <v>815.29</v>
      </c>
      <c r="H5417" s="61">
        <v>0</v>
      </c>
      <c r="I5417" s="61">
        <v>0</v>
      </c>
      <c r="J5417" s="61">
        <f t="shared" si="48"/>
        <v>1591.24</v>
      </c>
    </row>
    <row r="5418" spans="1:10" x14ac:dyDescent="0.25">
      <c r="A5418" s="20">
        <v>45838</v>
      </c>
      <c r="B5418" t="s">
        <v>1013</v>
      </c>
      <c r="C5418" t="s">
        <v>210</v>
      </c>
      <c r="D5418" s="61">
        <v>95141.67</v>
      </c>
      <c r="F5418" s="61">
        <v>0</v>
      </c>
      <c r="G5418" s="61">
        <v>0</v>
      </c>
      <c r="H5418" s="61">
        <v>0</v>
      </c>
      <c r="I5418" s="61">
        <v>0</v>
      </c>
      <c r="J5418" s="61">
        <f t="shared" si="48"/>
        <v>95141.67</v>
      </c>
    </row>
    <row r="5419" spans="1:10" x14ac:dyDescent="0.25">
      <c r="A5419" s="20">
        <v>45838</v>
      </c>
      <c r="B5419" t="s">
        <v>1020</v>
      </c>
      <c r="C5419" t="s">
        <v>31</v>
      </c>
      <c r="D5419" s="61">
        <v>0</v>
      </c>
      <c r="F5419" s="61">
        <v>0</v>
      </c>
      <c r="G5419" s="61">
        <v>0</v>
      </c>
      <c r="H5419" s="61">
        <v>0</v>
      </c>
      <c r="I5419" s="61">
        <v>374.36</v>
      </c>
      <c r="J5419" s="61">
        <f t="shared" si="48"/>
        <v>374.36</v>
      </c>
    </row>
    <row r="5420" spans="1:10" x14ac:dyDescent="0.25">
      <c r="A5420" s="20">
        <v>45838</v>
      </c>
      <c r="B5420" t="s">
        <v>1022</v>
      </c>
      <c r="C5420" t="s">
        <v>687</v>
      </c>
      <c r="D5420" s="61">
        <v>36078.639999999999</v>
      </c>
      <c r="F5420" s="61">
        <v>0</v>
      </c>
      <c r="G5420" s="61">
        <v>0</v>
      </c>
      <c r="H5420" s="61">
        <v>0</v>
      </c>
      <c r="I5420" s="61">
        <v>-1836.95</v>
      </c>
      <c r="J5420" s="61">
        <f t="shared" si="48"/>
        <v>34241.69</v>
      </c>
    </row>
    <row r="5421" spans="1:10" x14ac:dyDescent="0.25">
      <c r="A5421" s="20">
        <v>45838</v>
      </c>
      <c r="B5421" t="s">
        <v>1023</v>
      </c>
      <c r="C5421" t="s">
        <v>264</v>
      </c>
      <c r="D5421" s="61">
        <v>0</v>
      </c>
      <c r="F5421" s="61">
        <v>0</v>
      </c>
      <c r="G5421" s="61">
        <v>0</v>
      </c>
      <c r="H5421" s="61">
        <v>-1820.63</v>
      </c>
      <c r="I5421" s="61">
        <v>0</v>
      </c>
      <c r="J5421" s="61">
        <f t="shared" si="48"/>
        <v>-1820.63</v>
      </c>
    </row>
    <row r="5422" spans="1:10" x14ac:dyDescent="0.25">
      <c r="A5422" s="20">
        <v>45838</v>
      </c>
      <c r="B5422" t="s">
        <v>1024</v>
      </c>
      <c r="C5422" t="s">
        <v>265</v>
      </c>
      <c r="D5422" s="61">
        <v>5463.96</v>
      </c>
      <c r="F5422" s="61">
        <v>0</v>
      </c>
      <c r="G5422" s="61">
        <v>0</v>
      </c>
      <c r="H5422" s="61">
        <v>0</v>
      </c>
      <c r="I5422" s="61">
        <v>0</v>
      </c>
      <c r="J5422" s="61">
        <f t="shared" si="48"/>
        <v>5463.96</v>
      </c>
    </row>
    <row r="5423" spans="1:10" x14ac:dyDescent="0.25">
      <c r="A5423" s="20">
        <v>45838</v>
      </c>
      <c r="B5423" t="s">
        <v>1031</v>
      </c>
      <c r="C5423" t="s">
        <v>280</v>
      </c>
      <c r="D5423" s="61">
        <v>-3098.48</v>
      </c>
      <c r="F5423" s="61">
        <v>-41.77</v>
      </c>
      <c r="G5423" s="61">
        <v>0</v>
      </c>
      <c r="H5423" s="61">
        <v>0</v>
      </c>
      <c r="I5423" s="61">
        <v>0</v>
      </c>
      <c r="J5423" s="61">
        <f t="shared" si="48"/>
        <v>-3140.25</v>
      </c>
    </row>
    <row r="5424" spans="1:10" x14ac:dyDescent="0.25">
      <c r="A5424" s="20">
        <v>45838</v>
      </c>
      <c r="B5424" t="s">
        <v>1034</v>
      </c>
      <c r="C5424" t="s">
        <v>283</v>
      </c>
      <c r="D5424" s="61">
        <v>470.08</v>
      </c>
      <c r="F5424" s="61">
        <v>-36.53</v>
      </c>
      <c r="G5424" s="61">
        <v>0</v>
      </c>
      <c r="H5424" s="61">
        <v>0</v>
      </c>
      <c r="I5424" s="61">
        <v>0</v>
      </c>
      <c r="J5424" s="61">
        <f t="shared" si="48"/>
        <v>433.54999999999995</v>
      </c>
    </row>
    <row r="5425" spans="1:10" x14ac:dyDescent="0.25">
      <c r="A5425" s="20">
        <v>45838</v>
      </c>
      <c r="B5425" t="s">
        <v>1037</v>
      </c>
      <c r="C5425" t="s">
        <v>567</v>
      </c>
      <c r="D5425" s="61">
        <v>0</v>
      </c>
      <c r="F5425" s="61">
        <v>0</v>
      </c>
      <c r="G5425" s="61">
        <v>0</v>
      </c>
      <c r="H5425" s="61">
        <v>0</v>
      </c>
      <c r="I5425" s="61">
        <v>-12463.9</v>
      </c>
      <c r="J5425" s="61">
        <f t="shared" si="48"/>
        <v>-12463.9</v>
      </c>
    </row>
    <row r="5426" spans="1:10" x14ac:dyDescent="0.25">
      <c r="A5426" s="20">
        <v>45838</v>
      </c>
      <c r="B5426" t="s">
        <v>1038</v>
      </c>
      <c r="C5426" t="s">
        <v>289</v>
      </c>
      <c r="D5426" s="61">
        <v>36069.57</v>
      </c>
      <c r="F5426" s="61">
        <v>0</v>
      </c>
      <c r="G5426" s="61">
        <v>0</v>
      </c>
      <c r="H5426" s="61">
        <v>0</v>
      </c>
      <c r="I5426" s="61">
        <v>0</v>
      </c>
      <c r="J5426" s="61">
        <f t="shared" si="48"/>
        <v>36069.57</v>
      </c>
    </row>
    <row r="5427" spans="1:10" x14ac:dyDescent="0.25">
      <c r="A5427" s="20">
        <v>45838</v>
      </c>
      <c r="B5427" t="s">
        <v>1042</v>
      </c>
      <c r="C5427" t="s">
        <v>302</v>
      </c>
      <c r="D5427" s="61">
        <v>10768</v>
      </c>
      <c r="F5427" s="61">
        <v>1454.69</v>
      </c>
      <c r="G5427" s="61">
        <v>0</v>
      </c>
      <c r="H5427" s="61">
        <v>0</v>
      </c>
      <c r="I5427" s="61">
        <v>0</v>
      </c>
      <c r="J5427" s="61">
        <f t="shared" si="48"/>
        <v>12222.69</v>
      </c>
    </row>
    <row r="5428" spans="1:10" x14ac:dyDescent="0.25">
      <c r="A5428" s="20">
        <v>45838</v>
      </c>
      <c r="B5428" t="s">
        <v>1046</v>
      </c>
      <c r="C5428" t="s">
        <v>590</v>
      </c>
      <c r="D5428" s="61">
        <v>11619.84</v>
      </c>
      <c r="F5428" s="61">
        <v>0</v>
      </c>
      <c r="G5428" s="61">
        <v>0</v>
      </c>
      <c r="H5428" s="61">
        <v>0</v>
      </c>
      <c r="I5428" s="61">
        <v>0</v>
      </c>
      <c r="J5428" s="61">
        <f t="shared" si="48"/>
        <v>11619.84</v>
      </c>
    </row>
    <row r="5429" spans="1:10" x14ac:dyDescent="0.25">
      <c r="A5429" s="20">
        <v>45838</v>
      </c>
      <c r="B5429" t="s">
        <v>1051</v>
      </c>
      <c r="C5429" t="s">
        <v>51</v>
      </c>
      <c r="D5429" s="61">
        <v>9973.7000000000007</v>
      </c>
      <c r="F5429" s="61">
        <v>304.77</v>
      </c>
      <c r="G5429" s="61">
        <v>0</v>
      </c>
      <c r="H5429" s="61">
        <v>0</v>
      </c>
      <c r="I5429" s="61">
        <v>0</v>
      </c>
      <c r="J5429" s="61">
        <f t="shared" si="48"/>
        <v>10278.470000000001</v>
      </c>
    </row>
    <row r="5430" spans="1:10" x14ac:dyDescent="0.25">
      <c r="A5430" s="20">
        <v>45838</v>
      </c>
      <c r="B5430" t="s">
        <v>1061</v>
      </c>
      <c r="C5430" t="s">
        <v>327</v>
      </c>
      <c r="D5430" s="61">
        <v>7966.28</v>
      </c>
      <c r="F5430" s="61">
        <v>0</v>
      </c>
      <c r="G5430" s="61">
        <v>0</v>
      </c>
      <c r="H5430" s="61">
        <v>0</v>
      </c>
      <c r="I5430" s="61">
        <v>0</v>
      </c>
      <c r="J5430" s="61">
        <f t="shared" si="48"/>
        <v>7966.28</v>
      </c>
    </row>
    <row r="5431" spans="1:10" x14ac:dyDescent="0.25">
      <c r="A5431" s="20">
        <v>45838</v>
      </c>
      <c r="B5431" t="s">
        <v>1062</v>
      </c>
      <c r="C5431" t="s">
        <v>330</v>
      </c>
      <c r="D5431" s="61">
        <v>0</v>
      </c>
      <c r="F5431" s="61">
        <v>6977.55</v>
      </c>
      <c r="G5431" s="61">
        <v>-3525.48</v>
      </c>
      <c r="H5431" s="61">
        <v>0</v>
      </c>
      <c r="I5431" s="61">
        <v>0</v>
      </c>
      <c r="J5431" s="61">
        <f t="shared" si="48"/>
        <v>3452.07</v>
      </c>
    </row>
    <row r="5432" spans="1:10" x14ac:dyDescent="0.25">
      <c r="A5432" s="20">
        <v>45838</v>
      </c>
      <c r="B5432" t="s">
        <v>1065</v>
      </c>
      <c r="C5432" t="s">
        <v>340</v>
      </c>
      <c r="D5432" s="61">
        <v>1010</v>
      </c>
      <c r="F5432" s="61">
        <v>0</v>
      </c>
      <c r="G5432" s="61">
        <v>0</v>
      </c>
      <c r="H5432" s="61">
        <v>0</v>
      </c>
      <c r="I5432" s="61">
        <v>540.15</v>
      </c>
      <c r="J5432" s="61">
        <f t="shared" si="48"/>
        <v>1550.15</v>
      </c>
    </row>
    <row r="5433" spans="1:10" x14ac:dyDescent="0.25">
      <c r="A5433" s="20">
        <v>45838</v>
      </c>
      <c r="B5433" t="s">
        <v>1071</v>
      </c>
      <c r="C5433" t="s">
        <v>349</v>
      </c>
      <c r="D5433" s="61">
        <v>2260</v>
      </c>
      <c r="F5433" s="61">
        <v>0</v>
      </c>
      <c r="G5433" s="61">
        <v>777.12</v>
      </c>
      <c r="H5433" s="61">
        <v>0</v>
      </c>
      <c r="I5433" s="61">
        <v>0</v>
      </c>
      <c r="J5433" s="61">
        <f t="shared" si="48"/>
        <v>3037.12</v>
      </c>
    </row>
    <row r="5434" spans="1:10" x14ac:dyDescent="0.25">
      <c r="A5434" s="20">
        <v>45838</v>
      </c>
      <c r="B5434" t="s">
        <v>1072</v>
      </c>
      <c r="C5434" t="s">
        <v>350</v>
      </c>
      <c r="D5434" s="61">
        <v>0</v>
      </c>
      <c r="F5434" s="61">
        <v>274.64</v>
      </c>
      <c r="G5434" s="61">
        <v>0</v>
      </c>
      <c r="H5434" s="61">
        <v>0</v>
      </c>
      <c r="I5434" s="61">
        <v>0</v>
      </c>
      <c r="J5434" s="61">
        <f t="shared" si="48"/>
        <v>274.64</v>
      </c>
    </row>
    <row r="5435" spans="1:10" x14ac:dyDescent="0.25">
      <c r="A5435" s="20">
        <v>45838</v>
      </c>
      <c r="B5435" t="s">
        <v>1081</v>
      </c>
      <c r="C5435" t="s">
        <v>533</v>
      </c>
      <c r="D5435" s="61">
        <v>0</v>
      </c>
      <c r="F5435" s="61">
        <v>0</v>
      </c>
      <c r="G5435" s="61">
        <v>0</v>
      </c>
      <c r="H5435" s="61">
        <v>0</v>
      </c>
      <c r="I5435" s="61">
        <v>-93.6</v>
      </c>
      <c r="J5435" s="61">
        <f t="shared" si="48"/>
        <v>-93.6</v>
      </c>
    </row>
    <row r="5436" spans="1:10" x14ac:dyDescent="0.25">
      <c r="A5436" s="20">
        <v>45838</v>
      </c>
      <c r="B5436" t="s">
        <v>1082</v>
      </c>
      <c r="C5436" t="s">
        <v>431</v>
      </c>
      <c r="D5436" s="61">
        <v>0</v>
      </c>
      <c r="F5436" s="61">
        <v>0</v>
      </c>
      <c r="G5436" s="61">
        <v>0</v>
      </c>
      <c r="H5436" s="61">
        <v>0</v>
      </c>
      <c r="I5436" s="61">
        <v>-257.54000000000002</v>
      </c>
      <c r="J5436" s="61">
        <f t="shared" si="48"/>
        <v>-257.54000000000002</v>
      </c>
    </row>
    <row r="5437" spans="1:10" x14ac:dyDescent="0.25">
      <c r="A5437" s="20">
        <v>45838</v>
      </c>
      <c r="B5437" t="s">
        <v>1084</v>
      </c>
      <c r="C5437" t="s">
        <v>433</v>
      </c>
      <c r="D5437" s="61">
        <v>569.52</v>
      </c>
      <c r="F5437" s="61">
        <v>0</v>
      </c>
      <c r="G5437" s="61">
        <v>0</v>
      </c>
      <c r="H5437" s="61">
        <v>0</v>
      </c>
      <c r="I5437" s="61">
        <v>0</v>
      </c>
      <c r="J5437" s="61">
        <f t="shared" si="48"/>
        <v>569.52</v>
      </c>
    </row>
    <row r="5438" spans="1:10" x14ac:dyDescent="0.25">
      <c r="A5438" s="20">
        <v>45838</v>
      </c>
      <c r="B5438" t="s">
        <v>1090</v>
      </c>
      <c r="C5438" t="s">
        <v>1091</v>
      </c>
      <c r="D5438" s="61">
        <v>0</v>
      </c>
      <c r="F5438" s="61">
        <v>0</v>
      </c>
      <c r="G5438" s="61">
        <v>0</v>
      </c>
      <c r="H5438" s="61">
        <v>3483.79</v>
      </c>
      <c r="I5438" s="61">
        <v>-1847.08</v>
      </c>
      <c r="J5438" s="61">
        <f t="shared" si="48"/>
        <v>1636.71</v>
      </c>
    </row>
    <row r="5439" spans="1:10" x14ac:dyDescent="0.25">
      <c r="A5439" s="20">
        <v>45838</v>
      </c>
      <c r="B5439" t="s">
        <v>1092</v>
      </c>
      <c r="C5439" t="s">
        <v>369</v>
      </c>
      <c r="D5439" s="61">
        <v>1552.5</v>
      </c>
      <c r="F5439" s="61">
        <v>0</v>
      </c>
      <c r="G5439" s="61">
        <v>0</v>
      </c>
      <c r="H5439" s="61">
        <v>0</v>
      </c>
      <c r="I5439" s="61">
        <v>-891</v>
      </c>
      <c r="J5439" s="61">
        <f t="shared" si="48"/>
        <v>661.5</v>
      </c>
    </row>
    <row r="5440" spans="1:10" x14ac:dyDescent="0.25">
      <c r="A5440" s="20">
        <v>45838</v>
      </c>
      <c r="B5440" t="s">
        <v>1095</v>
      </c>
      <c r="C5440" t="s">
        <v>574</v>
      </c>
      <c r="D5440" s="61">
        <v>44549.32</v>
      </c>
      <c r="F5440" s="61">
        <v>-92.4</v>
      </c>
      <c r="G5440" s="61">
        <v>-147.41999999999999</v>
      </c>
      <c r="H5440" s="61">
        <v>0</v>
      </c>
      <c r="I5440" s="61">
        <v>0</v>
      </c>
      <c r="J5440" s="61">
        <f t="shared" si="48"/>
        <v>44309.5</v>
      </c>
    </row>
    <row r="5441" spans="1:10" x14ac:dyDescent="0.25">
      <c r="A5441" s="20">
        <v>45838</v>
      </c>
      <c r="B5441" t="s">
        <v>1096</v>
      </c>
      <c r="C5441" t="s">
        <v>586</v>
      </c>
      <c r="D5441" s="61">
        <v>0</v>
      </c>
      <c r="F5441" s="61">
        <v>0</v>
      </c>
      <c r="G5441" s="61">
        <v>0</v>
      </c>
      <c r="H5441" s="61">
        <v>0</v>
      </c>
      <c r="I5441" s="61">
        <v>-646.09</v>
      </c>
      <c r="J5441" s="61">
        <f t="shared" si="48"/>
        <v>-646.09</v>
      </c>
    </row>
    <row r="5442" spans="1:10" x14ac:dyDescent="0.25">
      <c r="A5442" s="20">
        <v>45838</v>
      </c>
      <c r="B5442" t="s">
        <v>1132</v>
      </c>
      <c r="C5442" t="s">
        <v>10</v>
      </c>
      <c r="D5442" s="61">
        <v>33412.01</v>
      </c>
      <c r="F5442" s="61">
        <v>0</v>
      </c>
      <c r="G5442" s="61">
        <v>0</v>
      </c>
      <c r="H5442" s="61">
        <v>0</v>
      </c>
      <c r="I5442" s="61">
        <v>0</v>
      </c>
      <c r="J5442" s="61">
        <f t="shared" si="48"/>
        <v>33412.01</v>
      </c>
    </row>
    <row r="5443" spans="1:10" x14ac:dyDescent="0.25">
      <c r="A5443" s="20">
        <v>45838</v>
      </c>
      <c r="B5443" t="s">
        <v>1137</v>
      </c>
      <c r="C5443" t="s">
        <v>435</v>
      </c>
      <c r="D5443" s="61">
        <v>362.47</v>
      </c>
      <c r="F5443" s="61">
        <v>0</v>
      </c>
      <c r="G5443" s="61">
        <v>0</v>
      </c>
      <c r="H5443" s="61">
        <v>0</v>
      </c>
      <c r="I5443" s="61">
        <v>0</v>
      </c>
      <c r="J5443" s="61">
        <f t="shared" si="48"/>
        <v>362.47</v>
      </c>
    </row>
    <row r="5444" spans="1:10" x14ac:dyDescent="0.25">
      <c r="A5444" s="20">
        <v>45838</v>
      </c>
      <c r="B5444" t="s">
        <v>1163</v>
      </c>
      <c r="C5444" t="s">
        <v>375</v>
      </c>
      <c r="D5444" s="61">
        <v>0</v>
      </c>
      <c r="F5444" s="61">
        <v>0</v>
      </c>
      <c r="G5444" s="61">
        <v>0</v>
      </c>
      <c r="H5444" s="61">
        <v>-3</v>
      </c>
      <c r="I5444" s="61">
        <v>0</v>
      </c>
      <c r="J5444" s="61">
        <f t="shared" si="48"/>
        <v>-3</v>
      </c>
    </row>
    <row r="5445" spans="1:10" x14ac:dyDescent="0.25">
      <c r="A5445" s="20">
        <v>45838</v>
      </c>
      <c r="B5445" t="s">
        <v>1164</v>
      </c>
      <c r="C5445" t="s">
        <v>63</v>
      </c>
      <c r="D5445" s="61">
        <v>1194.3900000000001</v>
      </c>
      <c r="F5445" s="61">
        <v>0</v>
      </c>
      <c r="G5445" s="61">
        <v>0</v>
      </c>
      <c r="H5445" s="61">
        <v>0</v>
      </c>
      <c r="I5445" s="61">
        <v>0</v>
      </c>
      <c r="J5445" s="61">
        <f t="shared" si="48"/>
        <v>1194.3900000000001</v>
      </c>
    </row>
    <row r="5446" spans="1:10" x14ac:dyDescent="0.25">
      <c r="A5446" s="20">
        <v>45838</v>
      </c>
      <c r="B5446" t="s">
        <v>1165</v>
      </c>
      <c r="C5446" t="s">
        <v>11</v>
      </c>
      <c r="D5446" s="61">
        <v>262493.11</v>
      </c>
      <c r="F5446" s="61">
        <v>5254.04</v>
      </c>
      <c r="G5446" s="61">
        <v>1255.3599999999999</v>
      </c>
      <c r="H5446" s="61">
        <v>0</v>
      </c>
      <c r="I5446" s="61">
        <v>-20.22</v>
      </c>
      <c r="J5446" s="61">
        <f t="shared" si="48"/>
        <v>268982.28999999998</v>
      </c>
    </row>
    <row r="5447" spans="1:10" x14ac:dyDescent="0.25">
      <c r="A5447" s="20">
        <v>45838</v>
      </c>
      <c r="B5447" t="s">
        <v>1178</v>
      </c>
      <c r="C5447" t="s">
        <v>12</v>
      </c>
      <c r="D5447" s="61">
        <v>0</v>
      </c>
      <c r="F5447" s="61">
        <v>0</v>
      </c>
      <c r="G5447" s="61">
        <v>0</v>
      </c>
      <c r="H5447" s="61">
        <v>-146.83000000000001</v>
      </c>
      <c r="I5447" s="61">
        <v>474.11</v>
      </c>
      <c r="J5447" s="61">
        <f t="shared" si="48"/>
        <v>327.27999999999997</v>
      </c>
    </row>
    <row r="5448" spans="1:10" x14ac:dyDescent="0.25">
      <c r="A5448" s="20">
        <v>45838</v>
      </c>
      <c r="B5448" t="s">
        <v>1236</v>
      </c>
      <c r="C5448" t="s">
        <v>377</v>
      </c>
      <c r="D5448" s="61">
        <v>0</v>
      </c>
      <c r="F5448" s="61">
        <v>0</v>
      </c>
      <c r="G5448" s="61">
        <v>0</v>
      </c>
      <c r="H5448" s="61">
        <v>0</v>
      </c>
      <c r="I5448" s="61">
        <v>-220.24</v>
      </c>
      <c r="J5448" s="61">
        <f t="shared" si="48"/>
        <v>-220.24</v>
      </c>
    </row>
    <row r="5449" spans="1:10" x14ac:dyDescent="0.25">
      <c r="A5449" s="20">
        <v>45838</v>
      </c>
      <c r="B5449" t="s">
        <v>1246</v>
      </c>
      <c r="C5449" t="s">
        <v>68</v>
      </c>
      <c r="D5449" s="61">
        <v>16905.150000000001</v>
      </c>
      <c r="F5449" s="61">
        <v>0</v>
      </c>
      <c r="G5449" s="61">
        <v>0</v>
      </c>
      <c r="H5449" s="61">
        <v>0</v>
      </c>
      <c r="I5449" s="61">
        <v>0</v>
      </c>
      <c r="J5449" s="61">
        <f t="shared" si="48"/>
        <v>16905.150000000001</v>
      </c>
    </row>
    <row r="5450" spans="1:10" x14ac:dyDescent="0.25">
      <c r="A5450" s="20">
        <v>45838</v>
      </c>
      <c r="B5450" t="s">
        <v>1254</v>
      </c>
      <c r="C5450" t="s">
        <v>71</v>
      </c>
      <c r="D5450" s="61">
        <v>0</v>
      </c>
      <c r="F5450" s="61">
        <v>8365.36</v>
      </c>
      <c r="G5450" s="61">
        <v>0</v>
      </c>
      <c r="H5450" s="61">
        <v>0</v>
      </c>
      <c r="I5450" s="61">
        <v>0</v>
      </c>
      <c r="J5450" s="61">
        <f t="shared" si="48"/>
        <v>8365.36</v>
      </c>
    </row>
    <row r="5451" spans="1:10" x14ac:dyDescent="0.25">
      <c r="A5451" s="20">
        <v>45838</v>
      </c>
      <c r="B5451" t="s">
        <v>1258</v>
      </c>
      <c r="C5451" t="s">
        <v>76</v>
      </c>
      <c r="D5451" s="61">
        <v>-400</v>
      </c>
      <c r="F5451" s="61">
        <v>0</v>
      </c>
      <c r="G5451" s="61">
        <v>0</v>
      </c>
      <c r="H5451" s="61">
        <v>0</v>
      </c>
      <c r="I5451" s="61">
        <v>0</v>
      </c>
      <c r="J5451" s="61">
        <f t="shared" si="48"/>
        <v>-400</v>
      </c>
    </row>
    <row r="5452" spans="1:10" x14ac:dyDescent="0.25">
      <c r="A5452" s="20">
        <v>45838</v>
      </c>
      <c r="B5452" t="s">
        <v>1264</v>
      </c>
      <c r="C5452" t="s">
        <v>612</v>
      </c>
      <c r="D5452" s="61">
        <v>0</v>
      </c>
      <c r="F5452" s="61">
        <v>0</v>
      </c>
      <c r="G5452" s="61">
        <v>663.05</v>
      </c>
      <c r="H5452" s="61">
        <v>-92.32</v>
      </c>
      <c r="I5452" s="61">
        <v>0</v>
      </c>
      <c r="J5452" s="61">
        <f t="shared" si="48"/>
        <v>570.73</v>
      </c>
    </row>
    <row r="5453" spans="1:10" x14ac:dyDescent="0.25">
      <c r="A5453" s="20">
        <v>45838</v>
      </c>
      <c r="B5453" t="s">
        <v>1265</v>
      </c>
      <c r="C5453" t="s">
        <v>381</v>
      </c>
      <c r="D5453" s="61">
        <v>520</v>
      </c>
      <c r="F5453" s="61">
        <v>0</v>
      </c>
      <c r="G5453" s="61">
        <v>0</v>
      </c>
      <c r="H5453" s="61">
        <v>0</v>
      </c>
      <c r="I5453" s="61">
        <v>0</v>
      </c>
      <c r="J5453" s="61">
        <f t="shared" si="48"/>
        <v>520</v>
      </c>
    </row>
    <row r="5454" spans="1:10" x14ac:dyDescent="0.25">
      <c r="A5454" s="20">
        <v>45838</v>
      </c>
      <c r="B5454" t="s">
        <v>1270</v>
      </c>
      <c r="C5454" t="s">
        <v>13</v>
      </c>
      <c r="D5454" s="61">
        <v>1896.8</v>
      </c>
      <c r="F5454" s="61">
        <v>0</v>
      </c>
      <c r="G5454" s="61">
        <v>0</v>
      </c>
      <c r="H5454" s="61">
        <v>0</v>
      </c>
      <c r="I5454" s="61">
        <v>0</v>
      </c>
      <c r="J5454" s="61">
        <f t="shared" si="48"/>
        <v>1896.8</v>
      </c>
    </row>
    <row r="5455" spans="1:10" x14ac:dyDescent="0.25">
      <c r="A5455" s="20">
        <v>45838</v>
      </c>
      <c r="B5455" t="s">
        <v>1281</v>
      </c>
      <c r="C5455" t="s">
        <v>82</v>
      </c>
      <c r="D5455" s="61">
        <v>0</v>
      </c>
      <c r="F5455" s="61">
        <v>0</v>
      </c>
      <c r="G5455" s="61">
        <v>80</v>
      </c>
      <c r="H5455" s="61">
        <v>0</v>
      </c>
      <c r="I5455" s="61">
        <v>0</v>
      </c>
      <c r="J5455" s="61">
        <f t="shared" si="48"/>
        <v>80</v>
      </c>
    </row>
    <row r="5456" spans="1:10" x14ac:dyDescent="0.25">
      <c r="A5456" s="20">
        <v>45838</v>
      </c>
      <c r="B5456" t="s">
        <v>1284</v>
      </c>
      <c r="C5456" t="s">
        <v>83</v>
      </c>
      <c r="D5456" s="61">
        <v>2012</v>
      </c>
      <c r="F5456" s="61">
        <v>0</v>
      </c>
      <c r="G5456" s="61">
        <v>0</v>
      </c>
      <c r="H5456" s="61">
        <v>0</v>
      </c>
      <c r="I5456" s="61">
        <v>0</v>
      </c>
      <c r="J5456" s="61">
        <f t="shared" si="48"/>
        <v>2012</v>
      </c>
    </row>
    <row r="5457" spans="1:10" x14ac:dyDescent="0.25">
      <c r="A5457" s="20">
        <v>45838</v>
      </c>
      <c r="B5457" t="s">
        <v>1291</v>
      </c>
      <c r="C5457" t="s">
        <v>84</v>
      </c>
      <c r="D5457" s="61">
        <v>50822.52</v>
      </c>
      <c r="F5457" s="61">
        <v>0</v>
      </c>
      <c r="G5457" s="61">
        <v>0</v>
      </c>
      <c r="H5457" s="61">
        <v>0</v>
      </c>
      <c r="I5457" s="61">
        <v>0</v>
      </c>
      <c r="J5457" s="61">
        <f t="shared" si="48"/>
        <v>50822.52</v>
      </c>
    </row>
    <row r="5458" spans="1:10" x14ac:dyDescent="0.25">
      <c r="A5458" s="20">
        <v>45838</v>
      </c>
      <c r="B5458" t="s">
        <v>1301</v>
      </c>
      <c r="C5458" t="s">
        <v>14</v>
      </c>
      <c r="D5458" s="61">
        <v>176</v>
      </c>
      <c r="F5458" s="61">
        <v>-226.8</v>
      </c>
      <c r="G5458" s="61">
        <v>2739.13</v>
      </c>
      <c r="H5458" s="61">
        <v>0</v>
      </c>
      <c r="I5458" s="61">
        <v>0</v>
      </c>
      <c r="J5458" s="61">
        <f t="shared" si="48"/>
        <v>2688.33</v>
      </c>
    </row>
    <row r="5459" spans="1:10" x14ac:dyDescent="0.25">
      <c r="A5459" s="20">
        <v>45838</v>
      </c>
      <c r="B5459" t="s">
        <v>1304</v>
      </c>
      <c r="C5459" t="s">
        <v>86</v>
      </c>
      <c r="D5459" s="61">
        <v>15874.85</v>
      </c>
      <c r="F5459" s="61">
        <v>0</v>
      </c>
      <c r="G5459" s="61">
        <v>0</v>
      </c>
      <c r="H5459" s="61">
        <v>0</v>
      </c>
      <c r="I5459" s="61">
        <v>0</v>
      </c>
      <c r="J5459" s="61">
        <f t="shared" si="48"/>
        <v>15874.85</v>
      </c>
    </row>
    <row r="5460" spans="1:10" x14ac:dyDescent="0.25">
      <c r="A5460" s="20">
        <v>45838</v>
      </c>
      <c r="B5460" t="s">
        <v>1321</v>
      </c>
      <c r="C5460" t="s">
        <v>541</v>
      </c>
      <c r="D5460" s="61">
        <v>0</v>
      </c>
      <c r="F5460" s="61">
        <v>0</v>
      </c>
      <c r="G5460" s="61">
        <v>0</v>
      </c>
      <c r="H5460" s="61">
        <v>-608.84</v>
      </c>
      <c r="I5460" s="61">
        <v>0</v>
      </c>
      <c r="J5460" s="61">
        <f t="shared" si="48"/>
        <v>-608.84</v>
      </c>
    </row>
    <row r="5461" spans="1:10" x14ac:dyDescent="0.25">
      <c r="A5461" s="20">
        <v>45838</v>
      </c>
      <c r="B5461" t="s">
        <v>1330</v>
      </c>
      <c r="C5461" t="s">
        <v>15</v>
      </c>
      <c r="D5461" s="61">
        <v>3626.04</v>
      </c>
      <c r="F5461" s="61">
        <v>543.83000000000004</v>
      </c>
      <c r="G5461" s="61">
        <v>0</v>
      </c>
      <c r="H5461" s="61">
        <v>254</v>
      </c>
      <c r="I5461" s="61">
        <v>283.5</v>
      </c>
      <c r="J5461" s="61">
        <f t="shared" si="48"/>
        <v>4707.37</v>
      </c>
    </row>
    <row r="5462" spans="1:10" x14ac:dyDescent="0.25">
      <c r="A5462" s="20">
        <v>45838</v>
      </c>
      <c r="B5462" t="s">
        <v>1346</v>
      </c>
      <c r="C5462" t="s">
        <v>385</v>
      </c>
      <c r="D5462" s="61">
        <v>-996</v>
      </c>
      <c r="F5462" s="61">
        <v>0</v>
      </c>
      <c r="G5462" s="61">
        <v>-188.56</v>
      </c>
      <c r="H5462" s="61">
        <v>0</v>
      </c>
      <c r="I5462" s="61">
        <v>0</v>
      </c>
      <c r="J5462" s="61">
        <f t="shared" si="48"/>
        <v>-1184.56</v>
      </c>
    </row>
    <row r="5463" spans="1:10" x14ac:dyDescent="0.25">
      <c r="A5463" s="20">
        <v>45838</v>
      </c>
      <c r="B5463" t="s">
        <v>1350</v>
      </c>
      <c r="C5463" t="s">
        <v>893</v>
      </c>
      <c r="D5463" s="61">
        <v>-880</v>
      </c>
      <c r="F5463" s="61">
        <v>0</v>
      </c>
      <c r="G5463" s="61">
        <v>0</v>
      </c>
      <c r="H5463" s="61">
        <v>0</v>
      </c>
      <c r="I5463" s="61">
        <v>0</v>
      </c>
      <c r="J5463" s="61">
        <f t="shared" si="48"/>
        <v>-880</v>
      </c>
    </row>
    <row r="5464" spans="1:10" x14ac:dyDescent="0.25">
      <c r="A5464" s="20">
        <v>45838</v>
      </c>
      <c r="B5464" t="s">
        <v>1361</v>
      </c>
      <c r="C5464" t="s">
        <v>894</v>
      </c>
      <c r="D5464" s="61">
        <v>0</v>
      </c>
      <c r="F5464" s="61">
        <v>580.66</v>
      </c>
      <c r="G5464" s="61">
        <v>0</v>
      </c>
      <c r="H5464" s="61">
        <v>0</v>
      </c>
      <c r="I5464" s="61">
        <v>0</v>
      </c>
      <c r="J5464" s="61">
        <f t="shared" si="48"/>
        <v>580.66</v>
      </c>
    </row>
    <row r="5465" spans="1:10" x14ac:dyDescent="0.25">
      <c r="A5465" s="20">
        <v>45838</v>
      </c>
      <c r="B5465" t="s">
        <v>1362</v>
      </c>
      <c r="C5465" t="s">
        <v>94</v>
      </c>
      <c r="D5465" s="61">
        <v>7351.5</v>
      </c>
      <c r="F5465" s="61">
        <v>0</v>
      </c>
      <c r="G5465" s="61">
        <v>0</v>
      </c>
      <c r="H5465" s="61">
        <v>0</v>
      </c>
      <c r="I5465" s="61">
        <v>0</v>
      </c>
      <c r="J5465" s="61">
        <f t="shared" si="48"/>
        <v>7351.5</v>
      </c>
    </row>
    <row r="5466" spans="1:10" x14ac:dyDescent="0.25">
      <c r="A5466" s="20">
        <v>45838</v>
      </c>
      <c r="B5466" t="s">
        <v>1380</v>
      </c>
      <c r="C5466" t="s">
        <v>97</v>
      </c>
      <c r="D5466" s="61">
        <v>0</v>
      </c>
      <c r="F5466" s="61">
        <v>-149.30000000000001</v>
      </c>
      <c r="G5466" s="61">
        <v>0</v>
      </c>
      <c r="H5466" s="61">
        <v>0</v>
      </c>
      <c r="I5466" s="61">
        <v>0</v>
      </c>
      <c r="J5466" s="61">
        <f t="shared" si="48"/>
        <v>-149.30000000000001</v>
      </c>
    </row>
    <row r="5467" spans="1:10" x14ac:dyDescent="0.25">
      <c r="A5467" s="20">
        <v>45838</v>
      </c>
      <c r="B5467" t="s">
        <v>1389</v>
      </c>
      <c r="C5467" t="s">
        <v>16</v>
      </c>
      <c r="D5467" s="61">
        <v>48141.68</v>
      </c>
      <c r="F5467" s="61">
        <v>4667.5</v>
      </c>
      <c r="G5467" s="61">
        <v>0</v>
      </c>
      <c r="H5467" s="61">
        <v>0</v>
      </c>
      <c r="I5467" s="61">
        <v>0</v>
      </c>
      <c r="J5467" s="61">
        <f t="shared" si="48"/>
        <v>52809.18</v>
      </c>
    </row>
    <row r="5468" spans="1:10" x14ac:dyDescent="0.25">
      <c r="A5468" s="20">
        <v>45838</v>
      </c>
      <c r="B5468" t="s">
        <v>1392</v>
      </c>
      <c r="C5468" t="s">
        <v>100</v>
      </c>
      <c r="D5468" s="61">
        <v>61054.37</v>
      </c>
      <c r="F5468" s="61">
        <v>0</v>
      </c>
      <c r="G5468" s="61">
        <v>0</v>
      </c>
      <c r="H5468" s="61">
        <v>0</v>
      </c>
      <c r="I5468" s="61">
        <v>0</v>
      </c>
      <c r="J5468" s="61">
        <f t="shared" si="48"/>
        <v>61054.37</v>
      </c>
    </row>
    <row r="5469" spans="1:10" x14ac:dyDescent="0.25">
      <c r="A5469" s="20">
        <v>45838</v>
      </c>
      <c r="B5469" t="s">
        <v>1393</v>
      </c>
      <c r="C5469" t="s">
        <v>101</v>
      </c>
      <c r="D5469" s="61">
        <v>2179.63</v>
      </c>
      <c r="F5469" s="61">
        <v>0</v>
      </c>
      <c r="G5469" s="61">
        <v>909.47</v>
      </c>
      <c r="H5469" s="61">
        <v>0</v>
      </c>
      <c r="I5469" s="61">
        <v>-81.599999999999994</v>
      </c>
      <c r="J5469" s="61">
        <f t="shared" si="48"/>
        <v>3007.5000000000005</v>
      </c>
    </row>
    <row r="5470" spans="1:10" x14ac:dyDescent="0.25">
      <c r="A5470" s="20">
        <v>45838</v>
      </c>
      <c r="B5470" t="s">
        <v>1394</v>
      </c>
      <c r="C5470" t="s">
        <v>102</v>
      </c>
      <c r="D5470" s="61">
        <v>8621.5</v>
      </c>
      <c r="F5470" s="61">
        <v>0</v>
      </c>
      <c r="G5470" s="61">
        <v>0</v>
      </c>
      <c r="H5470" s="61">
        <v>0</v>
      </c>
      <c r="I5470" s="61">
        <v>0</v>
      </c>
      <c r="J5470" s="61">
        <f t="shared" ref="J5470:J5533" si="49">SUM(D5470:I5470)</f>
        <v>8621.5</v>
      </c>
    </row>
    <row r="5471" spans="1:10" x14ac:dyDescent="0.25">
      <c r="A5471" s="20">
        <v>45838</v>
      </c>
      <c r="B5471" t="s">
        <v>1410</v>
      </c>
      <c r="C5471" t="s">
        <v>105</v>
      </c>
      <c r="D5471" s="61">
        <v>235.36</v>
      </c>
      <c r="F5471" s="61">
        <v>0</v>
      </c>
      <c r="G5471" s="61">
        <v>6.51</v>
      </c>
      <c r="H5471" s="61">
        <v>0</v>
      </c>
      <c r="I5471" s="61">
        <v>-231</v>
      </c>
      <c r="J5471" s="61">
        <f t="shared" si="49"/>
        <v>10.870000000000005</v>
      </c>
    </row>
    <row r="5472" spans="1:10" x14ac:dyDescent="0.25">
      <c r="A5472" s="20">
        <v>45838</v>
      </c>
      <c r="B5472" t="s">
        <v>1424</v>
      </c>
      <c r="C5472" t="s">
        <v>108</v>
      </c>
      <c r="D5472" s="61">
        <v>0</v>
      </c>
      <c r="F5472" s="61">
        <v>1570.98</v>
      </c>
      <c r="G5472" s="61">
        <v>1233.6300000000001</v>
      </c>
      <c r="H5472" s="61">
        <v>0</v>
      </c>
      <c r="I5472" s="61">
        <v>0</v>
      </c>
      <c r="J5472" s="61">
        <f t="shared" si="49"/>
        <v>2804.61</v>
      </c>
    </row>
    <row r="5473" spans="1:10" x14ac:dyDescent="0.25">
      <c r="A5473" s="20">
        <v>45838</v>
      </c>
      <c r="B5473" t="s">
        <v>1465</v>
      </c>
      <c r="C5473" t="s">
        <v>114</v>
      </c>
      <c r="D5473" s="61">
        <v>0</v>
      </c>
      <c r="F5473" s="61">
        <v>4030</v>
      </c>
      <c r="G5473" s="61">
        <v>0</v>
      </c>
      <c r="H5473" s="61">
        <v>0</v>
      </c>
      <c r="I5473" s="61">
        <v>0</v>
      </c>
      <c r="J5473" s="61">
        <f t="shared" si="49"/>
        <v>4030</v>
      </c>
    </row>
    <row r="5474" spans="1:10" x14ac:dyDescent="0.25">
      <c r="A5474" s="20">
        <v>45838</v>
      </c>
      <c r="B5474" t="s">
        <v>1479</v>
      </c>
      <c r="C5474" t="s">
        <v>117</v>
      </c>
      <c r="D5474" s="61">
        <v>0</v>
      </c>
      <c r="F5474" s="61">
        <v>-4400.8</v>
      </c>
      <c r="G5474" s="61">
        <v>0</v>
      </c>
      <c r="H5474" s="61">
        <v>0</v>
      </c>
      <c r="I5474" s="61">
        <v>0</v>
      </c>
      <c r="J5474" s="61">
        <f t="shared" si="49"/>
        <v>-4400.8</v>
      </c>
    </row>
    <row r="5475" spans="1:10" x14ac:dyDescent="0.25">
      <c r="A5475" s="20">
        <v>45838</v>
      </c>
      <c r="B5475" t="s">
        <v>1480</v>
      </c>
      <c r="C5475" t="s">
        <v>118</v>
      </c>
      <c r="D5475" s="61">
        <v>16381</v>
      </c>
      <c r="F5475" s="61">
        <v>0</v>
      </c>
      <c r="G5475" s="61">
        <v>-630</v>
      </c>
      <c r="H5475" s="61">
        <v>0</v>
      </c>
      <c r="I5475" s="61">
        <v>0</v>
      </c>
      <c r="J5475" s="61">
        <f t="shared" si="49"/>
        <v>15751</v>
      </c>
    </row>
    <row r="5476" spans="1:10" x14ac:dyDescent="0.25">
      <c r="A5476" s="20">
        <v>45838</v>
      </c>
      <c r="B5476" t="s">
        <v>1485</v>
      </c>
      <c r="C5476" t="s">
        <v>119</v>
      </c>
      <c r="D5476" s="61">
        <v>1648.6</v>
      </c>
      <c r="F5476" s="61">
        <v>0</v>
      </c>
      <c r="G5476" s="61">
        <v>0</v>
      </c>
      <c r="H5476" s="61">
        <v>0</v>
      </c>
      <c r="I5476" s="61">
        <v>0</v>
      </c>
      <c r="J5476" s="61">
        <f t="shared" si="49"/>
        <v>1648.6</v>
      </c>
    </row>
    <row r="5477" spans="1:10" x14ac:dyDescent="0.25">
      <c r="A5477" s="20">
        <v>45838</v>
      </c>
      <c r="B5477" t="s">
        <v>1489</v>
      </c>
      <c r="C5477" t="s">
        <v>122</v>
      </c>
      <c r="D5477" s="61">
        <v>5938.6</v>
      </c>
      <c r="F5477" s="61">
        <v>0</v>
      </c>
      <c r="G5477" s="61">
        <v>0</v>
      </c>
      <c r="H5477" s="61">
        <v>6862</v>
      </c>
      <c r="I5477" s="61">
        <v>0</v>
      </c>
      <c r="J5477" s="61">
        <f t="shared" si="49"/>
        <v>12800.6</v>
      </c>
    </row>
    <row r="5478" spans="1:10" x14ac:dyDescent="0.25">
      <c r="A5478" s="20">
        <v>45838</v>
      </c>
      <c r="B5478" t="s">
        <v>1490</v>
      </c>
      <c r="C5478" t="s">
        <v>390</v>
      </c>
      <c r="D5478" s="61">
        <v>0</v>
      </c>
      <c r="F5478" s="61">
        <v>982.62</v>
      </c>
      <c r="G5478" s="61">
        <v>0</v>
      </c>
      <c r="H5478" s="61">
        <v>0</v>
      </c>
      <c r="I5478" s="61">
        <v>0</v>
      </c>
      <c r="J5478" s="61">
        <f t="shared" si="49"/>
        <v>982.62</v>
      </c>
    </row>
    <row r="5479" spans="1:10" x14ac:dyDescent="0.25">
      <c r="A5479" s="20">
        <v>45838</v>
      </c>
      <c r="B5479" t="s">
        <v>1505</v>
      </c>
      <c r="C5479" t="s">
        <v>127</v>
      </c>
      <c r="D5479" s="61">
        <v>704</v>
      </c>
      <c r="F5479" s="61">
        <v>0</v>
      </c>
      <c r="G5479" s="61">
        <v>0</v>
      </c>
      <c r="H5479" s="61">
        <v>0</v>
      </c>
      <c r="I5479" s="61">
        <v>0</v>
      </c>
      <c r="J5479" s="61">
        <f t="shared" si="49"/>
        <v>704</v>
      </c>
    </row>
    <row r="5480" spans="1:10" x14ac:dyDescent="0.25">
      <c r="A5480" s="20">
        <v>45838</v>
      </c>
      <c r="B5480" t="s">
        <v>1544</v>
      </c>
      <c r="C5480" t="s">
        <v>138</v>
      </c>
      <c r="D5480" s="61">
        <v>2818.8</v>
      </c>
      <c r="F5480" s="61">
        <v>236</v>
      </c>
      <c r="G5480" s="61">
        <v>0</v>
      </c>
      <c r="H5480" s="61">
        <v>0</v>
      </c>
      <c r="I5480" s="61">
        <v>0</v>
      </c>
      <c r="J5480" s="61">
        <f t="shared" si="49"/>
        <v>3054.8</v>
      </c>
    </row>
    <row r="5481" spans="1:10" x14ac:dyDescent="0.25">
      <c r="A5481" s="20">
        <v>45838</v>
      </c>
      <c r="B5481" t="s">
        <v>1553</v>
      </c>
      <c r="C5481" t="s">
        <v>140</v>
      </c>
      <c r="D5481" s="61">
        <v>2015</v>
      </c>
      <c r="F5481" s="61">
        <v>0</v>
      </c>
      <c r="G5481" s="61">
        <v>-784</v>
      </c>
      <c r="H5481" s="61">
        <v>0</v>
      </c>
      <c r="I5481" s="61">
        <v>0</v>
      </c>
      <c r="J5481" s="61">
        <f t="shared" si="49"/>
        <v>1231</v>
      </c>
    </row>
    <row r="5482" spans="1:10" x14ac:dyDescent="0.25">
      <c r="A5482" s="20">
        <v>45838</v>
      </c>
      <c r="B5482" t="s">
        <v>1581</v>
      </c>
      <c r="C5482" t="s">
        <v>147</v>
      </c>
      <c r="D5482" s="61">
        <v>23224</v>
      </c>
      <c r="F5482" s="61">
        <v>0</v>
      </c>
      <c r="G5482" s="61">
        <v>0</v>
      </c>
      <c r="H5482" s="61">
        <v>0</v>
      </c>
      <c r="I5482" s="61">
        <v>0</v>
      </c>
      <c r="J5482" s="61">
        <f t="shared" si="49"/>
        <v>23224</v>
      </c>
    </row>
    <row r="5483" spans="1:10" x14ac:dyDescent="0.25">
      <c r="A5483" s="20">
        <v>45838</v>
      </c>
      <c r="B5483" t="s">
        <v>1586</v>
      </c>
      <c r="C5483" t="s">
        <v>148</v>
      </c>
      <c r="D5483" s="61">
        <v>0</v>
      </c>
      <c r="F5483" s="61">
        <v>0</v>
      </c>
      <c r="G5483" s="61">
        <v>0</v>
      </c>
      <c r="H5483" s="61">
        <v>0</v>
      </c>
      <c r="I5483" s="61">
        <v>316</v>
      </c>
      <c r="J5483" s="61">
        <f t="shared" si="49"/>
        <v>316</v>
      </c>
    </row>
    <row r="5484" spans="1:10" x14ac:dyDescent="0.25">
      <c r="A5484" s="20">
        <v>45838</v>
      </c>
      <c r="B5484" t="s">
        <v>1600</v>
      </c>
      <c r="C5484" t="s">
        <v>150</v>
      </c>
      <c r="D5484" s="61">
        <v>653.1</v>
      </c>
      <c r="F5484" s="61">
        <v>0</v>
      </c>
      <c r="G5484" s="61">
        <v>0</v>
      </c>
      <c r="H5484" s="61">
        <v>0</v>
      </c>
      <c r="I5484" s="61">
        <v>0</v>
      </c>
      <c r="J5484" s="61">
        <f t="shared" si="49"/>
        <v>653.1</v>
      </c>
    </row>
    <row r="5485" spans="1:10" x14ac:dyDescent="0.25">
      <c r="A5485" s="20">
        <v>45838</v>
      </c>
      <c r="B5485" t="s">
        <v>1626</v>
      </c>
      <c r="C5485" t="s">
        <v>581</v>
      </c>
      <c r="D5485" s="61">
        <v>0</v>
      </c>
      <c r="F5485" s="61">
        <v>0</v>
      </c>
      <c r="G5485" s="61">
        <v>0</v>
      </c>
      <c r="H5485" s="61">
        <v>-16.100000000000001</v>
      </c>
      <c r="I5485" s="61">
        <v>0</v>
      </c>
      <c r="J5485" s="61">
        <f t="shared" si="49"/>
        <v>-16.100000000000001</v>
      </c>
    </row>
    <row r="5486" spans="1:10" x14ac:dyDescent="0.25">
      <c r="A5486" s="20">
        <v>45838</v>
      </c>
      <c r="B5486" t="s">
        <v>1627</v>
      </c>
      <c r="C5486" t="s">
        <v>907</v>
      </c>
      <c r="D5486" s="61">
        <v>0</v>
      </c>
      <c r="F5486" s="61">
        <v>3250</v>
      </c>
      <c r="G5486" s="61">
        <v>0</v>
      </c>
      <c r="H5486" s="61">
        <v>0</v>
      </c>
      <c r="I5486" s="61">
        <v>0</v>
      </c>
      <c r="J5486" s="61">
        <f t="shared" si="49"/>
        <v>3250</v>
      </c>
    </row>
    <row r="5487" spans="1:10" x14ac:dyDescent="0.25">
      <c r="A5487" s="20">
        <v>45838</v>
      </c>
      <c r="B5487" t="s">
        <v>1640</v>
      </c>
      <c r="C5487" t="s">
        <v>155</v>
      </c>
      <c r="D5487" s="61">
        <v>995.3</v>
      </c>
      <c r="F5487" s="61">
        <v>-23578.65</v>
      </c>
      <c r="G5487" s="61">
        <v>0</v>
      </c>
      <c r="H5487" s="61">
        <v>0</v>
      </c>
      <c r="I5487" s="61">
        <v>-21365.9</v>
      </c>
      <c r="J5487" s="61">
        <f t="shared" si="49"/>
        <v>-43949.25</v>
      </c>
    </row>
    <row r="5488" spans="1:10" x14ac:dyDescent="0.25">
      <c r="A5488" s="20">
        <v>45838</v>
      </c>
      <c r="B5488" t="s">
        <v>1643</v>
      </c>
      <c r="C5488" t="s">
        <v>156</v>
      </c>
      <c r="D5488" s="61">
        <v>0</v>
      </c>
      <c r="F5488" s="61">
        <v>0</v>
      </c>
      <c r="G5488" s="61">
        <v>0</v>
      </c>
      <c r="H5488" s="61">
        <v>0</v>
      </c>
      <c r="I5488" s="61">
        <v>-297.89</v>
      </c>
      <c r="J5488" s="61">
        <f t="shared" si="49"/>
        <v>-297.89</v>
      </c>
    </row>
    <row r="5489" spans="1:10" x14ac:dyDescent="0.25">
      <c r="A5489" s="20">
        <v>45838</v>
      </c>
      <c r="B5489" t="s">
        <v>1657</v>
      </c>
      <c r="C5489" t="s">
        <v>159</v>
      </c>
      <c r="D5489" s="61">
        <v>0</v>
      </c>
      <c r="F5489" s="61">
        <v>0</v>
      </c>
      <c r="G5489" s="61">
        <v>0</v>
      </c>
      <c r="H5489" s="61">
        <v>0</v>
      </c>
      <c r="I5489" s="61">
        <v>-781.38</v>
      </c>
      <c r="J5489" s="61">
        <f t="shared" si="49"/>
        <v>-781.38</v>
      </c>
    </row>
    <row r="5490" spans="1:10" x14ac:dyDescent="0.25">
      <c r="A5490" s="20">
        <v>45838</v>
      </c>
      <c r="B5490" t="s">
        <v>1658</v>
      </c>
      <c r="C5490" t="s">
        <v>160</v>
      </c>
      <c r="D5490" s="61">
        <v>0</v>
      </c>
      <c r="F5490" s="61">
        <v>-101.64</v>
      </c>
      <c r="G5490" s="61">
        <v>0</v>
      </c>
      <c r="H5490" s="61">
        <v>0</v>
      </c>
      <c r="I5490" s="61">
        <v>0</v>
      </c>
      <c r="J5490" s="61">
        <f t="shared" si="49"/>
        <v>-101.64</v>
      </c>
    </row>
    <row r="5491" spans="1:10" x14ac:dyDescent="0.25">
      <c r="A5491" s="20">
        <v>45838</v>
      </c>
      <c r="B5491" t="s">
        <v>1659</v>
      </c>
      <c r="C5491" t="s">
        <v>161</v>
      </c>
      <c r="D5491" s="61">
        <v>4788</v>
      </c>
      <c r="F5491" s="61">
        <v>0</v>
      </c>
      <c r="G5491" s="61">
        <v>0</v>
      </c>
      <c r="H5491" s="61">
        <v>0</v>
      </c>
      <c r="I5491" s="61">
        <v>0</v>
      </c>
      <c r="J5491" s="61">
        <f t="shared" si="49"/>
        <v>4788</v>
      </c>
    </row>
    <row r="5492" spans="1:10" x14ac:dyDescent="0.25">
      <c r="A5492" s="20">
        <v>45838</v>
      </c>
      <c r="B5492" t="s">
        <v>1660</v>
      </c>
      <c r="C5492" t="s">
        <v>162</v>
      </c>
      <c r="D5492" s="61">
        <v>1562.2</v>
      </c>
      <c r="F5492" s="61">
        <v>0</v>
      </c>
      <c r="G5492" s="61">
        <v>0</v>
      </c>
      <c r="H5492" s="61">
        <v>0</v>
      </c>
      <c r="I5492" s="61">
        <v>-730</v>
      </c>
      <c r="J5492" s="61">
        <f t="shared" si="49"/>
        <v>832.2</v>
      </c>
    </row>
    <row r="5493" spans="1:10" x14ac:dyDescent="0.25">
      <c r="A5493" s="20">
        <v>45838</v>
      </c>
      <c r="B5493" t="s">
        <v>1671</v>
      </c>
      <c r="C5493" t="s">
        <v>163</v>
      </c>
      <c r="D5493" s="61">
        <v>0</v>
      </c>
      <c r="F5493" s="61">
        <v>435.88</v>
      </c>
      <c r="G5493" s="61">
        <v>0</v>
      </c>
      <c r="H5493" s="61">
        <v>0</v>
      </c>
      <c r="I5493" s="61">
        <v>0</v>
      </c>
      <c r="J5493" s="61">
        <f t="shared" si="49"/>
        <v>435.88</v>
      </c>
    </row>
    <row r="5494" spans="1:10" x14ac:dyDescent="0.25">
      <c r="A5494" s="20">
        <v>45838</v>
      </c>
      <c r="B5494" t="s">
        <v>1677</v>
      </c>
      <c r="C5494" t="s">
        <v>164</v>
      </c>
      <c r="D5494" s="61">
        <v>15716.72</v>
      </c>
      <c r="F5494" s="61">
        <v>-74.2</v>
      </c>
      <c r="G5494" s="61">
        <v>-44.1</v>
      </c>
      <c r="H5494" s="61">
        <v>0</v>
      </c>
      <c r="I5494" s="61">
        <v>0</v>
      </c>
      <c r="J5494" s="61">
        <f t="shared" si="49"/>
        <v>15598.419999999998</v>
      </c>
    </row>
    <row r="5495" spans="1:10" x14ac:dyDescent="0.25">
      <c r="A5495" s="20">
        <v>45838</v>
      </c>
      <c r="B5495" t="s">
        <v>1682</v>
      </c>
      <c r="C5495" t="s">
        <v>395</v>
      </c>
      <c r="D5495" s="61">
        <v>2572.58</v>
      </c>
      <c r="F5495" s="61">
        <v>0</v>
      </c>
      <c r="G5495" s="61">
        <v>0</v>
      </c>
      <c r="H5495" s="61">
        <v>0</v>
      </c>
      <c r="I5495" s="61">
        <v>0</v>
      </c>
      <c r="J5495" s="61">
        <f t="shared" si="49"/>
        <v>2572.58</v>
      </c>
    </row>
    <row r="5496" spans="1:10" x14ac:dyDescent="0.25">
      <c r="A5496" s="20">
        <v>45838</v>
      </c>
      <c r="B5496" t="s">
        <v>1688</v>
      </c>
      <c r="C5496" t="s">
        <v>617</v>
      </c>
      <c r="D5496" s="61">
        <v>0</v>
      </c>
      <c r="F5496" s="61">
        <v>0</v>
      </c>
      <c r="G5496" s="61">
        <v>0</v>
      </c>
      <c r="H5496" s="61">
        <v>-1500</v>
      </c>
      <c r="I5496" s="61">
        <v>0</v>
      </c>
      <c r="J5496" s="61">
        <f t="shared" si="49"/>
        <v>-1500</v>
      </c>
    </row>
    <row r="5497" spans="1:10" x14ac:dyDescent="0.25">
      <c r="A5497" s="20">
        <v>45838</v>
      </c>
      <c r="B5497" t="s">
        <v>1694</v>
      </c>
      <c r="C5497" t="s">
        <v>169</v>
      </c>
      <c r="D5497" s="61">
        <v>1807</v>
      </c>
      <c r="F5497" s="61">
        <v>-524.5</v>
      </c>
      <c r="G5497" s="61">
        <v>0</v>
      </c>
      <c r="H5497" s="61">
        <v>0</v>
      </c>
      <c r="I5497" s="61">
        <v>0</v>
      </c>
      <c r="J5497" s="61">
        <f t="shared" si="49"/>
        <v>1282.5</v>
      </c>
    </row>
    <row r="5498" spans="1:10" x14ac:dyDescent="0.25">
      <c r="A5498" s="20">
        <v>45838</v>
      </c>
      <c r="B5498" t="s">
        <v>1704</v>
      </c>
      <c r="C5498" t="s">
        <v>173</v>
      </c>
      <c r="D5498" s="61">
        <v>0</v>
      </c>
      <c r="F5498" s="61">
        <v>176.13</v>
      </c>
      <c r="G5498" s="61">
        <v>-446.6</v>
      </c>
      <c r="H5498" s="61">
        <v>0</v>
      </c>
      <c r="I5498" s="61">
        <v>0</v>
      </c>
      <c r="J5498" s="61">
        <f t="shared" si="49"/>
        <v>-270.47000000000003</v>
      </c>
    </row>
    <row r="5499" spans="1:10" x14ac:dyDescent="0.25">
      <c r="A5499" s="20">
        <v>45838</v>
      </c>
      <c r="B5499" t="s">
        <v>1709</v>
      </c>
      <c r="C5499" t="s">
        <v>175</v>
      </c>
      <c r="D5499" s="61">
        <v>13580</v>
      </c>
      <c r="F5499" s="61">
        <v>0</v>
      </c>
      <c r="G5499" s="61">
        <v>0</v>
      </c>
      <c r="H5499" s="61">
        <v>0</v>
      </c>
      <c r="I5499" s="61">
        <v>0</v>
      </c>
      <c r="J5499" s="61">
        <f t="shared" si="49"/>
        <v>13580</v>
      </c>
    </row>
    <row r="5500" spans="1:10" x14ac:dyDescent="0.25">
      <c r="A5500" s="20">
        <v>45838</v>
      </c>
      <c r="B5500" t="s">
        <v>1712</v>
      </c>
      <c r="C5500" t="s">
        <v>176</v>
      </c>
      <c r="D5500" s="61">
        <v>0</v>
      </c>
      <c r="F5500" s="61">
        <v>0</v>
      </c>
      <c r="G5500" s="61">
        <v>0</v>
      </c>
      <c r="H5500" s="61">
        <v>-31.9</v>
      </c>
      <c r="I5500" s="61">
        <v>0</v>
      </c>
      <c r="J5500" s="61">
        <f t="shared" si="49"/>
        <v>-31.9</v>
      </c>
    </row>
    <row r="5501" spans="1:10" x14ac:dyDescent="0.25">
      <c r="A5501" s="20">
        <v>45838</v>
      </c>
      <c r="B5501" t="s">
        <v>1715</v>
      </c>
      <c r="C5501" t="s">
        <v>177</v>
      </c>
      <c r="D5501" s="61">
        <v>0</v>
      </c>
      <c r="F5501" s="61">
        <v>217</v>
      </c>
      <c r="G5501" s="61">
        <v>0</v>
      </c>
      <c r="H5501" s="61">
        <v>0</v>
      </c>
      <c r="I5501" s="61">
        <v>0</v>
      </c>
      <c r="J5501" s="61">
        <f t="shared" si="49"/>
        <v>217</v>
      </c>
    </row>
    <row r="5502" spans="1:10" x14ac:dyDescent="0.25">
      <c r="A5502" s="20">
        <v>45838</v>
      </c>
      <c r="B5502" t="s">
        <v>1720</v>
      </c>
      <c r="C5502" t="s">
        <v>1721</v>
      </c>
      <c r="D5502" s="61">
        <v>27</v>
      </c>
      <c r="F5502" s="61">
        <v>0</v>
      </c>
      <c r="G5502" s="61">
        <v>0</v>
      </c>
      <c r="H5502" s="61">
        <v>0</v>
      </c>
      <c r="I5502" s="61">
        <v>0</v>
      </c>
      <c r="J5502" s="61">
        <f t="shared" si="49"/>
        <v>27</v>
      </c>
    </row>
    <row r="5503" spans="1:10" x14ac:dyDescent="0.25">
      <c r="A5503" s="20">
        <v>45838</v>
      </c>
      <c r="B5503" t="s">
        <v>1724</v>
      </c>
      <c r="C5503" t="s">
        <v>497</v>
      </c>
      <c r="D5503" s="61">
        <v>-391.62</v>
      </c>
      <c r="F5503" s="61">
        <v>0</v>
      </c>
      <c r="G5503" s="61">
        <v>0</v>
      </c>
      <c r="H5503" s="61">
        <v>0</v>
      </c>
      <c r="I5503" s="61">
        <v>64.489999999999995</v>
      </c>
      <c r="J5503" s="61">
        <f t="shared" si="49"/>
        <v>-327.13</v>
      </c>
    </row>
    <row r="5504" spans="1:10" x14ac:dyDescent="0.25">
      <c r="A5504" s="20">
        <v>45838</v>
      </c>
      <c r="B5504" t="s">
        <v>1726</v>
      </c>
      <c r="C5504" t="s">
        <v>179</v>
      </c>
      <c r="D5504" s="61">
        <v>51868.32</v>
      </c>
      <c r="F5504" s="61">
        <v>0</v>
      </c>
      <c r="G5504" s="61">
        <v>0</v>
      </c>
      <c r="H5504" s="61">
        <v>0</v>
      </c>
      <c r="I5504" s="61">
        <v>0</v>
      </c>
      <c r="J5504" s="61">
        <f t="shared" si="49"/>
        <v>51868.32</v>
      </c>
    </row>
    <row r="5505" spans="1:10" x14ac:dyDescent="0.25">
      <c r="A5505" s="20">
        <v>45838</v>
      </c>
      <c r="B5505" t="s">
        <v>1749</v>
      </c>
      <c r="C5505" t="s">
        <v>396</v>
      </c>
      <c r="D5505" s="61">
        <v>0</v>
      </c>
      <c r="F5505" s="61">
        <v>517.5</v>
      </c>
      <c r="G5505" s="61">
        <v>0</v>
      </c>
      <c r="H5505" s="61">
        <v>0</v>
      </c>
      <c r="I5505" s="61">
        <v>54</v>
      </c>
      <c r="J5505" s="61">
        <f t="shared" si="49"/>
        <v>571.5</v>
      </c>
    </row>
    <row r="5506" spans="1:10" x14ac:dyDescent="0.25">
      <c r="A5506" s="20">
        <v>45838</v>
      </c>
      <c r="B5506" t="s">
        <v>1765</v>
      </c>
      <c r="C5506" t="s">
        <v>498</v>
      </c>
      <c r="D5506" s="61">
        <v>0</v>
      </c>
      <c r="F5506" s="61">
        <v>0</v>
      </c>
      <c r="G5506" s="61">
        <v>0</v>
      </c>
      <c r="H5506" s="61">
        <v>842.34</v>
      </c>
      <c r="I5506" s="61">
        <v>0</v>
      </c>
      <c r="J5506" s="61">
        <f t="shared" si="49"/>
        <v>842.34</v>
      </c>
    </row>
    <row r="5507" spans="1:10" x14ac:dyDescent="0.25">
      <c r="A5507" s="20">
        <v>45838</v>
      </c>
      <c r="B5507" t="s">
        <v>1766</v>
      </c>
      <c r="C5507" t="s">
        <v>914</v>
      </c>
      <c r="D5507" s="61">
        <v>0</v>
      </c>
      <c r="F5507" s="61">
        <v>44.04</v>
      </c>
      <c r="G5507" s="61">
        <v>0</v>
      </c>
      <c r="H5507" s="61">
        <v>0</v>
      </c>
      <c r="I5507" s="61">
        <v>0</v>
      </c>
      <c r="J5507" s="61">
        <f t="shared" si="49"/>
        <v>44.04</v>
      </c>
    </row>
    <row r="5508" spans="1:10" x14ac:dyDescent="0.25">
      <c r="A5508" s="20">
        <v>45838</v>
      </c>
      <c r="B5508" t="s">
        <v>1769</v>
      </c>
      <c r="C5508" t="s">
        <v>185</v>
      </c>
      <c r="D5508" s="61">
        <v>0</v>
      </c>
      <c r="F5508" s="61">
        <v>0</v>
      </c>
      <c r="G5508" s="61">
        <v>0</v>
      </c>
      <c r="H5508" s="61">
        <v>0</v>
      </c>
      <c r="I5508" s="61">
        <v>-831.6</v>
      </c>
      <c r="J5508" s="61">
        <f t="shared" si="49"/>
        <v>-831.6</v>
      </c>
    </row>
    <row r="5509" spans="1:10" x14ac:dyDescent="0.25">
      <c r="A5509" s="20">
        <v>45838</v>
      </c>
      <c r="B5509" t="s">
        <v>1775</v>
      </c>
      <c r="C5509" t="s">
        <v>618</v>
      </c>
      <c r="D5509" s="61">
        <v>0</v>
      </c>
      <c r="F5509" s="61">
        <v>267.91000000000003</v>
      </c>
      <c r="G5509" s="61">
        <v>0</v>
      </c>
      <c r="H5509" s="61">
        <v>0</v>
      </c>
      <c r="I5509" s="61">
        <v>0</v>
      </c>
      <c r="J5509" s="61">
        <f t="shared" si="49"/>
        <v>267.91000000000003</v>
      </c>
    </row>
    <row r="5510" spans="1:10" x14ac:dyDescent="0.25">
      <c r="A5510" s="20">
        <v>45838</v>
      </c>
      <c r="B5510" t="s">
        <v>1777</v>
      </c>
      <c r="C5510" t="s">
        <v>915</v>
      </c>
      <c r="D5510" s="61">
        <v>453</v>
      </c>
      <c r="F5510" s="61">
        <v>0</v>
      </c>
      <c r="G5510" s="61">
        <v>0</v>
      </c>
      <c r="H5510" s="61">
        <v>0</v>
      </c>
      <c r="I5510" s="61">
        <v>0</v>
      </c>
      <c r="J5510" s="61">
        <f t="shared" si="49"/>
        <v>453</v>
      </c>
    </row>
    <row r="5511" spans="1:10" x14ac:dyDescent="0.25">
      <c r="A5511" s="20">
        <v>45838</v>
      </c>
      <c r="B5511" t="s">
        <v>1778</v>
      </c>
      <c r="C5511" t="s">
        <v>188</v>
      </c>
      <c r="D5511" s="61">
        <v>11500.05</v>
      </c>
      <c r="F5511" s="61">
        <v>0</v>
      </c>
      <c r="G5511" s="61">
        <v>0</v>
      </c>
      <c r="H5511" s="61">
        <v>0</v>
      </c>
      <c r="I5511" s="61">
        <v>0</v>
      </c>
      <c r="J5511" s="61">
        <f t="shared" si="49"/>
        <v>11500.05</v>
      </c>
    </row>
    <row r="5512" spans="1:10" x14ac:dyDescent="0.25">
      <c r="A5512" s="20">
        <v>45838</v>
      </c>
      <c r="B5512" t="s">
        <v>1784</v>
      </c>
      <c r="C5512" t="s">
        <v>190</v>
      </c>
      <c r="D5512" s="61">
        <v>4747.2</v>
      </c>
      <c r="F5512" s="61">
        <v>0</v>
      </c>
      <c r="G5512" s="61">
        <v>0</v>
      </c>
      <c r="H5512" s="61">
        <v>0</v>
      </c>
      <c r="I5512" s="61">
        <v>96.3</v>
      </c>
      <c r="J5512" s="61">
        <f t="shared" si="49"/>
        <v>4843.5</v>
      </c>
    </row>
    <row r="5513" spans="1:10" x14ac:dyDescent="0.25">
      <c r="A5513" s="20">
        <v>45838</v>
      </c>
      <c r="B5513" t="s">
        <v>1785</v>
      </c>
      <c r="C5513" t="s">
        <v>398</v>
      </c>
      <c r="D5513" s="61">
        <v>0</v>
      </c>
      <c r="F5513" s="61">
        <v>0</v>
      </c>
      <c r="G5513" s="61">
        <v>0</v>
      </c>
      <c r="H5513" s="61">
        <v>0</v>
      </c>
      <c r="I5513" s="61">
        <v>-43.97</v>
      </c>
      <c r="J5513" s="61">
        <f t="shared" si="49"/>
        <v>-43.97</v>
      </c>
    </row>
    <row r="5514" spans="1:10" x14ac:dyDescent="0.25">
      <c r="A5514" s="20">
        <v>45838</v>
      </c>
      <c r="B5514" t="s">
        <v>1786</v>
      </c>
      <c r="C5514" t="s">
        <v>917</v>
      </c>
      <c r="D5514" s="61">
        <v>0</v>
      </c>
      <c r="F5514" s="61">
        <v>438</v>
      </c>
      <c r="G5514" s="61">
        <v>0</v>
      </c>
      <c r="H5514" s="61">
        <v>0</v>
      </c>
      <c r="I5514" s="61">
        <v>0</v>
      </c>
      <c r="J5514" s="61">
        <f t="shared" si="49"/>
        <v>438</v>
      </c>
    </row>
    <row r="5515" spans="1:10" x14ac:dyDescent="0.25">
      <c r="A5515" s="20">
        <v>45838</v>
      </c>
      <c r="B5515" t="s">
        <v>1787</v>
      </c>
      <c r="C5515" t="s">
        <v>23</v>
      </c>
      <c r="D5515" s="61">
        <v>9032.36</v>
      </c>
      <c r="F5515" s="61">
        <v>0</v>
      </c>
      <c r="G5515" s="61">
        <v>0</v>
      </c>
      <c r="H5515" s="61">
        <v>0</v>
      </c>
      <c r="I5515" s="61">
        <v>0</v>
      </c>
      <c r="J5515" s="61">
        <f t="shared" si="49"/>
        <v>9032.36</v>
      </c>
    </row>
    <row r="5516" spans="1:10" x14ac:dyDescent="0.25">
      <c r="A5516" s="20">
        <v>45838</v>
      </c>
      <c r="B5516" t="s">
        <v>1792</v>
      </c>
      <c r="C5516" t="s">
        <v>192</v>
      </c>
      <c r="D5516" s="61">
        <v>0</v>
      </c>
      <c r="F5516" s="61">
        <v>0</v>
      </c>
      <c r="G5516" s="61">
        <v>0</v>
      </c>
      <c r="H5516" s="61">
        <v>-0.05</v>
      </c>
      <c r="I5516" s="61">
        <v>215.3</v>
      </c>
      <c r="J5516" s="61">
        <f t="shared" si="49"/>
        <v>215.25</v>
      </c>
    </row>
    <row r="5517" spans="1:10" x14ac:dyDescent="0.25">
      <c r="A5517" s="20">
        <v>45838</v>
      </c>
      <c r="B5517" t="s">
        <v>1794</v>
      </c>
      <c r="C5517" t="s">
        <v>193</v>
      </c>
      <c r="D5517" s="61">
        <v>19551.79</v>
      </c>
      <c r="F5517" s="61">
        <v>0</v>
      </c>
      <c r="G5517" s="61">
        <v>0</v>
      </c>
      <c r="H5517" s="61">
        <v>0</v>
      </c>
      <c r="I5517" s="61">
        <v>0</v>
      </c>
      <c r="J5517" s="61">
        <f t="shared" si="49"/>
        <v>19551.79</v>
      </c>
    </row>
    <row r="5518" spans="1:10" x14ac:dyDescent="0.25">
      <c r="A5518" s="20">
        <v>45838</v>
      </c>
      <c r="B5518" t="s">
        <v>1796</v>
      </c>
      <c r="C5518" t="s">
        <v>455</v>
      </c>
      <c r="D5518" s="61">
        <v>689.65</v>
      </c>
      <c r="F5518" s="61">
        <v>0</v>
      </c>
      <c r="G5518" s="61">
        <v>0</v>
      </c>
      <c r="H5518" s="61">
        <v>0</v>
      </c>
      <c r="I5518" s="61">
        <v>0</v>
      </c>
      <c r="J5518" s="61">
        <f t="shared" si="49"/>
        <v>689.65</v>
      </c>
    </row>
    <row r="5519" spans="1:10" x14ac:dyDescent="0.25">
      <c r="A5519" s="20">
        <v>45838</v>
      </c>
      <c r="B5519" t="s">
        <v>1806</v>
      </c>
      <c r="C5519" t="s">
        <v>194</v>
      </c>
      <c r="D5519" s="61">
        <v>0</v>
      </c>
      <c r="F5519" s="61">
        <v>0</v>
      </c>
      <c r="G5519" s="61">
        <v>0</v>
      </c>
      <c r="H5519" s="61">
        <v>0</v>
      </c>
      <c r="I5519" s="61">
        <v>-117.9</v>
      </c>
      <c r="J5519" s="61">
        <f t="shared" si="49"/>
        <v>-117.9</v>
      </c>
    </row>
    <row r="5520" spans="1:10" x14ac:dyDescent="0.25">
      <c r="A5520" s="20">
        <v>45838</v>
      </c>
      <c r="B5520" t="s">
        <v>1807</v>
      </c>
      <c r="C5520" t="s">
        <v>24</v>
      </c>
      <c r="D5520" s="61">
        <v>8271.75</v>
      </c>
      <c r="F5520" s="61">
        <v>346.5</v>
      </c>
      <c r="G5520" s="61">
        <v>500.03</v>
      </c>
      <c r="H5520" s="61">
        <v>-142.84</v>
      </c>
      <c r="I5520" s="61">
        <v>0</v>
      </c>
      <c r="J5520" s="61">
        <f t="shared" si="49"/>
        <v>8975.44</v>
      </c>
    </row>
    <row r="5521" spans="1:10" x14ac:dyDescent="0.25">
      <c r="A5521" s="20">
        <v>45838</v>
      </c>
      <c r="B5521" t="s">
        <v>1808</v>
      </c>
      <c r="C5521" t="s">
        <v>195</v>
      </c>
      <c r="D5521" s="61">
        <v>5665</v>
      </c>
      <c r="F5521" s="61">
        <v>0</v>
      </c>
      <c r="G5521" s="61">
        <v>0</v>
      </c>
      <c r="H5521" s="61">
        <v>0</v>
      </c>
      <c r="I5521" s="61">
        <v>0</v>
      </c>
      <c r="J5521" s="61">
        <f t="shared" si="49"/>
        <v>5665</v>
      </c>
    </row>
    <row r="5522" spans="1:10" x14ac:dyDescent="0.25">
      <c r="A5522" s="20">
        <v>45838</v>
      </c>
      <c r="B5522" t="s">
        <v>1828</v>
      </c>
      <c r="C5522" t="s">
        <v>876</v>
      </c>
      <c r="D5522" s="61">
        <v>0</v>
      </c>
      <c r="F5522" s="61">
        <v>-1112.8</v>
      </c>
      <c r="G5522" s="61">
        <v>0</v>
      </c>
      <c r="H5522" s="61">
        <v>0</v>
      </c>
      <c r="I5522" s="61">
        <v>0</v>
      </c>
      <c r="J5522" s="61">
        <f t="shared" si="49"/>
        <v>-1112.8</v>
      </c>
    </row>
    <row r="5523" spans="1:10" x14ac:dyDescent="0.25">
      <c r="A5523" s="20">
        <v>45838</v>
      </c>
      <c r="B5523" t="s">
        <v>1829</v>
      </c>
      <c r="C5523" t="s">
        <v>199</v>
      </c>
      <c r="D5523" s="61">
        <v>6180</v>
      </c>
      <c r="F5523" s="61">
        <v>0</v>
      </c>
      <c r="G5523" s="61">
        <v>0</v>
      </c>
      <c r="H5523" s="61">
        <v>-2280</v>
      </c>
      <c r="I5523" s="61">
        <v>0</v>
      </c>
      <c r="J5523" s="61">
        <f t="shared" si="49"/>
        <v>3900</v>
      </c>
    </row>
    <row r="5524" spans="1:10" x14ac:dyDescent="0.25">
      <c r="A5524" s="20">
        <v>45838</v>
      </c>
      <c r="B5524" t="s">
        <v>1833</v>
      </c>
      <c r="C5524" t="s">
        <v>25</v>
      </c>
      <c r="D5524" s="61">
        <v>0</v>
      </c>
      <c r="F5524" s="61">
        <v>0</v>
      </c>
      <c r="G5524" s="61">
        <v>0</v>
      </c>
      <c r="H5524" s="61">
        <v>0</v>
      </c>
      <c r="I5524" s="61">
        <v>-303.5</v>
      </c>
      <c r="J5524" s="61">
        <f t="shared" si="49"/>
        <v>-303.5</v>
      </c>
    </row>
    <row r="5525" spans="1:10" x14ac:dyDescent="0.25">
      <c r="A5525" s="20">
        <v>45838</v>
      </c>
      <c r="B5525" t="s">
        <v>1834</v>
      </c>
      <c r="C5525" t="s">
        <v>200</v>
      </c>
      <c r="D5525" s="61">
        <v>396.58</v>
      </c>
      <c r="F5525" s="61">
        <v>0</v>
      </c>
      <c r="G5525" s="61">
        <v>0</v>
      </c>
      <c r="H5525" s="61">
        <v>0</v>
      </c>
      <c r="I5525" s="61">
        <v>0</v>
      </c>
      <c r="J5525" s="61">
        <f t="shared" si="49"/>
        <v>396.58</v>
      </c>
    </row>
    <row r="5526" spans="1:10" x14ac:dyDescent="0.25">
      <c r="A5526" s="20">
        <v>45838</v>
      </c>
      <c r="B5526" t="s">
        <v>1851</v>
      </c>
      <c r="C5526" t="s">
        <v>921</v>
      </c>
      <c r="D5526" s="61">
        <v>0</v>
      </c>
      <c r="F5526" s="61">
        <v>2225.6</v>
      </c>
      <c r="G5526" s="61">
        <v>0</v>
      </c>
      <c r="H5526" s="61">
        <v>0</v>
      </c>
      <c r="I5526" s="61">
        <v>0</v>
      </c>
      <c r="J5526" s="61">
        <f t="shared" si="49"/>
        <v>2225.6</v>
      </c>
    </row>
    <row r="5527" spans="1:10" x14ac:dyDescent="0.25">
      <c r="A5527" s="20">
        <v>45838</v>
      </c>
      <c r="B5527" t="s">
        <v>1860</v>
      </c>
      <c r="C5527" t="s">
        <v>202</v>
      </c>
      <c r="D5527" s="61">
        <v>-33.26</v>
      </c>
      <c r="F5527" s="61">
        <v>0</v>
      </c>
      <c r="G5527" s="61">
        <v>0</v>
      </c>
      <c r="H5527" s="61">
        <v>0</v>
      </c>
      <c r="I5527" s="61">
        <v>0</v>
      </c>
      <c r="J5527" s="61">
        <f t="shared" si="49"/>
        <v>-33.26</v>
      </c>
    </row>
    <row r="5528" spans="1:10" x14ac:dyDescent="0.25">
      <c r="A5528" s="20">
        <v>45838</v>
      </c>
      <c r="B5528" t="s">
        <v>1865</v>
      </c>
      <c r="C5528" t="s">
        <v>1866</v>
      </c>
      <c r="D5528" s="61">
        <v>3189.34</v>
      </c>
      <c r="F5528" s="61">
        <v>0</v>
      </c>
      <c r="G5528" s="61">
        <v>0</v>
      </c>
      <c r="H5528" s="61">
        <v>0</v>
      </c>
      <c r="I5528" s="61">
        <v>0</v>
      </c>
      <c r="J5528" s="61">
        <f t="shared" si="49"/>
        <v>3189.34</v>
      </c>
    </row>
    <row r="5529" spans="1:10" x14ac:dyDescent="0.25">
      <c r="A5529" s="20">
        <v>45838</v>
      </c>
      <c r="B5529" t="s">
        <v>1871</v>
      </c>
      <c r="C5529" t="s">
        <v>923</v>
      </c>
      <c r="D5529" s="61">
        <v>1276.4000000000001</v>
      </c>
      <c r="F5529" s="61">
        <v>0</v>
      </c>
      <c r="G5529" s="61">
        <v>0</v>
      </c>
      <c r="H5529" s="61">
        <v>0</v>
      </c>
      <c r="I5529" s="61">
        <v>0</v>
      </c>
      <c r="J5529" s="61">
        <f t="shared" si="49"/>
        <v>1276.4000000000001</v>
      </c>
    </row>
    <row r="5530" spans="1:10" x14ac:dyDescent="0.25">
      <c r="A5530" s="20">
        <v>45838</v>
      </c>
      <c r="B5530" t="s">
        <v>1875</v>
      </c>
      <c r="C5530" t="s">
        <v>205</v>
      </c>
      <c r="D5530" s="61">
        <v>31090.29</v>
      </c>
      <c r="F5530" s="61">
        <v>719.03</v>
      </c>
      <c r="G5530" s="61">
        <v>0</v>
      </c>
      <c r="H5530" s="61">
        <v>0</v>
      </c>
      <c r="I5530" s="61">
        <v>336.28</v>
      </c>
      <c r="J5530" s="61">
        <f t="shared" si="49"/>
        <v>32145.599999999999</v>
      </c>
    </row>
    <row r="5531" spans="1:10" x14ac:dyDescent="0.25">
      <c r="A5531" s="20">
        <v>45838</v>
      </c>
      <c r="B5531" t="s">
        <v>1883</v>
      </c>
      <c r="C5531" t="s">
        <v>207</v>
      </c>
      <c r="D5531" s="61">
        <v>6807.95</v>
      </c>
      <c r="F5531" s="61">
        <v>0</v>
      </c>
      <c r="G5531" s="61">
        <v>0</v>
      </c>
      <c r="H5531" s="61">
        <v>0</v>
      </c>
      <c r="I5531" s="61">
        <v>0</v>
      </c>
      <c r="J5531" s="61">
        <f t="shared" si="49"/>
        <v>6807.95</v>
      </c>
    </row>
    <row r="5532" spans="1:10" x14ac:dyDescent="0.25">
      <c r="A5532" s="20">
        <v>45838</v>
      </c>
      <c r="B5532" t="s">
        <v>1890</v>
      </c>
      <c r="C5532" t="s">
        <v>728</v>
      </c>
      <c r="D5532" s="61">
        <v>685</v>
      </c>
      <c r="F5532" s="61">
        <v>0</v>
      </c>
      <c r="G5532" s="61">
        <v>0</v>
      </c>
      <c r="H5532" s="61">
        <v>0</v>
      </c>
      <c r="I5532" s="61">
        <v>0</v>
      </c>
      <c r="J5532" s="61">
        <f t="shared" si="49"/>
        <v>685</v>
      </c>
    </row>
    <row r="5533" spans="1:10" x14ac:dyDescent="0.25">
      <c r="A5533" s="20">
        <v>45838</v>
      </c>
      <c r="B5533" t="s">
        <v>1938</v>
      </c>
      <c r="C5533" t="s">
        <v>217</v>
      </c>
      <c r="D5533" s="61">
        <v>40</v>
      </c>
      <c r="F5533" s="61">
        <v>983.17</v>
      </c>
      <c r="G5533" s="61">
        <v>0</v>
      </c>
      <c r="H5533" s="61">
        <v>0</v>
      </c>
      <c r="I5533" s="61">
        <v>0</v>
      </c>
      <c r="J5533" s="61">
        <f t="shared" si="49"/>
        <v>1023.17</v>
      </c>
    </row>
    <row r="5534" spans="1:10" x14ac:dyDescent="0.25">
      <c r="A5534" s="20">
        <v>45838</v>
      </c>
      <c r="B5534" t="s">
        <v>1950</v>
      </c>
      <c r="C5534" t="s">
        <v>219</v>
      </c>
      <c r="D5534" s="61">
        <v>0</v>
      </c>
      <c r="F5534" s="61">
        <v>0</v>
      </c>
      <c r="G5534" s="61">
        <v>-398.23</v>
      </c>
      <c r="H5534" s="61">
        <v>-23.66</v>
      </c>
      <c r="I5534" s="61">
        <v>0</v>
      </c>
      <c r="J5534" s="61">
        <f t="shared" ref="J5534:J5597" si="50">SUM(D5534:I5534)</f>
        <v>-421.89000000000004</v>
      </c>
    </row>
    <row r="5535" spans="1:10" x14ac:dyDescent="0.25">
      <c r="A5535" s="20">
        <v>45838</v>
      </c>
      <c r="B5535" t="s">
        <v>1960</v>
      </c>
      <c r="C5535" t="s">
        <v>502</v>
      </c>
      <c r="D5535" s="61">
        <v>0</v>
      </c>
      <c r="F5535" s="61">
        <v>0</v>
      </c>
      <c r="G5535" s="61">
        <v>0</v>
      </c>
      <c r="H5535" s="61">
        <v>-9.48</v>
      </c>
      <c r="I5535" s="61">
        <v>0</v>
      </c>
      <c r="J5535" s="61">
        <f t="shared" si="50"/>
        <v>-9.48</v>
      </c>
    </row>
    <row r="5536" spans="1:10" x14ac:dyDescent="0.25">
      <c r="A5536" s="20">
        <v>45838</v>
      </c>
      <c r="B5536" t="s">
        <v>1976</v>
      </c>
      <c r="C5536" t="s">
        <v>29</v>
      </c>
      <c r="D5536" s="61">
        <v>163575.24</v>
      </c>
      <c r="F5536" s="61">
        <v>0</v>
      </c>
      <c r="G5536" s="61">
        <v>9025</v>
      </c>
      <c r="H5536" s="61">
        <v>0</v>
      </c>
      <c r="I5536" s="61">
        <v>-414</v>
      </c>
      <c r="J5536" s="61">
        <f t="shared" si="50"/>
        <v>172186.23999999999</v>
      </c>
    </row>
    <row r="5537" spans="1:10" x14ac:dyDescent="0.25">
      <c r="A5537" s="20">
        <v>45838</v>
      </c>
      <c r="B5537" t="s">
        <v>1987</v>
      </c>
      <c r="C5537" t="s">
        <v>227</v>
      </c>
      <c r="D5537" s="61">
        <v>202.5</v>
      </c>
      <c r="F5537" s="61">
        <v>0</v>
      </c>
      <c r="G5537" s="61">
        <v>0</v>
      </c>
      <c r="H5537" s="61">
        <v>0</v>
      </c>
      <c r="I5537" s="61">
        <v>0</v>
      </c>
      <c r="J5537" s="61">
        <f t="shared" si="50"/>
        <v>202.5</v>
      </c>
    </row>
    <row r="5538" spans="1:10" x14ac:dyDescent="0.25">
      <c r="A5538" s="20">
        <v>45838</v>
      </c>
      <c r="B5538" t="s">
        <v>1988</v>
      </c>
      <c r="C5538" t="s">
        <v>864</v>
      </c>
      <c r="D5538" s="61">
        <v>-622</v>
      </c>
      <c r="F5538" s="61">
        <v>0</v>
      </c>
      <c r="G5538" s="61">
        <v>0</v>
      </c>
      <c r="H5538" s="61">
        <v>0</v>
      </c>
      <c r="I5538" s="61">
        <v>0</v>
      </c>
      <c r="J5538" s="61">
        <f t="shared" si="50"/>
        <v>-622</v>
      </c>
    </row>
    <row r="5539" spans="1:10" x14ac:dyDescent="0.25">
      <c r="A5539" s="20">
        <v>45838</v>
      </c>
      <c r="B5539" t="s">
        <v>2007</v>
      </c>
      <c r="C5539" t="s">
        <v>2008</v>
      </c>
      <c r="D5539" s="61">
        <v>-21.28</v>
      </c>
      <c r="F5539" s="61">
        <v>0</v>
      </c>
      <c r="G5539" s="61">
        <v>0</v>
      </c>
      <c r="H5539" s="61">
        <v>0</v>
      </c>
      <c r="I5539" s="61">
        <v>0</v>
      </c>
      <c r="J5539" s="61">
        <f t="shared" si="50"/>
        <v>-21.28</v>
      </c>
    </row>
    <row r="5540" spans="1:10" x14ac:dyDescent="0.25">
      <c r="A5540" s="20">
        <v>45838</v>
      </c>
      <c r="B5540" t="s">
        <v>2009</v>
      </c>
      <c r="C5540" t="s">
        <v>560</v>
      </c>
      <c r="D5540" s="61">
        <v>-12900</v>
      </c>
      <c r="F5540" s="61">
        <v>0</v>
      </c>
      <c r="G5540" s="61">
        <v>0</v>
      </c>
      <c r="H5540" s="61">
        <v>0</v>
      </c>
      <c r="I5540" s="61">
        <v>0</v>
      </c>
      <c r="J5540" s="61">
        <f t="shared" si="50"/>
        <v>-12900</v>
      </c>
    </row>
    <row r="5541" spans="1:10" x14ac:dyDescent="0.25">
      <c r="A5541" s="20">
        <v>45838</v>
      </c>
      <c r="B5541" t="s">
        <v>2024</v>
      </c>
      <c r="C5541" t="s">
        <v>239</v>
      </c>
      <c r="D5541" s="61">
        <v>-59.15</v>
      </c>
      <c r="F5541" s="61">
        <v>0</v>
      </c>
      <c r="G5541" s="61">
        <v>0</v>
      </c>
      <c r="H5541" s="61">
        <v>0</v>
      </c>
      <c r="I5541" s="61">
        <v>0</v>
      </c>
      <c r="J5541" s="61">
        <f t="shared" si="50"/>
        <v>-59.15</v>
      </c>
    </row>
    <row r="5542" spans="1:10" x14ac:dyDescent="0.25">
      <c r="A5542" s="20">
        <v>45838</v>
      </c>
      <c r="B5542" t="s">
        <v>2029</v>
      </c>
      <c r="C5542" t="s">
        <v>241</v>
      </c>
      <c r="D5542" s="61">
        <v>2631.36</v>
      </c>
      <c r="F5542" s="61">
        <v>-720</v>
      </c>
      <c r="G5542" s="61">
        <v>0</v>
      </c>
      <c r="H5542" s="61">
        <v>0</v>
      </c>
      <c r="I5542" s="61">
        <v>0</v>
      </c>
      <c r="J5542" s="61">
        <f t="shared" si="50"/>
        <v>1911.3600000000001</v>
      </c>
    </row>
    <row r="5543" spans="1:10" x14ac:dyDescent="0.25">
      <c r="A5543" s="20">
        <v>45838</v>
      </c>
      <c r="B5543" t="s">
        <v>2033</v>
      </c>
      <c r="C5543" t="s">
        <v>243</v>
      </c>
      <c r="D5543" s="61">
        <v>5177.3100000000004</v>
      </c>
      <c r="F5543" s="61">
        <v>0</v>
      </c>
      <c r="G5543" s="61">
        <v>0</v>
      </c>
      <c r="H5543" s="61">
        <v>0</v>
      </c>
      <c r="I5543" s="61">
        <v>-2408</v>
      </c>
      <c r="J5543" s="61">
        <f t="shared" si="50"/>
        <v>2769.3100000000004</v>
      </c>
    </row>
    <row r="5544" spans="1:10" x14ac:dyDescent="0.25">
      <c r="A5544" s="20">
        <v>45838</v>
      </c>
      <c r="B5544" t="s">
        <v>2058</v>
      </c>
      <c r="C5544" t="s">
        <v>30</v>
      </c>
      <c r="D5544" s="61">
        <v>743230.94</v>
      </c>
      <c r="F5544" s="61">
        <v>4973.16</v>
      </c>
      <c r="G5544" s="61">
        <v>0</v>
      </c>
      <c r="H5544" s="61">
        <v>0</v>
      </c>
      <c r="I5544" s="61">
        <v>0</v>
      </c>
      <c r="J5544" s="61">
        <f t="shared" si="50"/>
        <v>748204.1</v>
      </c>
    </row>
    <row r="5545" spans="1:10" x14ac:dyDescent="0.25">
      <c r="A5545" s="20">
        <v>45838</v>
      </c>
      <c r="B5545" t="s">
        <v>2074</v>
      </c>
      <c r="C5545" t="s">
        <v>880</v>
      </c>
      <c r="D5545" s="61">
        <v>0</v>
      </c>
      <c r="F5545" s="61">
        <v>0</v>
      </c>
      <c r="G5545" s="61">
        <v>-1101.18</v>
      </c>
      <c r="H5545" s="61">
        <v>0</v>
      </c>
      <c r="I5545" s="61">
        <v>0</v>
      </c>
      <c r="J5545" s="61">
        <f t="shared" si="50"/>
        <v>-1101.18</v>
      </c>
    </row>
    <row r="5546" spans="1:10" x14ac:dyDescent="0.25">
      <c r="A5546" s="20">
        <v>45838</v>
      </c>
      <c r="B5546" t="s">
        <v>2075</v>
      </c>
      <c r="C5546" t="s">
        <v>246</v>
      </c>
      <c r="D5546" s="61">
        <v>1150</v>
      </c>
      <c r="F5546" s="61">
        <v>0</v>
      </c>
      <c r="G5546" s="61">
        <v>0</v>
      </c>
      <c r="H5546" s="61">
        <v>0</v>
      </c>
      <c r="I5546" s="61">
        <v>0</v>
      </c>
      <c r="J5546" s="61">
        <f t="shared" si="50"/>
        <v>1150</v>
      </c>
    </row>
    <row r="5547" spans="1:10" x14ac:dyDescent="0.25">
      <c r="A5547" s="20">
        <v>45838</v>
      </c>
      <c r="B5547" t="s">
        <v>2076</v>
      </c>
      <c r="C5547" t="s">
        <v>247</v>
      </c>
      <c r="D5547" s="61">
        <v>0</v>
      </c>
      <c r="F5547" s="61">
        <v>608</v>
      </c>
      <c r="G5547" s="61">
        <v>0</v>
      </c>
      <c r="H5547" s="61">
        <v>0</v>
      </c>
      <c r="I5547" s="61">
        <v>0</v>
      </c>
      <c r="J5547" s="61">
        <f t="shared" si="50"/>
        <v>608</v>
      </c>
    </row>
    <row r="5548" spans="1:10" x14ac:dyDescent="0.25">
      <c r="A5548" s="20">
        <v>45838</v>
      </c>
      <c r="B5548" t="s">
        <v>2078</v>
      </c>
      <c r="C5548" t="s">
        <v>248</v>
      </c>
      <c r="D5548" s="61">
        <v>383.9</v>
      </c>
      <c r="F5548" s="61">
        <v>0</v>
      </c>
      <c r="G5548" s="61">
        <v>0</v>
      </c>
      <c r="H5548" s="61">
        <v>0</v>
      </c>
      <c r="I5548" s="61">
        <v>0</v>
      </c>
      <c r="J5548" s="61">
        <f t="shared" si="50"/>
        <v>383.9</v>
      </c>
    </row>
    <row r="5549" spans="1:10" x14ac:dyDescent="0.25">
      <c r="A5549" s="20">
        <v>45838</v>
      </c>
      <c r="B5549" t="s">
        <v>2081</v>
      </c>
      <c r="C5549" t="s">
        <v>465</v>
      </c>
      <c r="D5549" s="61">
        <v>1401.88</v>
      </c>
      <c r="F5549" s="61">
        <v>0</v>
      </c>
      <c r="G5549" s="61">
        <v>0</v>
      </c>
      <c r="H5549" s="61">
        <v>0</v>
      </c>
      <c r="I5549" s="61">
        <v>0</v>
      </c>
      <c r="J5549" s="61">
        <f t="shared" si="50"/>
        <v>1401.88</v>
      </c>
    </row>
    <row r="5550" spans="1:10" x14ac:dyDescent="0.25">
      <c r="A5550" s="20">
        <v>45838</v>
      </c>
      <c r="B5550" t="s">
        <v>2108</v>
      </c>
      <c r="C5550" t="s">
        <v>683</v>
      </c>
      <c r="D5550" s="61">
        <v>89480.62</v>
      </c>
      <c r="F5550" s="61">
        <v>0</v>
      </c>
      <c r="G5550" s="61">
        <v>0</v>
      </c>
      <c r="H5550" s="61">
        <v>0</v>
      </c>
      <c r="I5550" s="61">
        <v>0</v>
      </c>
      <c r="J5550" s="61">
        <f t="shared" si="50"/>
        <v>89480.62</v>
      </c>
    </row>
    <row r="5551" spans="1:10" x14ac:dyDescent="0.25">
      <c r="A5551" s="20">
        <v>45838</v>
      </c>
      <c r="B5551" t="s">
        <v>2109</v>
      </c>
      <c r="C5551" t="s">
        <v>252</v>
      </c>
      <c r="D5551" s="61">
        <v>226.49</v>
      </c>
      <c r="F5551" s="61">
        <v>-21.91</v>
      </c>
      <c r="G5551" s="61">
        <v>-103.32</v>
      </c>
      <c r="H5551" s="61">
        <v>0</v>
      </c>
      <c r="I5551" s="61">
        <v>0</v>
      </c>
      <c r="J5551" s="61">
        <f t="shared" si="50"/>
        <v>101.26000000000002</v>
      </c>
    </row>
    <row r="5552" spans="1:10" x14ac:dyDescent="0.25">
      <c r="A5552" s="20">
        <v>45838</v>
      </c>
      <c r="B5552" t="s">
        <v>2113</v>
      </c>
      <c r="C5552" t="s">
        <v>254</v>
      </c>
      <c r="D5552" s="61">
        <v>2540.88</v>
      </c>
      <c r="F5552" s="61">
        <v>0</v>
      </c>
      <c r="G5552" s="61">
        <v>0</v>
      </c>
      <c r="H5552" s="61">
        <v>0</v>
      </c>
      <c r="I5552" s="61">
        <v>0</v>
      </c>
      <c r="J5552" s="61">
        <f t="shared" si="50"/>
        <v>2540.88</v>
      </c>
    </row>
    <row r="5553" spans="1:10" x14ac:dyDescent="0.25">
      <c r="A5553" s="20">
        <v>45838</v>
      </c>
      <c r="B5553" t="s">
        <v>2118</v>
      </c>
      <c r="C5553" t="s">
        <v>684</v>
      </c>
      <c r="D5553" s="61">
        <v>0</v>
      </c>
      <c r="F5553" s="61">
        <v>0</v>
      </c>
      <c r="G5553" s="61">
        <v>0</v>
      </c>
      <c r="H5553" s="61">
        <v>-18.45</v>
      </c>
      <c r="I5553" s="61">
        <v>0</v>
      </c>
      <c r="J5553" s="61">
        <f t="shared" si="50"/>
        <v>-18.45</v>
      </c>
    </row>
    <row r="5554" spans="1:10" x14ac:dyDescent="0.25">
      <c r="A5554" s="20">
        <v>45838</v>
      </c>
      <c r="B5554" t="s">
        <v>2122</v>
      </c>
      <c r="C5554" t="s">
        <v>685</v>
      </c>
      <c r="D5554" s="61">
        <v>0</v>
      </c>
      <c r="F5554" s="61">
        <v>1464.36</v>
      </c>
      <c r="G5554" s="61">
        <v>0</v>
      </c>
      <c r="H5554" s="61">
        <v>0</v>
      </c>
      <c r="I5554" s="61">
        <v>0</v>
      </c>
      <c r="J5554" s="61">
        <f t="shared" si="50"/>
        <v>1464.36</v>
      </c>
    </row>
    <row r="5555" spans="1:10" x14ac:dyDescent="0.25">
      <c r="A5555" s="20">
        <v>45838</v>
      </c>
      <c r="B5555" t="s">
        <v>2123</v>
      </c>
      <c r="C5555" t="s">
        <v>257</v>
      </c>
      <c r="D5555" s="61">
        <v>277</v>
      </c>
      <c r="F5555" s="61">
        <v>0</v>
      </c>
      <c r="G5555" s="61">
        <v>0</v>
      </c>
      <c r="H5555" s="61">
        <v>0</v>
      </c>
      <c r="I5555" s="61">
        <v>0</v>
      </c>
      <c r="J5555" s="61">
        <f t="shared" si="50"/>
        <v>277</v>
      </c>
    </row>
    <row r="5556" spans="1:10" x14ac:dyDescent="0.25">
      <c r="A5556" s="20">
        <v>45838</v>
      </c>
      <c r="B5556" t="s">
        <v>2162</v>
      </c>
      <c r="C5556" t="s">
        <v>32</v>
      </c>
      <c r="D5556" s="61">
        <v>2737.23</v>
      </c>
      <c r="F5556" s="61">
        <v>1002.36</v>
      </c>
      <c r="G5556" s="61">
        <v>1301.8699999999999</v>
      </c>
      <c r="H5556" s="61">
        <v>-155.25</v>
      </c>
      <c r="I5556" s="61">
        <v>2890.5</v>
      </c>
      <c r="J5556" s="61">
        <f t="shared" si="50"/>
        <v>7776.71</v>
      </c>
    </row>
    <row r="5557" spans="1:10" x14ac:dyDescent="0.25">
      <c r="A5557" s="20">
        <v>45838</v>
      </c>
      <c r="B5557" t="s">
        <v>2163</v>
      </c>
      <c r="C5557" t="s">
        <v>259</v>
      </c>
      <c r="D5557" s="61">
        <v>848</v>
      </c>
      <c r="F5557" s="61">
        <v>0</v>
      </c>
      <c r="G5557" s="61">
        <v>0</v>
      </c>
      <c r="H5557" s="61">
        <v>0</v>
      </c>
      <c r="I5557" s="61">
        <v>0</v>
      </c>
      <c r="J5557" s="61">
        <f t="shared" si="50"/>
        <v>848</v>
      </c>
    </row>
    <row r="5558" spans="1:10" x14ac:dyDescent="0.25">
      <c r="A5558" s="20">
        <v>45838</v>
      </c>
      <c r="B5558" t="s">
        <v>2166</v>
      </c>
      <c r="C5558" t="s">
        <v>468</v>
      </c>
      <c r="D5558" s="61">
        <v>792</v>
      </c>
      <c r="F5558" s="61">
        <v>0</v>
      </c>
      <c r="G5558" s="61">
        <v>0</v>
      </c>
      <c r="H5558" s="61">
        <v>0</v>
      </c>
      <c r="I5558" s="61">
        <v>0</v>
      </c>
      <c r="J5558" s="61">
        <f t="shared" si="50"/>
        <v>792</v>
      </c>
    </row>
    <row r="5559" spans="1:10" x14ac:dyDescent="0.25">
      <c r="A5559" s="20">
        <v>45838</v>
      </c>
      <c r="B5559" t="s">
        <v>2170</v>
      </c>
      <c r="C5559" t="s">
        <v>2171</v>
      </c>
      <c r="D5559" s="61">
        <v>-10171.879999999999</v>
      </c>
      <c r="F5559" s="61">
        <v>0</v>
      </c>
      <c r="G5559" s="61">
        <v>0</v>
      </c>
      <c r="H5559" s="61">
        <v>0</v>
      </c>
      <c r="I5559" s="61">
        <v>0</v>
      </c>
      <c r="J5559" s="61">
        <f t="shared" si="50"/>
        <v>-10171.879999999999</v>
      </c>
    </row>
    <row r="5560" spans="1:10" x14ac:dyDescent="0.25">
      <c r="A5560" s="20">
        <v>45838</v>
      </c>
      <c r="B5560" t="s">
        <v>2175</v>
      </c>
      <c r="C5560" t="s">
        <v>408</v>
      </c>
      <c r="D5560" s="61">
        <v>0</v>
      </c>
      <c r="F5560" s="61">
        <v>0</v>
      </c>
      <c r="G5560" s="61">
        <v>0</v>
      </c>
      <c r="H5560" s="61">
        <v>0</v>
      </c>
      <c r="I5560" s="61">
        <v>-196.34</v>
      </c>
      <c r="J5560" s="61">
        <f t="shared" si="50"/>
        <v>-196.34</v>
      </c>
    </row>
    <row r="5561" spans="1:10" x14ac:dyDescent="0.25">
      <c r="A5561" s="20">
        <v>45838</v>
      </c>
      <c r="B5561" t="s">
        <v>2182</v>
      </c>
      <c r="C5561" t="s">
        <v>514</v>
      </c>
      <c r="D5561" s="61">
        <v>0</v>
      </c>
      <c r="F5561" s="61">
        <v>-53.73</v>
      </c>
      <c r="G5561" s="61">
        <v>0</v>
      </c>
      <c r="H5561" s="61">
        <v>0</v>
      </c>
      <c r="I5561" s="61">
        <v>0</v>
      </c>
      <c r="J5561" s="61">
        <f t="shared" si="50"/>
        <v>-53.73</v>
      </c>
    </row>
    <row r="5562" spans="1:10" x14ac:dyDescent="0.25">
      <c r="A5562" s="20">
        <v>45838</v>
      </c>
      <c r="B5562" t="s">
        <v>2186</v>
      </c>
      <c r="C5562" t="s">
        <v>515</v>
      </c>
      <c r="D5562" s="61">
        <v>1261</v>
      </c>
      <c r="F5562" s="61">
        <v>0</v>
      </c>
      <c r="G5562" s="61">
        <v>0</v>
      </c>
      <c r="H5562" s="61">
        <v>0</v>
      </c>
      <c r="I5562" s="61">
        <v>0</v>
      </c>
      <c r="J5562" s="61">
        <f t="shared" si="50"/>
        <v>1261</v>
      </c>
    </row>
    <row r="5563" spans="1:10" x14ac:dyDescent="0.25">
      <c r="A5563" s="20">
        <v>45838</v>
      </c>
      <c r="B5563" t="s">
        <v>2194</v>
      </c>
      <c r="C5563" t="s">
        <v>263</v>
      </c>
      <c r="D5563" s="61">
        <v>29437.25</v>
      </c>
      <c r="F5563" s="61">
        <v>0</v>
      </c>
      <c r="G5563" s="61">
        <v>0</v>
      </c>
      <c r="H5563" s="61">
        <v>0</v>
      </c>
      <c r="I5563" s="61">
        <v>0</v>
      </c>
      <c r="J5563" s="61">
        <f t="shared" si="50"/>
        <v>29437.25</v>
      </c>
    </row>
    <row r="5564" spans="1:10" x14ac:dyDescent="0.25">
      <c r="A5564" s="20">
        <v>45838</v>
      </c>
      <c r="B5564" t="s">
        <v>2204</v>
      </c>
      <c r="C5564" t="s">
        <v>689</v>
      </c>
      <c r="D5564" s="61">
        <v>0</v>
      </c>
      <c r="F5564" s="61">
        <v>0</v>
      </c>
      <c r="G5564" s="61">
        <v>-2038.7</v>
      </c>
      <c r="H5564" s="61">
        <v>0</v>
      </c>
      <c r="I5564" s="61">
        <v>0</v>
      </c>
      <c r="J5564" s="61">
        <f t="shared" si="50"/>
        <v>-2038.7</v>
      </c>
    </row>
    <row r="5565" spans="1:10" x14ac:dyDescent="0.25">
      <c r="A5565" s="20">
        <v>45838</v>
      </c>
      <c r="B5565" t="s">
        <v>2220</v>
      </c>
      <c r="C5565" t="s">
        <v>33</v>
      </c>
      <c r="D5565" s="61">
        <v>4722.62</v>
      </c>
      <c r="F5565" s="61">
        <v>73.7</v>
      </c>
      <c r="G5565" s="61">
        <v>110.83</v>
      </c>
      <c r="H5565" s="61">
        <v>0</v>
      </c>
      <c r="I5565" s="61">
        <v>1602.35</v>
      </c>
      <c r="J5565" s="61">
        <f t="shared" si="50"/>
        <v>6509.5</v>
      </c>
    </row>
    <row r="5566" spans="1:10" x14ac:dyDescent="0.25">
      <c r="A5566" s="20">
        <v>45838</v>
      </c>
      <c r="B5566" t="s">
        <v>2223</v>
      </c>
      <c r="C5566" t="s">
        <v>270</v>
      </c>
      <c r="D5566" s="61">
        <v>45871.75</v>
      </c>
      <c r="F5566" s="61">
        <v>0</v>
      </c>
      <c r="G5566" s="61">
        <v>0</v>
      </c>
      <c r="H5566" s="61">
        <v>0</v>
      </c>
      <c r="I5566" s="61">
        <v>0</v>
      </c>
      <c r="J5566" s="61">
        <f t="shared" si="50"/>
        <v>45871.75</v>
      </c>
    </row>
    <row r="5567" spans="1:10" x14ac:dyDescent="0.25">
      <c r="A5567" s="20">
        <v>45838</v>
      </c>
      <c r="B5567" t="s">
        <v>2227</v>
      </c>
      <c r="C5567" t="s">
        <v>271</v>
      </c>
      <c r="D5567" s="61">
        <v>-2335.12</v>
      </c>
      <c r="F5567" s="61">
        <v>0</v>
      </c>
      <c r="G5567" s="61">
        <v>0</v>
      </c>
      <c r="H5567" s="61">
        <v>0</v>
      </c>
      <c r="I5567" s="61">
        <v>-1172</v>
      </c>
      <c r="J5567" s="61">
        <f t="shared" si="50"/>
        <v>-3507.12</v>
      </c>
    </row>
    <row r="5568" spans="1:10" x14ac:dyDescent="0.25">
      <c r="A5568" s="20">
        <v>45838</v>
      </c>
      <c r="B5568" t="s">
        <v>2231</v>
      </c>
      <c r="C5568" t="s">
        <v>783</v>
      </c>
      <c r="D5568" s="61">
        <v>0</v>
      </c>
      <c r="F5568" s="61">
        <v>152.24</v>
      </c>
      <c r="G5568" s="61">
        <v>-32.340000000000003</v>
      </c>
      <c r="H5568" s="61">
        <v>0</v>
      </c>
      <c r="I5568" s="61">
        <v>0</v>
      </c>
      <c r="J5568" s="61">
        <f t="shared" si="50"/>
        <v>119.9</v>
      </c>
    </row>
    <row r="5569" spans="1:10" x14ac:dyDescent="0.25">
      <c r="A5569" s="20">
        <v>45838</v>
      </c>
      <c r="B5569" t="s">
        <v>2238</v>
      </c>
      <c r="C5569" t="s">
        <v>272</v>
      </c>
      <c r="D5569" s="61">
        <v>1793</v>
      </c>
      <c r="F5569" s="61">
        <v>0</v>
      </c>
      <c r="G5569" s="61">
        <v>0</v>
      </c>
      <c r="H5569" s="61">
        <v>0</v>
      </c>
      <c r="I5569" s="61">
        <v>0</v>
      </c>
      <c r="J5569" s="61">
        <f t="shared" si="50"/>
        <v>1793</v>
      </c>
    </row>
    <row r="5570" spans="1:10" x14ac:dyDescent="0.25">
      <c r="A5570" s="20">
        <v>45838</v>
      </c>
      <c r="B5570" t="s">
        <v>2250</v>
      </c>
      <c r="C5570" t="s">
        <v>34</v>
      </c>
      <c r="D5570" s="61">
        <v>1710</v>
      </c>
      <c r="F5570" s="61">
        <v>0</v>
      </c>
      <c r="G5570" s="61">
        <v>0</v>
      </c>
      <c r="H5570" s="61">
        <v>0</v>
      </c>
      <c r="I5570" s="61">
        <v>0</v>
      </c>
      <c r="J5570" s="61">
        <f t="shared" si="50"/>
        <v>1710</v>
      </c>
    </row>
    <row r="5571" spans="1:10" x14ac:dyDescent="0.25">
      <c r="A5571" s="20">
        <v>45838</v>
      </c>
      <c r="B5571" t="s">
        <v>2251</v>
      </c>
      <c r="C5571" t="s">
        <v>277</v>
      </c>
      <c r="D5571" s="61">
        <v>81</v>
      </c>
      <c r="F5571" s="61">
        <v>0</v>
      </c>
      <c r="G5571" s="61">
        <v>0</v>
      </c>
      <c r="H5571" s="61">
        <v>0</v>
      </c>
      <c r="I5571" s="61">
        <v>0</v>
      </c>
      <c r="J5571" s="61">
        <f t="shared" si="50"/>
        <v>81</v>
      </c>
    </row>
    <row r="5572" spans="1:10" x14ac:dyDescent="0.25">
      <c r="A5572" s="20">
        <v>45838</v>
      </c>
      <c r="B5572" t="s">
        <v>2254</v>
      </c>
      <c r="C5572" t="s">
        <v>278</v>
      </c>
      <c r="D5572" s="61">
        <v>0</v>
      </c>
      <c r="F5572" s="61">
        <v>0</v>
      </c>
      <c r="G5572" s="61">
        <v>-1802.86</v>
      </c>
      <c r="H5572" s="61">
        <v>0</v>
      </c>
      <c r="I5572" s="61">
        <v>0</v>
      </c>
      <c r="J5572" s="61">
        <f t="shared" si="50"/>
        <v>-1802.86</v>
      </c>
    </row>
    <row r="5573" spans="1:10" x14ac:dyDescent="0.25">
      <c r="A5573" s="20">
        <v>45838</v>
      </c>
      <c r="B5573" t="s">
        <v>2259</v>
      </c>
      <c r="C5573" t="s">
        <v>2260</v>
      </c>
      <c r="D5573" s="61">
        <v>0</v>
      </c>
      <c r="F5573" s="61">
        <v>236.36</v>
      </c>
      <c r="G5573" s="61">
        <v>0</v>
      </c>
      <c r="H5573" s="61">
        <v>0</v>
      </c>
      <c r="I5573" s="61">
        <v>0</v>
      </c>
      <c r="J5573" s="61">
        <f t="shared" si="50"/>
        <v>236.36</v>
      </c>
    </row>
    <row r="5574" spans="1:10" x14ac:dyDescent="0.25">
      <c r="A5574" s="20">
        <v>45838</v>
      </c>
      <c r="B5574" t="s">
        <v>2265</v>
      </c>
      <c r="C5574" t="s">
        <v>566</v>
      </c>
      <c r="D5574" s="61">
        <v>0</v>
      </c>
      <c r="F5574" s="61">
        <v>0</v>
      </c>
      <c r="G5574" s="61">
        <v>0</v>
      </c>
      <c r="H5574" s="61">
        <v>0</v>
      </c>
      <c r="I5574" s="61">
        <v>-14.41</v>
      </c>
      <c r="J5574" s="61">
        <f t="shared" si="50"/>
        <v>-14.41</v>
      </c>
    </row>
    <row r="5575" spans="1:10" x14ac:dyDescent="0.25">
      <c r="A5575" s="20">
        <v>45838</v>
      </c>
      <c r="B5575" t="s">
        <v>2277</v>
      </c>
      <c r="C5575" t="s">
        <v>785</v>
      </c>
      <c r="D5575" s="61">
        <v>19.13</v>
      </c>
      <c r="F5575" s="61">
        <v>0</v>
      </c>
      <c r="G5575" s="61">
        <v>0</v>
      </c>
      <c r="H5575" s="61">
        <v>0</v>
      </c>
      <c r="I5575" s="61">
        <v>0</v>
      </c>
      <c r="J5575" s="61">
        <f t="shared" si="50"/>
        <v>19.13</v>
      </c>
    </row>
    <row r="5576" spans="1:10" x14ac:dyDescent="0.25">
      <c r="A5576" s="20">
        <v>45838</v>
      </c>
      <c r="B5576" t="s">
        <v>2280</v>
      </c>
      <c r="C5576" t="s">
        <v>471</v>
      </c>
      <c r="D5576" s="61">
        <v>702.5</v>
      </c>
      <c r="F5576" s="61">
        <v>0</v>
      </c>
      <c r="G5576" s="61">
        <v>0</v>
      </c>
      <c r="H5576" s="61">
        <v>0</v>
      </c>
      <c r="I5576" s="61">
        <v>0</v>
      </c>
      <c r="J5576" s="61">
        <f t="shared" si="50"/>
        <v>702.5</v>
      </c>
    </row>
    <row r="5577" spans="1:10" x14ac:dyDescent="0.25">
      <c r="A5577" s="20">
        <v>45838</v>
      </c>
      <c r="B5577" t="s">
        <v>2312</v>
      </c>
      <c r="C5577" t="s">
        <v>417</v>
      </c>
      <c r="D5577" s="61">
        <v>2267.5700000000002</v>
      </c>
      <c r="F5577" s="61">
        <v>0</v>
      </c>
      <c r="G5577" s="61">
        <v>0</v>
      </c>
      <c r="H5577" s="61">
        <v>0</v>
      </c>
      <c r="I5577" s="61">
        <v>0</v>
      </c>
      <c r="J5577" s="61">
        <f t="shared" si="50"/>
        <v>2267.5700000000002</v>
      </c>
    </row>
    <row r="5578" spans="1:10" x14ac:dyDescent="0.25">
      <c r="A5578" s="20">
        <v>45838</v>
      </c>
      <c r="B5578" t="s">
        <v>2314</v>
      </c>
      <c r="C5578" t="s">
        <v>753</v>
      </c>
      <c r="D5578" s="61">
        <v>0</v>
      </c>
      <c r="F5578" s="61">
        <v>0</v>
      </c>
      <c r="G5578" s="61">
        <v>178</v>
      </c>
      <c r="H5578" s="61">
        <v>0</v>
      </c>
      <c r="I5578" s="61">
        <v>0</v>
      </c>
      <c r="J5578" s="61">
        <f t="shared" si="50"/>
        <v>178</v>
      </c>
    </row>
    <row r="5579" spans="1:10" x14ac:dyDescent="0.25">
      <c r="A5579" s="20">
        <v>45838</v>
      </c>
      <c r="B5579" t="s">
        <v>2317</v>
      </c>
      <c r="C5579" t="s">
        <v>284</v>
      </c>
      <c r="D5579" s="61">
        <v>11840.04</v>
      </c>
      <c r="F5579" s="61">
        <v>0</v>
      </c>
      <c r="G5579" s="61">
        <v>0</v>
      </c>
      <c r="H5579" s="61">
        <v>0</v>
      </c>
      <c r="I5579" s="61">
        <v>0</v>
      </c>
      <c r="J5579" s="61">
        <f t="shared" si="50"/>
        <v>11840.04</v>
      </c>
    </row>
    <row r="5580" spans="1:10" x14ac:dyDescent="0.25">
      <c r="A5580" s="20">
        <v>45838</v>
      </c>
      <c r="B5580" t="s">
        <v>2318</v>
      </c>
      <c r="C5580" t="s">
        <v>285</v>
      </c>
      <c r="D5580" s="61">
        <v>3618.72</v>
      </c>
      <c r="F5580" s="61">
        <v>0</v>
      </c>
      <c r="G5580" s="61">
        <v>0</v>
      </c>
      <c r="H5580" s="61">
        <v>0</v>
      </c>
      <c r="I5580" s="61">
        <v>0</v>
      </c>
      <c r="J5580" s="61">
        <f t="shared" si="50"/>
        <v>3618.72</v>
      </c>
    </row>
    <row r="5581" spans="1:10" x14ac:dyDescent="0.25">
      <c r="A5581" s="20">
        <v>45838</v>
      </c>
      <c r="B5581" t="s">
        <v>2329</v>
      </c>
      <c r="C5581" t="s">
        <v>475</v>
      </c>
      <c r="D5581" s="61">
        <v>0</v>
      </c>
      <c r="F5581" s="61">
        <v>0</v>
      </c>
      <c r="G5581" s="61">
        <v>0</v>
      </c>
      <c r="H5581" s="61">
        <v>0</v>
      </c>
      <c r="I5581" s="61">
        <v>-299.55</v>
      </c>
      <c r="J5581" s="61">
        <f t="shared" si="50"/>
        <v>-299.55</v>
      </c>
    </row>
    <row r="5582" spans="1:10" x14ac:dyDescent="0.25">
      <c r="A5582" s="20">
        <v>45838</v>
      </c>
      <c r="B5582" t="s">
        <v>2346</v>
      </c>
      <c r="C5582" t="s">
        <v>418</v>
      </c>
      <c r="D5582" s="61">
        <v>0</v>
      </c>
      <c r="F5582" s="61">
        <v>138</v>
      </c>
      <c r="G5582" s="61">
        <v>136.5</v>
      </c>
      <c r="H5582" s="61">
        <v>0</v>
      </c>
      <c r="I5582" s="61">
        <v>0</v>
      </c>
      <c r="J5582" s="61">
        <f t="shared" si="50"/>
        <v>274.5</v>
      </c>
    </row>
    <row r="5583" spans="1:10" x14ac:dyDescent="0.25">
      <c r="A5583" s="20">
        <v>45838</v>
      </c>
      <c r="B5583" t="s">
        <v>2349</v>
      </c>
      <c r="C5583" t="s">
        <v>290</v>
      </c>
      <c r="D5583" s="61">
        <v>0</v>
      </c>
      <c r="F5583" s="61">
        <v>29848</v>
      </c>
      <c r="G5583" s="61">
        <v>397.5</v>
      </c>
      <c r="H5583" s="61">
        <v>0</v>
      </c>
      <c r="I5583" s="61">
        <v>0</v>
      </c>
      <c r="J5583" s="61">
        <f t="shared" si="50"/>
        <v>30245.5</v>
      </c>
    </row>
    <row r="5584" spans="1:10" x14ac:dyDescent="0.25">
      <c r="A5584" s="20">
        <v>45838</v>
      </c>
      <c r="B5584" t="s">
        <v>2370</v>
      </c>
      <c r="C5584" t="s">
        <v>298</v>
      </c>
      <c r="D5584" s="61">
        <v>3378.42</v>
      </c>
      <c r="F5584" s="61">
        <v>0</v>
      </c>
      <c r="G5584" s="61">
        <v>0</v>
      </c>
      <c r="H5584" s="61">
        <v>0</v>
      </c>
      <c r="I5584" s="61">
        <v>0</v>
      </c>
      <c r="J5584" s="61">
        <f t="shared" si="50"/>
        <v>3378.42</v>
      </c>
    </row>
    <row r="5585" spans="1:10" x14ac:dyDescent="0.25">
      <c r="A5585" s="20">
        <v>45838</v>
      </c>
      <c r="B5585" t="s">
        <v>2376</v>
      </c>
      <c r="C5585" t="s">
        <v>301</v>
      </c>
      <c r="D5585" s="61">
        <v>43077.71</v>
      </c>
      <c r="F5585" s="61">
        <v>0</v>
      </c>
      <c r="G5585" s="61">
        <v>0</v>
      </c>
      <c r="H5585" s="61">
        <v>0</v>
      </c>
      <c r="I5585" s="61">
        <v>0</v>
      </c>
      <c r="J5585" s="61">
        <f t="shared" si="50"/>
        <v>43077.71</v>
      </c>
    </row>
    <row r="5586" spans="1:10" x14ac:dyDescent="0.25">
      <c r="A5586" s="20">
        <v>45838</v>
      </c>
      <c r="B5586" t="s">
        <v>2389</v>
      </c>
      <c r="C5586" t="s">
        <v>571</v>
      </c>
      <c r="D5586" s="61">
        <v>14310</v>
      </c>
      <c r="F5586" s="61">
        <v>96.96</v>
      </c>
      <c r="G5586" s="61">
        <v>0</v>
      </c>
      <c r="H5586" s="61">
        <v>0</v>
      </c>
      <c r="I5586" s="61">
        <v>-19694.63</v>
      </c>
      <c r="J5586" s="61">
        <f t="shared" si="50"/>
        <v>-5287.6700000000019</v>
      </c>
    </row>
    <row r="5587" spans="1:10" x14ac:dyDescent="0.25">
      <c r="A5587" s="20">
        <v>45838</v>
      </c>
      <c r="B5587" t="s">
        <v>2390</v>
      </c>
      <c r="C5587" t="s">
        <v>303</v>
      </c>
      <c r="D5587" s="61">
        <v>0</v>
      </c>
      <c r="F5587" s="61">
        <v>0</v>
      </c>
      <c r="G5587" s="61">
        <v>1323</v>
      </c>
      <c r="H5587" s="61">
        <v>0</v>
      </c>
      <c r="I5587" s="61">
        <v>0</v>
      </c>
      <c r="J5587" s="61">
        <f t="shared" si="50"/>
        <v>1323</v>
      </c>
    </row>
    <row r="5588" spans="1:10" x14ac:dyDescent="0.25">
      <c r="A5588" s="20">
        <v>45838</v>
      </c>
      <c r="B5588" t="s">
        <v>2417</v>
      </c>
      <c r="C5588" t="s">
        <v>37</v>
      </c>
      <c r="D5588" s="61">
        <v>5840.82</v>
      </c>
      <c r="F5588" s="61">
        <v>165.83</v>
      </c>
      <c r="G5588" s="61">
        <v>5100.1400000000003</v>
      </c>
      <c r="H5588" s="61">
        <v>509.24</v>
      </c>
      <c r="I5588" s="61">
        <v>11307.14</v>
      </c>
      <c r="J5588" s="61">
        <f t="shared" si="50"/>
        <v>22923.17</v>
      </c>
    </row>
    <row r="5589" spans="1:10" x14ac:dyDescent="0.25">
      <c r="A5589" s="20">
        <v>45838</v>
      </c>
      <c r="B5589" t="s">
        <v>2420</v>
      </c>
      <c r="C5589" t="s">
        <v>308</v>
      </c>
      <c r="D5589" s="61">
        <v>855.6</v>
      </c>
      <c r="F5589" s="61">
        <v>0</v>
      </c>
      <c r="G5589" s="61">
        <v>0</v>
      </c>
      <c r="H5589" s="61">
        <v>0</v>
      </c>
      <c r="I5589" s="61">
        <v>0</v>
      </c>
      <c r="J5589" s="61">
        <f t="shared" si="50"/>
        <v>855.6</v>
      </c>
    </row>
    <row r="5590" spans="1:10" x14ac:dyDescent="0.25">
      <c r="A5590" s="20">
        <v>45838</v>
      </c>
      <c r="B5590" t="s">
        <v>2428</v>
      </c>
      <c r="C5590" t="s">
        <v>787</v>
      </c>
      <c r="D5590" s="61">
        <v>135</v>
      </c>
      <c r="F5590" s="61">
        <v>-13.23</v>
      </c>
      <c r="G5590" s="61">
        <v>0</v>
      </c>
      <c r="H5590" s="61">
        <v>0</v>
      </c>
      <c r="I5590" s="61">
        <v>0</v>
      </c>
      <c r="J5590" s="61">
        <f t="shared" si="50"/>
        <v>121.77</v>
      </c>
    </row>
    <row r="5591" spans="1:10" x14ac:dyDescent="0.25">
      <c r="A5591" s="20">
        <v>45838</v>
      </c>
      <c r="B5591" t="s">
        <v>2451</v>
      </c>
      <c r="C5591" t="s">
        <v>2452</v>
      </c>
      <c r="D5591" s="61">
        <v>0</v>
      </c>
      <c r="F5591" s="61">
        <v>569.72</v>
      </c>
      <c r="G5591" s="61">
        <v>0</v>
      </c>
      <c r="H5591" s="61">
        <v>0</v>
      </c>
      <c r="I5591" s="61">
        <v>0</v>
      </c>
      <c r="J5591" s="61">
        <f t="shared" si="50"/>
        <v>569.72</v>
      </c>
    </row>
    <row r="5592" spans="1:10" x14ac:dyDescent="0.25">
      <c r="A5592" s="20">
        <v>45838</v>
      </c>
      <c r="B5592" t="s">
        <v>2455</v>
      </c>
      <c r="C5592" t="s">
        <v>697</v>
      </c>
      <c r="D5592" s="61">
        <v>0</v>
      </c>
      <c r="F5592" s="61">
        <v>170.71</v>
      </c>
      <c r="G5592" s="61">
        <v>0</v>
      </c>
      <c r="H5592" s="61">
        <v>0</v>
      </c>
      <c r="I5592" s="61">
        <v>0</v>
      </c>
      <c r="J5592" s="61">
        <f t="shared" si="50"/>
        <v>170.71</v>
      </c>
    </row>
    <row r="5593" spans="1:10" x14ac:dyDescent="0.25">
      <c r="A5593" s="20">
        <v>45838</v>
      </c>
      <c r="B5593" t="s">
        <v>2471</v>
      </c>
      <c r="C5593" t="s">
        <v>315</v>
      </c>
      <c r="D5593" s="61">
        <v>5000</v>
      </c>
      <c r="F5593" s="61">
        <v>0</v>
      </c>
      <c r="G5593" s="61">
        <v>0</v>
      </c>
      <c r="H5593" s="61">
        <v>0</v>
      </c>
      <c r="I5593" s="61">
        <v>0</v>
      </c>
      <c r="J5593" s="61">
        <f t="shared" si="50"/>
        <v>5000</v>
      </c>
    </row>
    <row r="5594" spans="1:10" x14ac:dyDescent="0.25">
      <c r="A5594" s="20">
        <v>45838</v>
      </c>
      <c r="B5594" t="s">
        <v>2490</v>
      </c>
      <c r="C5594" t="s">
        <v>49</v>
      </c>
      <c r="D5594" s="61">
        <v>133405.48000000001</v>
      </c>
      <c r="F5594" s="61">
        <v>5900.75</v>
      </c>
      <c r="G5594" s="61">
        <v>3055.57</v>
      </c>
      <c r="H5594" s="61">
        <v>3588.1</v>
      </c>
      <c r="I5594" s="61">
        <v>40302.68</v>
      </c>
      <c r="J5594" s="61">
        <f t="shared" si="50"/>
        <v>186252.58000000002</v>
      </c>
    </row>
    <row r="5595" spans="1:10" x14ac:dyDescent="0.25">
      <c r="A5595" s="20">
        <v>45838</v>
      </c>
      <c r="B5595" t="s">
        <v>2496</v>
      </c>
      <c r="C5595" t="s">
        <v>50</v>
      </c>
      <c r="D5595" s="61">
        <v>226597.74</v>
      </c>
      <c r="F5595" s="61">
        <v>35807.08</v>
      </c>
      <c r="G5595" s="61">
        <v>-269.60000000000002</v>
      </c>
      <c r="H5595" s="61">
        <v>108.6</v>
      </c>
      <c r="I5595" s="61">
        <v>3434.34</v>
      </c>
      <c r="J5595" s="61">
        <f t="shared" si="50"/>
        <v>265678.16000000003</v>
      </c>
    </row>
    <row r="5596" spans="1:10" x14ac:dyDescent="0.25">
      <c r="A5596" s="20">
        <v>45838</v>
      </c>
      <c r="B5596" t="s">
        <v>2504</v>
      </c>
      <c r="C5596" t="s">
        <v>317</v>
      </c>
      <c r="D5596" s="61">
        <v>0</v>
      </c>
      <c r="F5596" s="61">
        <v>0</v>
      </c>
      <c r="G5596" s="61">
        <v>362</v>
      </c>
      <c r="H5596" s="61">
        <v>0</v>
      </c>
      <c r="I5596" s="61">
        <v>0</v>
      </c>
      <c r="J5596" s="61">
        <f t="shared" si="50"/>
        <v>362</v>
      </c>
    </row>
    <row r="5597" spans="1:10" x14ac:dyDescent="0.25">
      <c r="A5597" s="20">
        <v>45838</v>
      </c>
      <c r="B5597" t="s">
        <v>2505</v>
      </c>
      <c r="C5597" t="s">
        <v>318</v>
      </c>
      <c r="D5597" s="61">
        <v>9385</v>
      </c>
      <c r="F5597" s="61">
        <v>0</v>
      </c>
      <c r="G5597" s="61">
        <v>0</v>
      </c>
      <c r="H5597" s="61">
        <v>0</v>
      </c>
      <c r="I5597" s="61">
        <v>0</v>
      </c>
      <c r="J5597" s="61">
        <f t="shared" si="50"/>
        <v>9385</v>
      </c>
    </row>
    <row r="5598" spans="1:10" x14ac:dyDescent="0.25">
      <c r="A5598" s="20">
        <v>45838</v>
      </c>
      <c r="B5598" t="s">
        <v>2530</v>
      </c>
      <c r="C5598" t="s">
        <v>321</v>
      </c>
      <c r="D5598" s="61">
        <v>414.04</v>
      </c>
      <c r="F5598" s="61">
        <v>0</v>
      </c>
      <c r="G5598" s="61">
        <v>0</v>
      </c>
      <c r="H5598" s="61">
        <v>-47.94</v>
      </c>
      <c r="I5598" s="61">
        <v>0</v>
      </c>
      <c r="J5598" s="61">
        <f t="shared" ref="J5598:J5643" si="51">SUM(D5598:I5598)</f>
        <v>366.1</v>
      </c>
    </row>
    <row r="5599" spans="1:10" x14ac:dyDescent="0.25">
      <c r="A5599" s="20">
        <v>45838</v>
      </c>
      <c r="B5599" t="s">
        <v>2533</v>
      </c>
      <c r="C5599" t="s">
        <v>322</v>
      </c>
      <c r="D5599" s="61">
        <v>0</v>
      </c>
      <c r="F5599" s="61">
        <v>0</v>
      </c>
      <c r="G5599" s="61">
        <v>0</v>
      </c>
      <c r="H5599" s="61">
        <v>0</v>
      </c>
      <c r="I5599" s="61">
        <v>-348.81</v>
      </c>
      <c r="J5599" s="61">
        <f t="shared" si="51"/>
        <v>-348.81</v>
      </c>
    </row>
    <row r="5600" spans="1:10" x14ac:dyDescent="0.25">
      <c r="A5600" s="20">
        <v>45838</v>
      </c>
      <c r="B5600" t="s">
        <v>2540</v>
      </c>
      <c r="C5600" t="s">
        <v>700</v>
      </c>
      <c r="D5600" s="61">
        <v>0</v>
      </c>
      <c r="F5600" s="61">
        <v>340.83</v>
      </c>
      <c r="G5600" s="61">
        <v>0</v>
      </c>
      <c r="H5600" s="61">
        <v>0</v>
      </c>
      <c r="I5600" s="61">
        <v>0</v>
      </c>
      <c r="J5600" s="61">
        <f t="shared" si="51"/>
        <v>340.83</v>
      </c>
    </row>
    <row r="5601" spans="1:10" x14ac:dyDescent="0.25">
      <c r="A5601" s="20">
        <v>45838</v>
      </c>
      <c r="B5601" t="s">
        <v>2544</v>
      </c>
      <c r="C5601" t="s">
        <v>325</v>
      </c>
      <c r="D5601" s="61">
        <v>0</v>
      </c>
      <c r="F5601" s="61">
        <v>0</v>
      </c>
      <c r="G5601" s="61">
        <v>0</v>
      </c>
      <c r="H5601" s="61">
        <v>0</v>
      </c>
      <c r="I5601" s="61">
        <v>-421.28</v>
      </c>
      <c r="J5601" s="61">
        <f t="shared" si="51"/>
        <v>-421.28</v>
      </c>
    </row>
    <row r="5602" spans="1:10" x14ac:dyDescent="0.25">
      <c r="A5602" s="20">
        <v>45838</v>
      </c>
      <c r="B5602" t="s">
        <v>2545</v>
      </c>
      <c r="C5602" t="s">
        <v>423</v>
      </c>
      <c r="D5602" s="61">
        <v>0</v>
      </c>
      <c r="F5602" s="61">
        <v>460</v>
      </c>
      <c r="G5602" s="61">
        <v>0</v>
      </c>
      <c r="H5602" s="61">
        <v>0</v>
      </c>
      <c r="I5602" s="61">
        <v>0</v>
      </c>
      <c r="J5602" s="61">
        <f t="shared" si="51"/>
        <v>460</v>
      </c>
    </row>
    <row r="5603" spans="1:10" x14ac:dyDescent="0.25">
      <c r="A5603" s="20">
        <v>45838</v>
      </c>
      <c r="B5603" t="s">
        <v>2570</v>
      </c>
      <c r="C5603" t="s">
        <v>607</v>
      </c>
      <c r="D5603" s="61">
        <v>0</v>
      </c>
      <c r="F5603" s="61">
        <v>0</v>
      </c>
      <c r="G5603" s="61">
        <v>420.12</v>
      </c>
      <c r="H5603" s="61">
        <v>0</v>
      </c>
      <c r="I5603" s="61">
        <v>0</v>
      </c>
      <c r="J5603" s="61">
        <f t="shared" si="51"/>
        <v>420.12</v>
      </c>
    </row>
    <row r="5604" spans="1:10" x14ac:dyDescent="0.25">
      <c r="A5604" s="20">
        <v>45838</v>
      </c>
      <c r="B5604" t="s">
        <v>2577</v>
      </c>
      <c r="C5604" t="s">
        <v>525</v>
      </c>
      <c r="D5604" s="61">
        <v>2303.87</v>
      </c>
      <c r="F5604" s="61">
        <v>0</v>
      </c>
      <c r="G5604" s="61">
        <v>0</v>
      </c>
      <c r="H5604" s="61">
        <v>0</v>
      </c>
      <c r="I5604" s="61">
        <v>0</v>
      </c>
      <c r="J5604" s="61">
        <f t="shared" si="51"/>
        <v>2303.87</v>
      </c>
    </row>
    <row r="5605" spans="1:10" x14ac:dyDescent="0.25">
      <c r="A5605" s="20">
        <v>45838</v>
      </c>
      <c r="B5605" t="s">
        <v>2584</v>
      </c>
      <c r="C5605" t="s">
        <v>332</v>
      </c>
      <c r="D5605" s="61">
        <v>-4935</v>
      </c>
      <c r="F5605" s="61">
        <v>0</v>
      </c>
      <c r="G5605" s="61">
        <v>0</v>
      </c>
      <c r="H5605" s="61">
        <v>0</v>
      </c>
      <c r="I5605" s="61">
        <v>0</v>
      </c>
      <c r="J5605" s="61">
        <f t="shared" si="51"/>
        <v>-4935</v>
      </c>
    </row>
    <row r="5606" spans="1:10" x14ac:dyDescent="0.25">
      <c r="A5606" s="20">
        <v>45838</v>
      </c>
      <c r="B5606" t="s">
        <v>2600</v>
      </c>
      <c r="C5606" t="s">
        <v>767</v>
      </c>
      <c r="D5606" s="61">
        <v>-319.64999999999998</v>
      </c>
      <c r="F5606" s="61">
        <v>0</v>
      </c>
      <c r="G5606" s="61">
        <v>-126.76</v>
      </c>
      <c r="H5606" s="61">
        <v>0</v>
      </c>
      <c r="I5606" s="61">
        <v>0</v>
      </c>
      <c r="J5606" s="61">
        <f t="shared" si="51"/>
        <v>-446.40999999999997</v>
      </c>
    </row>
    <row r="5607" spans="1:10" x14ac:dyDescent="0.25">
      <c r="A5607" s="20">
        <v>45838</v>
      </c>
      <c r="B5607" t="s">
        <v>2601</v>
      </c>
      <c r="C5607" t="s">
        <v>337</v>
      </c>
      <c r="D5607" s="61">
        <v>14300</v>
      </c>
      <c r="F5607" s="61">
        <v>0</v>
      </c>
      <c r="G5607" s="61">
        <v>0</v>
      </c>
      <c r="H5607" s="61">
        <v>0</v>
      </c>
      <c r="I5607" s="61">
        <v>0</v>
      </c>
      <c r="J5607" s="61">
        <f t="shared" si="51"/>
        <v>14300</v>
      </c>
    </row>
    <row r="5608" spans="1:10" x14ac:dyDescent="0.25">
      <c r="A5608" s="20">
        <v>45838</v>
      </c>
      <c r="B5608" t="s">
        <v>2616</v>
      </c>
      <c r="C5608" t="s">
        <v>592</v>
      </c>
      <c r="D5608" s="61">
        <v>0</v>
      </c>
      <c r="F5608" s="61">
        <v>0</v>
      </c>
      <c r="G5608" s="61">
        <v>0</v>
      </c>
      <c r="H5608" s="61">
        <v>0</v>
      </c>
      <c r="I5608" s="61">
        <v>-85.32</v>
      </c>
      <c r="J5608" s="61">
        <f t="shared" si="51"/>
        <v>-85.32</v>
      </c>
    </row>
    <row r="5609" spans="1:10" x14ac:dyDescent="0.25">
      <c r="A5609" s="20">
        <v>45838</v>
      </c>
      <c r="B5609" t="s">
        <v>2638</v>
      </c>
      <c r="C5609" t="s">
        <v>645</v>
      </c>
      <c r="D5609" s="61">
        <v>39166.400000000001</v>
      </c>
      <c r="F5609" s="61">
        <v>0</v>
      </c>
      <c r="G5609" s="61">
        <v>-3189.87</v>
      </c>
      <c r="H5609" s="61">
        <v>0</v>
      </c>
      <c r="I5609" s="61">
        <v>0</v>
      </c>
      <c r="J5609" s="61">
        <f t="shared" si="51"/>
        <v>35976.53</v>
      </c>
    </row>
    <row r="5610" spans="1:10" x14ac:dyDescent="0.25">
      <c r="A5610" s="20">
        <v>45838</v>
      </c>
      <c r="B5610" t="s">
        <v>2648</v>
      </c>
      <c r="C5610" t="s">
        <v>345</v>
      </c>
      <c r="D5610" s="61">
        <v>55500.639999999999</v>
      </c>
      <c r="F5610" s="61">
        <v>1256</v>
      </c>
      <c r="G5610" s="61">
        <v>0</v>
      </c>
      <c r="H5610" s="61">
        <v>0</v>
      </c>
      <c r="I5610" s="61">
        <v>0</v>
      </c>
      <c r="J5610" s="61">
        <f t="shared" si="51"/>
        <v>56756.639999999999</v>
      </c>
    </row>
    <row r="5611" spans="1:10" x14ac:dyDescent="0.25">
      <c r="A5611" s="20">
        <v>45838</v>
      </c>
      <c r="B5611" t="s">
        <v>2651</v>
      </c>
      <c r="C5611" t="s">
        <v>531</v>
      </c>
      <c r="D5611" s="61">
        <v>0</v>
      </c>
      <c r="F5611" s="61">
        <v>466</v>
      </c>
      <c r="G5611" s="61">
        <v>0</v>
      </c>
      <c r="H5611" s="61">
        <v>0</v>
      </c>
      <c r="I5611" s="61">
        <v>0</v>
      </c>
      <c r="J5611" s="61">
        <f t="shared" si="51"/>
        <v>466</v>
      </c>
    </row>
    <row r="5612" spans="1:10" x14ac:dyDescent="0.25">
      <c r="A5612" s="20">
        <v>45838</v>
      </c>
      <c r="B5612" t="s">
        <v>2661</v>
      </c>
      <c r="C5612" t="s">
        <v>575</v>
      </c>
      <c r="D5612" s="61">
        <v>0</v>
      </c>
      <c r="F5612" s="61">
        <v>0</v>
      </c>
      <c r="G5612" s="61">
        <v>0</v>
      </c>
      <c r="H5612" s="61">
        <v>0</v>
      </c>
      <c r="I5612" s="61">
        <v>-536.64</v>
      </c>
      <c r="J5612" s="61">
        <f t="shared" si="51"/>
        <v>-536.64</v>
      </c>
    </row>
    <row r="5613" spans="1:10" x14ac:dyDescent="0.25">
      <c r="A5613" s="20">
        <v>45838</v>
      </c>
      <c r="B5613" t="s">
        <v>2664</v>
      </c>
      <c r="C5613" t="s">
        <v>348</v>
      </c>
      <c r="D5613" s="61">
        <v>6803</v>
      </c>
      <c r="F5613" s="61">
        <v>0</v>
      </c>
      <c r="G5613" s="61">
        <v>0</v>
      </c>
      <c r="H5613" s="61">
        <v>0</v>
      </c>
      <c r="I5613" s="61">
        <v>0</v>
      </c>
      <c r="J5613" s="61">
        <f t="shared" si="51"/>
        <v>6803</v>
      </c>
    </row>
    <row r="5614" spans="1:10" x14ac:dyDescent="0.25">
      <c r="A5614" s="20">
        <v>45838</v>
      </c>
      <c r="B5614" t="s">
        <v>2689</v>
      </c>
      <c r="C5614" t="s">
        <v>9</v>
      </c>
      <c r="D5614" s="61">
        <v>23609.29</v>
      </c>
      <c r="F5614" s="61">
        <v>5947.55</v>
      </c>
      <c r="G5614" s="61">
        <v>444</v>
      </c>
      <c r="H5614" s="61">
        <v>0</v>
      </c>
      <c r="I5614" s="61">
        <v>5270</v>
      </c>
      <c r="J5614" s="61">
        <f t="shared" si="51"/>
        <v>35270.839999999997</v>
      </c>
    </row>
    <row r="5615" spans="1:10" x14ac:dyDescent="0.25">
      <c r="A5615" s="20">
        <v>45838</v>
      </c>
      <c r="B5615" t="s">
        <v>2690</v>
      </c>
      <c r="C5615" t="s">
        <v>706</v>
      </c>
      <c r="D5615" s="61">
        <v>0</v>
      </c>
      <c r="F5615" s="61">
        <v>0</v>
      </c>
      <c r="G5615" s="61">
        <v>0</v>
      </c>
      <c r="H5615" s="61">
        <v>14911.15</v>
      </c>
      <c r="I5615" s="61">
        <v>0</v>
      </c>
      <c r="J5615" s="61">
        <f t="shared" si="51"/>
        <v>14911.15</v>
      </c>
    </row>
    <row r="5616" spans="1:10" x14ac:dyDescent="0.25">
      <c r="A5616" s="20">
        <v>45838</v>
      </c>
      <c r="B5616" t="s">
        <v>2691</v>
      </c>
      <c r="C5616" t="s">
        <v>54</v>
      </c>
      <c r="D5616" s="61">
        <v>40236.51</v>
      </c>
      <c r="F5616" s="61">
        <v>632.21</v>
      </c>
      <c r="G5616" s="61">
        <v>709.5</v>
      </c>
      <c r="H5616" s="61">
        <v>314.52999999999997</v>
      </c>
      <c r="I5616" s="61">
        <v>-100.66</v>
      </c>
      <c r="J5616" s="61">
        <f t="shared" si="51"/>
        <v>41792.089999999997</v>
      </c>
    </row>
    <row r="5617" spans="1:10" x14ac:dyDescent="0.25">
      <c r="A5617" s="20">
        <v>45838</v>
      </c>
      <c r="B5617" t="s">
        <v>2750</v>
      </c>
      <c r="C5617" t="s">
        <v>357</v>
      </c>
      <c r="D5617" s="61">
        <v>100</v>
      </c>
      <c r="F5617" s="61">
        <v>-519.53</v>
      </c>
      <c r="G5617" s="61">
        <v>0</v>
      </c>
      <c r="H5617" s="61">
        <v>0</v>
      </c>
      <c r="I5617" s="61">
        <v>0</v>
      </c>
      <c r="J5617" s="61">
        <f t="shared" si="51"/>
        <v>-419.53</v>
      </c>
    </row>
    <row r="5618" spans="1:10" x14ac:dyDescent="0.25">
      <c r="A5618" s="20">
        <v>45838</v>
      </c>
      <c r="B5618" t="s">
        <v>2753</v>
      </c>
      <c r="C5618" t="s">
        <v>358</v>
      </c>
      <c r="D5618" s="61">
        <v>-585.4</v>
      </c>
      <c r="F5618" s="61">
        <v>0</v>
      </c>
      <c r="G5618" s="61">
        <v>0</v>
      </c>
      <c r="H5618" s="61">
        <v>0</v>
      </c>
      <c r="I5618" s="61">
        <v>0</v>
      </c>
      <c r="J5618" s="61">
        <f t="shared" si="51"/>
        <v>-585.4</v>
      </c>
    </row>
    <row r="5619" spans="1:10" x14ac:dyDescent="0.25">
      <c r="A5619" s="20">
        <v>45838</v>
      </c>
      <c r="B5619" t="s">
        <v>2754</v>
      </c>
      <c r="C5619" t="s">
        <v>609</v>
      </c>
      <c r="D5619" s="61">
        <v>1713</v>
      </c>
      <c r="F5619" s="61">
        <v>0</v>
      </c>
      <c r="G5619" s="61">
        <v>0</v>
      </c>
      <c r="H5619" s="61">
        <v>0</v>
      </c>
      <c r="I5619" s="61">
        <v>0</v>
      </c>
      <c r="J5619" s="61">
        <f t="shared" si="51"/>
        <v>1713</v>
      </c>
    </row>
    <row r="5620" spans="1:10" x14ac:dyDescent="0.25">
      <c r="A5620" s="20">
        <v>45838</v>
      </c>
      <c r="B5620" t="s">
        <v>2776</v>
      </c>
      <c r="C5620" t="s">
        <v>432</v>
      </c>
      <c r="D5620" s="61">
        <v>0</v>
      </c>
      <c r="F5620" s="61">
        <v>0</v>
      </c>
      <c r="G5620" s="61">
        <v>-0.06</v>
      </c>
      <c r="H5620" s="61">
        <v>0</v>
      </c>
      <c r="I5620" s="61">
        <v>51.8</v>
      </c>
      <c r="J5620" s="61">
        <f t="shared" si="51"/>
        <v>51.739999999999995</v>
      </c>
    </row>
    <row r="5621" spans="1:10" x14ac:dyDescent="0.25">
      <c r="A5621" s="20">
        <v>45838</v>
      </c>
      <c r="B5621" t="s">
        <v>2782</v>
      </c>
      <c r="C5621" t="s">
        <v>363</v>
      </c>
      <c r="D5621" s="61">
        <v>0</v>
      </c>
      <c r="F5621" s="61">
        <v>-134.4</v>
      </c>
      <c r="G5621" s="61">
        <v>0</v>
      </c>
      <c r="H5621" s="61">
        <v>0</v>
      </c>
      <c r="I5621" s="61">
        <v>0</v>
      </c>
      <c r="J5621" s="61">
        <f t="shared" si="51"/>
        <v>-134.4</v>
      </c>
    </row>
    <row r="5622" spans="1:10" x14ac:dyDescent="0.25">
      <c r="A5622" s="20">
        <v>45838</v>
      </c>
      <c r="B5622" t="s">
        <v>2784</v>
      </c>
      <c r="C5622" t="s">
        <v>364</v>
      </c>
      <c r="D5622" s="61">
        <v>416</v>
      </c>
      <c r="F5622" s="61">
        <v>0</v>
      </c>
      <c r="G5622" s="61">
        <v>0</v>
      </c>
      <c r="H5622" s="61">
        <v>0</v>
      </c>
      <c r="I5622" s="61">
        <v>0</v>
      </c>
      <c r="J5622" s="61">
        <f t="shared" si="51"/>
        <v>416</v>
      </c>
    </row>
    <row r="5623" spans="1:10" x14ac:dyDescent="0.25">
      <c r="A5623" s="20">
        <v>45838</v>
      </c>
      <c r="B5623" t="s">
        <v>2802</v>
      </c>
      <c r="C5623" t="s">
        <v>365</v>
      </c>
      <c r="D5623" s="61">
        <v>41923.94</v>
      </c>
      <c r="F5623" s="61">
        <v>1337.3</v>
      </c>
      <c r="G5623" s="61">
        <v>3505.15</v>
      </c>
      <c r="H5623" s="61">
        <v>1456.18</v>
      </c>
      <c r="I5623" s="61">
        <v>-886.63</v>
      </c>
      <c r="J5623" s="61">
        <f t="shared" si="51"/>
        <v>47335.94000000001</v>
      </c>
    </row>
    <row r="5624" spans="1:10" x14ac:dyDescent="0.25">
      <c r="A5624" s="20">
        <v>45838</v>
      </c>
      <c r="B5624" t="s">
        <v>2809</v>
      </c>
      <c r="C5624" t="s">
        <v>593</v>
      </c>
      <c r="D5624" s="61">
        <v>0</v>
      </c>
      <c r="F5624" s="61">
        <v>0</v>
      </c>
      <c r="G5624" s="61">
        <v>0</v>
      </c>
      <c r="H5624" s="61">
        <v>0</v>
      </c>
      <c r="I5624" s="61">
        <v>-100</v>
      </c>
      <c r="J5624" s="61">
        <f t="shared" si="51"/>
        <v>-100</v>
      </c>
    </row>
    <row r="5625" spans="1:10" x14ac:dyDescent="0.25">
      <c r="A5625" s="20">
        <v>45838</v>
      </c>
      <c r="B5625" t="s">
        <v>2810</v>
      </c>
      <c r="C5625" t="s">
        <v>366</v>
      </c>
      <c r="D5625" s="61">
        <v>0</v>
      </c>
      <c r="F5625" s="61">
        <v>0</v>
      </c>
      <c r="G5625" s="61">
        <v>502.82</v>
      </c>
      <c r="H5625" s="61">
        <v>0</v>
      </c>
      <c r="I5625" s="61">
        <v>0</v>
      </c>
      <c r="J5625" s="61">
        <f t="shared" si="51"/>
        <v>502.82</v>
      </c>
    </row>
    <row r="5626" spans="1:10" x14ac:dyDescent="0.25">
      <c r="A5626" s="20">
        <v>45838</v>
      </c>
      <c r="B5626" t="s">
        <v>2817</v>
      </c>
      <c r="C5626" t="s">
        <v>974</v>
      </c>
      <c r="D5626" s="61">
        <v>-20.2</v>
      </c>
      <c r="F5626" s="61">
        <v>232</v>
      </c>
      <c r="G5626" s="61">
        <v>0</v>
      </c>
      <c r="H5626" s="61">
        <v>0</v>
      </c>
      <c r="I5626" s="61">
        <v>0</v>
      </c>
      <c r="J5626" s="61">
        <f t="shared" si="51"/>
        <v>211.8</v>
      </c>
    </row>
    <row r="5627" spans="1:10" x14ac:dyDescent="0.25">
      <c r="A5627" s="20">
        <v>45838</v>
      </c>
      <c r="B5627" t="s">
        <v>2819</v>
      </c>
      <c r="C5627" t="s">
        <v>611</v>
      </c>
      <c r="D5627" s="61">
        <v>0</v>
      </c>
      <c r="F5627" s="61">
        <v>776.83</v>
      </c>
      <c r="G5627" s="61">
        <v>0</v>
      </c>
      <c r="H5627" s="61">
        <v>0</v>
      </c>
      <c r="I5627" s="61">
        <v>0</v>
      </c>
      <c r="J5627" s="61">
        <f t="shared" si="51"/>
        <v>776.83</v>
      </c>
    </row>
    <row r="5628" spans="1:10" x14ac:dyDescent="0.25">
      <c r="A5628" s="20">
        <v>45838</v>
      </c>
      <c r="B5628" t="s">
        <v>2820</v>
      </c>
      <c r="C5628" t="s">
        <v>2821</v>
      </c>
      <c r="D5628" s="61">
        <v>0</v>
      </c>
      <c r="F5628" s="61">
        <v>-447.3</v>
      </c>
      <c r="G5628" s="61">
        <v>0</v>
      </c>
      <c r="H5628" s="61">
        <v>0</v>
      </c>
      <c r="I5628" s="61">
        <v>0</v>
      </c>
      <c r="J5628" s="61">
        <f t="shared" si="51"/>
        <v>-447.3</v>
      </c>
    </row>
    <row r="5629" spans="1:10" x14ac:dyDescent="0.25">
      <c r="A5629" s="20">
        <v>45838</v>
      </c>
      <c r="B5629" t="s">
        <v>2832</v>
      </c>
      <c r="C5629" t="s">
        <v>536</v>
      </c>
      <c r="D5629" s="61">
        <v>1633.16</v>
      </c>
      <c r="F5629" s="61">
        <v>0</v>
      </c>
      <c r="G5629" s="61">
        <v>0</v>
      </c>
      <c r="H5629" s="61">
        <v>0</v>
      </c>
      <c r="I5629" s="61">
        <v>0</v>
      </c>
      <c r="J5629" s="61">
        <f t="shared" si="51"/>
        <v>1633.16</v>
      </c>
    </row>
    <row r="5630" spans="1:10" x14ac:dyDescent="0.25">
      <c r="A5630" s="20">
        <v>45838</v>
      </c>
      <c r="B5630" t="s">
        <v>2833</v>
      </c>
      <c r="C5630" t="s">
        <v>58</v>
      </c>
      <c r="D5630" s="61">
        <v>8956.2000000000007</v>
      </c>
      <c r="F5630" s="61">
        <v>0</v>
      </c>
      <c r="G5630" s="61">
        <v>0</v>
      </c>
      <c r="H5630" s="61">
        <v>0</v>
      </c>
      <c r="I5630" s="61">
        <v>0</v>
      </c>
      <c r="J5630" s="61">
        <f t="shared" si="51"/>
        <v>8956.2000000000007</v>
      </c>
    </row>
    <row r="5631" spans="1:10" x14ac:dyDescent="0.25">
      <c r="A5631" s="20">
        <v>45838</v>
      </c>
      <c r="B5631" t="s">
        <v>2898</v>
      </c>
      <c r="C5631" t="s">
        <v>2899</v>
      </c>
      <c r="D5631" s="61">
        <v>-723</v>
      </c>
      <c r="F5631" s="61">
        <v>0</v>
      </c>
      <c r="G5631" s="61">
        <v>0</v>
      </c>
      <c r="H5631" s="61">
        <v>0</v>
      </c>
      <c r="I5631" s="61">
        <v>0</v>
      </c>
      <c r="J5631" s="61">
        <f t="shared" si="51"/>
        <v>-723</v>
      </c>
    </row>
    <row r="5632" spans="1:10" x14ac:dyDescent="0.25">
      <c r="A5632" s="20">
        <v>45838</v>
      </c>
      <c r="B5632" t="s">
        <v>2938</v>
      </c>
      <c r="C5632" t="s">
        <v>791</v>
      </c>
      <c r="D5632" s="61">
        <v>0</v>
      </c>
      <c r="F5632" s="61">
        <v>0</v>
      </c>
      <c r="G5632" s="61">
        <v>625.33000000000004</v>
      </c>
      <c r="H5632" s="61">
        <v>0</v>
      </c>
      <c r="I5632" s="61">
        <v>0</v>
      </c>
      <c r="J5632" s="61">
        <f t="shared" si="51"/>
        <v>625.33000000000004</v>
      </c>
    </row>
    <row r="5633" spans="1:10" x14ac:dyDescent="0.25">
      <c r="A5633" s="20">
        <v>45838</v>
      </c>
      <c r="B5633" t="s">
        <v>2955</v>
      </c>
      <c r="C5633" t="s">
        <v>693</v>
      </c>
      <c r="D5633" s="61">
        <v>27717.05</v>
      </c>
      <c r="F5633" s="61">
        <v>0</v>
      </c>
      <c r="G5633" s="61">
        <v>0</v>
      </c>
      <c r="H5633" s="61">
        <v>0</v>
      </c>
      <c r="I5633" s="61">
        <v>0</v>
      </c>
      <c r="J5633" s="61">
        <f t="shared" si="51"/>
        <v>27717.05</v>
      </c>
    </row>
    <row r="5634" spans="1:10" x14ac:dyDescent="0.25">
      <c r="A5634" s="20">
        <v>45838</v>
      </c>
      <c r="B5634" t="s">
        <v>2958</v>
      </c>
      <c r="C5634" t="s">
        <v>561</v>
      </c>
      <c r="D5634" s="61">
        <v>43508.480000000003</v>
      </c>
      <c r="F5634" s="61">
        <v>2514.08</v>
      </c>
      <c r="G5634" s="61">
        <v>0</v>
      </c>
      <c r="H5634" s="61">
        <v>0</v>
      </c>
      <c r="I5634" s="61">
        <v>0</v>
      </c>
      <c r="J5634" s="61">
        <f t="shared" si="51"/>
        <v>46022.560000000005</v>
      </c>
    </row>
    <row r="5635" spans="1:10" x14ac:dyDescent="0.25">
      <c r="A5635" s="20">
        <v>45838</v>
      </c>
      <c r="B5635" t="s">
        <v>2959</v>
      </c>
      <c r="C5635" t="s">
        <v>668</v>
      </c>
      <c r="D5635" s="61">
        <v>0</v>
      </c>
      <c r="F5635" s="61">
        <v>0</v>
      </c>
      <c r="G5635" s="61">
        <v>0</v>
      </c>
      <c r="H5635" s="61">
        <v>-24.18</v>
      </c>
      <c r="I5635" s="61">
        <v>0</v>
      </c>
      <c r="J5635" s="61">
        <f t="shared" si="51"/>
        <v>-24.18</v>
      </c>
    </row>
    <row r="5636" spans="1:10" x14ac:dyDescent="0.25">
      <c r="A5636" s="20">
        <v>45838</v>
      </c>
      <c r="B5636" t="s">
        <v>2960</v>
      </c>
      <c r="C5636" t="s">
        <v>538</v>
      </c>
      <c r="D5636" s="61">
        <v>2215</v>
      </c>
      <c r="F5636" s="61">
        <v>0</v>
      </c>
      <c r="G5636" s="61">
        <v>1454.92</v>
      </c>
      <c r="H5636" s="61">
        <v>0</v>
      </c>
      <c r="I5636" s="61">
        <v>-370.57</v>
      </c>
      <c r="J5636" s="61">
        <f t="shared" si="51"/>
        <v>3299.35</v>
      </c>
    </row>
    <row r="5637" spans="1:10" x14ac:dyDescent="0.25">
      <c r="A5637" s="20">
        <v>45838</v>
      </c>
      <c r="B5637" t="s">
        <v>2963</v>
      </c>
      <c r="C5637" t="s">
        <v>565</v>
      </c>
      <c r="D5637" s="61">
        <v>29764</v>
      </c>
      <c r="F5637" s="61">
        <v>8825.7800000000007</v>
      </c>
      <c r="G5637" s="61">
        <v>0</v>
      </c>
      <c r="H5637" s="61">
        <v>0</v>
      </c>
      <c r="I5637" s="61">
        <v>-3804.52</v>
      </c>
      <c r="J5637" s="61">
        <f t="shared" si="51"/>
        <v>34785.26</v>
      </c>
    </row>
    <row r="5638" spans="1:10" x14ac:dyDescent="0.25">
      <c r="A5638" s="20">
        <v>45838</v>
      </c>
      <c r="B5638" t="s">
        <v>2968</v>
      </c>
      <c r="C5638" t="s">
        <v>520</v>
      </c>
      <c r="D5638" s="61">
        <v>491</v>
      </c>
      <c r="F5638" s="61">
        <v>0</v>
      </c>
      <c r="G5638" s="61">
        <v>0</v>
      </c>
      <c r="H5638" s="61">
        <v>0</v>
      </c>
      <c r="I5638" s="61">
        <v>-252</v>
      </c>
      <c r="J5638" s="61">
        <f t="shared" si="51"/>
        <v>239</v>
      </c>
    </row>
    <row r="5639" spans="1:10" x14ac:dyDescent="0.25">
      <c r="A5639" s="20">
        <v>45838</v>
      </c>
      <c r="B5639" t="s">
        <v>2976</v>
      </c>
      <c r="C5639" t="s">
        <v>792</v>
      </c>
      <c r="D5639" s="61">
        <v>336</v>
      </c>
      <c r="F5639" s="61">
        <v>0</v>
      </c>
      <c r="G5639" s="61">
        <v>0</v>
      </c>
      <c r="H5639" s="61">
        <v>0</v>
      </c>
      <c r="I5639" s="61">
        <v>0</v>
      </c>
      <c r="J5639" s="61">
        <f t="shared" si="51"/>
        <v>336</v>
      </c>
    </row>
    <row r="5640" spans="1:10" x14ac:dyDescent="0.25">
      <c r="A5640" s="20">
        <v>45838</v>
      </c>
      <c r="B5640" t="s">
        <v>3027</v>
      </c>
      <c r="C5640" t="s">
        <v>3028</v>
      </c>
      <c r="D5640" s="61">
        <v>95073</v>
      </c>
      <c r="F5640" s="61">
        <v>0</v>
      </c>
      <c r="G5640" s="61">
        <v>0</v>
      </c>
      <c r="H5640" s="61">
        <v>0</v>
      </c>
      <c r="I5640" s="61">
        <v>0</v>
      </c>
      <c r="J5640" s="61">
        <f t="shared" si="51"/>
        <v>95073</v>
      </c>
    </row>
    <row r="5641" spans="1:10" x14ac:dyDescent="0.25">
      <c r="A5641" s="20">
        <v>45838</v>
      </c>
      <c r="B5641" t="s">
        <v>3035</v>
      </c>
      <c r="C5641" t="s">
        <v>3036</v>
      </c>
      <c r="D5641" s="61">
        <v>36373.199999999997</v>
      </c>
      <c r="F5641" s="61">
        <v>4284</v>
      </c>
      <c r="G5641" s="61">
        <v>0</v>
      </c>
      <c r="H5641" s="61">
        <v>0</v>
      </c>
      <c r="I5641" s="61">
        <v>0</v>
      </c>
      <c r="J5641" s="61">
        <f t="shared" si="51"/>
        <v>40657.199999999997</v>
      </c>
    </row>
    <row r="5642" spans="1:10" x14ac:dyDescent="0.25">
      <c r="A5642" s="20">
        <v>45838</v>
      </c>
      <c r="B5642" t="s">
        <v>3037</v>
      </c>
      <c r="C5642" t="s">
        <v>3038</v>
      </c>
      <c r="D5642" s="61">
        <v>4269.38</v>
      </c>
      <c r="F5642" s="61">
        <v>0</v>
      </c>
      <c r="G5642" s="61">
        <v>0</v>
      </c>
      <c r="H5642" s="61">
        <v>0</v>
      </c>
      <c r="I5642" s="61">
        <v>0</v>
      </c>
      <c r="J5642" s="61">
        <f t="shared" si="51"/>
        <v>4269.38</v>
      </c>
    </row>
    <row r="5643" spans="1:10" x14ac:dyDescent="0.25">
      <c r="A5643" s="20">
        <v>45838</v>
      </c>
      <c r="B5643" t="s">
        <v>3043</v>
      </c>
      <c r="C5643" t="s">
        <v>3044</v>
      </c>
      <c r="D5643" s="61">
        <v>12200</v>
      </c>
      <c r="F5643" s="61">
        <v>0</v>
      </c>
      <c r="G5643" s="61">
        <v>0</v>
      </c>
      <c r="H5643" s="61">
        <v>0</v>
      </c>
      <c r="I5643" s="61">
        <v>0</v>
      </c>
      <c r="J5643" s="61">
        <f t="shared" si="51"/>
        <v>12200</v>
      </c>
    </row>
    <row r="5644" spans="1:10" x14ac:dyDescent="0.25">
      <c r="A5644" s="20">
        <v>45869</v>
      </c>
      <c r="B5644" t="s">
        <v>976</v>
      </c>
      <c r="C5644" t="s">
        <v>64</v>
      </c>
      <c r="D5644" s="61">
        <v>75082.58</v>
      </c>
      <c r="E5644" s="61"/>
      <c r="F5644" s="61">
        <v>0</v>
      </c>
      <c r="G5644" s="61">
        <v>0</v>
      </c>
      <c r="H5644" s="61">
        <v>0</v>
      </c>
      <c r="I5644" s="61">
        <v>0</v>
      </c>
      <c r="J5644" s="61">
        <f t="shared" ref="J5644:J5707" si="52">SUM(D5644:I5644)</f>
        <v>75082.58</v>
      </c>
    </row>
    <row r="5645" spans="1:10" x14ac:dyDescent="0.25">
      <c r="A5645" s="20">
        <v>45869</v>
      </c>
      <c r="B5645" t="s">
        <v>977</v>
      </c>
      <c r="C5645" t="s">
        <v>87</v>
      </c>
      <c r="D5645" s="61">
        <v>8254.2000000000007</v>
      </c>
      <c r="E5645" s="61"/>
      <c r="F5645" s="61">
        <v>0</v>
      </c>
      <c r="G5645" s="61">
        <v>0</v>
      </c>
      <c r="H5645" s="61">
        <v>0</v>
      </c>
      <c r="I5645" s="61">
        <v>-81.7</v>
      </c>
      <c r="J5645" s="61">
        <f t="shared" si="52"/>
        <v>8172.5000000000009</v>
      </c>
    </row>
    <row r="5646" spans="1:10" x14ac:dyDescent="0.25">
      <c r="A5646" s="20">
        <v>45869</v>
      </c>
      <c r="B5646" t="s">
        <v>980</v>
      </c>
      <c r="C5646" t="s">
        <v>90</v>
      </c>
      <c r="D5646" s="61">
        <v>26308.71</v>
      </c>
      <c r="E5646" s="61"/>
      <c r="F5646" s="61">
        <v>0</v>
      </c>
      <c r="G5646" s="61">
        <v>0</v>
      </c>
      <c r="H5646" s="61">
        <v>0</v>
      </c>
      <c r="I5646" s="61">
        <v>0</v>
      </c>
      <c r="J5646" s="61">
        <f t="shared" si="52"/>
        <v>26308.71</v>
      </c>
    </row>
    <row r="5647" spans="1:10" x14ac:dyDescent="0.25">
      <c r="A5647" s="20">
        <v>45869</v>
      </c>
      <c r="B5647" t="s">
        <v>981</v>
      </c>
      <c r="C5647" t="s">
        <v>17</v>
      </c>
      <c r="D5647" s="61">
        <v>37044</v>
      </c>
      <c r="E5647" s="61"/>
      <c r="F5647" s="61">
        <v>0</v>
      </c>
      <c r="G5647" s="61">
        <v>0</v>
      </c>
      <c r="H5647" s="61">
        <v>0</v>
      </c>
      <c r="I5647" s="61">
        <v>0</v>
      </c>
      <c r="J5647" s="61">
        <f t="shared" si="52"/>
        <v>37044</v>
      </c>
    </row>
    <row r="5648" spans="1:10" x14ac:dyDescent="0.25">
      <c r="A5648" s="20">
        <v>45869</v>
      </c>
      <c r="B5648" t="s">
        <v>982</v>
      </c>
      <c r="C5648" t="s">
        <v>107</v>
      </c>
      <c r="D5648" s="61">
        <v>-3768.11</v>
      </c>
      <c r="E5648" s="61"/>
      <c r="F5648" s="61">
        <v>0</v>
      </c>
      <c r="G5648" s="61">
        <v>0</v>
      </c>
      <c r="H5648" s="61">
        <v>0</v>
      </c>
      <c r="I5648" s="61">
        <v>0</v>
      </c>
      <c r="J5648" s="61">
        <f t="shared" si="52"/>
        <v>-3768.11</v>
      </c>
    </row>
    <row r="5649" spans="1:10" x14ac:dyDescent="0.25">
      <c r="A5649" s="20">
        <v>45869</v>
      </c>
      <c r="B5649" t="s">
        <v>987</v>
      </c>
      <c r="C5649" t="s">
        <v>121</v>
      </c>
      <c r="D5649" s="61">
        <v>0</v>
      </c>
      <c r="E5649" s="61"/>
      <c r="F5649" s="61">
        <v>0</v>
      </c>
      <c r="G5649" s="61">
        <v>344.83</v>
      </c>
      <c r="H5649" s="61">
        <v>589.86</v>
      </c>
      <c r="I5649" s="61">
        <v>3091.68</v>
      </c>
      <c r="J5649" s="61">
        <f t="shared" si="52"/>
        <v>4026.37</v>
      </c>
    </row>
    <row r="5650" spans="1:10" x14ac:dyDescent="0.25">
      <c r="A5650" s="20">
        <v>45869</v>
      </c>
      <c r="B5650" t="s">
        <v>991</v>
      </c>
      <c r="C5650" t="s">
        <v>141</v>
      </c>
      <c r="D5650" s="61">
        <v>8152.2</v>
      </c>
      <c r="E5650" s="61"/>
      <c r="F5650" s="61">
        <v>0</v>
      </c>
      <c r="G5650" s="61">
        <v>0</v>
      </c>
      <c r="H5650" s="61">
        <v>0</v>
      </c>
      <c r="I5650" s="61">
        <v>0</v>
      </c>
      <c r="J5650" s="61">
        <f t="shared" si="52"/>
        <v>8152.2</v>
      </c>
    </row>
    <row r="5651" spans="1:10" x14ac:dyDescent="0.25">
      <c r="A5651" s="20">
        <v>45869</v>
      </c>
      <c r="B5651" t="s">
        <v>998</v>
      </c>
      <c r="C5651" t="s">
        <v>21</v>
      </c>
      <c r="D5651" s="61">
        <v>0</v>
      </c>
      <c r="E5651" s="61"/>
      <c r="F5651" s="61">
        <v>12782.1</v>
      </c>
      <c r="G5651" s="61">
        <v>3861.62</v>
      </c>
      <c r="H5651" s="61">
        <v>20697.52</v>
      </c>
      <c r="I5651" s="61">
        <v>21588.880000000001</v>
      </c>
      <c r="J5651" s="61">
        <f t="shared" si="52"/>
        <v>58930.12000000001</v>
      </c>
    </row>
    <row r="5652" spans="1:10" x14ac:dyDescent="0.25">
      <c r="A5652" s="20">
        <v>45869</v>
      </c>
      <c r="B5652" t="s">
        <v>999</v>
      </c>
      <c r="C5652" t="s">
        <v>172</v>
      </c>
      <c r="D5652" s="61">
        <v>26615.58</v>
      </c>
      <c r="E5652" s="61"/>
      <c r="F5652" s="61">
        <v>0</v>
      </c>
      <c r="G5652" s="61">
        <v>0</v>
      </c>
      <c r="H5652" s="61">
        <v>0</v>
      </c>
      <c r="I5652" s="61">
        <v>0</v>
      </c>
      <c r="J5652" s="61">
        <f t="shared" si="52"/>
        <v>26615.58</v>
      </c>
    </row>
    <row r="5653" spans="1:10" x14ac:dyDescent="0.25">
      <c r="A5653" s="20">
        <v>45869</v>
      </c>
      <c r="B5653" t="s">
        <v>1000</v>
      </c>
      <c r="C5653" t="s">
        <v>174</v>
      </c>
      <c r="D5653" s="61">
        <v>361</v>
      </c>
      <c r="E5653" s="61"/>
      <c r="F5653" s="61">
        <v>0</v>
      </c>
      <c r="G5653" s="61">
        <v>0</v>
      </c>
      <c r="H5653" s="61">
        <v>-1842.35</v>
      </c>
      <c r="I5653" s="61">
        <v>0</v>
      </c>
      <c r="J5653" s="61">
        <f t="shared" si="52"/>
        <v>-1481.35</v>
      </c>
    </row>
    <row r="5654" spans="1:10" x14ac:dyDescent="0.25">
      <c r="A5654" s="20">
        <v>45869</v>
      </c>
      <c r="B5654" t="s">
        <v>1001</v>
      </c>
      <c r="C5654" t="s">
        <v>180</v>
      </c>
      <c r="D5654" s="61">
        <v>3046.72</v>
      </c>
      <c r="E5654" s="61"/>
      <c r="F5654" s="61">
        <v>0</v>
      </c>
      <c r="G5654" s="61">
        <v>0</v>
      </c>
      <c r="H5654" s="61">
        <v>0</v>
      </c>
      <c r="I5654" s="61">
        <v>0</v>
      </c>
      <c r="J5654" s="61">
        <f t="shared" si="52"/>
        <v>3046.72</v>
      </c>
    </row>
    <row r="5655" spans="1:10" x14ac:dyDescent="0.25">
      <c r="A5655" s="20">
        <v>45869</v>
      </c>
      <c r="B5655" t="s">
        <v>1006</v>
      </c>
      <c r="C5655" t="s">
        <v>26</v>
      </c>
      <c r="D5655" s="61">
        <v>623.76</v>
      </c>
      <c r="E5655" s="61"/>
      <c r="F5655" s="61">
        <v>-7.71</v>
      </c>
      <c r="G5655" s="61">
        <v>1598.95</v>
      </c>
      <c r="H5655" s="61">
        <v>0</v>
      </c>
      <c r="I5655" s="61">
        <v>0</v>
      </c>
      <c r="J5655" s="61">
        <f t="shared" si="52"/>
        <v>2215</v>
      </c>
    </row>
    <row r="5656" spans="1:10" x14ac:dyDescent="0.25">
      <c r="A5656" s="20">
        <v>45869</v>
      </c>
      <c r="B5656" t="s">
        <v>1013</v>
      </c>
      <c r="C5656" t="s">
        <v>210</v>
      </c>
      <c r="D5656" s="61">
        <v>12645.83</v>
      </c>
      <c r="E5656" s="61"/>
      <c r="F5656" s="61">
        <v>0</v>
      </c>
      <c r="G5656" s="61">
        <v>0</v>
      </c>
      <c r="H5656" s="61">
        <v>0</v>
      </c>
      <c r="I5656" s="61">
        <v>0</v>
      </c>
      <c r="J5656" s="61">
        <f t="shared" si="52"/>
        <v>12645.83</v>
      </c>
    </row>
    <row r="5657" spans="1:10" x14ac:dyDescent="0.25">
      <c r="A5657" s="20">
        <v>45869</v>
      </c>
      <c r="B5657" t="s">
        <v>1022</v>
      </c>
      <c r="C5657" t="s">
        <v>687</v>
      </c>
      <c r="D5657" s="61">
        <v>746.87</v>
      </c>
      <c r="E5657" s="61"/>
      <c r="F5657" s="61">
        <v>0</v>
      </c>
      <c r="G5657" s="61">
        <v>0</v>
      </c>
      <c r="H5657" s="61">
        <v>0</v>
      </c>
      <c r="I5657" s="61">
        <v>-1836.95</v>
      </c>
      <c r="J5657" s="61">
        <f t="shared" si="52"/>
        <v>-1090.08</v>
      </c>
    </row>
    <row r="5658" spans="1:10" x14ac:dyDescent="0.25">
      <c r="A5658" s="20">
        <v>45869</v>
      </c>
      <c r="B5658" t="s">
        <v>1023</v>
      </c>
      <c r="C5658" t="s">
        <v>264</v>
      </c>
      <c r="D5658" s="61">
        <v>0</v>
      </c>
      <c r="E5658" s="61"/>
      <c r="F5658" s="61">
        <v>0</v>
      </c>
      <c r="G5658" s="61">
        <v>0</v>
      </c>
      <c r="H5658" s="61">
        <v>-1820.63</v>
      </c>
      <c r="I5658" s="61">
        <v>0</v>
      </c>
      <c r="J5658" s="61">
        <f t="shared" si="52"/>
        <v>-1820.63</v>
      </c>
    </row>
    <row r="5659" spans="1:10" x14ac:dyDescent="0.25">
      <c r="A5659" s="20">
        <v>45869</v>
      </c>
      <c r="B5659" t="s">
        <v>1024</v>
      </c>
      <c r="C5659" t="s">
        <v>265</v>
      </c>
      <c r="D5659" s="61">
        <v>8384.85</v>
      </c>
      <c r="E5659" s="61"/>
      <c r="F5659" s="61">
        <v>0</v>
      </c>
      <c r="G5659" s="61">
        <v>0</v>
      </c>
      <c r="H5659" s="61">
        <v>0</v>
      </c>
      <c r="I5659" s="61">
        <v>0</v>
      </c>
      <c r="J5659" s="61">
        <f t="shared" si="52"/>
        <v>8384.85</v>
      </c>
    </row>
    <row r="5660" spans="1:10" x14ac:dyDescent="0.25">
      <c r="A5660" s="20">
        <v>45869</v>
      </c>
      <c r="B5660" t="s">
        <v>1031</v>
      </c>
      <c r="C5660" t="s">
        <v>280</v>
      </c>
      <c r="D5660" s="61">
        <v>-2995.65</v>
      </c>
      <c r="E5660" s="61"/>
      <c r="F5660" s="61">
        <v>-301.67</v>
      </c>
      <c r="G5660" s="61">
        <v>0</v>
      </c>
      <c r="H5660" s="61">
        <v>0</v>
      </c>
      <c r="I5660" s="61">
        <v>0</v>
      </c>
      <c r="J5660" s="61">
        <f t="shared" si="52"/>
        <v>-3297.32</v>
      </c>
    </row>
    <row r="5661" spans="1:10" x14ac:dyDescent="0.25">
      <c r="A5661" s="20">
        <v>45869</v>
      </c>
      <c r="B5661" t="s">
        <v>1032</v>
      </c>
      <c r="C5661" t="s">
        <v>35</v>
      </c>
      <c r="D5661" s="61">
        <v>7500</v>
      </c>
      <c r="E5661" s="61"/>
      <c r="F5661" s="61">
        <v>0</v>
      </c>
      <c r="G5661" s="61">
        <v>0</v>
      </c>
      <c r="H5661" s="61">
        <v>0</v>
      </c>
      <c r="I5661" s="61">
        <v>0</v>
      </c>
      <c r="J5661" s="61">
        <f t="shared" si="52"/>
        <v>7500</v>
      </c>
    </row>
    <row r="5662" spans="1:10" x14ac:dyDescent="0.25">
      <c r="A5662" s="20">
        <v>45869</v>
      </c>
      <c r="B5662" t="s">
        <v>1034</v>
      </c>
      <c r="C5662" t="s">
        <v>283</v>
      </c>
      <c r="D5662" s="61">
        <v>0</v>
      </c>
      <c r="E5662" s="61"/>
      <c r="F5662" s="61">
        <v>-36.53</v>
      </c>
      <c r="G5662" s="61">
        <v>0</v>
      </c>
      <c r="H5662" s="61">
        <v>0</v>
      </c>
      <c r="I5662" s="61">
        <v>0</v>
      </c>
      <c r="J5662" s="61">
        <f t="shared" si="52"/>
        <v>-36.53</v>
      </c>
    </row>
    <row r="5663" spans="1:10" x14ac:dyDescent="0.25">
      <c r="A5663" s="20">
        <v>45869</v>
      </c>
      <c r="B5663" t="s">
        <v>1037</v>
      </c>
      <c r="C5663" t="s">
        <v>567</v>
      </c>
      <c r="D5663" s="61">
        <v>0</v>
      </c>
      <c r="E5663" s="61"/>
      <c r="F5663" s="61">
        <v>0</v>
      </c>
      <c r="G5663" s="61">
        <v>0</v>
      </c>
      <c r="H5663" s="61">
        <v>0</v>
      </c>
      <c r="I5663" s="61">
        <v>-12463.9</v>
      </c>
      <c r="J5663" s="61">
        <f t="shared" si="52"/>
        <v>-12463.9</v>
      </c>
    </row>
    <row r="5664" spans="1:10" x14ac:dyDescent="0.25">
      <c r="A5664" s="20">
        <v>45869</v>
      </c>
      <c r="B5664" t="s">
        <v>1038</v>
      </c>
      <c r="C5664" t="s">
        <v>289</v>
      </c>
      <c r="D5664" s="61">
        <v>2880</v>
      </c>
      <c r="E5664" s="61"/>
      <c r="F5664" s="61">
        <v>0</v>
      </c>
      <c r="G5664" s="61">
        <v>0</v>
      </c>
      <c r="H5664" s="61">
        <v>0</v>
      </c>
      <c r="I5664" s="61">
        <v>0</v>
      </c>
      <c r="J5664" s="61">
        <f t="shared" si="52"/>
        <v>2880</v>
      </c>
    </row>
    <row r="5665" spans="1:10" x14ac:dyDescent="0.25">
      <c r="A5665" s="20">
        <v>45869</v>
      </c>
      <c r="B5665" t="s">
        <v>1040</v>
      </c>
      <c r="C5665" t="s">
        <v>299</v>
      </c>
      <c r="D5665" s="61">
        <v>1301.58</v>
      </c>
      <c r="E5665" s="61"/>
      <c r="F5665" s="61">
        <v>0</v>
      </c>
      <c r="G5665" s="61">
        <v>0</v>
      </c>
      <c r="H5665" s="61">
        <v>0</v>
      </c>
      <c r="I5665" s="61">
        <v>0</v>
      </c>
      <c r="J5665" s="61">
        <f t="shared" si="52"/>
        <v>1301.58</v>
      </c>
    </row>
    <row r="5666" spans="1:10" x14ac:dyDescent="0.25">
      <c r="A5666" s="20">
        <v>45869</v>
      </c>
      <c r="B5666" t="s">
        <v>1042</v>
      </c>
      <c r="C5666" t="s">
        <v>302</v>
      </c>
      <c r="D5666" s="61">
        <v>131878.53</v>
      </c>
      <c r="E5666" s="61"/>
      <c r="F5666" s="61">
        <v>-99.5</v>
      </c>
      <c r="G5666" s="61">
        <v>1454.69</v>
      </c>
      <c r="H5666" s="61">
        <v>0</v>
      </c>
      <c r="I5666" s="61">
        <v>0</v>
      </c>
      <c r="J5666" s="61">
        <f t="shared" si="52"/>
        <v>133233.72</v>
      </c>
    </row>
    <row r="5667" spans="1:10" x14ac:dyDescent="0.25">
      <c r="A5667" s="20">
        <v>45869</v>
      </c>
      <c r="B5667" t="s">
        <v>1043</v>
      </c>
      <c r="C5667" t="s">
        <v>36</v>
      </c>
      <c r="D5667" s="61">
        <v>4038.57</v>
      </c>
      <c r="E5667" s="61"/>
      <c r="F5667" s="61">
        <v>0</v>
      </c>
      <c r="G5667" s="61">
        <v>0</v>
      </c>
      <c r="H5667" s="61">
        <v>0</v>
      </c>
      <c r="I5667" s="61">
        <v>0</v>
      </c>
      <c r="J5667" s="61">
        <f t="shared" si="52"/>
        <v>4038.57</v>
      </c>
    </row>
    <row r="5668" spans="1:10" x14ac:dyDescent="0.25">
      <c r="A5668" s="20">
        <v>45869</v>
      </c>
      <c r="B5668" t="s">
        <v>1051</v>
      </c>
      <c r="C5668" t="s">
        <v>51</v>
      </c>
      <c r="D5668" s="61">
        <v>5058.5</v>
      </c>
      <c r="E5668" s="61"/>
      <c r="F5668" s="61">
        <v>0</v>
      </c>
      <c r="G5668" s="61">
        <v>0</v>
      </c>
      <c r="H5668" s="61">
        <v>0</v>
      </c>
      <c r="I5668" s="61">
        <v>777.12</v>
      </c>
      <c r="J5668" s="61">
        <f t="shared" si="52"/>
        <v>5835.62</v>
      </c>
    </row>
    <row r="5669" spans="1:10" x14ac:dyDescent="0.25">
      <c r="A5669" s="20">
        <v>45869</v>
      </c>
      <c r="B5669" t="s">
        <v>1061</v>
      </c>
      <c r="C5669" t="s">
        <v>327</v>
      </c>
      <c r="D5669" s="61">
        <v>6813.68</v>
      </c>
      <c r="E5669" s="61"/>
      <c r="F5669" s="61">
        <v>0</v>
      </c>
      <c r="G5669" s="61">
        <v>0</v>
      </c>
      <c r="H5669" s="61">
        <v>0</v>
      </c>
      <c r="I5669" s="61">
        <v>0</v>
      </c>
      <c r="J5669" s="61">
        <f t="shared" si="52"/>
        <v>6813.68</v>
      </c>
    </row>
    <row r="5670" spans="1:10" x14ac:dyDescent="0.25">
      <c r="A5670" s="20">
        <v>45869</v>
      </c>
      <c r="B5670" t="s">
        <v>1065</v>
      </c>
      <c r="C5670" t="s">
        <v>340</v>
      </c>
      <c r="D5670" s="61">
        <v>1010</v>
      </c>
      <c r="E5670" s="61"/>
      <c r="F5670" s="61">
        <v>0</v>
      </c>
      <c r="G5670" s="61">
        <v>0</v>
      </c>
      <c r="H5670" s="61">
        <v>0</v>
      </c>
      <c r="I5670" s="61">
        <v>0</v>
      </c>
      <c r="J5670" s="61">
        <f t="shared" si="52"/>
        <v>1010</v>
      </c>
    </row>
    <row r="5671" spans="1:10" x14ac:dyDescent="0.25">
      <c r="A5671" s="20">
        <v>45869</v>
      </c>
      <c r="B5671" t="s">
        <v>1071</v>
      </c>
      <c r="C5671" t="s">
        <v>349</v>
      </c>
      <c r="D5671" s="61">
        <v>1943.6</v>
      </c>
      <c r="E5671" s="61"/>
      <c r="F5671" s="61">
        <v>0</v>
      </c>
      <c r="G5671" s="61">
        <v>0</v>
      </c>
      <c r="H5671" s="61">
        <v>0</v>
      </c>
      <c r="I5671" s="61">
        <v>0</v>
      </c>
      <c r="J5671" s="61">
        <f t="shared" si="52"/>
        <v>1943.6</v>
      </c>
    </row>
    <row r="5672" spans="1:10" x14ac:dyDescent="0.25">
      <c r="A5672" s="20">
        <v>45869</v>
      </c>
      <c r="B5672" t="s">
        <v>1081</v>
      </c>
      <c r="C5672" t="s">
        <v>533</v>
      </c>
      <c r="D5672" s="61">
        <v>0</v>
      </c>
      <c r="E5672" s="61"/>
      <c r="F5672" s="61">
        <v>0</v>
      </c>
      <c r="G5672" s="61">
        <v>0</v>
      </c>
      <c r="H5672" s="61">
        <v>0</v>
      </c>
      <c r="I5672" s="61">
        <v>-93.6</v>
      </c>
      <c r="J5672" s="61">
        <f t="shared" si="52"/>
        <v>-93.6</v>
      </c>
    </row>
    <row r="5673" spans="1:10" x14ac:dyDescent="0.25">
      <c r="A5673" s="20">
        <v>45869</v>
      </c>
      <c r="B5673" t="s">
        <v>1082</v>
      </c>
      <c r="C5673" t="s">
        <v>431</v>
      </c>
      <c r="D5673" s="61">
        <v>0</v>
      </c>
      <c r="E5673" s="61"/>
      <c r="F5673" s="61">
        <v>0</v>
      </c>
      <c r="G5673" s="61">
        <v>0</v>
      </c>
      <c r="H5673" s="61">
        <v>0</v>
      </c>
      <c r="I5673" s="61">
        <v>-257.54000000000002</v>
      </c>
      <c r="J5673" s="61">
        <f t="shared" si="52"/>
        <v>-257.54000000000002</v>
      </c>
    </row>
    <row r="5674" spans="1:10" x14ac:dyDescent="0.25">
      <c r="A5674" s="20">
        <v>45869</v>
      </c>
      <c r="B5674" t="s">
        <v>1084</v>
      </c>
      <c r="C5674" t="s">
        <v>433</v>
      </c>
      <c r="D5674" s="61">
        <v>666.7</v>
      </c>
      <c r="E5674" s="61"/>
      <c r="F5674" s="61">
        <v>0</v>
      </c>
      <c r="G5674" s="61">
        <v>0</v>
      </c>
      <c r="H5674" s="61">
        <v>0</v>
      </c>
      <c r="I5674" s="61">
        <v>0</v>
      </c>
      <c r="J5674" s="61">
        <f t="shared" si="52"/>
        <v>666.7</v>
      </c>
    </row>
    <row r="5675" spans="1:10" x14ac:dyDescent="0.25">
      <c r="A5675" s="20">
        <v>45869</v>
      </c>
      <c r="B5675" t="s">
        <v>1090</v>
      </c>
      <c r="C5675" t="s">
        <v>1091</v>
      </c>
      <c r="D5675" s="61">
        <v>0</v>
      </c>
      <c r="E5675" s="61"/>
      <c r="F5675" s="61">
        <v>0</v>
      </c>
      <c r="G5675" s="61">
        <v>0</v>
      </c>
      <c r="H5675" s="61">
        <v>3483.79</v>
      </c>
      <c r="I5675" s="61">
        <v>-1847.08</v>
      </c>
      <c r="J5675" s="61">
        <f t="shared" si="52"/>
        <v>1636.71</v>
      </c>
    </row>
    <row r="5676" spans="1:10" x14ac:dyDescent="0.25">
      <c r="A5676" s="20">
        <v>45869</v>
      </c>
      <c r="B5676" t="s">
        <v>1092</v>
      </c>
      <c r="C5676" t="s">
        <v>369</v>
      </c>
      <c r="D5676" s="61">
        <v>0</v>
      </c>
      <c r="E5676" s="61"/>
      <c r="F5676" s="61">
        <v>0</v>
      </c>
      <c r="G5676" s="61">
        <v>0</v>
      </c>
      <c r="H5676" s="61">
        <v>0</v>
      </c>
      <c r="I5676" s="61">
        <v>-891</v>
      </c>
      <c r="J5676" s="61">
        <f t="shared" si="52"/>
        <v>-891</v>
      </c>
    </row>
    <row r="5677" spans="1:10" x14ac:dyDescent="0.25">
      <c r="A5677" s="20">
        <v>45869</v>
      </c>
      <c r="B5677" t="s">
        <v>1095</v>
      </c>
      <c r="C5677" t="s">
        <v>574</v>
      </c>
      <c r="D5677" s="61">
        <v>44541</v>
      </c>
      <c r="E5677" s="61"/>
      <c r="F5677" s="61">
        <v>0</v>
      </c>
      <c r="G5677" s="61">
        <v>0</v>
      </c>
      <c r="H5677" s="61">
        <v>0</v>
      </c>
      <c r="I5677" s="61">
        <v>0</v>
      </c>
      <c r="J5677" s="61">
        <f t="shared" si="52"/>
        <v>44541</v>
      </c>
    </row>
    <row r="5678" spans="1:10" x14ac:dyDescent="0.25">
      <c r="A5678" s="20">
        <v>45869</v>
      </c>
      <c r="B5678" t="s">
        <v>1096</v>
      </c>
      <c r="C5678" t="s">
        <v>586</v>
      </c>
      <c r="D5678" s="61">
        <v>0</v>
      </c>
      <c r="E5678" s="61"/>
      <c r="F5678" s="61">
        <v>0</v>
      </c>
      <c r="G5678" s="61">
        <v>0</v>
      </c>
      <c r="H5678" s="61">
        <v>0</v>
      </c>
      <c r="I5678" s="61">
        <v>-646.09</v>
      </c>
      <c r="J5678" s="61">
        <f t="shared" si="52"/>
        <v>-646.09</v>
      </c>
    </row>
    <row r="5679" spans="1:10" x14ac:dyDescent="0.25">
      <c r="A5679" s="20">
        <v>45869</v>
      </c>
      <c r="B5679" t="s">
        <v>1102</v>
      </c>
      <c r="C5679" t="s">
        <v>1103</v>
      </c>
      <c r="D5679" s="61">
        <v>2599</v>
      </c>
      <c r="E5679" s="61"/>
      <c r="F5679" s="61">
        <v>0</v>
      </c>
      <c r="G5679" s="61">
        <v>0</v>
      </c>
      <c r="H5679" s="61">
        <v>0</v>
      </c>
      <c r="I5679" s="61">
        <v>0</v>
      </c>
      <c r="J5679" s="61">
        <f t="shared" si="52"/>
        <v>2599</v>
      </c>
    </row>
    <row r="5680" spans="1:10" x14ac:dyDescent="0.25">
      <c r="A5680" s="20">
        <v>45869</v>
      </c>
      <c r="B5680" t="s">
        <v>1104</v>
      </c>
      <c r="C5680" t="s">
        <v>1105</v>
      </c>
      <c r="D5680" s="61">
        <v>8111.71</v>
      </c>
      <c r="E5680" s="61"/>
      <c r="F5680" s="61">
        <v>0</v>
      </c>
      <c r="G5680" s="61">
        <v>0</v>
      </c>
      <c r="H5680" s="61">
        <v>0</v>
      </c>
      <c r="I5680" s="61">
        <v>0</v>
      </c>
      <c r="J5680" s="61">
        <f t="shared" si="52"/>
        <v>8111.71</v>
      </c>
    </row>
    <row r="5681" spans="1:10" x14ac:dyDescent="0.25">
      <c r="A5681" s="20">
        <v>45869</v>
      </c>
      <c r="B5681" t="s">
        <v>1106</v>
      </c>
      <c r="C5681" t="s">
        <v>1107</v>
      </c>
      <c r="D5681" s="61">
        <v>2565.46</v>
      </c>
      <c r="E5681" s="61"/>
      <c r="F5681" s="61">
        <v>0</v>
      </c>
      <c r="G5681" s="61">
        <v>0</v>
      </c>
      <c r="H5681" s="61">
        <v>0</v>
      </c>
      <c r="I5681" s="61">
        <v>0</v>
      </c>
      <c r="J5681" s="61">
        <f t="shared" si="52"/>
        <v>2565.46</v>
      </c>
    </row>
    <row r="5682" spans="1:10" x14ac:dyDescent="0.25">
      <c r="A5682" s="20">
        <v>45869</v>
      </c>
      <c r="B5682" t="s">
        <v>1132</v>
      </c>
      <c r="C5682" t="s">
        <v>10</v>
      </c>
      <c r="D5682" s="61">
        <v>19548.88</v>
      </c>
      <c r="E5682" s="61"/>
      <c r="F5682" s="61">
        <v>0</v>
      </c>
      <c r="G5682" s="61">
        <v>0</v>
      </c>
      <c r="H5682" s="61">
        <v>0</v>
      </c>
      <c r="I5682" s="61">
        <v>0</v>
      </c>
      <c r="J5682" s="61">
        <f t="shared" si="52"/>
        <v>19548.88</v>
      </c>
    </row>
    <row r="5683" spans="1:10" x14ac:dyDescent="0.25">
      <c r="A5683" s="20">
        <v>45869</v>
      </c>
      <c r="B5683" t="s">
        <v>1137</v>
      </c>
      <c r="C5683" t="s">
        <v>435</v>
      </c>
      <c r="D5683" s="61">
        <v>103.8</v>
      </c>
      <c r="E5683" s="61"/>
      <c r="F5683" s="61">
        <v>-155.49</v>
      </c>
      <c r="G5683" s="61">
        <v>0</v>
      </c>
      <c r="H5683" s="61">
        <v>0</v>
      </c>
      <c r="I5683" s="61">
        <v>0</v>
      </c>
      <c r="J5683" s="61">
        <f t="shared" si="52"/>
        <v>-51.690000000000012</v>
      </c>
    </row>
    <row r="5684" spans="1:10" x14ac:dyDescent="0.25">
      <c r="A5684" s="20">
        <v>45869</v>
      </c>
      <c r="B5684" t="s">
        <v>1163</v>
      </c>
      <c r="C5684" t="s">
        <v>375</v>
      </c>
      <c r="D5684" s="61">
        <v>0</v>
      </c>
      <c r="E5684" s="61"/>
      <c r="F5684" s="61">
        <v>0</v>
      </c>
      <c r="G5684" s="61">
        <v>0</v>
      </c>
      <c r="H5684" s="61">
        <v>-3</v>
      </c>
      <c r="I5684" s="61">
        <v>0</v>
      </c>
      <c r="J5684" s="61">
        <f t="shared" si="52"/>
        <v>-3</v>
      </c>
    </row>
    <row r="5685" spans="1:10" x14ac:dyDescent="0.25">
      <c r="A5685" s="20">
        <v>45869</v>
      </c>
      <c r="B5685" t="s">
        <v>1164</v>
      </c>
      <c r="C5685" t="s">
        <v>63</v>
      </c>
      <c r="D5685" s="61">
        <v>1798.09</v>
      </c>
      <c r="E5685" s="61"/>
      <c r="F5685" s="61">
        <v>0</v>
      </c>
      <c r="G5685" s="61">
        <v>0</v>
      </c>
      <c r="H5685" s="61">
        <v>0</v>
      </c>
      <c r="I5685" s="61">
        <v>0</v>
      </c>
      <c r="J5685" s="61">
        <f t="shared" si="52"/>
        <v>1798.09</v>
      </c>
    </row>
    <row r="5686" spans="1:10" x14ac:dyDescent="0.25">
      <c r="A5686" s="20">
        <v>45869</v>
      </c>
      <c r="B5686" t="s">
        <v>1165</v>
      </c>
      <c r="C5686" t="s">
        <v>11</v>
      </c>
      <c r="D5686" s="61">
        <v>111893.43</v>
      </c>
      <c r="E5686" s="61"/>
      <c r="F5686" s="61">
        <v>5254.04</v>
      </c>
      <c r="G5686" s="61">
        <v>55.36</v>
      </c>
      <c r="H5686" s="61">
        <v>0</v>
      </c>
      <c r="I5686" s="61">
        <v>1179.78</v>
      </c>
      <c r="J5686" s="61">
        <f t="shared" si="52"/>
        <v>118382.60999999999</v>
      </c>
    </row>
    <row r="5687" spans="1:10" x14ac:dyDescent="0.25">
      <c r="A5687" s="20">
        <v>45869</v>
      </c>
      <c r="B5687" t="s">
        <v>1178</v>
      </c>
      <c r="C5687" t="s">
        <v>12</v>
      </c>
      <c r="D5687" s="61">
        <v>0</v>
      </c>
      <c r="E5687" s="61"/>
      <c r="F5687" s="61">
        <v>0</v>
      </c>
      <c r="G5687" s="61">
        <v>0</v>
      </c>
      <c r="H5687" s="61">
        <v>-146.83000000000001</v>
      </c>
      <c r="I5687" s="61">
        <v>474.11</v>
      </c>
      <c r="J5687" s="61">
        <f t="shared" si="52"/>
        <v>327.27999999999997</v>
      </c>
    </row>
    <row r="5688" spans="1:10" x14ac:dyDescent="0.25">
      <c r="A5688" s="20">
        <v>45869</v>
      </c>
      <c r="B5688" t="s">
        <v>1236</v>
      </c>
      <c r="C5688" t="s">
        <v>377</v>
      </c>
      <c r="D5688" s="61">
        <v>0</v>
      </c>
      <c r="E5688" s="61"/>
      <c r="F5688" s="61">
        <v>0</v>
      </c>
      <c r="G5688" s="61">
        <v>0</v>
      </c>
      <c r="H5688" s="61">
        <v>0</v>
      </c>
      <c r="I5688" s="61">
        <v>-220.24</v>
      </c>
      <c r="J5688" s="61">
        <f t="shared" si="52"/>
        <v>-220.24</v>
      </c>
    </row>
    <row r="5689" spans="1:10" x14ac:dyDescent="0.25">
      <c r="A5689" s="20">
        <v>45869</v>
      </c>
      <c r="B5689" t="s">
        <v>1246</v>
      </c>
      <c r="C5689" t="s">
        <v>68</v>
      </c>
      <c r="D5689" s="61">
        <v>157542.15</v>
      </c>
      <c r="E5689" s="61"/>
      <c r="F5689" s="61">
        <v>0</v>
      </c>
      <c r="G5689" s="61">
        <v>0</v>
      </c>
      <c r="H5689" s="61">
        <v>0</v>
      </c>
      <c r="I5689" s="61">
        <v>0</v>
      </c>
      <c r="J5689" s="61">
        <f t="shared" si="52"/>
        <v>157542.15</v>
      </c>
    </row>
    <row r="5690" spans="1:10" x14ac:dyDescent="0.25">
      <c r="A5690" s="20">
        <v>45869</v>
      </c>
      <c r="B5690" t="s">
        <v>1254</v>
      </c>
      <c r="C5690" t="s">
        <v>71</v>
      </c>
      <c r="D5690" s="61">
        <v>0</v>
      </c>
      <c r="E5690" s="61"/>
      <c r="F5690" s="61">
        <v>8267.36</v>
      </c>
      <c r="G5690" s="61">
        <v>98</v>
      </c>
      <c r="H5690" s="61">
        <v>0</v>
      </c>
      <c r="I5690" s="61">
        <v>0</v>
      </c>
      <c r="J5690" s="61">
        <f t="shared" si="52"/>
        <v>8365.36</v>
      </c>
    </row>
    <row r="5691" spans="1:10" x14ac:dyDescent="0.25">
      <c r="A5691" s="20">
        <v>45869</v>
      </c>
      <c r="B5691" t="s">
        <v>1258</v>
      </c>
      <c r="C5691" t="s">
        <v>76</v>
      </c>
      <c r="D5691" s="61">
        <v>-400</v>
      </c>
      <c r="E5691" s="61"/>
      <c r="F5691" s="61">
        <v>0</v>
      </c>
      <c r="G5691" s="61">
        <v>0</v>
      </c>
      <c r="H5691" s="61">
        <v>0</v>
      </c>
      <c r="I5691" s="61">
        <v>0</v>
      </c>
      <c r="J5691" s="61">
        <f t="shared" si="52"/>
        <v>-400</v>
      </c>
    </row>
    <row r="5692" spans="1:10" x14ac:dyDescent="0.25">
      <c r="A5692" s="20">
        <v>45869</v>
      </c>
      <c r="B5692" t="s">
        <v>1265</v>
      </c>
      <c r="C5692" t="s">
        <v>381</v>
      </c>
      <c r="D5692" s="61">
        <v>520</v>
      </c>
      <c r="E5692" s="61"/>
      <c r="F5692" s="61">
        <v>0</v>
      </c>
      <c r="G5692" s="61">
        <v>0</v>
      </c>
      <c r="H5692" s="61">
        <v>0</v>
      </c>
      <c r="I5692" s="61">
        <v>0</v>
      </c>
      <c r="J5692" s="61">
        <f t="shared" si="52"/>
        <v>520</v>
      </c>
    </row>
    <row r="5693" spans="1:10" x14ac:dyDescent="0.25">
      <c r="A5693" s="20">
        <v>45869</v>
      </c>
      <c r="B5693" t="s">
        <v>1267</v>
      </c>
      <c r="C5693" t="s">
        <v>890</v>
      </c>
      <c r="D5693" s="61">
        <v>277</v>
      </c>
      <c r="E5693" s="61"/>
      <c r="F5693" s="61">
        <v>0</v>
      </c>
      <c r="G5693" s="61">
        <v>0</v>
      </c>
      <c r="H5693" s="61">
        <v>0</v>
      </c>
      <c r="I5693" s="61">
        <v>0</v>
      </c>
      <c r="J5693" s="61">
        <f t="shared" si="52"/>
        <v>277</v>
      </c>
    </row>
    <row r="5694" spans="1:10" x14ac:dyDescent="0.25">
      <c r="A5694" s="20">
        <v>45869</v>
      </c>
      <c r="B5694" t="s">
        <v>1272</v>
      </c>
      <c r="C5694" t="s">
        <v>80</v>
      </c>
      <c r="D5694" s="61">
        <v>3594</v>
      </c>
      <c r="E5694" s="61"/>
      <c r="F5694" s="61">
        <v>0</v>
      </c>
      <c r="G5694" s="61">
        <v>0</v>
      </c>
      <c r="H5694" s="61">
        <v>0</v>
      </c>
      <c r="I5694" s="61">
        <v>0</v>
      </c>
      <c r="J5694" s="61">
        <f t="shared" si="52"/>
        <v>3594</v>
      </c>
    </row>
    <row r="5695" spans="1:10" x14ac:dyDescent="0.25">
      <c r="A5695" s="20">
        <v>45869</v>
      </c>
      <c r="B5695" t="s">
        <v>1281</v>
      </c>
      <c r="C5695" t="s">
        <v>82</v>
      </c>
      <c r="D5695" s="61">
        <v>0</v>
      </c>
      <c r="E5695" s="61"/>
      <c r="F5695" s="61">
        <v>0</v>
      </c>
      <c r="G5695" s="61">
        <v>80</v>
      </c>
      <c r="H5695" s="61">
        <v>0</v>
      </c>
      <c r="I5695" s="61">
        <v>0</v>
      </c>
      <c r="J5695" s="61">
        <f t="shared" si="52"/>
        <v>80</v>
      </c>
    </row>
    <row r="5696" spans="1:10" x14ac:dyDescent="0.25">
      <c r="A5696" s="20">
        <v>45869</v>
      </c>
      <c r="B5696" t="s">
        <v>1284</v>
      </c>
      <c r="C5696" t="s">
        <v>83</v>
      </c>
      <c r="D5696" s="61">
        <v>1053</v>
      </c>
      <c r="E5696" s="61"/>
      <c r="F5696" s="61">
        <v>0</v>
      </c>
      <c r="G5696" s="61">
        <v>0</v>
      </c>
      <c r="H5696" s="61">
        <v>0</v>
      </c>
      <c r="I5696" s="61">
        <v>0</v>
      </c>
      <c r="J5696" s="61">
        <f t="shared" si="52"/>
        <v>1053</v>
      </c>
    </row>
    <row r="5697" spans="1:10" x14ac:dyDescent="0.25">
      <c r="A5697" s="20">
        <v>45869</v>
      </c>
      <c r="B5697" t="s">
        <v>1291</v>
      </c>
      <c r="C5697" t="s">
        <v>84</v>
      </c>
      <c r="D5697" s="61">
        <v>26975</v>
      </c>
      <c r="E5697" s="61"/>
      <c r="F5697" s="61">
        <v>0</v>
      </c>
      <c r="G5697" s="61">
        <v>0</v>
      </c>
      <c r="H5697" s="61">
        <v>0</v>
      </c>
      <c r="I5697" s="61">
        <v>0</v>
      </c>
      <c r="J5697" s="61">
        <f t="shared" si="52"/>
        <v>26975</v>
      </c>
    </row>
    <row r="5698" spans="1:10" x14ac:dyDescent="0.25">
      <c r="A5698" s="20">
        <v>45869</v>
      </c>
      <c r="B5698" t="s">
        <v>1304</v>
      </c>
      <c r="C5698" t="s">
        <v>86</v>
      </c>
      <c r="D5698" s="61">
        <v>1536</v>
      </c>
      <c r="E5698" s="61"/>
      <c r="F5698" s="61">
        <v>0</v>
      </c>
      <c r="G5698" s="61">
        <v>0</v>
      </c>
      <c r="H5698" s="61">
        <v>0</v>
      </c>
      <c r="I5698" s="61">
        <v>0</v>
      </c>
      <c r="J5698" s="61">
        <f t="shared" si="52"/>
        <v>1536</v>
      </c>
    </row>
    <row r="5699" spans="1:10" x14ac:dyDescent="0.25">
      <c r="A5699" s="20">
        <v>45869</v>
      </c>
      <c r="B5699" t="s">
        <v>1321</v>
      </c>
      <c r="C5699" t="s">
        <v>541</v>
      </c>
      <c r="D5699" s="61">
        <v>0</v>
      </c>
      <c r="E5699" s="61"/>
      <c r="F5699" s="61">
        <v>0</v>
      </c>
      <c r="G5699" s="61">
        <v>0</v>
      </c>
      <c r="H5699" s="61">
        <v>-608.84</v>
      </c>
      <c r="I5699" s="61">
        <v>0</v>
      </c>
      <c r="J5699" s="61">
        <f t="shared" si="52"/>
        <v>-608.84</v>
      </c>
    </row>
    <row r="5700" spans="1:10" x14ac:dyDescent="0.25">
      <c r="A5700" s="20">
        <v>45869</v>
      </c>
      <c r="B5700" t="s">
        <v>1330</v>
      </c>
      <c r="C5700" t="s">
        <v>15</v>
      </c>
      <c r="D5700" s="61">
        <v>3413.11</v>
      </c>
      <c r="E5700" s="61"/>
      <c r="F5700" s="61">
        <v>465.41</v>
      </c>
      <c r="G5700" s="61">
        <v>0</v>
      </c>
      <c r="H5700" s="61">
        <v>81.5</v>
      </c>
      <c r="I5700" s="61">
        <v>150</v>
      </c>
      <c r="J5700" s="61">
        <f t="shared" si="52"/>
        <v>4110.0200000000004</v>
      </c>
    </row>
    <row r="5701" spans="1:10" x14ac:dyDescent="0.25">
      <c r="A5701" s="20">
        <v>45869</v>
      </c>
      <c r="B5701" t="s">
        <v>1346</v>
      </c>
      <c r="C5701" t="s">
        <v>385</v>
      </c>
      <c r="D5701" s="61">
        <v>-996</v>
      </c>
      <c r="E5701" s="61"/>
      <c r="F5701" s="61">
        <v>0</v>
      </c>
      <c r="G5701" s="61">
        <v>0</v>
      </c>
      <c r="H5701" s="61">
        <v>-188.56</v>
      </c>
      <c r="I5701" s="61">
        <v>0</v>
      </c>
      <c r="J5701" s="61">
        <f t="shared" si="52"/>
        <v>-1184.56</v>
      </c>
    </row>
    <row r="5702" spans="1:10" x14ac:dyDescent="0.25">
      <c r="A5702" s="20">
        <v>45869</v>
      </c>
      <c r="B5702" t="s">
        <v>1350</v>
      </c>
      <c r="C5702" t="s">
        <v>893</v>
      </c>
      <c r="D5702" s="61">
        <v>0</v>
      </c>
      <c r="E5702" s="61"/>
      <c r="F5702" s="61">
        <v>-880</v>
      </c>
      <c r="G5702" s="61">
        <v>0</v>
      </c>
      <c r="H5702" s="61">
        <v>0</v>
      </c>
      <c r="I5702" s="61">
        <v>0</v>
      </c>
      <c r="J5702" s="61">
        <f t="shared" si="52"/>
        <v>-880</v>
      </c>
    </row>
    <row r="5703" spans="1:10" x14ac:dyDescent="0.25">
      <c r="A5703" s="20">
        <v>45869</v>
      </c>
      <c r="B5703" t="s">
        <v>1362</v>
      </c>
      <c r="C5703" t="s">
        <v>94</v>
      </c>
      <c r="D5703" s="61">
        <v>30633.96</v>
      </c>
      <c r="E5703" s="61"/>
      <c r="F5703" s="61">
        <v>0</v>
      </c>
      <c r="G5703" s="61">
        <v>0</v>
      </c>
      <c r="H5703" s="61">
        <v>0</v>
      </c>
      <c r="I5703" s="61">
        <v>0</v>
      </c>
      <c r="J5703" s="61">
        <f t="shared" si="52"/>
        <v>30633.96</v>
      </c>
    </row>
    <row r="5704" spans="1:10" x14ac:dyDescent="0.25">
      <c r="A5704" s="20">
        <v>45869</v>
      </c>
      <c r="B5704" t="s">
        <v>1380</v>
      </c>
      <c r="C5704" t="s">
        <v>97</v>
      </c>
      <c r="D5704" s="61">
        <v>0</v>
      </c>
      <c r="E5704" s="61"/>
      <c r="F5704" s="61">
        <v>-149.30000000000001</v>
      </c>
      <c r="G5704" s="61">
        <v>0</v>
      </c>
      <c r="H5704" s="61">
        <v>0</v>
      </c>
      <c r="I5704" s="61">
        <v>0</v>
      </c>
      <c r="J5704" s="61">
        <f t="shared" si="52"/>
        <v>-149.30000000000001</v>
      </c>
    </row>
    <row r="5705" spans="1:10" x14ac:dyDescent="0.25">
      <c r="A5705" s="20">
        <v>45869</v>
      </c>
      <c r="B5705" t="s">
        <v>1389</v>
      </c>
      <c r="C5705" t="s">
        <v>16</v>
      </c>
      <c r="D5705" s="61">
        <v>1736.58</v>
      </c>
      <c r="E5705" s="61"/>
      <c r="F5705" s="61">
        <v>5704.3</v>
      </c>
      <c r="G5705" s="61">
        <v>0</v>
      </c>
      <c r="H5705" s="61">
        <v>0</v>
      </c>
      <c r="I5705" s="61">
        <v>0</v>
      </c>
      <c r="J5705" s="61">
        <f t="shared" si="52"/>
        <v>7440.88</v>
      </c>
    </row>
    <row r="5706" spans="1:10" x14ac:dyDescent="0.25">
      <c r="A5706" s="20">
        <v>45869</v>
      </c>
      <c r="B5706" t="s">
        <v>1392</v>
      </c>
      <c r="C5706" t="s">
        <v>100</v>
      </c>
      <c r="D5706" s="61">
        <v>2035.26</v>
      </c>
      <c r="E5706" s="61"/>
      <c r="F5706" s="61">
        <v>0</v>
      </c>
      <c r="G5706" s="61">
        <v>0</v>
      </c>
      <c r="H5706" s="61">
        <v>0</v>
      </c>
      <c r="I5706" s="61">
        <v>0</v>
      </c>
      <c r="J5706" s="61">
        <f t="shared" si="52"/>
        <v>2035.26</v>
      </c>
    </row>
    <row r="5707" spans="1:10" x14ac:dyDescent="0.25">
      <c r="A5707" s="20">
        <v>45869</v>
      </c>
      <c r="B5707" t="s">
        <v>1393</v>
      </c>
      <c r="C5707" t="s">
        <v>101</v>
      </c>
      <c r="D5707" s="61">
        <v>2553.36</v>
      </c>
      <c r="E5707" s="61"/>
      <c r="F5707" s="61">
        <v>0</v>
      </c>
      <c r="G5707" s="61">
        <v>725</v>
      </c>
      <c r="H5707" s="61">
        <v>0</v>
      </c>
      <c r="I5707" s="61">
        <v>-81.599999999999994</v>
      </c>
      <c r="J5707" s="61">
        <f t="shared" si="52"/>
        <v>3196.76</v>
      </c>
    </row>
    <row r="5708" spans="1:10" x14ac:dyDescent="0.25">
      <c r="A5708" s="20">
        <v>45869</v>
      </c>
      <c r="B5708" t="s">
        <v>1394</v>
      </c>
      <c r="C5708" t="s">
        <v>102</v>
      </c>
      <c r="D5708" s="61">
        <v>210</v>
      </c>
      <c r="E5708" s="61"/>
      <c r="F5708" s="61">
        <v>0</v>
      </c>
      <c r="G5708" s="61">
        <v>0</v>
      </c>
      <c r="H5708" s="61">
        <v>0</v>
      </c>
      <c r="I5708" s="61">
        <v>0</v>
      </c>
      <c r="J5708" s="61">
        <f t="shared" ref="J5708:J5771" si="53">SUM(D5708:I5708)</f>
        <v>210</v>
      </c>
    </row>
    <row r="5709" spans="1:10" x14ac:dyDescent="0.25">
      <c r="A5709" s="20">
        <v>45869</v>
      </c>
      <c r="B5709" t="s">
        <v>1410</v>
      </c>
      <c r="C5709" t="s">
        <v>105</v>
      </c>
      <c r="D5709" s="61">
        <v>235.36</v>
      </c>
      <c r="E5709" s="61"/>
      <c r="F5709" s="61">
        <v>0</v>
      </c>
      <c r="G5709" s="61">
        <v>6.51</v>
      </c>
      <c r="H5709" s="61">
        <v>0</v>
      </c>
      <c r="I5709" s="61">
        <v>-231</v>
      </c>
      <c r="J5709" s="61">
        <f t="shared" si="53"/>
        <v>10.870000000000005</v>
      </c>
    </row>
    <row r="5710" spans="1:10" x14ac:dyDescent="0.25">
      <c r="A5710" s="20">
        <v>45869</v>
      </c>
      <c r="B5710" t="s">
        <v>1421</v>
      </c>
      <c r="C5710" t="s">
        <v>653</v>
      </c>
      <c r="D5710" s="61">
        <v>23038</v>
      </c>
      <c r="E5710" s="61"/>
      <c r="F5710" s="61">
        <v>0</v>
      </c>
      <c r="G5710" s="61">
        <v>0</v>
      </c>
      <c r="H5710" s="61">
        <v>0</v>
      </c>
      <c r="I5710" s="61">
        <v>0</v>
      </c>
      <c r="J5710" s="61">
        <f t="shared" si="53"/>
        <v>23038</v>
      </c>
    </row>
    <row r="5711" spans="1:10" x14ac:dyDescent="0.25">
      <c r="A5711" s="20">
        <v>45869</v>
      </c>
      <c r="B5711" t="s">
        <v>1424</v>
      </c>
      <c r="C5711" t="s">
        <v>108</v>
      </c>
      <c r="D5711" s="61">
        <v>0</v>
      </c>
      <c r="E5711" s="61"/>
      <c r="F5711" s="61">
        <v>1570.98</v>
      </c>
      <c r="G5711" s="61">
        <v>-1149.6300000000001</v>
      </c>
      <c r="H5711" s="61">
        <v>0</v>
      </c>
      <c r="I5711" s="61">
        <v>0</v>
      </c>
      <c r="J5711" s="61">
        <f t="shared" si="53"/>
        <v>421.34999999999991</v>
      </c>
    </row>
    <row r="5712" spans="1:10" x14ac:dyDescent="0.25">
      <c r="A5712" s="20">
        <v>45869</v>
      </c>
      <c r="B5712" t="s">
        <v>1456</v>
      </c>
      <c r="C5712" t="s">
        <v>543</v>
      </c>
      <c r="D5712" s="61">
        <v>198.31</v>
      </c>
      <c r="E5712" s="61"/>
      <c r="F5712" s="61">
        <v>0</v>
      </c>
      <c r="G5712" s="61">
        <v>0</v>
      </c>
      <c r="H5712" s="61">
        <v>0</v>
      </c>
      <c r="I5712" s="61">
        <v>0</v>
      </c>
      <c r="J5712" s="61">
        <f t="shared" si="53"/>
        <v>198.31</v>
      </c>
    </row>
    <row r="5713" spans="1:10" x14ac:dyDescent="0.25">
      <c r="A5713" s="20">
        <v>45869</v>
      </c>
      <c r="B5713" t="s">
        <v>1465</v>
      </c>
      <c r="C5713" t="s">
        <v>114</v>
      </c>
      <c r="D5713" s="61">
        <v>4060</v>
      </c>
      <c r="E5713" s="61"/>
      <c r="F5713" s="61">
        <v>0</v>
      </c>
      <c r="G5713" s="61">
        <v>0</v>
      </c>
      <c r="H5713" s="61">
        <v>0</v>
      </c>
      <c r="I5713" s="61">
        <v>0</v>
      </c>
      <c r="J5713" s="61">
        <f t="shared" si="53"/>
        <v>4060</v>
      </c>
    </row>
    <row r="5714" spans="1:10" x14ac:dyDescent="0.25">
      <c r="A5714" s="20">
        <v>45869</v>
      </c>
      <c r="B5714" t="s">
        <v>1479</v>
      </c>
      <c r="C5714" t="s">
        <v>117</v>
      </c>
      <c r="D5714" s="61">
        <v>0</v>
      </c>
      <c r="E5714" s="61"/>
      <c r="F5714" s="61">
        <v>0</v>
      </c>
      <c r="G5714" s="61">
        <v>-4400.8</v>
      </c>
      <c r="H5714" s="61">
        <v>0</v>
      </c>
      <c r="I5714" s="61">
        <v>0</v>
      </c>
      <c r="J5714" s="61">
        <f t="shared" si="53"/>
        <v>-4400.8</v>
      </c>
    </row>
    <row r="5715" spans="1:10" x14ac:dyDescent="0.25">
      <c r="A5715" s="20">
        <v>45869</v>
      </c>
      <c r="B5715" t="s">
        <v>1480</v>
      </c>
      <c r="C5715" t="s">
        <v>118</v>
      </c>
      <c r="D5715" s="61">
        <v>12191.2</v>
      </c>
      <c r="E5715" s="61"/>
      <c r="F5715" s="61">
        <v>0</v>
      </c>
      <c r="G5715" s="61">
        <v>-630</v>
      </c>
      <c r="H5715" s="61">
        <v>0</v>
      </c>
      <c r="I5715" s="61">
        <v>0</v>
      </c>
      <c r="J5715" s="61">
        <f t="shared" si="53"/>
        <v>11561.2</v>
      </c>
    </row>
    <row r="5716" spans="1:10" x14ac:dyDescent="0.25">
      <c r="A5716" s="20">
        <v>45869</v>
      </c>
      <c r="B5716" t="s">
        <v>1485</v>
      </c>
      <c r="C5716" t="s">
        <v>119</v>
      </c>
      <c r="D5716" s="61">
        <v>834.6</v>
      </c>
      <c r="E5716" s="61"/>
      <c r="F5716" s="61">
        <v>0</v>
      </c>
      <c r="G5716" s="61">
        <v>0</v>
      </c>
      <c r="H5716" s="61">
        <v>0</v>
      </c>
      <c r="I5716" s="61">
        <v>0</v>
      </c>
      <c r="J5716" s="61">
        <f t="shared" si="53"/>
        <v>834.6</v>
      </c>
    </row>
    <row r="5717" spans="1:10" x14ac:dyDescent="0.25">
      <c r="A5717" s="20">
        <v>45869</v>
      </c>
      <c r="B5717" t="s">
        <v>1489</v>
      </c>
      <c r="C5717" t="s">
        <v>122</v>
      </c>
      <c r="D5717" s="61">
        <v>18424</v>
      </c>
      <c r="E5717" s="61"/>
      <c r="F5717" s="61">
        <v>0</v>
      </c>
      <c r="G5717" s="61">
        <v>0</v>
      </c>
      <c r="H5717" s="61">
        <v>0</v>
      </c>
      <c r="I5717" s="61">
        <v>0</v>
      </c>
      <c r="J5717" s="61">
        <f t="shared" si="53"/>
        <v>18424</v>
      </c>
    </row>
    <row r="5718" spans="1:10" x14ac:dyDescent="0.25">
      <c r="A5718" s="20">
        <v>45869</v>
      </c>
      <c r="B5718" t="s">
        <v>1490</v>
      </c>
      <c r="C5718" t="s">
        <v>390</v>
      </c>
      <c r="D5718" s="61">
        <v>0</v>
      </c>
      <c r="E5718" s="61"/>
      <c r="F5718" s="61">
        <v>0</v>
      </c>
      <c r="G5718" s="61">
        <v>982.62</v>
      </c>
      <c r="H5718" s="61">
        <v>0</v>
      </c>
      <c r="I5718" s="61">
        <v>0</v>
      </c>
      <c r="J5718" s="61">
        <f t="shared" si="53"/>
        <v>982.62</v>
      </c>
    </row>
    <row r="5719" spans="1:10" x14ac:dyDescent="0.25">
      <c r="A5719" s="20">
        <v>45869</v>
      </c>
      <c r="B5719" t="s">
        <v>1533</v>
      </c>
      <c r="C5719" t="s">
        <v>1534</v>
      </c>
      <c r="D5719" s="61">
        <v>-50</v>
      </c>
      <c r="E5719" s="61"/>
      <c r="F5719" s="61">
        <v>0</v>
      </c>
      <c r="G5719" s="61">
        <v>0</v>
      </c>
      <c r="H5719" s="61">
        <v>0</v>
      </c>
      <c r="I5719" s="61">
        <v>0</v>
      </c>
      <c r="J5719" s="61">
        <f t="shared" si="53"/>
        <v>-50</v>
      </c>
    </row>
    <row r="5720" spans="1:10" x14ac:dyDescent="0.25">
      <c r="A5720" s="20">
        <v>45869</v>
      </c>
      <c r="B5720" t="s">
        <v>1544</v>
      </c>
      <c r="C5720" t="s">
        <v>138</v>
      </c>
      <c r="D5720" s="61">
        <v>2818.8</v>
      </c>
      <c r="E5720" s="61"/>
      <c r="F5720" s="61">
        <v>0</v>
      </c>
      <c r="G5720" s="61">
        <v>0</v>
      </c>
      <c r="H5720" s="61">
        <v>0</v>
      </c>
      <c r="I5720" s="61">
        <v>0</v>
      </c>
      <c r="J5720" s="61">
        <f t="shared" si="53"/>
        <v>2818.8</v>
      </c>
    </row>
    <row r="5721" spans="1:10" x14ac:dyDescent="0.25">
      <c r="A5721" s="20">
        <v>45869</v>
      </c>
      <c r="B5721" t="s">
        <v>1553</v>
      </c>
      <c r="C5721" t="s">
        <v>140</v>
      </c>
      <c r="D5721" s="61">
        <v>3080</v>
      </c>
      <c r="E5721" s="61"/>
      <c r="F5721" s="61">
        <v>0</v>
      </c>
      <c r="G5721" s="61">
        <v>-784</v>
      </c>
      <c r="H5721" s="61">
        <v>0</v>
      </c>
      <c r="I5721" s="61">
        <v>0</v>
      </c>
      <c r="J5721" s="61">
        <f t="shared" si="53"/>
        <v>2296</v>
      </c>
    </row>
    <row r="5722" spans="1:10" x14ac:dyDescent="0.25">
      <c r="A5722" s="20">
        <v>45869</v>
      </c>
      <c r="B5722" t="s">
        <v>1556</v>
      </c>
      <c r="C5722" t="s">
        <v>142</v>
      </c>
      <c r="D5722" s="61">
        <v>5668</v>
      </c>
      <c r="E5722" s="61"/>
      <c r="F5722" s="61">
        <v>0</v>
      </c>
      <c r="G5722" s="61">
        <v>0</v>
      </c>
      <c r="H5722" s="61">
        <v>0</v>
      </c>
      <c r="I5722" s="61">
        <v>0</v>
      </c>
      <c r="J5722" s="61">
        <f t="shared" si="53"/>
        <v>5668</v>
      </c>
    </row>
    <row r="5723" spans="1:10" x14ac:dyDescent="0.25">
      <c r="A5723" s="20">
        <v>45869</v>
      </c>
      <c r="B5723" t="s">
        <v>1567</v>
      </c>
      <c r="C5723" t="s">
        <v>1568</v>
      </c>
      <c r="D5723" s="61">
        <v>1643.92</v>
      </c>
      <c r="E5723" s="61"/>
      <c r="F5723" s="61">
        <v>0</v>
      </c>
      <c r="G5723" s="61">
        <v>0</v>
      </c>
      <c r="H5723" s="61">
        <v>0</v>
      </c>
      <c r="I5723" s="61">
        <v>0</v>
      </c>
      <c r="J5723" s="61">
        <f t="shared" si="53"/>
        <v>1643.92</v>
      </c>
    </row>
    <row r="5724" spans="1:10" x14ac:dyDescent="0.25">
      <c r="A5724" s="20">
        <v>45869</v>
      </c>
      <c r="B5724" t="s">
        <v>1581</v>
      </c>
      <c r="C5724" t="s">
        <v>147</v>
      </c>
      <c r="D5724" s="61">
        <v>25142.400000000001</v>
      </c>
      <c r="E5724" s="61"/>
      <c r="F5724" s="61">
        <v>0</v>
      </c>
      <c r="G5724" s="61">
        <v>0</v>
      </c>
      <c r="H5724" s="61">
        <v>0</v>
      </c>
      <c r="I5724" s="61">
        <v>0</v>
      </c>
      <c r="J5724" s="61">
        <f t="shared" si="53"/>
        <v>25142.400000000001</v>
      </c>
    </row>
    <row r="5725" spans="1:10" x14ac:dyDescent="0.25">
      <c r="A5725" s="20">
        <v>45869</v>
      </c>
      <c r="B5725" t="s">
        <v>1600</v>
      </c>
      <c r="C5725" t="s">
        <v>150</v>
      </c>
      <c r="D5725" s="61">
        <v>933.1</v>
      </c>
      <c r="E5725" s="61"/>
      <c r="F5725" s="61">
        <v>0</v>
      </c>
      <c r="G5725" s="61">
        <v>0</v>
      </c>
      <c r="H5725" s="61">
        <v>0</v>
      </c>
      <c r="I5725" s="61">
        <v>0</v>
      </c>
      <c r="J5725" s="61">
        <f t="shared" si="53"/>
        <v>933.1</v>
      </c>
    </row>
    <row r="5726" spans="1:10" x14ac:dyDescent="0.25">
      <c r="A5726" s="20">
        <v>45869</v>
      </c>
      <c r="B5726" t="s">
        <v>1626</v>
      </c>
      <c r="C5726" t="s">
        <v>581</v>
      </c>
      <c r="D5726" s="61">
        <v>0</v>
      </c>
      <c r="E5726" s="61"/>
      <c r="F5726" s="61">
        <v>0</v>
      </c>
      <c r="G5726" s="61">
        <v>0</v>
      </c>
      <c r="H5726" s="61">
        <v>-16.100000000000001</v>
      </c>
      <c r="I5726" s="61">
        <v>0</v>
      </c>
      <c r="J5726" s="61">
        <f t="shared" si="53"/>
        <v>-16.100000000000001</v>
      </c>
    </row>
    <row r="5727" spans="1:10" x14ac:dyDescent="0.25">
      <c r="A5727" s="20">
        <v>45869</v>
      </c>
      <c r="B5727" t="s">
        <v>1627</v>
      </c>
      <c r="C5727" t="s">
        <v>907</v>
      </c>
      <c r="D5727" s="61">
        <v>-1104</v>
      </c>
      <c r="E5727" s="61"/>
      <c r="F5727" s="61">
        <v>0</v>
      </c>
      <c r="G5727" s="61">
        <v>0</v>
      </c>
      <c r="H5727" s="61">
        <v>0</v>
      </c>
      <c r="I5727" s="61">
        <v>0</v>
      </c>
      <c r="J5727" s="61">
        <f t="shared" si="53"/>
        <v>-1104</v>
      </c>
    </row>
    <row r="5728" spans="1:10" x14ac:dyDescent="0.25">
      <c r="A5728" s="20">
        <v>45869</v>
      </c>
      <c r="B5728" t="s">
        <v>1640</v>
      </c>
      <c r="C5728" t="s">
        <v>155</v>
      </c>
      <c r="D5728" s="61">
        <v>202</v>
      </c>
      <c r="E5728" s="61"/>
      <c r="F5728" s="61">
        <v>-23578.65</v>
      </c>
      <c r="G5728" s="61">
        <v>0</v>
      </c>
      <c r="H5728" s="61">
        <v>0</v>
      </c>
      <c r="I5728" s="61">
        <v>-21365.9</v>
      </c>
      <c r="J5728" s="61">
        <f t="shared" si="53"/>
        <v>-44742.55</v>
      </c>
    </row>
    <row r="5729" spans="1:10" x14ac:dyDescent="0.25">
      <c r="A5729" s="20">
        <v>45869</v>
      </c>
      <c r="B5729" t="s">
        <v>1643</v>
      </c>
      <c r="C5729" t="s">
        <v>156</v>
      </c>
      <c r="D5729" s="61">
        <v>554</v>
      </c>
      <c r="E5729" s="61"/>
      <c r="F5729" s="61">
        <v>0</v>
      </c>
      <c r="G5729" s="61">
        <v>0</v>
      </c>
      <c r="H5729" s="61">
        <v>0</v>
      </c>
      <c r="I5729" s="61">
        <v>-297.89</v>
      </c>
      <c r="J5729" s="61">
        <f t="shared" si="53"/>
        <v>256.11</v>
      </c>
    </row>
    <row r="5730" spans="1:10" x14ac:dyDescent="0.25">
      <c r="A5730" s="20">
        <v>45869</v>
      </c>
      <c r="B5730" t="s">
        <v>1657</v>
      </c>
      <c r="C5730" t="s">
        <v>159</v>
      </c>
      <c r="D5730" s="61">
        <v>468.97</v>
      </c>
      <c r="E5730" s="61"/>
      <c r="F5730" s="61">
        <v>0</v>
      </c>
      <c r="G5730" s="61">
        <v>0</v>
      </c>
      <c r="H5730" s="61">
        <v>0</v>
      </c>
      <c r="I5730" s="61">
        <v>-781.38</v>
      </c>
      <c r="J5730" s="61">
        <f t="shared" si="53"/>
        <v>-312.40999999999997</v>
      </c>
    </row>
    <row r="5731" spans="1:10" x14ac:dyDescent="0.25">
      <c r="A5731" s="20">
        <v>45869</v>
      </c>
      <c r="B5731" t="s">
        <v>1658</v>
      </c>
      <c r="C5731" t="s">
        <v>160</v>
      </c>
      <c r="D5731" s="61">
        <v>0</v>
      </c>
      <c r="E5731" s="61"/>
      <c r="F5731" s="61">
        <v>0</v>
      </c>
      <c r="G5731" s="61">
        <v>-101.64</v>
      </c>
      <c r="H5731" s="61">
        <v>0</v>
      </c>
      <c r="I5731" s="61">
        <v>0</v>
      </c>
      <c r="J5731" s="61">
        <f t="shared" si="53"/>
        <v>-101.64</v>
      </c>
    </row>
    <row r="5732" spans="1:10" x14ac:dyDescent="0.25">
      <c r="A5732" s="20">
        <v>45869</v>
      </c>
      <c r="B5732" t="s">
        <v>1659</v>
      </c>
      <c r="C5732" t="s">
        <v>161</v>
      </c>
      <c r="D5732" s="61">
        <v>1488.37</v>
      </c>
      <c r="E5732" s="61"/>
      <c r="F5732" s="61">
        <v>0</v>
      </c>
      <c r="G5732" s="61">
        <v>0</v>
      </c>
      <c r="H5732" s="61">
        <v>0</v>
      </c>
      <c r="I5732" s="61">
        <v>0</v>
      </c>
      <c r="J5732" s="61">
        <f t="shared" si="53"/>
        <v>1488.37</v>
      </c>
    </row>
    <row r="5733" spans="1:10" x14ac:dyDescent="0.25">
      <c r="A5733" s="20">
        <v>45869</v>
      </c>
      <c r="B5733" t="s">
        <v>1664</v>
      </c>
      <c r="C5733" t="s">
        <v>912</v>
      </c>
      <c r="D5733" s="61">
        <v>50.4</v>
      </c>
      <c r="E5733" s="61"/>
      <c r="F5733" s="61">
        <v>0</v>
      </c>
      <c r="G5733" s="61">
        <v>0</v>
      </c>
      <c r="H5733" s="61">
        <v>0</v>
      </c>
      <c r="I5733" s="61">
        <v>0</v>
      </c>
      <c r="J5733" s="61">
        <f t="shared" si="53"/>
        <v>50.4</v>
      </c>
    </row>
    <row r="5734" spans="1:10" x14ac:dyDescent="0.25">
      <c r="A5734" s="20">
        <v>45869</v>
      </c>
      <c r="B5734" t="s">
        <v>1671</v>
      </c>
      <c r="C5734" t="s">
        <v>163</v>
      </c>
      <c r="D5734" s="61">
        <v>-88</v>
      </c>
      <c r="E5734" s="61"/>
      <c r="F5734" s="61">
        <v>0</v>
      </c>
      <c r="G5734" s="61">
        <v>0</v>
      </c>
      <c r="H5734" s="61">
        <v>0</v>
      </c>
      <c r="I5734" s="61">
        <v>0</v>
      </c>
      <c r="J5734" s="61">
        <f t="shared" si="53"/>
        <v>-88</v>
      </c>
    </row>
    <row r="5735" spans="1:10" x14ac:dyDescent="0.25">
      <c r="A5735" s="20">
        <v>45869</v>
      </c>
      <c r="B5735" t="s">
        <v>1677</v>
      </c>
      <c r="C5735" t="s">
        <v>164</v>
      </c>
      <c r="D5735" s="61">
        <v>14263.6</v>
      </c>
      <c r="E5735" s="61"/>
      <c r="F5735" s="61">
        <v>-74.2</v>
      </c>
      <c r="G5735" s="61">
        <v>-44.1</v>
      </c>
      <c r="H5735" s="61">
        <v>0</v>
      </c>
      <c r="I5735" s="61">
        <v>0</v>
      </c>
      <c r="J5735" s="61">
        <f t="shared" si="53"/>
        <v>14145.3</v>
      </c>
    </row>
    <row r="5736" spans="1:10" x14ac:dyDescent="0.25">
      <c r="A5736" s="20">
        <v>45869</v>
      </c>
      <c r="B5736" t="s">
        <v>1682</v>
      </c>
      <c r="C5736" t="s">
        <v>395</v>
      </c>
      <c r="D5736" s="61">
        <v>2833.61</v>
      </c>
      <c r="E5736" s="61"/>
      <c r="F5736" s="61">
        <v>0</v>
      </c>
      <c r="G5736" s="61">
        <v>0</v>
      </c>
      <c r="H5736" s="61">
        <v>0</v>
      </c>
      <c r="I5736" s="61">
        <v>0</v>
      </c>
      <c r="J5736" s="61">
        <f t="shared" si="53"/>
        <v>2833.61</v>
      </c>
    </row>
    <row r="5737" spans="1:10" x14ac:dyDescent="0.25">
      <c r="A5737" s="20">
        <v>45869</v>
      </c>
      <c r="B5737" t="s">
        <v>1688</v>
      </c>
      <c r="C5737" t="s">
        <v>617</v>
      </c>
      <c r="D5737" s="61">
        <v>0</v>
      </c>
      <c r="E5737" s="61"/>
      <c r="F5737" s="61">
        <v>0</v>
      </c>
      <c r="G5737" s="61">
        <v>0</v>
      </c>
      <c r="H5737" s="61">
        <v>-1500</v>
      </c>
      <c r="I5737" s="61">
        <v>0</v>
      </c>
      <c r="J5737" s="61">
        <f t="shared" si="53"/>
        <v>-1500</v>
      </c>
    </row>
    <row r="5738" spans="1:10" x14ac:dyDescent="0.25">
      <c r="A5738" s="20">
        <v>45869</v>
      </c>
      <c r="B5738" t="s">
        <v>1694</v>
      </c>
      <c r="C5738" t="s">
        <v>169</v>
      </c>
      <c r="D5738" s="61">
        <v>6679.98</v>
      </c>
      <c r="E5738" s="61"/>
      <c r="F5738" s="61">
        <v>-524.5</v>
      </c>
      <c r="G5738" s="61">
        <v>0</v>
      </c>
      <c r="H5738" s="61">
        <v>0</v>
      </c>
      <c r="I5738" s="61">
        <v>0</v>
      </c>
      <c r="J5738" s="61">
        <f t="shared" si="53"/>
        <v>6155.48</v>
      </c>
    </row>
    <row r="5739" spans="1:10" x14ac:dyDescent="0.25">
      <c r="A5739" s="20">
        <v>45869</v>
      </c>
      <c r="B5739" t="s">
        <v>1701</v>
      </c>
      <c r="C5739" t="s">
        <v>171</v>
      </c>
      <c r="D5739" s="61">
        <v>528.21</v>
      </c>
      <c r="E5739" s="61"/>
      <c r="F5739" s="61">
        <v>0</v>
      </c>
      <c r="G5739" s="61">
        <v>0</v>
      </c>
      <c r="H5739" s="61">
        <v>0</v>
      </c>
      <c r="I5739" s="61">
        <v>0</v>
      </c>
      <c r="J5739" s="61">
        <f t="shared" si="53"/>
        <v>528.21</v>
      </c>
    </row>
    <row r="5740" spans="1:10" x14ac:dyDescent="0.25">
      <c r="A5740" s="20">
        <v>45869</v>
      </c>
      <c r="B5740" t="s">
        <v>1704</v>
      </c>
      <c r="C5740" t="s">
        <v>173</v>
      </c>
      <c r="D5740" s="61">
        <v>0</v>
      </c>
      <c r="E5740" s="61"/>
      <c r="F5740" s="61">
        <v>0</v>
      </c>
      <c r="G5740" s="61">
        <v>-270.47000000000003</v>
      </c>
      <c r="H5740" s="61">
        <v>0</v>
      </c>
      <c r="I5740" s="61">
        <v>0</v>
      </c>
      <c r="J5740" s="61">
        <f t="shared" si="53"/>
        <v>-270.47000000000003</v>
      </c>
    </row>
    <row r="5741" spans="1:10" x14ac:dyDescent="0.25">
      <c r="A5741" s="20">
        <v>45869</v>
      </c>
      <c r="B5741" t="s">
        <v>1709</v>
      </c>
      <c r="C5741" t="s">
        <v>175</v>
      </c>
      <c r="D5741" s="61">
        <v>9020</v>
      </c>
      <c r="E5741" s="61"/>
      <c r="F5741" s="61">
        <v>0</v>
      </c>
      <c r="G5741" s="61">
        <v>0</v>
      </c>
      <c r="H5741" s="61">
        <v>0</v>
      </c>
      <c r="I5741" s="61">
        <v>0</v>
      </c>
      <c r="J5741" s="61">
        <f t="shared" si="53"/>
        <v>9020</v>
      </c>
    </row>
    <row r="5742" spans="1:10" x14ac:dyDescent="0.25">
      <c r="A5742" s="20">
        <v>45869</v>
      </c>
      <c r="B5742" t="s">
        <v>1712</v>
      </c>
      <c r="C5742" t="s">
        <v>176</v>
      </c>
      <c r="D5742" s="61">
        <v>1236</v>
      </c>
      <c r="E5742" s="61"/>
      <c r="F5742" s="61">
        <v>0</v>
      </c>
      <c r="G5742" s="61">
        <v>0</v>
      </c>
      <c r="H5742" s="61">
        <v>-31.9</v>
      </c>
      <c r="I5742" s="61">
        <v>0</v>
      </c>
      <c r="J5742" s="61">
        <f t="shared" si="53"/>
        <v>1204.0999999999999</v>
      </c>
    </row>
    <row r="5743" spans="1:10" x14ac:dyDescent="0.25">
      <c r="A5743" s="20">
        <v>45869</v>
      </c>
      <c r="B5743" t="s">
        <v>1724</v>
      </c>
      <c r="C5743" t="s">
        <v>497</v>
      </c>
      <c r="D5743" s="61">
        <v>-391.62</v>
      </c>
      <c r="E5743" s="61"/>
      <c r="F5743" s="61">
        <v>0</v>
      </c>
      <c r="G5743" s="61">
        <v>0</v>
      </c>
      <c r="H5743" s="61">
        <v>0</v>
      </c>
      <c r="I5743" s="61">
        <v>64.489999999999995</v>
      </c>
      <c r="J5743" s="61">
        <f t="shared" si="53"/>
        <v>-327.13</v>
      </c>
    </row>
    <row r="5744" spans="1:10" x14ac:dyDescent="0.25">
      <c r="A5744" s="20">
        <v>45869</v>
      </c>
      <c r="B5744" t="s">
        <v>1726</v>
      </c>
      <c r="C5744" t="s">
        <v>179</v>
      </c>
      <c r="D5744" s="61">
        <v>58660.56</v>
      </c>
      <c r="E5744" s="61"/>
      <c r="F5744" s="61">
        <v>0</v>
      </c>
      <c r="G5744" s="61">
        <v>0</v>
      </c>
      <c r="H5744" s="61">
        <v>0</v>
      </c>
      <c r="I5744" s="61">
        <v>0</v>
      </c>
      <c r="J5744" s="61">
        <f t="shared" si="53"/>
        <v>58660.56</v>
      </c>
    </row>
    <row r="5745" spans="1:10" x14ac:dyDescent="0.25">
      <c r="A5745" s="20">
        <v>45869</v>
      </c>
      <c r="B5745" t="s">
        <v>1749</v>
      </c>
      <c r="C5745" t="s">
        <v>396</v>
      </c>
      <c r="D5745" s="61">
        <v>0</v>
      </c>
      <c r="E5745" s="61"/>
      <c r="F5745" s="61">
        <v>0</v>
      </c>
      <c r="G5745" s="61">
        <v>0</v>
      </c>
      <c r="H5745" s="61">
        <v>0</v>
      </c>
      <c r="I5745" s="61">
        <v>54</v>
      </c>
      <c r="J5745" s="61">
        <f t="shared" si="53"/>
        <v>54</v>
      </c>
    </row>
    <row r="5746" spans="1:10" x14ac:dyDescent="0.25">
      <c r="A5746" s="20">
        <v>45869</v>
      </c>
      <c r="B5746" t="s">
        <v>1769</v>
      </c>
      <c r="C5746" t="s">
        <v>185</v>
      </c>
      <c r="D5746" s="61">
        <v>0</v>
      </c>
      <c r="E5746" s="61"/>
      <c r="F5746" s="61">
        <v>0</v>
      </c>
      <c r="G5746" s="61">
        <v>0</v>
      </c>
      <c r="H5746" s="61">
        <v>0</v>
      </c>
      <c r="I5746" s="61">
        <v>-831.6</v>
      </c>
      <c r="J5746" s="61">
        <f t="shared" si="53"/>
        <v>-831.6</v>
      </c>
    </row>
    <row r="5747" spans="1:10" x14ac:dyDescent="0.25">
      <c r="A5747" s="20">
        <v>45869</v>
      </c>
      <c r="B5747" t="s">
        <v>1777</v>
      </c>
      <c r="C5747" t="s">
        <v>915</v>
      </c>
      <c r="D5747" s="61">
        <v>290</v>
      </c>
      <c r="E5747" s="61"/>
      <c r="F5747" s="61">
        <v>0</v>
      </c>
      <c r="G5747" s="61">
        <v>0</v>
      </c>
      <c r="H5747" s="61">
        <v>0</v>
      </c>
      <c r="I5747" s="61">
        <v>0</v>
      </c>
      <c r="J5747" s="61">
        <f t="shared" si="53"/>
        <v>290</v>
      </c>
    </row>
    <row r="5748" spans="1:10" x14ac:dyDescent="0.25">
      <c r="A5748" s="20">
        <v>45869</v>
      </c>
      <c r="B5748" t="s">
        <v>1784</v>
      </c>
      <c r="C5748" t="s">
        <v>190</v>
      </c>
      <c r="D5748" s="61">
        <v>6013.4</v>
      </c>
      <c r="E5748" s="61"/>
      <c r="F5748" s="61">
        <v>0</v>
      </c>
      <c r="G5748" s="61">
        <v>0</v>
      </c>
      <c r="H5748" s="61">
        <v>0</v>
      </c>
      <c r="I5748" s="61">
        <v>96.3</v>
      </c>
      <c r="J5748" s="61">
        <f t="shared" si="53"/>
        <v>6109.7</v>
      </c>
    </row>
    <row r="5749" spans="1:10" x14ac:dyDescent="0.25">
      <c r="A5749" s="20">
        <v>45869</v>
      </c>
      <c r="B5749" t="s">
        <v>1785</v>
      </c>
      <c r="C5749" t="s">
        <v>398</v>
      </c>
      <c r="D5749" s="61">
        <v>0</v>
      </c>
      <c r="E5749" s="61"/>
      <c r="F5749" s="61">
        <v>0</v>
      </c>
      <c r="G5749" s="61">
        <v>0</v>
      </c>
      <c r="H5749" s="61">
        <v>0</v>
      </c>
      <c r="I5749" s="61">
        <v>-43.97</v>
      </c>
      <c r="J5749" s="61">
        <f t="shared" si="53"/>
        <v>-43.97</v>
      </c>
    </row>
    <row r="5750" spans="1:10" x14ac:dyDescent="0.25">
      <c r="A5750" s="20">
        <v>45869</v>
      </c>
      <c r="B5750" t="s">
        <v>1787</v>
      </c>
      <c r="C5750" t="s">
        <v>23</v>
      </c>
      <c r="D5750" s="61">
        <v>8595.66</v>
      </c>
      <c r="E5750" s="61"/>
      <c r="F5750" s="61">
        <v>0</v>
      </c>
      <c r="G5750" s="61">
        <v>0</v>
      </c>
      <c r="H5750" s="61">
        <v>0</v>
      </c>
      <c r="I5750" s="61">
        <v>0</v>
      </c>
      <c r="J5750" s="61">
        <f t="shared" si="53"/>
        <v>8595.66</v>
      </c>
    </row>
    <row r="5751" spans="1:10" x14ac:dyDescent="0.25">
      <c r="A5751" s="20">
        <v>45869</v>
      </c>
      <c r="B5751" t="s">
        <v>1792</v>
      </c>
      <c r="C5751" t="s">
        <v>192</v>
      </c>
      <c r="D5751" s="61">
        <v>0</v>
      </c>
      <c r="E5751" s="61"/>
      <c r="F5751" s="61">
        <v>0</v>
      </c>
      <c r="G5751" s="61">
        <v>0</v>
      </c>
      <c r="H5751" s="61">
        <v>0</v>
      </c>
      <c r="I5751" s="61">
        <v>215.25</v>
      </c>
      <c r="J5751" s="61">
        <f t="shared" si="53"/>
        <v>215.25</v>
      </c>
    </row>
    <row r="5752" spans="1:10" x14ac:dyDescent="0.25">
      <c r="A5752" s="20">
        <v>45869</v>
      </c>
      <c r="B5752" t="s">
        <v>1793</v>
      </c>
      <c r="C5752" t="s">
        <v>919</v>
      </c>
      <c r="D5752" s="61">
        <v>1986.05</v>
      </c>
      <c r="E5752" s="61"/>
      <c r="F5752" s="61">
        <v>0</v>
      </c>
      <c r="G5752" s="61">
        <v>0</v>
      </c>
      <c r="H5752" s="61">
        <v>0</v>
      </c>
      <c r="I5752" s="61">
        <v>0</v>
      </c>
      <c r="J5752" s="61">
        <f t="shared" si="53"/>
        <v>1986.05</v>
      </c>
    </row>
    <row r="5753" spans="1:10" x14ac:dyDescent="0.25">
      <c r="A5753" s="20">
        <v>45869</v>
      </c>
      <c r="B5753" t="s">
        <v>1794</v>
      </c>
      <c r="C5753" t="s">
        <v>193</v>
      </c>
      <c r="D5753" s="61">
        <v>20662.150000000001</v>
      </c>
      <c r="E5753" s="61"/>
      <c r="F5753" s="61">
        <v>0</v>
      </c>
      <c r="G5753" s="61">
        <v>0</v>
      </c>
      <c r="H5753" s="61">
        <v>0</v>
      </c>
      <c r="I5753" s="61">
        <v>0</v>
      </c>
      <c r="J5753" s="61">
        <f t="shared" si="53"/>
        <v>20662.150000000001</v>
      </c>
    </row>
    <row r="5754" spans="1:10" x14ac:dyDescent="0.25">
      <c r="A5754" s="20">
        <v>45869</v>
      </c>
      <c r="B5754" t="s">
        <v>1806</v>
      </c>
      <c r="C5754" t="s">
        <v>194</v>
      </c>
      <c r="D5754" s="61">
        <v>0</v>
      </c>
      <c r="E5754" s="61"/>
      <c r="F5754" s="61">
        <v>0</v>
      </c>
      <c r="G5754" s="61">
        <v>0</v>
      </c>
      <c r="H5754" s="61">
        <v>0</v>
      </c>
      <c r="I5754" s="61">
        <v>-117.9</v>
      </c>
      <c r="J5754" s="61">
        <f t="shared" si="53"/>
        <v>-117.9</v>
      </c>
    </row>
    <row r="5755" spans="1:10" x14ac:dyDescent="0.25">
      <c r="A5755" s="20">
        <v>45869</v>
      </c>
      <c r="B5755" t="s">
        <v>1807</v>
      </c>
      <c r="C5755" t="s">
        <v>24</v>
      </c>
      <c r="D5755" s="61">
        <v>6041.46</v>
      </c>
      <c r="E5755" s="61"/>
      <c r="F5755" s="61">
        <v>0</v>
      </c>
      <c r="G5755" s="61">
        <v>500.03</v>
      </c>
      <c r="H5755" s="61">
        <v>-142.84</v>
      </c>
      <c r="I5755" s="61">
        <v>0</v>
      </c>
      <c r="J5755" s="61">
        <f t="shared" si="53"/>
        <v>6398.65</v>
      </c>
    </row>
    <row r="5756" spans="1:10" x14ac:dyDescent="0.25">
      <c r="A5756" s="20">
        <v>45869</v>
      </c>
      <c r="B5756" t="s">
        <v>1808</v>
      </c>
      <c r="C5756" t="s">
        <v>195</v>
      </c>
      <c r="D5756" s="61">
        <v>600</v>
      </c>
      <c r="E5756" s="61"/>
      <c r="F5756" s="61">
        <v>0</v>
      </c>
      <c r="G5756" s="61">
        <v>0</v>
      </c>
      <c r="H5756" s="61">
        <v>0</v>
      </c>
      <c r="I5756" s="61">
        <v>0</v>
      </c>
      <c r="J5756" s="61">
        <f t="shared" si="53"/>
        <v>600</v>
      </c>
    </row>
    <row r="5757" spans="1:10" x14ac:dyDescent="0.25">
      <c r="A5757" s="20">
        <v>45869</v>
      </c>
      <c r="B5757" t="s">
        <v>1828</v>
      </c>
      <c r="C5757" t="s">
        <v>876</v>
      </c>
      <c r="D5757" s="61">
        <v>0</v>
      </c>
      <c r="E5757" s="61"/>
      <c r="F5757" s="61">
        <v>-72.8</v>
      </c>
      <c r="G5757" s="61">
        <v>-1040</v>
      </c>
      <c r="H5757" s="61">
        <v>0</v>
      </c>
      <c r="I5757" s="61">
        <v>0</v>
      </c>
      <c r="J5757" s="61">
        <f t="shared" si="53"/>
        <v>-1112.8</v>
      </c>
    </row>
    <row r="5758" spans="1:10" x14ac:dyDescent="0.25">
      <c r="A5758" s="20">
        <v>45869</v>
      </c>
      <c r="B5758" t="s">
        <v>1829</v>
      </c>
      <c r="C5758" t="s">
        <v>199</v>
      </c>
      <c r="D5758" s="61">
        <v>3900</v>
      </c>
      <c r="E5758" s="61"/>
      <c r="F5758" s="61">
        <v>0</v>
      </c>
      <c r="G5758" s="61">
        <v>0</v>
      </c>
      <c r="H5758" s="61">
        <v>0</v>
      </c>
      <c r="I5758" s="61">
        <v>0</v>
      </c>
      <c r="J5758" s="61">
        <f t="shared" si="53"/>
        <v>3900</v>
      </c>
    </row>
    <row r="5759" spans="1:10" x14ac:dyDescent="0.25">
      <c r="A5759" s="20">
        <v>45869</v>
      </c>
      <c r="B5759" t="s">
        <v>1833</v>
      </c>
      <c r="C5759" t="s">
        <v>25</v>
      </c>
      <c r="D5759" s="61">
        <v>0</v>
      </c>
      <c r="E5759" s="61"/>
      <c r="F5759" s="61">
        <v>0</v>
      </c>
      <c r="G5759" s="61">
        <v>0</v>
      </c>
      <c r="H5759" s="61">
        <v>0</v>
      </c>
      <c r="I5759" s="61">
        <v>-303.5</v>
      </c>
      <c r="J5759" s="61">
        <f t="shared" si="53"/>
        <v>-303.5</v>
      </c>
    </row>
    <row r="5760" spans="1:10" x14ac:dyDescent="0.25">
      <c r="A5760" s="20">
        <v>45869</v>
      </c>
      <c r="B5760" t="s">
        <v>1834</v>
      </c>
      <c r="C5760" t="s">
        <v>200</v>
      </c>
      <c r="D5760" s="61">
        <v>396.58</v>
      </c>
      <c r="E5760" s="61"/>
      <c r="F5760" s="61">
        <v>0</v>
      </c>
      <c r="G5760" s="61">
        <v>0</v>
      </c>
      <c r="H5760" s="61">
        <v>0</v>
      </c>
      <c r="I5760" s="61">
        <v>0</v>
      </c>
      <c r="J5760" s="61">
        <f t="shared" si="53"/>
        <v>396.58</v>
      </c>
    </row>
    <row r="5761" spans="1:10" x14ac:dyDescent="0.25">
      <c r="A5761" s="20">
        <v>45869</v>
      </c>
      <c r="B5761" t="s">
        <v>1860</v>
      </c>
      <c r="C5761" t="s">
        <v>202</v>
      </c>
      <c r="D5761" s="61">
        <v>-33.26</v>
      </c>
      <c r="E5761" s="61"/>
      <c r="F5761" s="61">
        <v>0</v>
      </c>
      <c r="G5761" s="61">
        <v>0</v>
      </c>
      <c r="H5761" s="61">
        <v>0</v>
      </c>
      <c r="I5761" s="61">
        <v>0</v>
      </c>
      <c r="J5761" s="61">
        <f t="shared" si="53"/>
        <v>-33.26</v>
      </c>
    </row>
    <row r="5762" spans="1:10" x14ac:dyDescent="0.25">
      <c r="A5762" s="20">
        <v>45869</v>
      </c>
      <c r="B5762" t="s">
        <v>1865</v>
      </c>
      <c r="C5762" t="s">
        <v>1866</v>
      </c>
      <c r="D5762" s="61">
        <v>3189.34</v>
      </c>
      <c r="E5762" s="61"/>
      <c r="F5762" s="61">
        <v>0</v>
      </c>
      <c r="G5762" s="61">
        <v>0</v>
      </c>
      <c r="H5762" s="61">
        <v>0</v>
      </c>
      <c r="I5762" s="61">
        <v>0</v>
      </c>
      <c r="J5762" s="61">
        <f t="shared" si="53"/>
        <v>3189.34</v>
      </c>
    </row>
    <row r="5763" spans="1:10" x14ac:dyDescent="0.25">
      <c r="A5763" s="20">
        <v>45869</v>
      </c>
      <c r="B5763" t="s">
        <v>1875</v>
      </c>
      <c r="C5763" t="s">
        <v>205</v>
      </c>
      <c r="D5763" s="61">
        <v>7064</v>
      </c>
      <c r="E5763" s="61"/>
      <c r="F5763" s="61">
        <v>3672.13</v>
      </c>
      <c r="G5763" s="61">
        <v>363.19</v>
      </c>
      <c r="H5763" s="61">
        <v>0</v>
      </c>
      <c r="I5763" s="61">
        <v>336.28</v>
      </c>
      <c r="J5763" s="61">
        <f t="shared" si="53"/>
        <v>11435.600000000002</v>
      </c>
    </row>
    <row r="5764" spans="1:10" x14ac:dyDescent="0.25">
      <c r="A5764" s="20">
        <v>45869</v>
      </c>
      <c r="B5764" t="s">
        <v>1883</v>
      </c>
      <c r="C5764" t="s">
        <v>207</v>
      </c>
      <c r="D5764" s="61">
        <v>8301.4</v>
      </c>
      <c r="E5764" s="61"/>
      <c r="F5764" s="61">
        <v>-916.8</v>
      </c>
      <c r="G5764" s="61">
        <v>0</v>
      </c>
      <c r="H5764" s="61">
        <v>0</v>
      </c>
      <c r="I5764" s="61">
        <v>0</v>
      </c>
      <c r="J5764" s="61">
        <f t="shared" si="53"/>
        <v>7384.5999999999995</v>
      </c>
    </row>
    <row r="5765" spans="1:10" x14ac:dyDescent="0.25">
      <c r="A5765" s="20">
        <v>45869</v>
      </c>
      <c r="B5765" t="s">
        <v>1938</v>
      </c>
      <c r="C5765" t="s">
        <v>217</v>
      </c>
      <c r="D5765" s="61">
        <v>84.36</v>
      </c>
      <c r="E5765" s="61"/>
      <c r="F5765" s="61">
        <v>146.16999999999999</v>
      </c>
      <c r="G5765" s="61">
        <v>834</v>
      </c>
      <c r="H5765" s="61">
        <v>0</v>
      </c>
      <c r="I5765" s="61">
        <v>0</v>
      </c>
      <c r="J5765" s="61">
        <f t="shared" si="53"/>
        <v>1064.53</v>
      </c>
    </row>
    <row r="5766" spans="1:10" x14ac:dyDescent="0.25">
      <c r="A5766" s="20">
        <v>45869</v>
      </c>
      <c r="B5766" t="s">
        <v>1950</v>
      </c>
      <c r="C5766" t="s">
        <v>219</v>
      </c>
      <c r="D5766" s="61">
        <v>0</v>
      </c>
      <c r="E5766" s="61"/>
      <c r="F5766" s="61">
        <v>0</v>
      </c>
      <c r="G5766" s="61">
        <v>-333.65</v>
      </c>
      <c r="H5766" s="61">
        <v>-88.24</v>
      </c>
      <c r="I5766" s="61">
        <v>0</v>
      </c>
      <c r="J5766" s="61">
        <f t="shared" si="53"/>
        <v>-421.89</v>
      </c>
    </row>
    <row r="5767" spans="1:10" x14ac:dyDescent="0.25">
      <c r="A5767" s="20">
        <v>45869</v>
      </c>
      <c r="B5767" t="s">
        <v>1960</v>
      </c>
      <c r="C5767" t="s">
        <v>502</v>
      </c>
      <c r="D5767" s="61">
        <v>0</v>
      </c>
      <c r="E5767" s="61"/>
      <c r="F5767" s="61">
        <v>0</v>
      </c>
      <c r="G5767" s="61">
        <v>0</v>
      </c>
      <c r="H5767" s="61">
        <v>-9.48</v>
      </c>
      <c r="I5767" s="61">
        <v>0</v>
      </c>
      <c r="J5767" s="61">
        <f t="shared" si="53"/>
        <v>-9.48</v>
      </c>
    </row>
    <row r="5768" spans="1:10" x14ac:dyDescent="0.25">
      <c r="A5768" s="20">
        <v>45869</v>
      </c>
      <c r="B5768" t="s">
        <v>1976</v>
      </c>
      <c r="C5768" t="s">
        <v>29</v>
      </c>
      <c r="D5768" s="61">
        <v>38335.24</v>
      </c>
      <c r="E5768" s="61"/>
      <c r="F5768" s="61">
        <v>1520</v>
      </c>
      <c r="G5768" s="61">
        <v>2049</v>
      </c>
      <c r="H5768" s="61">
        <v>0</v>
      </c>
      <c r="I5768" s="61">
        <v>-414</v>
      </c>
      <c r="J5768" s="61">
        <f t="shared" si="53"/>
        <v>41490.239999999998</v>
      </c>
    </row>
    <row r="5769" spans="1:10" x14ac:dyDescent="0.25">
      <c r="A5769" s="20">
        <v>45869</v>
      </c>
      <c r="B5769" t="s">
        <v>1987</v>
      </c>
      <c r="C5769" t="s">
        <v>227</v>
      </c>
      <c r="D5769" s="61">
        <v>1780</v>
      </c>
      <c r="E5769" s="61"/>
      <c r="F5769" s="61">
        <v>0</v>
      </c>
      <c r="G5769" s="61">
        <v>0</v>
      </c>
      <c r="H5769" s="61">
        <v>0</v>
      </c>
      <c r="I5769" s="61">
        <v>0</v>
      </c>
      <c r="J5769" s="61">
        <f t="shared" si="53"/>
        <v>1780</v>
      </c>
    </row>
    <row r="5770" spans="1:10" x14ac:dyDescent="0.25">
      <c r="A5770" s="20">
        <v>45869</v>
      </c>
      <c r="B5770" t="s">
        <v>1988</v>
      </c>
      <c r="C5770" t="s">
        <v>864</v>
      </c>
      <c r="D5770" s="61">
        <v>-368</v>
      </c>
      <c r="E5770" s="61"/>
      <c r="F5770" s="61">
        <v>0</v>
      </c>
      <c r="G5770" s="61">
        <v>0</v>
      </c>
      <c r="H5770" s="61">
        <v>0</v>
      </c>
      <c r="I5770" s="61">
        <v>0</v>
      </c>
      <c r="J5770" s="61">
        <f t="shared" si="53"/>
        <v>-368</v>
      </c>
    </row>
    <row r="5771" spans="1:10" x14ac:dyDescent="0.25">
      <c r="A5771" s="20">
        <v>45869</v>
      </c>
      <c r="B5771" t="s">
        <v>2007</v>
      </c>
      <c r="C5771" t="s">
        <v>2008</v>
      </c>
      <c r="D5771" s="61">
        <v>0</v>
      </c>
      <c r="E5771" s="61"/>
      <c r="F5771" s="61">
        <v>-21.28</v>
      </c>
      <c r="G5771" s="61">
        <v>0</v>
      </c>
      <c r="H5771" s="61">
        <v>0</v>
      </c>
      <c r="I5771" s="61">
        <v>0</v>
      </c>
      <c r="J5771" s="61">
        <f t="shared" si="53"/>
        <v>-21.28</v>
      </c>
    </row>
    <row r="5772" spans="1:10" x14ac:dyDescent="0.25">
      <c r="A5772" s="20">
        <v>45869</v>
      </c>
      <c r="B5772" t="s">
        <v>2009</v>
      </c>
      <c r="C5772" t="s">
        <v>560</v>
      </c>
      <c r="D5772" s="61">
        <v>-12900</v>
      </c>
      <c r="E5772" s="61"/>
      <c r="F5772" s="61">
        <v>0</v>
      </c>
      <c r="G5772" s="61">
        <v>0</v>
      </c>
      <c r="H5772" s="61">
        <v>0</v>
      </c>
      <c r="I5772" s="61">
        <v>0</v>
      </c>
      <c r="J5772" s="61">
        <f t="shared" ref="J5772:J5835" si="54">SUM(D5772:I5772)</f>
        <v>-12900</v>
      </c>
    </row>
    <row r="5773" spans="1:10" x14ac:dyDescent="0.25">
      <c r="A5773" s="20">
        <v>45869</v>
      </c>
      <c r="B5773" t="s">
        <v>2024</v>
      </c>
      <c r="C5773" t="s">
        <v>239</v>
      </c>
      <c r="D5773" s="61">
        <v>-59.15</v>
      </c>
      <c r="E5773" s="61"/>
      <c r="F5773" s="61">
        <v>0</v>
      </c>
      <c r="G5773" s="61">
        <v>0</v>
      </c>
      <c r="H5773" s="61">
        <v>0</v>
      </c>
      <c r="I5773" s="61">
        <v>0</v>
      </c>
      <c r="J5773" s="61">
        <f t="shared" si="54"/>
        <v>-59.15</v>
      </c>
    </row>
    <row r="5774" spans="1:10" x14ac:dyDescent="0.25">
      <c r="A5774" s="20">
        <v>45869</v>
      </c>
      <c r="B5774" t="s">
        <v>2033</v>
      </c>
      <c r="C5774" t="s">
        <v>243</v>
      </c>
      <c r="D5774" s="61">
        <v>5177.3100000000004</v>
      </c>
      <c r="E5774" s="61"/>
      <c r="F5774" s="61">
        <v>0</v>
      </c>
      <c r="G5774" s="61">
        <v>0</v>
      </c>
      <c r="H5774" s="61">
        <v>0</v>
      </c>
      <c r="I5774" s="61">
        <v>-2408</v>
      </c>
      <c r="J5774" s="61">
        <f t="shared" si="54"/>
        <v>2769.3100000000004</v>
      </c>
    </row>
    <row r="5775" spans="1:10" x14ac:dyDescent="0.25">
      <c r="A5775" s="20">
        <v>45869</v>
      </c>
      <c r="B5775" t="s">
        <v>2058</v>
      </c>
      <c r="C5775" t="s">
        <v>30</v>
      </c>
      <c r="D5775" s="61">
        <v>408826.76</v>
      </c>
      <c r="E5775" s="61"/>
      <c r="F5775" s="61">
        <v>13580.61</v>
      </c>
      <c r="G5775" s="61">
        <v>0</v>
      </c>
      <c r="H5775" s="61">
        <v>0</v>
      </c>
      <c r="I5775" s="61">
        <v>0</v>
      </c>
      <c r="J5775" s="61">
        <f t="shared" si="54"/>
        <v>422407.37</v>
      </c>
    </row>
    <row r="5776" spans="1:10" x14ac:dyDescent="0.25">
      <c r="A5776" s="20">
        <v>45869</v>
      </c>
      <c r="B5776" t="s">
        <v>2074</v>
      </c>
      <c r="C5776" t="s">
        <v>880</v>
      </c>
      <c r="D5776" s="61">
        <v>0</v>
      </c>
      <c r="E5776" s="61"/>
      <c r="F5776" s="61">
        <v>0</v>
      </c>
      <c r="G5776" s="61">
        <v>-1101.18</v>
      </c>
      <c r="H5776" s="61">
        <v>0</v>
      </c>
      <c r="I5776" s="61">
        <v>0</v>
      </c>
      <c r="J5776" s="61">
        <f t="shared" si="54"/>
        <v>-1101.18</v>
      </c>
    </row>
    <row r="5777" spans="1:10" x14ac:dyDescent="0.25">
      <c r="A5777" s="20">
        <v>45869</v>
      </c>
      <c r="B5777" t="s">
        <v>2076</v>
      </c>
      <c r="C5777" t="s">
        <v>247</v>
      </c>
      <c r="D5777" s="61">
        <v>0</v>
      </c>
      <c r="E5777" s="61"/>
      <c r="F5777" s="61">
        <v>-42.56</v>
      </c>
      <c r="G5777" s="61">
        <v>0</v>
      </c>
      <c r="H5777" s="61">
        <v>0</v>
      </c>
      <c r="I5777" s="61">
        <v>0</v>
      </c>
      <c r="J5777" s="61">
        <f t="shared" si="54"/>
        <v>-42.56</v>
      </c>
    </row>
    <row r="5778" spans="1:10" x14ac:dyDescent="0.25">
      <c r="A5778" s="20">
        <v>45869</v>
      </c>
      <c r="B5778" t="s">
        <v>2078</v>
      </c>
      <c r="C5778" t="s">
        <v>248</v>
      </c>
      <c r="D5778" s="61">
        <v>220.54</v>
      </c>
      <c r="E5778" s="61"/>
      <c r="F5778" s="61">
        <v>0</v>
      </c>
      <c r="G5778" s="61">
        <v>0</v>
      </c>
      <c r="H5778" s="61">
        <v>0</v>
      </c>
      <c r="I5778" s="61">
        <v>0</v>
      </c>
      <c r="J5778" s="61">
        <f t="shared" si="54"/>
        <v>220.54</v>
      </c>
    </row>
    <row r="5779" spans="1:10" x14ac:dyDescent="0.25">
      <c r="A5779" s="20">
        <v>45869</v>
      </c>
      <c r="B5779" t="s">
        <v>2081</v>
      </c>
      <c r="C5779" t="s">
        <v>465</v>
      </c>
      <c r="D5779" s="61">
        <v>18.2</v>
      </c>
      <c r="E5779" s="61"/>
      <c r="F5779" s="61">
        <v>0</v>
      </c>
      <c r="G5779" s="61">
        <v>0</v>
      </c>
      <c r="H5779" s="61">
        <v>0</v>
      </c>
      <c r="I5779" s="61">
        <v>0</v>
      </c>
      <c r="J5779" s="61">
        <f t="shared" si="54"/>
        <v>18.2</v>
      </c>
    </row>
    <row r="5780" spans="1:10" x14ac:dyDescent="0.25">
      <c r="A5780" s="20">
        <v>45869</v>
      </c>
      <c r="B5780" t="s">
        <v>2108</v>
      </c>
      <c r="C5780" t="s">
        <v>683</v>
      </c>
      <c r="D5780" s="61">
        <v>159026.73000000001</v>
      </c>
      <c r="E5780" s="61"/>
      <c r="F5780" s="61">
        <v>0</v>
      </c>
      <c r="G5780" s="61">
        <v>0</v>
      </c>
      <c r="H5780" s="61">
        <v>0</v>
      </c>
      <c r="I5780" s="61">
        <v>0</v>
      </c>
      <c r="J5780" s="61">
        <f t="shared" si="54"/>
        <v>159026.73000000001</v>
      </c>
    </row>
    <row r="5781" spans="1:10" x14ac:dyDescent="0.25">
      <c r="A5781" s="20">
        <v>45869</v>
      </c>
      <c r="B5781" t="s">
        <v>2109</v>
      </c>
      <c r="C5781" t="s">
        <v>252</v>
      </c>
      <c r="D5781" s="61">
        <v>198.35</v>
      </c>
      <c r="E5781" s="61"/>
      <c r="F5781" s="61">
        <v>-64.099999999999994</v>
      </c>
      <c r="G5781" s="61">
        <v>-103.32</v>
      </c>
      <c r="H5781" s="61">
        <v>0</v>
      </c>
      <c r="I5781" s="61">
        <v>0</v>
      </c>
      <c r="J5781" s="61">
        <f t="shared" si="54"/>
        <v>30.930000000000007</v>
      </c>
    </row>
    <row r="5782" spans="1:10" x14ac:dyDescent="0.25">
      <c r="A5782" s="20">
        <v>45869</v>
      </c>
      <c r="B5782" t="s">
        <v>2113</v>
      </c>
      <c r="C5782" t="s">
        <v>254</v>
      </c>
      <c r="D5782" s="61">
        <v>1342</v>
      </c>
      <c r="E5782" s="61"/>
      <c r="F5782" s="61">
        <v>0</v>
      </c>
      <c r="G5782" s="61">
        <v>0</v>
      </c>
      <c r="H5782" s="61">
        <v>0</v>
      </c>
      <c r="I5782" s="61">
        <v>0</v>
      </c>
      <c r="J5782" s="61">
        <f t="shared" si="54"/>
        <v>1342</v>
      </c>
    </row>
    <row r="5783" spans="1:10" x14ac:dyDescent="0.25">
      <c r="A5783" s="20">
        <v>45869</v>
      </c>
      <c r="B5783" t="s">
        <v>2118</v>
      </c>
      <c r="C5783" t="s">
        <v>684</v>
      </c>
      <c r="D5783" s="61">
        <v>0</v>
      </c>
      <c r="E5783" s="61"/>
      <c r="F5783" s="61">
        <v>0</v>
      </c>
      <c r="G5783" s="61">
        <v>0</v>
      </c>
      <c r="H5783" s="61">
        <v>-18.45</v>
      </c>
      <c r="I5783" s="61">
        <v>0</v>
      </c>
      <c r="J5783" s="61">
        <f t="shared" si="54"/>
        <v>-18.45</v>
      </c>
    </row>
    <row r="5784" spans="1:10" x14ac:dyDescent="0.25">
      <c r="A5784" s="20">
        <v>45869</v>
      </c>
      <c r="B5784" t="s">
        <v>2162</v>
      </c>
      <c r="C5784" t="s">
        <v>32</v>
      </c>
      <c r="D5784" s="61">
        <v>2214.14</v>
      </c>
      <c r="E5784" s="61"/>
      <c r="F5784" s="61">
        <v>994.56</v>
      </c>
      <c r="G5784" s="61">
        <v>1883.37</v>
      </c>
      <c r="H5784" s="61">
        <v>-220.53</v>
      </c>
      <c r="I5784" s="61">
        <v>2890.5</v>
      </c>
      <c r="J5784" s="61">
        <f t="shared" si="54"/>
        <v>7762.04</v>
      </c>
    </row>
    <row r="5785" spans="1:10" x14ac:dyDescent="0.25">
      <c r="A5785" s="20">
        <v>45869</v>
      </c>
      <c r="B5785" t="s">
        <v>2163</v>
      </c>
      <c r="C5785" t="s">
        <v>259</v>
      </c>
      <c r="D5785" s="61">
        <v>198</v>
      </c>
      <c r="E5785" s="61"/>
      <c r="F5785" s="61">
        <v>274</v>
      </c>
      <c r="G5785" s="61">
        <v>0</v>
      </c>
      <c r="H5785" s="61">
        <v>0</v>
      </c>
      <c r="I5785" s="61">
        <v>0</v>
      </c>
      <c r="J5785" s="61">
        <f t="shared" si="54"/>
        <v>472</v>
      </c>
    </row>
    <row r="5786" spans="1:10" x14ac:dyDescent="0.25">
      <c r="A5786" s="20">
        <v>45869</v>
      </c>
      <c r="B5786" t="s">
        <v>2166</v>
      </c>
      <c r="C5786" t="s">
        <v>468</v>
      </c>
      <c r="D5786" s="61">
        <v>378.93</v>
      </c>
      <c r="E5786" s="61"/>
      <c r="F5786" s="61">
        <v>792</v>
      </c>
      <c r="G5786" s="61">
        <v>0</v>
      </c>
      <c r="H5786" s="61">
        <v>0</v>
      </c>
      <c r="I5786" s="61">
        <v>0</v>
      </c>
      <c r="J5786" s="61">
        <f t="shared" si="54"/>
        <v>1170.93</v>
      </c>
    </row>
    <row r="5787" spans="1:10" x14ac:dyDescent="0.25">
      <c r="A5787" s="20">
        <v>45869</v>
      </c>
      <c r="B5787" t="s">
        <v>2169</v>
      </c>
      <c r="C5787" t="s">
        <v>882</v>
      </c>
      <c r="D5787" s="61">
        <v>1360</v>
      </c>
      <c r="E5787" s="61"/>
      <c r="F5787" s="61">
        <v>0</v>
      </c>
      <c r="G5787" s="61">
        <v>0</v>
      </c>
      <c r="H5787" s="61">
        <v>0</v>
      </c>
      <c r="I5787" s="61">
        <v>0</v>
      </c>
      <c r="J5787" s="61">
        <f t="shared" si="54"/>
        <v>1360</v>
      </c>
    </row>
    <row r="5788" spans="1:10" x14ac:dyDescent="0.25">
      <c r="A5788" s="20">
        <v>45869</v>
      </c>
      <c r="B5788" t="s">
        <v>2170</v>
      </c>
      <c r="C5788" t="s">
        <v>2171</v>
      </c>
      <c r="D5788" s="61">
        <v>-10171.879999999999</v>
      </c>
      <c r="E5788" s="61"/>
      <c r="F5788" s="61">
        <v>0</v>
      </c>
      <c r="G5788" s="61">
        <v>0</v>
      </c>
      <c r="H5788" s="61">
        <v>0</v>
      </c>
      <c r="I5788" s="61">
        <v>0</v>
      </c>
      <c r="J5788" s="61">
        <f t="shared" si="54"/>
        <v>-10171.879999999999</v>
      </c>
    </row>
    <row r="5789" spans="1:10" x14ac:dyDescent="0.25">
      <c r="A5789" s="20">
        <v>45869</v>
      </c>
      <c r="B5789" t="s">
        <v>2175</v>
      </c>
      <c r="C5789" t="s">
        <v>408</v>
      </c>
      <c r="D5789" s="61">
        <v>0</v>
      </c>
      <c r="E5789" s="61"/>
      <c r="F5789" s="61">
        <v>0</v>
      </c>
      <c r="G5789" s="61">
        <v>0</v>
      </c>
      <c r="H5789" s="61">
        <v>0</v>
      </c>
      <c r="I5789" s="61">
        <v>-196.34</v>
      </c>
      <c r="J5789" s="61">
        <f t="shared" si="54"/>
        <v>-196.34</v>
      </c>
    </row>
    <row r="5790" spans="1:10" x14ac:dyDescent="0.25">
      <c r="A5790" s="20">
        <v>45869</v>
      </c>
      <c r="B5790" t="s">
        <v>2182</v>
      </c>
      <c r="C5790" t="s">
        <v>514</v>
      </c>
      <c r="D5790" s="61">
        <v>0</v>
      </c>
      <c r="E5790" s="61"/>
      <c r="F5790" s="61">
        <v>-53.73</v>
      </c>
      <c r="G5790" s="61">
        <v>0</v>
      </c>
      <c r="H5790" s="61">
        <v>0</v>
      </c>
      <c r="I5790" s="61">
        <v>0</v>
      </c>
      <c r="J5790" s="61">
        <f t="shared" si="54"/>
        <v>-53.73</v>
      </c>
    </row>
    <row r="5791" spans="1:10" x14ac:dyDescent="0.25">
      <c r="A5791" s="20">
        <v>45869</v>
      </c>
      <c r="B5791" t="s">
        <v>2186</v>
      </c>
      <c r="C5791" t="s">
        <v>515</v>
      </c>
      <c r="D5791" s="61">
        <v>2601</v>
      </c>
      <c r="E5791" s="61"/>
      <c r="F5791" s="61">
        <v>0</v>
      </c>
      <c r="G5791" s="61">
        <v>0</v>
      </c>
      <c r="H5791" s="61">
        <v>0</v>
      </c>
      <c r="I5791" s="61">
        <v>0</v>
      </c>
      <c r="J5791" s="61">
        <f t="shared" si="54"/>
        <v>2601</v>
      </c>
    </row>
    <row r="5792" spans="1:10" x14ac:dyDescent="0.25">
      <c r="A5792" s="20">
        <v>45869</v>
      </c>
      <c r="B5792" t="s">
        <v>2194</v>
      </c>
      <c r="C5792" t="s">
        <v>263</v>
      </c>
      <c r="D5792" s="61">
        <v>8390</v>
      </c>
      <c r="E5792" s="61"/>
      <c r="F5792" s="61">
        <v>0</v>
      </c>
      <c r="G5792" s="61">
        <v>0</v>
      </c>
      <c r="H5792" s="61">
        <v>0</v>
      </c>
      <c r="I5792" s="61">
        <v>0</v>
      </c>
      <c r="J5792" s="61">
        <f t="shared" si="54"/>
        <v>8390</v>
      </c>
    </row>
    <row r="5793" spans="1:10" x14ac:dyDescent="0.25">
      <c r="A5793" s="20">
        <v>45869</v>
      </c>
      <c r="B5793" t="s">
        <v>2204</v>
      </c>
      <c r="C5793" t="s">
        <v>689</v>
      </c>
      <c r="D5793" s="61">
        <v>0</v>
      </c>
      <c r="E5793" s="61"/>
      <c r="F5793" s="61">
        <v>0</v>
      </c>
      <c r="G5793" s="61">
        <v>-2038.7</v>
      </c>
      <c r="H5793" s="61">
        <v>0</v>
      </c>
      <c r="I5793" s="61">
        <v>0</v>
      </c>
      <c r="J5793" s="61">
        <f t="shared" si="54"/>
        <v>-2038.7</v>
      </c>
    </row>
    <row r="5794" spans="1:10" x14ac:dyDescent="0.25">
      <c r="A5794" s="20">
        <v>45869</v>
      </c>
      <c r="B5794" t="s">
        <v>2217</v>
      </c>
      <c r="C5794" t="s">
        <v>268</v>
      </c>
      <c r="D5794" s="61">
        <v>4035.79</v>
      </c>
      <c r="E5794" s="61"/>
      <c r="F5794" s="61">
        <v>0</v>
      </c>
      <c r="G5794" s="61">
        <v>0</v>
      </c>
      <c r="H5794" s="61">
        <v>0</v>
      </c>
      <c r="I5794" s="61">
        <v>0</v>
      </c>
      <c r="J5794" s="61">
        <f t="shared" si="54"/>
        <v>4035.79</v>
      </c>
    </row>
    <row r="5795" spans="1:10" x14ac:dyDescent="0.25">
      <c r="A5795" s="20">
        <v>45869</v>
      </c>
      <c r="B5795" t="s">
        <v>2220</v>
      </c>
      <c r="C5795" t="s">
        <v>33</v>
      </c>
      <c r="D5795" s="61">
        <v>4249.45</v>
      </c>
      <c r="E5795" s="61"/>
      <c r="F5795" s="61">
        <v>2252.4499999999998</v>
      </c>
      <c r="G5795" s="61">
        <v>89.83</v>
      </c>
      <c r="H5795" s="61">
        <v>21</v>
      </c>
      <c r="I5795" s="61">
        <v>1602.35</v>
      </c>
      <c r="J5795" s="61">
        <f t="shared" si="54"/>
        <v>8215.08</v>
      </c>
    </row>
    <row r="5796" spans="1:10" x14ac:dyDescent="0.25">
      <c r="A5796" s="20">
        <v>45869</v>
      </c>
      <c r="B5796" t="s">
        <v>2223</v>
      </c>
      <c r="C5796" t="s">
        <v>270</v>
      </c>
      <c r="D5796" s="61">
        <v>77165.95</v>
      </c>
      <c r="E5796" s="61"/>
      <c r="F5796" s="61">
        <v>0</v>
      </c>
      <c r="G5796" s="61">
        <v>0</v>
      </c>
      <c r="H5796" s="61">
        <v>0</v>
      </c>
      <c r="I5796" s="61">
        <v>0</v>
      </c>
      <c r="J5796" s="61">
        <f t="shared" si="54"/>
        <v>77165.95</v>
      </c>
    </row>
    <row r="5797" spans="1:10" x14ac:dyDescent="0.25">
      <c r="A5797" s="20">
        <v>45869</v>
      </c>
      <c r="B5797" t="s">
        <v>2227</v>
      </c>
      <c r="C5797" t="s">
        <v>271</v>
      </c>
      <c r="D5797" s="61">
        <v>19598</v>
      </c>
      <c r="E5797" s="61"/>
      <c r="F5797" s="61">
        <v>-2335.12</v>
      </c>
      <c r="G5797" s="61">
        <v>0</v>
      </c>
      <c r="H5797" s="61">
        <v>0</v>
      </c>
      <c r="I5797" s="61">
        <v>-1172</v>
      </c>
      <c r="J5797" s="61">
        <f t="shared" si="54"/>
        <v>16090.880000000001</v>
      </c>
    </row>
    <row r="5798" spans="1:10" x14ac:dyDescent="0.25">
      <c r="A5798" s="20">
        <v>45869</v>
      </c>
      <c r="B5798" t="s">
        <v>2228</v>
      </c>
      <c r="C5798" t="s">
        <v>470</v>
      </c>
      <c r="D5798" s="61">
        <v>5575</v>
      </c>
      <c r="E5798" s="61"/>
      <c r="F5798" s="61">
        <v>0</v>
      </c>
      <c r="G5798" s="61">
        <v>0</v>
      </c>
      <c r="H5798" s="61">
        <v>0</v>
      </c>
      <c r="I5798" s="61">
        <v>0</v>
      </c>
      <c r="J5798" s="61">
        <f t="shared" si="54"/>
        <v>5575</v>
      </c>
    </row>
    <row r="5799" spans="1:10" x14ac:dyDescent="0.25">
      <c r="A5799" s="20">
        <v>45869</v>
      </c>
      <c r="B5799" t="s">
        <v>2238</v>
      </c>
      <c r="C5799" t="s">
        <v>272</v>
      </c>
      <c r="D5799" s="61">
        <v>1793</v>
      </c>
      <c r="E5799" s="61"/>
      <c r="F5799" s="61">
        <v>0</v>
      </c>
      <c r="G5799" s="61">
        <v>0</v>
      </c>
      <c r="H5799" s="61">
        <v>0</v>
      </c>
      <c r="I5799" s="61">
        <v>0</v>
      </c>
      <c r="J5799" s="61">
        <f t="shared" si="54"/>
        <v>1793</v>
      </c>
    </row>
    <row r="5800" spans="1:10" x14ac:dyDescent="0.25">
      <c r="A5800" s="20">
        <v>45869</v>
      </c>
      <c r="B5800" t="s">
        <v>2250</v>
      </c>
      <c r="C5800" t="s">
        <v>34</v>
      </c>
      <c r="D5800" s="61">
        <v>986.22</v>
      </c>
      <c r="E5800" s="61"/>
      <c r="F5800" s="61">
        <v>0</v>
      </c>
      <c r="G5800" s="61">
        <v>0</v>
      </c>
      <c r="H5800" s="61">
        <v>0</v>
      </c>
      <c r="I5800" s="61">
        <v>0</v>
      </c>
      <c r="J5800" s="61">
        <f t="shared" si="54"/>
        <v>986.22</v>
      </c>
    </row>
    <row r="5801" spans="1:10" x14ac:dyDescent="0.25">
      <c r="A5801" s="20">
        <v>45869</v>
      </c>
      <c r="B5801" t="s">
        <v>2254</v>
      </c>
      <c r="C5801" t="s">
        <v>278</v>
      </c>
      <c r="D5801" s="61">
        <v>12267</v>
      </c>
      <c r="E5801" s="61"/>
      <c r="F5801" s="61">
        <v>0</v>
      </c>
      <c r="G5801" s="61">
        <v>-1802.85</v>
      </c>
      <c r="H5801" s="61">
        <v>-0.01</v>
      </c>
      <c r="I5801" s="61">
        <v>0</v>
      </c>
      <c r="J5801" s="61">
        <f t="shared" si="54"/>
        <v>10464.14</v>
      </c>
    </row>
    <row r="5802" spans="1:10" x14ac:dyDescent="0.25">
      <c r="A5802" s="20">
        <v>45869</v>
      </c>
      <c r="B5802" t="s">
        <v>2265</v>
      </c>
      <c r="C5802" t="s">
        <v>566</v>
      </c>
      <c r="D5802" s="61">
        <v>0</v>
      </c>
      <c r="E5802" s="61"/>
      <c r="F5802" s="61">
        <v>0</v>
      </c>
      <c r="G5802" s="61">
        <v>0</v>
      </c>
      <c r="H5802" s="61">
        <v>0</v>
      </c>
      <c r="I5802" s="61">
        <v>-14.41</v>
      </c>
      <c r="J5802" s="61">
        <f t="shared" si="54"/>
        <v>-14.41</v>
      </c>
    </row>
    <row r="5803" spans="1:10" x14ac:dyDescent="0.25">
      <c r="A5803" s="20">
        <v>45869</v>
      </c>
      <c r="B5803" t="s">
        <v>2277</v>
      </c>
      <c r="C5803" t="s">
        <v>785</v>
      </c>
      <c r="D5803" s="61">
        <v>19.13</v>
      </c>
      <c r="E5803" s="61"/>
      <c r="F5803" s="61">
        <v>0</v>
      </c>
      <c r="G5803" s="61">
        <v>0</v>
      </c>
      <c r="H5803" s="61">
        <v>0</v>
      </c>
      <c r="I5803" s="61">
        <v>0</v>
      </c>
      <c r="J5803" s="61">
        <f t="shared" si="54"/>
        <v>19.13</v>
      </c>
    </row>
    <row r="5804" spans="1:10" x14ac:dyDescent="0.25">
      <c r="A5804" s="20">
        <v>45869</v>
      </c>
      <c r="B5804" t="s">
        <v>2280</v>
      </c>
      <c r="C5804" t="s">
        <v>471</v>
      </c>
      <c r="D5804" s="61">
        <v>702.5</v>
      </c>
      <c r="E5804" s="61"/>
      <c r="F5804" s="61">
        <v>0</v>
      </c>
      <c r="G5804" s="61">
        <v>0</v>
      </c>
      <c r="H5804" s="61">
        <v>0</v>
      </c>
      <c r="I5804" s="61">
        <v>0</v>
      </c>
      <c r="J5804" s="61">
        <f t="shared" si="54"/>
        <v>702.5</v>
      </c>
    </row>
    <row r="5805" spans="1:10" x14ac:dyDescent="0.25">
      <c r="A5805" s="20">
        <v>45869</v>
      </c>
      <c r="B5805" t="s">
        <v>2313</v>
      </c>
      <c r="C5805" t="s">
        <v>695</v>
      </c>
      <c r="D5805" s="61">
        <v>25774.720000000001</v>
      </c>
      <c r="E5805" s="61"/>
      <c r="F5805" s="61">
        <v>0</v>
      </c>
      <c r="G5805" s="61">
        <v>0</v>
      </c>
      <c r="H5805" s="61">
        <v>0</v>
      </c>
      <c r="I5805" s="61">
        <v>0</v>
      </c>
      <c r="J5805" s="61">
        <f t="shared" si="54"/>
        <v>25774.720000000001</v>
      </c>
    </row>
    <row r="5806" spans="1:10" x14ac:dyDescent="0.25">
      <c r="A5806" s="20">
        <v>45869</v>
      </c>
      <c r="B5806" t="s">
        <v>2314</v>
      </c>
      <c r="C5806" t="s">
        <v>753</v>
      </c>
      <c r="D5806" s="61">
        <v>0</v>
      </c>
      <c r="E5806" s="61"/>
      <c r="F5806" s="61">
        <v>0</v>
      </c>
      <c r="G5806" s="61">
        <v>0</v>
      </c>
      <c r="H5806" s="61">
        <v>178</v>
      </c>
      <c r="I5806" s="61">
        <v>0</v>
      </c>
      <c r="J5806" s="61">
        <f t="shared" si="54"/>
        <v>178</v>
      </c>
    </row>
    <row r="5807" spans="1:10" x14ac:dyDescent="0.25">
      <c r="A5807" s="20">
        <v>45869</v>
      </c>
      <c r="B5807" t="s">
        <v>2317</v>
      </c>
      <c r="C5807" t="s">
        <v>284</v>
      </c>
      <c r="D5807" s="61">
        <v>118236.72</v>
      </c>
      <c r="E5807" s="61"/>
      <c r="F5807" s="61">
        <v>0</v>
      </c>
      <c r="G5807" s="61">
        <v>0</v>
      </c>
      <c r="H5807" s="61">
        <v>0</v>
      </c>
      <c r="I5807" s="61">
        <v>0</v>
      </c>
      <c r="J5807" s="61">
        <f t="shared" si="54"/>
        <v>118236.72</v>
      </c>
    </row>
    <row r="5808" spans="1:10" x14ac:dyDescent="0.25">
      <c r="A5808" s="20">
        <v>45869</v>
      </c>
      <c r="B5808" t="s">
        <v>2318</v>
      </c>
      <c r="C5808" t="s">
        <v>285</v>
      </c>
      <c r="D5808" s="61">
        <v>18716</v>
      </c>
      <c r="E5808" s="61"/>
      <c r="F5808" s="61">
        <v>0</v>
      </c>
      <c r="G5808" s="61">
        <v>0</v>
      </c>
      <c r="H5808" s="61">
        <v>0</v>
      </c>
      <c r="I5808" s="61">
        <v>0</v>
      </c>
      <c r="J5808" s="61">
        <f t="shared" si="54"/>
        <v>18716</v>
      </c>
    </row>
    <row r="5809" spans="1:10" x14ac:dyDescent="0.25">
      <c r="A5809" s="20">
        <v>45869</v>
      </c>
      <c r="B5809" t="s">
        <v>2329</v>
      </c>
      <c r="C5809" t="s">
        <v>475</v>
      </c>
      <c r="D5809" s="61">
        <v>0</v>
      </c>
      <c r="E5809" s="61"/>
      <c r="F5809" s="61">
        <v>0</v>
      </c>
      <c r="G5809" s="61">
        <v>0</v>
      </c>
      <c r="H5809" s="61">
        <v>0</v>
      </c>
      <c r="I5809" s="61">
        <v>-299.55</v>
      </c>
      <c r="J5809" s="61">
        <f t="shared" si="54"/>
        <v>-299.55</v>
      </c>
    </row>
    <row r="5810" spans="1:10" x14ac:dyDescent="0.25">
      <c r="A5810" s="20">
        <v>45869</v>
      </c>
      <c r="B5810" t="s">
        <v>2333</v>
      </c>
      <c r="C5810" t="s">
        <v>2334</v>
      </c>
      <c r="D5810" s="61">
        <v>141.01</v>
      </c>
      <c r="E5810" s="61"/>
      <c r="F5810" s="61">
        <v>0</v>
      </c>
      <c r="G5810" s="61">
        <v>0</v>
      </c>
      <c r="H5810" s="61">
        <v>0</v>
      </c>
      <c r="I5810" s="61">
        <v>0</v>
      </c>
      <c r="J5810" s="61">
        <f t="shared" si="54"/>
        <v>141.01</v>
      </c>
    </row>
    <row r="5811" spans="1:10" x14ac:dyDescent="0.25">
      <c r="A5811" s="20">
        <v>45869</v>
      </c>
      <c r="B5811" t="s">
        <v>2346</v>
      </c>
      <c r="C5811" t="s">
        <v>418</v>
      </c>
      <c r="D5811" s="61">
        <v>0</v>
      </c>
      <c r="E5811" s="61"/>
      <c r="F5811" s="61">
        <v>138</v>
      </c>
      <c r="G5811" s="61">
        <v>136.5</v>
      </c>
      <c r="H5811" s="61">
        <v>0</v>
      </c>
      <c r="I5811" s="61">
        <v>0</v>
      </c>
      <c r="J5811" s="61">
        <f t="shared" si="54"/>
        <v>274.5</v>
      </c>
    </row>
    <row r="5812" spans="1:10" x14ac:dyDescent="0.25">
      <c r="A5812" s="20">
        <v>45869</v>
      </c>
      <c r="B5812" t="s">
        <v>2349</v>
      </c>
      <c r="C5812" t="s">
        <v>290</v>
      </c>
      <c r="D5812" s="61">
        <v>0</v>
      </c>
      <c r="E5812" s="61"/>
      <c r="F5812" s="61">
        <v>7280</v>
      </c>
      <c r="G5812" s="61">
        <v>22965.5</v>
      </c>
      <c r="H5812" s="61">
        <v>0</v>
      </c>
      <c r="I5812" s="61">
        <v>0</v>
      </c>
      <c r="J5812" s="61">
        <f t="shared" si="54"/>
        <v>30245.5</v>
      </c>
    </row>
    <row r="5813" spans="1:10" x14ac:dyDescent="0.25">
      <c r="A5813" s="20">
        <v>45869</v>
      </c>
      <c r="B5813" t="s">
        <v>2370</v>
      </c>
      <c r="C5813" t="s">
        <v>298</v>
      </c>
      <c r="D5813" s="61">
        <v>2114.7199999999998</v>
      </c>
      <c r="E5813" s="61"/>
      <c r="F5813" s="61">
        <v>0</v>
      </c>
      <c r="G5813" s="61">
        <v>0</v>
      </c>
      <c r="H5813" s="61">
        <v>0</v>
      </c>
      <c r="I5813" s="61">
        <v>0</v>
      </c>
      <c r="J5813" s="61">
        <f t="shared" si="54"/>
        <v>2114.7199999999998</v>
      </c>
    </row>
    <row r="5814" spans="1:10" x14ac:dyDescent="0.25">
      <c r="A5814" s="20">
        <v>45869</v>
      </c>
      <c r="B5814" t="s">
        <v>2371</v>
      </c>
      <c r="C5814" t="s">
        <v>589</v>
      </c>
      <c r="D5814" s="61">
        <v>1582.08</v>
      </c>
      <c r="E5814" s="61"/>
      <c r="F5814" s="61">
        <v>0</v>
      </c>
      <c r="G5814" s="61">
        <v>0</v>
      </c>
      <c r="H5814" s="61">
        <v>0</v>
      </c>
      <c r="I5814" s="61">
        <v>0</v>
      </c>
      <c r="J5814" s="61">
        <f t="shared" si="54"/>
        <v>1582.08</v>
      </c>
    </row>
    <row r="5815" spans="1:10" x14ac:dyDescent="0.25">
      <c r="A5815" s="20">
        <v>45869</v>
      </c>
      <c r="B5815" t="s">
        <v>2376</v>
      </c>
      <c r="C5815" t="s">
        <v>301</v>
      </c>
      <c r="D5815" s="61">
        <v>18060.849999999999</v>
      </c>
      <c r="E5815" s="61"/>
      <c r="F5815" s="61">
        <v>0</v>
      </c>
      <c r="G5815" s="61">
        <v>0</v>
      </c>
      <c r="H5815" s="61">
        <v>0</v>
      </c>
      <c r="I5815" s="61">
        <v>0</v>
      </c>
      <c r="J5815" s="61">
        <f t="shared" si="54"/>
        <v>18060.849999999999</v>
      </c>
    </row>
    <row r="5816" spans="1:10" x14ac:dyDescent="0.25">
      <c r="A5816" s="20">
        <v>45869</v>
      </c>
      <c r="B5816" t="s">
        <v>2389</v>
      </c>
      <c r="C5816" t="s">
        <v>571</v>
      </c>
      <c r="D5816" s="61">
        <v>0</v>
      </c>
      <c r="E5816" s="61"/>
      <c r="F5816" s="61">
        <v>0</v>
      </c>
      <c r="G5816" s="61">
        <v>96.96</v>
      </c>
      <c r="H5816" s="61">
        <v>0</v>
      </c>
      <c r="I5816" s="61">
        <v>-19694.63</v>
      </c>
      <c r="J5816" s="61">
        <f t="shared" si="54"/>
        <v>-19597.670000000002</v>
      </c>
    </row>
    <row r="5817" spans="1:10" x14ac:dyDescent="0.25">
      <c r="A5817" s="20">
        <v>45869</v>
      </c>
      <c r="B5817" t="s">
        <v>2390</v>
      </c>
      <c r="C5817" t="s">
        <v>303</v>
      </c>
      <c r="D5817" s="61">
        <v>0</v>
      </c>
      <c r="E5817" s="61"/>
      <c r="F5817" s="61">
        <v>0</v>
      </c>
      <c r="G5817" s="61">
        <v>1323</v>
      </c>
      <c r="H5817" s="61">
        <v>0</v>
      </c>
      <c r="I5817" s="61">
        <v>0</v>
      </c>
      <c r="J5817" s="61">
        <f t="shared" si="54"/>
        <v>1323</v>
      </c>
    </row>
    <row r="5818" spans="1:10" x14ac:dyDescent="0.25">
      <c r="A5818" s="20">
        <v>45869</v>
      </c>
      <c r="B5818" t="s">
        <v>2417</v>
      </c>
      <c r="C5818" t="s">
        <v>37</v>
      </c>
      <c r="D5818" s="61">
        <v>2037.44</v>
      </c>
      <c r="E5818" s="61"/>
      <c r="F5818" s="61">
        <v>518.79</v>
      </c>
      <c r="G5818" s="61">
        <v>4214.6499999999996</v>
      </c>
      <c r="H5818" s="61">
        <v>1394.73</v>
      </c>
      <c r="I5818" s="61">
        <v>11307.14</v>
      </c>
      <c r="J5818" s="61">
        <f t="shared" si="54"/>
        <v>19472.75</v>
      </c>
    </row>
    <row r="5819" spans="1:10" x14ac:dyDescent="0.25">
      <c r="A5819" s="20">
        <v>45869</v>
      </c>
      <c r="B5819" t="s">
        <v>2428</v>
      </c>
      <c r="C5819" t="s">
        <v>787</v>
      </c>
      <c r="D5819" s="61">
        <v>0</v>
      </c>
      <c r="E5819" s="61"/>
      <c r="F5819" s="61">
        <v>0</v>
      </c>
      <c r="G5819" s="61">
        <v>-13.23</v>
      </c>
      <c r="H5819" s="61">
        <v>0</v>
      </c>
      <c r="I5819" s="61">
        <v>0</v>
      </c>
      <c r="J5819" s="61">
        <f t="shared" si="54"/>
        <v>-13.23</v>
      </c>
    </row>
    <row r="5820" spans="1:10" x14ac:dyDescent="0.25">
      <c r="A5820" s="20">
        <v>45869</v>
      </c>
      <c r="B5820" t="s">
        <v>2435</v>
      </c>
      <c r="C5820" t="s">
        <v>46</v>
      </c>
      <c r="D5820" s="61">
        <v>8275</v>
      </c>
      <c r="E5820" s="61"/>
      <c r="F5820" s="61">
        <v>0</v>
      </c>
      <c r="G5820" s="61">
        <v>0</v>
      </c>
      <c r="H5820" s="61">
        <v>0</v>
      </c>
      <c r="I5820" s="61">
        <v>0</v>
      </c>
      <c r="J5820" s="61">
        <f t="shared" si="54"/>
        <v>8275</v>
      </c>
    </row>
    <row r="5821" spans="1:10" x14ac:dyDescent="0.25">
      <c r="A5821" s="20">
        <v>45869</v>
      </c>
      <c r="B5821" t="s">
        <v>2455</v>
      </c>
      <c r="C5821" t="s">
        <v>697</v>
      </c>
      <c r="D5821" s="61">
        <v>0</v>
      </c>
      <c r="E5821" s="61"/>
      <c r="F5821" s="61">
        <v>170.71</v>
      </c>
      <c r="G5821" s="61">
        <v>0</v>
      </c>
      <c r="H5821" s="61">
        <v>0</v>
      </c>
      <c r="I5821" s="61">
        <v>0</v>
      </c>
      <c r="J5821" s="61">
        <f t="shared" si="54"/>
        <v>170.71</v>
      </c>
    </row>
    <row r="5822" spans="1:10" x14ac:dyDescent="0.25">
      <c r="A5822" s="20">
        <v>45869</v>
      </c>
      <c r="B5822" t="s">
        <v>2490</v>
      </c>
      <c r="C5822" t="s">
        <v>49</v>
      </c>
      <c r="D5822" s="61">
        <v>336045.15</v>
      </c>
      <c r="E5822" s="61"/>
      <c r="F5822" s="61">
        <v>8278.7199999999993</v>
      </c>
      <c r="G5822" s="61">
        <v>3055.57</v>
      </c>
      <c r="H5822" s="61">
        <v>3588.1</v>
      </c>
      <c r="I5822" s="61">
        <v>41031.18</v>
      </c>
      <c r="J5822" s="61">
        <f t="shared" si="54"/>
        <v>391998.71999999997</v>
      </c>
    </row>
    <row r="5823" spans="1:10" x14ac:dyDescent="0.25">
      <c r="A5823" s="20">
        <v>45869</v>
      </c>
      <c r="B5823" t="s">
        <v>2496</v>
      </c>
      <c r="C5823" t="s">
        <v>50</v>
      </c>
      <c r="D5823" s="61">
        <v>239840.37</v>
      </c>
      <c r="E5823" s="61"/>
      <c r="F5823" s="61">
        <v>31878.92</v>
      </c>
      <c r="G5823" s="61">
        <v>3667.44</v>
      </c>
      <c r="H5823" s="61">
        <v>-207.44</v>
      </c>
      <c r="I5823" s="61">
        <v>3698.34</v>
      </c>
      <c r="J5823" s="61">
        <f t="shared" si="54"/>
        <v>278877.63</v>
      </c>
    </row>
    <row r="5824" spans="1:10" x14ac:dyDescent="0.25">
      <c r="A5824" s="20">
        <v>45869</v>
      </c>
      <c r="B5824" t="s">
        <v>2505</v>
      </c>
      <c r="C5824" t="s">
        <v>318</v>
      </c>
      <c r="D5824" s="61">
        <v>29756.47</v>
      </c>
      <c r="E5824" s="61"/>
      <c r="F5824" s="61">
        <v>0</v>
      </c>
      <c r="G5824" s="61">
        <v>0</v>
      </c>
      <c r="H5824" s="61">
        <v>0</v>
      </c>
      <c r="I5824" s="61">
        <v>0</v>
      </c>
      <c r="J5824" s="61">
        <f t="shared" si="54"/>
        <v>29756.47</v>
      </c>
    </row>
    <row r="5825" spans="1:10" x14ac:dyDescent="0.25">
      <c r="A5825" s="20">
        <v>45869</v>
      </c>
      <c r="B5825" t="s">
        <v>2530</v>
      </c>
      <c r="C5825" t="s">
        <v>321</v>
      </c>
      <c r="D5825" s="61">
        <v>890.53</v>
      </c>
      <c r="E5825" s="61"/>
      <c r="F5825" s="61">
        <v>0</v>
      </c>
      <c r="G5825" s="61">
        <v>0</v>
      </c>
      <c r="H5825" s="61">
        <v>-47.94</v>
      </c>
      <c r="I5825" s="61">
        <v>0</v>
      </c>
      <c r="J5825" s="61">
        <f t="shared" si="54"/>
        <v>842.58999999999992</v>
      </c>
    </row>
    <row r="5826" spans="1:10" x14ac:dyDescent="0.25">
      <c r="A5826" s="20">
        <v>45869</v>
      </c>
      <c r="B5826" t="s">
        <v>2531</v>
      </c>
      <c r="C5826" t="s">
        <v>606</v>
      </c>
      <c r="D5826" s="61">
        <v>20047.5</v>
      </c>
      <c r="E5826" s="61"/>
      <c r="F5826" s="61">
        <v>0</v>
      </c>
      <c r="G5826" s="61">
        <v>0</v>
      </c>
      <c r="H5826" s="61">
        <v>0</v>
      </c>
      <c r="I5826" s="61">
        <v>0</v>
      </c>
      <c r="J5826" s="61">
        <f t="shared" si="54"/>
        <v>20047.5</v>
      </c>
    </row>
    <row r="5827" spans="1:10" x14ac:dyDescent="0.25">
      <c r="A5827" s="20">
        <v>45869</v>
      </c>
      <c r="B5827" t="s">
        <v>2533</v>
      </c>
      <c r="C5827" t="s">
        <v>322</v>
      </c>
      <c r="D5827" s="61">
        <v>0</v>
      </c>
      <c r="E5827" s="61"/>
      <c r="F5827" s="61">
        <v>0</v>
      </c>
      <c r="G5827" s="61">
        <v>0</v>
      </c>
      <c r="H5827" s="61">
        <v>0</v>
      </c>
      <c r="I5827" s="61">
        <v>-348.81</v>
      </c>
      <c r="J5827" s="61">
        <f t="shared" si="54"/>
        <v>-348.81</v>
      </c>
    </row>
    <row r="5828" spans="1:10" x14ac:dyDescent="0.25">
      <c r="A5828" s="20">
        <v>45869</v>
      </c>
      <c r="B5828" t="s">
        <v>2540</v>
      </c>
      <c r="C5828" t="s">
        <v>700</v>
      </c>
      <c r="D5828" s="61">
        <v>0</v>
      </c>
      <c r="E5828" s="61"/>
      <c r="F5828" s="61">
        <v>340.83</v>
      </c>
      <c r="G5828" s="61">
        <v>0</v>
      </c>
      <c r="H5828" s="61">
        <v>0</v>
      </c>
      <c r="I5828" s="61">
        <v>0</v>
      </c>
      <c r="J5828" s="61">
        <f t="shared" si="54"/>
        <v>340.83</v>
      </c>
    </row>
    <row r="5829" spans="1:10" x14ac:dyDescent="0.25">
      <c r="A5829" s="20">
        <v>45869</v>
      </c>
      <c r="B5829" t="s">
        <v>2544</v>
      </c>
      <c r="C5829" t="s">
        <v>325</v>
      </c>
      <c r="D5829" s="61">
        <v>0</v>
      </c>
      <c r="E5829" s="61"/>
      <c r="F5829" s="61">
        <v>0</v>
      </c>
      <c r="G5829" s="61">
        <v>0</v>
      </c>
      <c r="H5829" s="61">
        <v>0</v>
      </c>
      <c r="I5829" s="61">
        <v>-421.28</v>
      </c>
      <c r="J5829" s="61">
        <f t="shared" si="54"/>
        <v>-421.28</v>
      </c>
    </row>
    <row r="5830" spans="1:10" x14ac:dyDescent="0.25">
      <c r="A5830" s="20">
        <v>45869</v>
      </c>
      <c r="B5830" t="s">
        <v>2548</v>
      </c>
      <c r="C5830" t="s">
        <v>524</v>
      </c>
      <c r="D5830" s="61">
        <v>11725</v>
      </c>
      <c r="E5830" s="61"/>
      <c r="F5830" s="61">
        <v>0</v>
      </c>
      <c r="G5830" s="61">
        <v>0</v>
      </c>
      <c r="H5830" s="61">
        <v>0</v>
      </c>
      <c r="I5830" s="61">
        <v>0</v>
      </c>
      <c r="J5830" s="61">
        <f t="shared" si="54"/>
        <v>11725</v>
      </c>
    </row>
    <row r="5831" spans="1:10" x14ac:dyDescent="0.25">
      <c r="A5831" s="20">
        <v>45869</v>
      </c>
      <c r="B5831" t="s">
        <v>2557</v>
      </c>
      <c r="C5831" t="s">
        <v>2558</v>
      </c>
      <c r="D5831" s="61">
        <v>2163.8200000000002</v>
      </c>
      <c r="E5831" s="61"/>
      <c r="F5831" s="61">
        <v>0</v>
      </c>
      <c r="G5831" s="61">
        <v>0</v>
      </c>
      <c r="H5831" s="61">
        <v>0</v>
      </c>
      <c r="I5831" s="61">
        <v>0</v>
      </c>
      <c r="J5831" s="61">
        <f t="shared" si="54"/>
        <v>2163.8200000000002</v>
      </c>
    </row>
    <row r="5832" spans="1:10" x14ac:dyDescent="0.25">
      <c r="A5832" s="20">
        <v>45869</v>
      </c>
      <c r="B5832" t="s">
        <v>2561</v>
      </c>
      <c r="C5832" t="s">
        <v>424</v>
      </c>
      <c r="D5832" s="61">
        <v>190</v>
      </c>
      <c r="E5832" s="61"/>
      <c r="F5832" s="61">
        <v>0</v>
      </c>
      <c r="G5832" s="61">
        <v>0</v>
      </c>
      <c r="H5832" s="61">
        <v>0</v>
      </c>
      <c r="I5832" s="61">
        <v>0</v>
      </c>
      <c r="J5832" s="61">
        <f t="shared" si="54"/>
        <v>190</v>
      </c>
    </row>
    <row r="5833" spans="1:10" x14ac:dyDescent="0.25">
      <c r="A5833" s="20">
        <v>45869</v>
      </c>
      <c r="B5833" t="s">
        <v>2577</v>
      </c>
      <c r="C5833" t="s">
        <v>525</v>
      </c>
      <c r="D5833" s="61">
        <v>10292</v>
      </c>
      <c r="E5833" s="61"/>
      <c r="F5833" s="61">
        <v>0</v>
      </c>
      <c r="G5833" s="61">
        <v>0</v>
      </c>
      <c r="H5833" s="61">
        <v>0</v>
      </c>
      <c r="I5833" s="61">
        <v>0</v>
      </c>
      <c r="J5833" s="61">
        <f t="shared" si="54"/>
        <v>10292</v>
      </c>
    </row>
    <row r="5834" spans="1:10" x14ac:dyDescent="0.25">
      <c r="A5834" s="20">
        <v>45869</v>
      </c>
      <c r="B5834" t="s">
        <v>2584</v>
      </c>
      <c r="C5834" t="s">
        <v>332</v>
      </c>
      <c r="D5834" s="61">
        <v>33060</v>
      </c>
      <c r="E5834" s="61"/>
      <c r="F5834" s="61">
        <v>0</v>
      </c>
      <c r="G5834" s="61">
        <v>0</v>
      </c>
      <c r="H5834" s="61">
        <v>0</v>
      </c>
      <c r="I5834" s="61">
        <v>0</v>
      </c>
      <c r="J5834" s="61">
        <f t="shared" si="54"/>
        <v>33060</v>
      </c>
    </row>
    <row r="5835" spans="1:10" x14ac:dyDescent="0.25">
      <c r="A5835" s="20">
        <v>45869</v>
      </c>
      <c r="B5835" t="s">
        <v>2590</v>
      </c>
      <c r="C5835" t="s">
        <v>703</v>
      </c>
      <c r="D5835" s="61">
        <v>1775.29</v>
      </c>
      <c r="E5835" s="61"/>
      <c r="F5835" s="61">
        <v>0</v>
      </c>
      <c r="G5835" s="61">
        <v>0</v>
      </c>
      <c r="H5835" s="61">
        <v>0</v>
      </c>
      <c r="I5835" s="61">
        <v>0</v>
      </c>
      <c r="J5835" s="61">
        <f t="shared" si="54"/>
        <v>1775.29</v>
      </c>
    </row>
    <row r="5836" spans="1:10" x14ac:dyDescent="0.25">
      <c r="A5836" s="20">
        <v>45869</v>
      </c>
      <c r="B5836" t="s">
        <v>2600</v>
      </c>
      <c r="C5836" t="s">
        <v>767</v>
      </c>
      <c r="D5836" s="61">
        <v>0</v>
      </c>
      <c r="E5836" s="61"/>
      <c r="F5836" s="61">
        <v>-354.65</v>
      </c>
      <c r="G5836" s="61">
        <v>-97.5</v>
      </c>
      <c r="H5836" s="61">
        <v>-29.26</v>
      </c>
      <c r="I5836" s="61">
        <v>0</v>
      </c>
      <c r="J5836" s="61">
        <f t="shared" ref="J5836:J5869" si="55">SUM(D5836:I5836)</f>
        <v>-481.40999999999997</v>
      </c>
    </row>
    <row r="5837" spans="1:10" x14ac:dyDescent="0.25">
      <c r="A5837" s="20">
        <v>45869</v>
      </c>
      <c r="B5837" t="s">
        <v>2601</v>
      </c>
      <c r="C5837" t="s">
        <v>337</v>
      </c>
      <c r="D5837" s="61">
        <v>14192</v>
      </c>
      <c r="E5837" s="61"/>
      <c r="F5837" s="61">
        <v>0</v>
      </c>
      <c r="G5837" s="61">
        <v>0</v>
      </c>
      <c r="H5837" s="61">
        <v>0</v>
      </c>
      <c r="I5837" s="61">
        <v>0</v>
      </c>
      <c r="J5837" s="61">
        <f t="shared" si="55"/>
        <v>14192</v>
      </c>
    </row>
    <row r="5838" spans="1:10" x14ac:dyDescent="0.25">
      <c r="A5838" s="20">
        <v>45869</v>
      </c>
      <c r="B5838" t="s">
        <v>2608</v>
      </c>
      <c r="C5838" t="s">
        <v>2609</v>
      </c>
      <c r="D5838" s="61">
        <v>30623.13</v>
      </c>
      <c r="E5838" s="61"/>
      <c r="F5838" s="61">
        <v>0</v>
      </c>
      <c r="G5838" s="61">
        <v>0</v>
      </c>
      <c r="H5838" s="61">
        <v>0</v>
      </c>
      <c r="I5838" s="61">
        <v>0</v>
      </c>
      <c r="J5838" s="61">
        <f t="shared" si="55"/>
        <v>30623.13</v>
      </c>
    </row>
    <row r="5839" spans="1:10" x14ac:dyDescent="0.25">
      <c r="A5839" s="20">
        <v>45869</v>
      </c>
      <c r="B5839" t="s">
        <v>2616</v>
      </c>
      <c r="C5839" t="s">
        <v>592</v>
      </c>
      <c r="D5839" s="61">
        <v>0</v>
      </c>
      <c r="E5839" s="61"/>
      <c r="F5839" s="61">
        <v>0</v>
      </c>
      <c r="G5839" s="61">
        <v>0</v>
      </c>
      <c r="H5839" s="61">
        <v>0</v>
      </c>
      <c r="I5839" s="61">
        <v>-85.32</v>
      </c>
      <c r="J5839" s="61">
        <f t="shared" si="55"/>
        <v>-85.32</v>
      </c>
    </row>
    <row r="5840" spans="1:10" x14ac:dyDescent="0.25">
      <c r="A5840" s="20">
        <v>45869</v>
      </c>
      <c r="B5840" t="s">
        <v>2623</v>
      </c>
      <c r="C5840" t="s">
        <v>530</v>
      </c>
      <c r="D5840" s="61">
        <v>968.2</v>
      </c>
      <c r="E5840" s="61"/>
      <c r="F5840" s="61">
        <v>0</v>
      </c>
      <c r="G5840" s="61">
        <v>0</v>
      </c>
      <c r="H5840" s="61">
        <v>0</v>
      </c>
      <c r="I5840" s="61">
        <v>0</v>
      </c>
      <c r="J5840" s="61">
        <f t="shared" si="55"/>
        <v>968.2</v>
      </c>
    </row>
    <row r="5841" spans="1:10" x14ac:dyDescent="0.25">
      <c r="A5841" s="20">
        <v>45869</v>
      </c>
      <c r="B5841" t="s">
        <v>2648</v>
      </c>
      <c r="C5841" t="s">
        <v>345</v>
      </c>
      <c r="D5841" s="61">
        <v>45246.9</v>
      </c>
      <c r="E5841" s="61"/>
      <c r="F5841" s="61">
        <v>1256</v>
      </c>
      <c r="G5841" s="61">
        <v>0</v>
      </c>
      <c r="H5841" s="61">
        <v>0</v>
      </c>
      <c r="I5841" s="61">
        <v>0</v>
      </c>
      <c r="J5841" s="61">
        <f t="shared" si="55"/>
        <v>46502.9</v>
      </c>
    </row>
    <row r="5842" spans="1:10" x14ac:dyDescent="0.25">
      <c r="A5842" s="20">
        <v>45869</v>
      </c>
      <c r="B5842" t="s">
        <v>2661</v>
      </c>
      <c r="C5842" t="s">
        <v>575</v>
      </c>
      <c r="D5842" s="61">
        <v>0</v>
      </c>
      <c r="E5842" s="61"/>
      <c r="F5842" s="61">
        <v>0</v>
      </c>
      <c r="G5842" s="61">
        <v>0</v>
      </c>
      <c r="H5842" s="61">
        <v>0</v>
      </c>
      <c r="I5842" s="61">
        <v>-536.64</v>
      </c>
      <c r="J5842" s="61">
        <f t="shared" si="55"/>
        <v>-536.64</v>
      </c>
    </row>
    <row r="5843" spans="1:10" x14ac:dyDescent="0.25">
      <c r="A5843" s="20">
        <v>45869</v>
      </c>
      <c r="B5843" t="s">
        <v>2689</v>
      </c>
      <c r="C5843" t="s">
        <v>9</v>
      </c>
      <c r="D5843" s="61">
        <v>38595.29</v>
      </c>
      <c r="E5843" s="61"/>
      <c r="F5843" s="61">
        <v>5957.55</v>
      </c>
      <c r="G5843" s="61">
        <v>637.20000000000005</v>
      </c>
      <c r="H5843" s="61">
        <v>0</v>
      </c>
      <c r="I5843" s="61">
        <v>0</v>
      </c>
      <c r="J5843" s="61">
        <f t="shared" si="55"/>
        <v>45190.04</v>
      </c>
    </row>
    <row r="5844" spans="1:10" x14ac:dyDescent="0.25">
      <c r="A5844" s="20">
        <v>45869</v>
      </c>
      <c r="B5844" t="s">
        <v>2690</v>
      </c>
      <c r="C5844" t="s">
        <v>706</v>
      </c>
      <c r="D5844" s="61">
        <v>0</v>
      </c>
      <c r="E5844" s="61"/>
      <c r="F5844" s="61">
        <v>0</v>
      </c>
      <c r="G5844" s="61">
        <v>0</v>
      </c>
      <c r="H5844" s="61">
        <v>14911.15</v>
      </c>
      <c r="I5844" s="61">
        <v>0</v>
      </c>
      <c r="J5844" s="61">
        <f t="shared" si="55"/>
        <v>14911.15</v>
      </c>
    </row>
    <row r="5845" spans="1:10" x14ac:dyDescent="0.25">
      <c r="A5845" s="20">
        <v>45869</v>
      </c>
      <c r="B5845" t="s">
        <v>2691</v>
      </c>
      <c r="C5845" t="s">
        <v>54</v>
      </c>
      <c r="D5845" s="61">
        <v>6536.39</v>
      </c>
      <c r="E5845" s="61"/>
      <c r="F5845" s="61">
        <v>33909.33</v>
      </c>
      <c r="G5845" s="61">
        <v>709.5</v>
      </c>
      <c r="H5845" s="61">
        <v>314.52999999999997</v>
      </c>
      <c r="I5845" s="61">
        <v>-100.66</v>
      </c>
      <c r="J5845" s="61">
        <f t="shared" si="55"/>
        <v>41369.089999999997</v>
      </c>
    </row>
    <row r="5846" spans="1:10" x14ac:dyDescent="0.25">
      <c r="A5846" s="20">
        <v>45869</v>
      </c>
      <c r="B5846" t="s">
        <v>2750</v>
      </c>
      <c r="C5846" t="s">
        <v>357</v>
      </c>
      <c r="D5846" s="61">
        <v>100</v>
      </c>
      <c r="E5846" s="61"/>
      <c r="F5846" s="61">
        <v>-519.53</v>
      </c>
      <c r="G5846" s="61">
        <v>0</v>
      </c>
      <c r="H5846" s="61">
        <v>0</v>
      </c>
      <c r="I5846" s="61">
        <v>0</v>
      </c>
      <c r="J5846" s="61">
        <f t="shared" si="55"/>
        <v>-419.53</v>
      </c>
    </row>
    <row r="5847" spans="1:10" x14ac:dyDescent="0.25">
      <c r="A5847" s="20">
        <v>45869</v>
      </c>
      <c r="B5847" t="s">
        <v>2776</v>
      </c>
      <c r="C5847" t="s">
        <v>432</v>
      </c>
      <c r="D5847" s="61">
        <v>0</v>
      </c>
      <c r="E5847" s="61"/>
      <c r="F5847" s="61">
        <v>0</v>
      </c>
      <c r="G5847" s="61">
        <v>0</v>
      </c>
      <c r="H5847" s="61">
        <v>-0.06</v>
      </c>
      <c r="I5847" s="61">
        <v>51.8</v>
      </c>
      <c r="J5847" s="61">
        <f t="shared" si="55"/>
        <v>51.739999999999995</v>
      </c>
    </row>
    <row r="5848" spans="1:10" x14ac:dyDescent="0.25">
      <c r="A5848" s="20">
        <v>45869</v>
      </c>
      <c r="B5848" t="s">
        <v>2782</v>
      </c>
      <c r="C5848" t="s">
        <v>363</v>
      </c>
      <c r="D5848" s="61">
        <v>0</v>
      </c>
      <c r="E5848" s="61"/>
      <c r="F5848" s="61">
        <v>-134.4</v>
      </c>
      <c r="G5848" s="61">
        <v>0</v>
      </c>
      <c r="H5848" s="61">
        <v>0</v>
      </c>
      <c r="I5848" s="61">
        <v>0</v>
      </c>
      <c r="J5848" s="61">
        <f t="shared" si="55"/>
        <v>-134.4</v>
      </c>
    </row>
    <row r="5849" spans="1:10" x14ac:dyDescent="0.25">
      <c r="A5849" s="20">
        <v>45869</v>
      </c>
      <c r="B5849" t="s">
        <v>2784</v>
      </c>
      <c r="C5849" t="s">
        <v>364</v>
      </c>
      <c r="D5849" s="61">
        <v>1238</v>
      </c>
      <c r="E5849" s="61"/>
      <c r="F5849" s="61">
        <v>0</v>
      </c>
      <c r="G5849" s="61">
        <v>0</v>
      </c>
      <c r="H5849" s="61">
        <v>0</v>
      </c>
      <c r="I5849" s="61">
        <v>0</v>
      </c>
      <c r="J5849" s="61">
        <f t="shared" si="55"/>
        <v>1238</v>
      </c>
    </row>
    <row r="5850" spans="1:10" x14ac:dyDescent="0.25">
      <c r="A5850" s="20">
        <v>45869</v>
      </c>
      <c r="B5850" t="s">
        <v>2802</v>
      </c>
      <c r="C5850" t="s">
        <v>365</v>
      </c>
      <c r="D5850" s="61">
        <v>27349.68</v>
      </c>
      <c r="E5850" s="61"/>
      <c r="F5850" s="61">
        <v>1302.4000000000001</v>
      </c>
      <c r="G5850" s="61">
        <v>3506.73</v>
      </c>
      <c r="H5850" s="61">
        <v>1750.5</v>
      </c>
      <c r="I5850" s="61">
        <v>-1449.53</v>
      </c>
      <c r="J5850" s="61">
        <f t="shared" si="55"/>
        <v>32459.78</v>
      </c>
    </row>
    <row r="5851" spans="1:10" x14ac:dyDescent="0.25">
      <c r="A5851" s="20">
        <v>45869</v>
      </c>
      <c r="B5851" t="s">
        <v>2809</v>
      </c>
      <c r="C5851" t="s">
        <v>593</v>
      </c>
      <c r="D5851" s="61">
        <v>0</v>
      </c>
      <c r="E5851" s="61"/>
      <c r="F5851" s="61">
        <v>0</v>
      </c>
      <c r="G5851" s="61">
        <v>0</v>
      </c>
      <c r="H5851" s="61">
        <v>0</v>
      </c>
      <c r="I5851" s="61">
        <v>-100</v>
      </c>
      <c r="J5851" s="61">
        <f t="shared" si="55"/>
        <v>-100</v>
      </c>
    </row>
    <row r="5852" spans="1:10" x14ac:dyDescent="0.25">
      <c r="A5852" s="20">
        <v>45869</v>
      </c>
      <c r="B5852" t="s">
        <v>2810</v>
      </c>
      <c r="C5852" t="s">
        <v>366</v>
      </c>
      <c r="D5852" s="61">
        <v>0</v>
      </c>
      <c r="E5852" s="61"/>
      <c r="F5852" s="61">
        <v>0</v>
      </c>
      <c r="G5852" s="61">
        <v>502.82</v>
      </c>
      <c r="H5852" s="61">
        <v>0</v>
      </c>
      <c r="I5852" s="61">
        <v>0</v>
      </c>
      <c r="J5852" s="61">
        <f t="shared" si="55"/>
        <v>502.82</v>
      </c>
    </row>
    <row r="5853" spans="1:10" x14ac:dyDescent="0.25">
      <c r="A5853" s="20">
        <v>45869</v>
      </c>
      <c r="B5853" t="s">
        <v>2817</v>
      </c>
      <c r="C5853" t="s">
        <v>974</v>
      </c>
      <c r="D5853" s="61">
        <v>0</v>
      </c>
      <c r="E5853" s="61"/>
      <c r="F5853" s="61">
        <v>-20.2</v>
      </c>
      <c r="G5853" s="61">
        <v>0</v>
      </c>
      <c r="H5853" s="61">
        <v>0</v>
      </c>
      <c r="I5853" s="61">
        <v>0</v>
      </c>
      <c r="J5853" s="61">
        <f t="shared" si="55"/>
        <v>-20.2</v>
      </c>
    </row>
    <row r="5854" spans="1:10" x14ac:dyDescent="0.25">
      <c r="A5854" s="20">
        <v>45869</v>
      </c>
      <c r="B5854" t="s">
        <v>2820</v>
      </c>
      <c r="C5854" t="s">
        <v>2821</v>
      </c>
      <c r="D5854" s="61">
        <v>0</v>
      </c>
      <c r="E5854" s="61"/>
      <c r="F5854" s="61">
        <v>-447.3</v>
      </c>
      <c r="G5854" s="61">
        <v>0</v>
      </c>
      <c r="H5854" s="61">
        <v>0</v>
      </c>
      <c r="I5854" s="61">
        <v>0</v>
      </c>
      <c r="J5854" s="61">
        <f t="shared" si="55"/>
        <v>-447.3</v>
      </c>
    </row>
    <row r="5855" spans="1:10" x14ac:dyDescent="0.25">
      <c r="A5855" s="20">
        <v>45869</v>
      </c>
      <c r="B5855" t="s">
        <v>2823</v>
      </c>
      <c r="C5855" t="s">
        <v>483</v>
      </c>
      <c r="D5855" s="61">
        <v>995.83</v>
      </c>
      <c r="E5855" s="61"/>
      <c r="F5855" s="61">
        <v>0</v>
      </c>
      <c r="G5855" s="61">
        <v>0</v>
      </c>
      <c r="H5855" s="61">
        <v>0</v>
      </c>
      <c r="I5855" s="61">
        <v>0</v>
      </c>
      <c r="J5855" s="61">
        <f t="shared" si="55"/>
        <v>995.83</v>
      </c>
    </row>
    <row r="5856" spans="1:10" x14ac:dyDescent="0.25">
      <c r="A5856" s="20">
        <v>45869</v>
      </c>
      <c r="B5856" t="s">
        <v>2832</v>
      </c>
      <c r="C5856" t="s">
        <v>536</v>
      </c>
      <c r="D5856" s="61">
        <v>91.91</v>
      </c>
      <c r="E5856" s="61"/>
      <c r="F5856" s="61">
        <v>0</v>
      </c>
      <c r="G5856" s="61">
        <v>0</v>
      </c>
      <c r="H5856" s="61">
        <v>0</v>
      </c>
      <c r="I5856" s="61">
        <v>0</v>
      </c>
      <c r="J5856" s="61">
        <f t="shared" si="55"/>
        <v>91.91</v>
      </c>
    </row>
    <row r="5857" spans="1:10" x14ac:dyDescent="0.25">
      <c r="A5857" s="20">
        <v>45869</v>
      </c>
      <c r="B5857" t="s">
        <v>2833</v>
      </c>
      <c r="C5857" t="s">
        <v>58</v>
      </c>
      <c r="D5857" s="61">
        <v>2339.4</v>
      </c>
      <c r="E5857" s="61"/>
      <c r="F5857" s="61">
        <v>0</v>
      </c>
      <c r="G5857" s="61">
        <v>0</v>
      </c>
      <c r="H5857" s="61">
        <v>0</v>
      </c>
      <c r="I5857" s="61">
        <v>0</v>
      </c>
      <c r="J5857" s="61">
        <f t="shared" si="55"/>
        <v>2339.4</v>
      </c>
    </row>
    <row r="5858" spans="1:10" x14ac:dyDescent="0.25">
      <c r="A5858" s="20">
        <v>45869</v>
      </c>
      <c r="B5858" t="s">
        <v>2898</v>
      </c>
      <c r="C5858" t="s">
        <v>2899</v>
      </c>
      <c r="D5858" s="61">
        <v>-723</v>
      </c>
      <c r="E5858" s="61"/>
      <c r="F5858" s="61">
        <v>0</v>
      </c>
      <c r="G5858" s="61">
        <v>0</v>
      </c>
      <c r="H5858" s="61">
        <v>0</v>
      </c>
      <c r="I5858" s="61">
        <v>0</v>
      </c>
      <c r="J5858" s="61">
        <f t="shared" si="55"/>
        <v>-723</v>
      </c>
    </row>
    <row r="5859" spans="1:10" x14ac:dyDescent="0.25">
      <c r="A5859" s="20">
        <v>45869</v>
      </c>
      <c r="B5859" t="s">
        <v>2938</v>
      </c>
      <c r="C5859" t="s">
        <v>791</v>
      </c>
      <c r="D5859" s="61">
        <v>0</v>
      </c>
      <c r="E5859" s="61"/>
      <c r="F5859" s="61">
        <v>0</v>
      </c>
      <c r="G5859" s="61">
        <v>0</v>
      </c>
      <c r="H5859" s="61">
        <v>-0.01</v>
      </c>
      <c r="I5859" s="61">
        <v>0</v>
      </c>
      <c r="J5859" s="61">
        <f t="shared" si="55"/>
        <v>-0.01</v>
      </c>
    </row>
    <row r="5860" spans="1:10" x14ac:dyDescent="0.25">
      <c r="A5860" s="20">
        <v>45869</v>
      </c>
      <c r="B5860" t="s">
        <v>2955</v>
      </c>
      <c r="C5860" t="s">
        <v>693</v>
      </c>
      <c r="D5860" s="61">
        <v>75167.72</v>
      </c>
      <c r="E5860" s="61"/>
      <c r="F5860" s="61">
        <v>0</v>
      </c>
      <c r="G5860" s="61">
        <v>0</v>
      </c>
      <c r="H5860" s="61">
        <v>0</v>
      </c>
      <c r="I5860" s="61">
        <v>0</v>
      </c>
      <c r="J5860" s="61">
        <f t="shared" si="55"/>
        <v>75167.72</v>
      </c>
    </row>
    <row r="5861" spans="1:10" x14ac:dyDescent="0.25">
      <c r="A5861" s="20">
        <v>45869</v>
      </c>
      <c r="B5861" t="s">
        <v>2958</v>
      </c>
      <c r="C5861" t="s">
        <v>561</v>
      </c>
      <c r="D5861" s="61">
        <v>344.76</v>
      </c>
      <c r="E5861" s="61"/>
      <c r="F5861" s="61">
        <v>1676.48</v>
      </c>
      <c r="G5861" s="61">
        <v>0</v>
      </c>
      <c r="H5861" s="61">
        <v>0</v>
      </c>
      <c r="I5861" s="61">
        <v>0</v>
      </c>
      <c r="J5861" s="61">
        <f t="shared" si="55"/>
        <v>2021.24</v>
      </c>
    </row>
    <row r="5862" spans="1:10" x14ac:dyDescent="0.25">
      <c r="A5862" s="20">
        <v>45869</v>
      </c>
      <c r="B5862" t="s">
        <v>2959</v>
      </c>
      <c r="C5862" t="s">
        <v>668</v>
      </c>
      <c r="D5862" s="61">
        <v>0</v>
      </c>
      <c r="E5862" s="61"/>
      <c r="F5862" s="61">
        <v>0</v>
      </c>
      <c r="G5862" s="61">
        <v>0</v>
      </c>
      <c r="H5862" s="61">
        <v>-24.18</v>
      </c>
      <c r="I5862" s="61">
        <v>0</v>
      </c>
      <c r="J5862" s="61">
        <f t="shared" si="55"/>
        <v>-24.18</v>
      </c>
    </row>
    <row r="5863" spans="1:10" x14ac:dyDescent="0.25">
      <c r="A5863" s="20">
        <v>45869</v>
      </c>
      <c r="B5863" t="s">
        <v>2960</v>
      </c>
      <c r="C5863" t="s">
        <v>538</v>
      </c>
      <c r="D5863" s="61">
        <v>1725.5</v>
      </c>
      <c r="E5863" s="61"/>
      <c r="F5863" s="61">
        <v>0</v>
      </c>
      <c r="G5863" s="61">
        <v>0</v>
      </c>
      <c r="H5863" s="61">
        <v>55.92</v>
      </c>
      <c r="I5863" s="61">
        <v>-370.57</v>
      </c>
      <c r="J5863" s="61">
        <f t="shared" si="55"/>
        <v>1410.8500000000001</v>
      </c>
    </row>
    <row r="5864" spans="1:10" x14ac:dyDescent="0.25">
      <c r="A5864" s="20">
        <v>45869</v>
      </c>
      <c r="B5864" t="s">
        <v>2963</v>
      </c>
      <c r="C5864" t="s">
        <v>565</v>
      </c>
      <c r="D5864" s="61">
        <v>30564</v>
      </c>
      <c r="E5864" s="61"/>
      <c r="F5864" s="61">
        <v>8825.7800000000007</v>
      </c>
      <c r="G5864" s="61">
        <v>0</v>
      </c>
      <c r="H5864" s="61">
        <v>0</v>
      </c>
      <c r="I5864" s="61">
        <v>-3804.52</v>
      </c>
      <c r="J5864" s="61">
        <f t="shared" si="55"/>
        <v>35585.26</v>
      </c>
    </row>
    <row r="5865" spans="1:10" x14ac:dyDescent="0.25">
      <c r="A5865" s="20">
        <v>45869</v>
      </c>
      <c r="B5865" t="s">
        <v>2968</v>
      </c>
      <c r="C5865" t="s">
        <v>520</v>
      </c>
      <c r="D5865" s="61">
        <v>661.88</v>
      </c>
      <c r="E5865" s="61"/>
      <c r="F5865" s="61">
        <v>0</v>
      </c>
      <c r="G5865" s="61">
        <v>0</v>
      </c>
      <c r="H5865" s="61">
        <v>0</v>
      </c>
      <c r="I5865" s="61">
        <v>-252</v>
      </c>
      <c r="J5865" s="61">
        <f t="shared" si="55"/>
        <v>409.88</v>
      </c>
    </row>
    <row r="5866" spans="1:10" x14ac:dyDescent="0.25">
      <c r="A5866" s="20">
        <v>45869</v>
      </c>
      <c r="B5866" t="s">
        <v>3023</v>
      </c>
      <c r="C5866" t="s">
        <v>3024</v>
      </c>
      <c r="D5866" s="61">
        <v>1134.1300000000001</v>
      </c>
      <c r="E5866" s="61"/>
      <c r="F5866" s="61">
        <v>0</v>
      </c>
      <c r="G5866" s="61">
        <v>0</v>
      </c>
      <c r="H5866" s="61">
        <v>0</v>
      </c>
      <c r="I5866" s="61">
        <v>0</v>
      </c>
      <c r="J5866" s="61">
        <f t="shared" si="55"/>
        <v>1134.1300000000001</v>
      </c>
    </row>
    <row r="5867" spans="1:10" x14ac:dyDescent="0.25">
      <c r="A5867" s="20">
        <v>45869</v>
      </c>
      <c r="B5867" t="s">
        <v>3027</v>
      </c>
      <c r="C5867" t="s">
        <v>3028</v>
      </c>
      <c r="D5867" s="61">
        <v>51786</v>
      </c>
      <c r="E5867" s="61"/>
      <c r="F5867" s="61">
        <v>4134</v>
      </c>
      <c r="G5867" s="61">
        <v>0</v>
      </c>
      <c r="H5867" s="61">
        <v>0</v>
      </c>
      <c r="I5867" s="61">
        <v>0</v>
      </c>
      <c r="J5867" s="61">
        <f t="shared" si="55"/>
        <v>55920</v>
      </c>
    </row>
    <row r="5868" spans="1:10" x14ac:dyDescent="0.25">
      <c r="A5868" s="20">
        <v>45869</v>
      </c>
      <c r="B5868" t="s">
        <v>3035</v>
      </c>
      <c r="C5868" t="s">
        <v>3036</v>
      </c>
      <c r="D5868" s="61">
        <v>0</v>
      </c>
      <c r="E5868" s="61"/>
      <c r="F5868" s="61">
        <v>40657.199999999997</v>
      </c>
      <c r="G5868" s="61">
        <v>0</v>
      </c>
      <c r="H5868" s="61">
        <v>0</v>
      </c>
      <c r="I5868" s="61">
        <v>0</v>
      </c>
      <c r="J5868" s="61">
        <f t="shared" si="55"/>
        <v>40657.199999999997</v>
      </c>
    </row>
    <row r="5869" spans="1:10" x14ac:dyDescent="0.25">
      <c r="A5869" s="20">
        <v>45869</v>
      </c>
      <c r="B5869" t="s">
        <v>12490</v>
      </c>
      <c r="C5869" t="s">
        <v>12491</v>
      </c>
      <c r="D5869" s="61">
        <v>260.19</v>
      </c>
      <c r="E5869" s="61"/>
      <c r="F5869" s="61">
        <v>0</v>
      </c>
      <c r="G5869" s="61">
        <v>0</v>
      </c>
      <c r="H5869" s="61">
        <v>0</v>
      </c>
      <c r="I5869" s="61">
        <v>0</v>
      </c>
      <c r="J5869" s="61">
        <f t="shared" si="55"/>
        <v>260.19</v>
      </c>
    </row>
    <row r="5870" spans="1:10" x14ac:dyDescent="0.25">
      <c r="A5870" s="73">
        <v>45900</v>
      </c>
      <c r="B5870" s="74" t="s">
        <v>976</v>
      </c>
      <c r="C5870" s="74" t="s">
        <v>64</v>
      </c>
      <c r="D5870" s="75">
        <v>56538.37</v>
      </c>
      <c r="E5870" s="74"/>
      <c r="F5870" s="75">
        <v>0</v>
      </c>
      <c r="G5870" s="75">
        <v>0</v>
      </c>
      <c r="H5870" s="75">
        <v>0</v>
      </c>
      <c r="I5870" s="75">
        <v>0</v>
      </c>
      <c r="J5870" s="75">
        <f t="shared" ref="J5870:J5933" si="56">SUM(D5870:I5870)</f>
        <v>56538.37</v>
      </c>
    </row>
    <row r="5871" spans="1:10" x14ac:dyDescent="0.25">
      <c r="A5871" s="20">
        <v>45900</v>
      </c>
      <c r="B5871" t="s">
        <v>977</v>
      </c>
      <c r="C5871" t="s">
        <v>87</v>
      </c>
      <c r="D5871" s="61">
        <v>19466.060000000001</v>
      </c>
      <c r="F5871" s="61">
        <v>0</v>
      </c>
      <c r="G5871" s="61">
        <v>0</v>
      </c>
      <c r="H5871" s="61">
        <v>0</v>
      </c>
      <c r="I5871" s="61">
        <v>-81.7</v>
      </c>
      <c r="J5871" s="61">
        <f t="shared" si="56"/>
        <v>19384.36</v>
      </c>
    </row>
    <row r="5872" spans="1:10" x14ac:dyDescent="0.25">
      <c r="A5872" s="20">
        <v>45900</v>
      </c>
      <c r="B5872" t="s">
        <v>980</v>
      </c>
      <c r="C5872" t="s">
        <v>90</v>
      </c>
      <c r="D5872" s="61">
        <v>44988</v>
      </c>
      <c r="F5872" s="61">
        <v>-10270.49</v>
      </c>
      <c r="G5872" s="61">
        <v>0</v>
      </c>
      <c r="H5872" s="61">
        <v>0</v>
      </c>
      <c r="I5872" s="61">
        <v>0</v>
      </c>
      <c r="J5872" s="61">
        <f t="shared" si="56"/>
        <v>34717.51</v>
      </c>
    </row>
    <row r="5873" spans="1:10" x14ac:dyDescent="0.25">
      <c r="A5873" s="20">
        <v>45900</v>
      </c>
      <c r="B5873" t="s">
        <v>981</v>
      </c>
      <c r="C5873" t="s">
        <v>17</v>
      </c>
      <c r="D5873" s="61">
        <v>33217.800000000003</v>
      </c>
      <c r="F5873" s="61">
        <v>0</v>
      </c>
      <c r="G5873" s="61">
        <v>0</v>
      </c>
      <c r="H5873" s="61">
        <v>0</v>
      </c>
      <c r="I5873" s="61">
        <v>0</v>
      </c>
      <c r="J5873" s="61">
        <f t="shared" si="56"/>
        <v>33217.800000000003</v>
      </c>
    </row>
    <row r="5874" spans="1:10" x14ac:dyDescent="0.25">
      <c r="A5874" s="20">
        <v>45900</v>
      </c>
      <c r="B5874" t="s">
        <v>987</v>
      </c>
      <c r="C5874" t="s">
        <v>121</v>
      </c>
      <c r="D5874" s="61">
        <v>0</v>
      </c>
      <c r="F5874" s="61">
        <v>0</v>
      </c>
      <c r="G5874" s="61">
        <v>344.83</v>
      </c>
      <c r="H5874" s="61">
        <v>589.86</v>
      </c>
      <c r="I5874" s="61">
        <v>3091.68</v>
      </c>
      <c r="J5874" s="61">
        <f t="shared" si="56"/>
        <v>4026.37</v>
      </c>
    </row>
    <row r="5875" spans="1:10" x14ac:dyDescent="0.25">
      <c r="A5875" s="20">
        <v>45900</v>
      </c>
      <c r="B5875" t="s">
        <v>991</v>
      </c>
      <c r="C5875" t="s">
        <v>141</v>
      </c>
      <c r="D5875" s="61">
        <v>-3290.27</v>
      </c>
      <c r="F5875" s="61">
        <v>5355</v>
      </c>
      <c r="G5875" s="61">
        <v>0</v>
      </c>
      <c r="H5875" s="61">
        <v>0</v>
      </c>
      <c r="I5875" s="61">
        <v>0</v>
      </c>
      <c r="J5875" s="61">
        <f t="shared" si="56"/>
        <v>2064.73</v>
      </c>
    </row>
    <row r="5876" spans="1:10" x14ac:dyDescent="0.25">
      <c r="A5876" s="20">
        <v>45900</v>
      </c>
      <c r="B5876" t="s">
        <v>998</v>
      </c>
      <c r="C5876" t="s">
        <v>21</v>
      </c>
      <c r="D5876" s="61">
        <v>0</v>
      </c>
      <c r="F5876" s="61">
        <v>0</v>
      </c>
      <c r="G5876" s="61">
        <v>15608.74</v>
      </c>
      <c r="H5876" s="61">
        <v>21732.5</v>
      </c>
      <c r="I5876" s="61">
        <v>21588.880000000001</v>
      </c>
      <c r="J5876" s="61">
        <f t="shared" si="56"/>
        <v>58930.119999999995</v>
      </c>
    </row>
    <row r="5877" spans="1:10" x14ac:dyDescent="0.25">
      <c r="A5877" s="20">
        <v>45900</v>
      </c>
      <c r="B5877" t="s">
        <v>999</v>
      </c>
      <c r="C5877" t="s">
        <v>172</v>
      </c>
      <c r="D5877" s="61">
        <v>17288.39</v>
      </c>
      <c r="F5877" s="61">
        <v>0</v>
      </c>
      <c r="G5877" s="61">
        <v>0</v>
      </c>
      <c r="H5877" s="61">
        <v>0</v>
      </c>
      <c r="I5877" s="61">
        <v>0</v>
      </c>
      <c r="J5877" s="61">
        <f t="shared" si="56"/>
        <v>17288.39</v>
      </c>
    </row>
    <row r="5878" spans="1:10" x14ac:dyDescent="0.25">
      <c r="A5878" s="20">
        <v>45900</v>
      </c>
      <c r="B5878" t="s">
        <v>1000</v>
      </c>
      <c r="C5878" t="s">
        <v>174</v>
      </c>
      <c r="D5878" s="61">
        <v>0</v>
      </c>
      <c r="F5878" s="61">
        <v>0</v>
      </c>
      <c r="G5878" s="61">
        <v>0</v>
      </c>
      <c r="H5878" s="61">
        <v>-946.26</v>
      </c>
      <c r="I5878" s="61">
        <v>-896.09</v>
      </c>
      <c r="J5878" s="61">
        <f t="shared" si="56"/>
        <v>-1842.35</v>
      </c>
    </row>
    <row r="5879" spans="1:10" x14ac:dyDescent="0.25">
      <c r="A5879" s="20">
        <v>45900</v>
      </c>
      <c r="B5879" t="s">
        <v>1001</v>
      </c>
      <c r="C5879" t="s">
        <v>180</v>
      </c>
      <c r="D5879" s="61">
        <v>814.5</v>
      </c>
      <c r="F5879" s="61">
        <v>0</v>
      </c>
      <c r="G5879" s="61">
        <v>0</v>
      </c>
      <c r="H5879" s="61">
        <v>0</v>
      </c>
      <c r="I5879" s="61">
        <v>0</v>
      </c>
      <c r="J5879" s="61">
        <f t="shared" si="56"/>
        <v>814.5</v>
      </c>
    </row>
    <row r="5880" spans="1:10" x14ac:dyDescent="0.25">
      <c r="A5880" s="20">
        <v>45900</v>
      </c>
      <c r="B5880" t="s">
        <v>1006</v>
      </c>
      <c r="C5880" t="s">
        <v>26</v>
      </c>
      <c r="D5880" s="61">
        <v>271.2</v>
      </c>
      <c r="F5880" s="61">
        <v>-19.25</v>
      </c>
      <c r="G5880" s="61">
        <v>795.2</v>
      </c>
      <c r="H5880" s="61">
        <v>815.29</v>
      </c>
      <c r="I5880" s="61">
        <v>0</v>
      </c>
      <c r="J5880" s="61">
        <f t="shared" si="56"/>
        <v>1862.44</v>
      </c>
    </row>
    <row r="5881" spans="1:10" x14ac:dyDescent="0.25">
      <c r="A5881" s="20">
        <v>45900</v>
      </c>
      <c r="B5881" t="s">
        <v>1013</v>
      </c>
      <c r="C5881" t="s">
        <v>210</v>
      </c>
      <c r="D5881" s="61">
        <v>117854.48</v>
      </c>
      <c r="F5881" s="61">
        <v>7772.45</v>
      </c>
      <c r="G5881" s="61">
        <v>3643.91</v>
      </c>
      <c r="H5881" s="61">
        <v>0</v>
      </c>
      <c r="I5881" s="61">
        <v>0</v>
      </c>
      <c r="J5881" s="61">
        <f t="shared" si="56"/>
        <v>129270.84</v>
      </c>
    </row>
    <row r="5882" spans="1:10" x14ac:dyDescent="0.25">
      <c r="A5882" s="20">
        <v>45900</v>
      </c>
      <c r="B5882" t="s">
        <v>1022</v>
      </c>
      <c r="C5882" t="s">
        <v>687</v>
      </c>
      <c r="D5882" s="61">
        <v>746.87</v>
      </c>
      <c r="F5882" s="61">
        <v>0</v>
      </c>
      <c r="G5882" s="61">
        <v>0</v>
      </c>
      <c r="H5882" s="61">
        <v>0</v>
      </c>
      <c r="I5882" s="61">
        <v>-1836.95</v>
      </c>
      <c r="J5882" s="61">
        <f t="shared" si="56"/>
        <v>-1090.08</v>
      </c>
    </row>
    <row r="5883" spans="1:10" x14ac:dyDescent="0.25">
      <c r="A5883" s="20">
        <v>45900</v>
      </c>
      <c r="B5883" t="s">
        <v>1023</v>
      </c>
      <c r="C5883" t="s">
        <v>264</v>
      </c>
      <c r="D5883" s="61">
        <v>0</v>
      </c>
      <c r="F5883" s="61">
        <v>0</v>
      </c>
      <c r="G5883" s="61">
        <v>0</v>
      </c>
      <c r="H5883" s="61">
        <v>-1820.63</v>
      </c>
      <c r="I5883" s="61">
        <v>0</v>
      </c>
      <c r="J5883" s="61">
        <f t="shared" si="56"/>
        <v>-1820.63</v>
      </c>
    </row>
    <row r="5884" spans="1:10" x14ac:dyDescent="0.25">
      <c r="A5884" s="20">
        <v>45900</v>
      </c>
      <c r="B5884" t="s">
        <v>1024</v>
      </c>
      <c r="C5884" t="s">
        <v>265</v>
      </c>
      <c r="D5884" s="61">
        <v>4734.0600000000004</v>
      </c>
      <c r="F5884" s="61">
        <v>0</v>
      </c>
      <c r="G5884" s="61">
        <v>0</v>
      </c>
      <c r="H5884" s="61">
        <v>0</v>
      </c>
      <c r="I5884" s="61">
        <v>0</v>
      </c>
      <c r="J5884" s="61">
        <f t="shared" si="56"/>
        <v>4734.0600000000004</v>
      </c>
    </row>
    <row r="5885" spans="1:10" x14ac:dyDescent="0.25">
      <c r="A5885" s="20">
        <v>45900</v>
      </c>
      <c r="B5885" t="s">
        <v>1031</v>
      </c>
      <c r="C5885" t="s">
        <v>280</v>
      </c>
      <c r="D5885" s="61">
        <v>-405.12</v>
      </c>
      <c r="F5885" s="61">
        <v>-2850.43</v>
      </c>
      <c r="G5885" s="61">
        <v>-41.77</v>
      </c>
      <c r="H5885" s="61">
        <v>0</v>
      </c>
      <c r="I5885" s="61">
        <v>0</v>
      </c>
      <c r="J5885" s="61">
        <f t="shared" si="56"/>
        <v>-3297.3199999999997</v>
      </c>
    </row>
    <row r="5886" spans="1:10" x14ac:dyDescent="0.25">
      <c r="A5886" s="20">
        <v>45900</v>
      </c>
      <c r="B5886" t="s">
        <v>1032</v>
      </c>
      <c r="C5886" t="s">
        <v>35</v>
      </c>
      <c r="D5886" s="61">
        <v>17471.53</v>
      </c>
      <c r="F5886" s="61">
        <v>0</v>
      </c>
      <c r="G5886" s="61">
        <v>0</v>
      </c>
      <c r="H5886" s="61">
        <v>0</v>
      </c>
      <c r="I5886" s="61">
        <v>0</v>
      </c>
      <c r="J5886" s="61">
        <f t="shared" si="56"/>
        <v>17471.53</v>
      </c>
    </row>
    <row r="5887" spans="1:10" x14ac:dyDescent="0.25">
      <c r="A5887" s="20">
        <v>45900</v>
      </c>
      <c r="B5887" t="s">
        <v>1034</v>
      </c>
      <c r="C5887" t="s">
        <v>283</v>
      </c>
      <c r="D5887" s="61">
        <v>0</v>
      </c>
      <c r="F5887" s="61">
        <v>-36.53</v>
      </c>
      <c r="G5887" s="61">
        <v>0</v>
      </c>
      <c r="H5887" s="61">
        <v>0</v>
      </c>
      <c r="I5887" s="61">
        <v>0</v>
      </c>
      <c r="J5887" s="61">
        <f t="shared" si="56"/>
        <v>-36.53</v>
      </c>
    </row>
    <row r="5888" spans="1:10" x14ac:dyDescent="0.25">
      <c r="A5888" s="20">
        <v>45900</v>
      </c>
      <c r="B5888" t="s">
        <v>1037</v>
      </c>
      <c r="C5888" t="s">
        <v>567</v>
      </c>
      <c r="D5888" s="61">
        <v>0</v>
      </c>
      <c r="F5888" s="61">
        <v>0</v>
      </c>
      <c r="G5888" s="61">
        <v>0</v>
      </c>
      <c r="H5888" s="61">
        <v>0</v>
      </c>
      <c r="I5888" s="61">
        <v>-12463.9</v>
      </c>
      <c r="J5888" s="61">
        <f t="shared" si="56"/>
        <v>-12463.9</v>
      </c>
    </row>
    <row r="5889" spans="1:10" x14ac:dyDescent="0.25">
      <c r="A5889" s="20">
        <v>45900</v>
      </c>
      <c r="B5889" t="s">
        <v>1038</v>
      </c>
      <c r="C5889" t="s">
        <v>289</v>
      </c>
      <c r="D5889" s="61">
        <v>9548.5</v>
      </c>
      <c r="F5889" s="61">
        <v>0</v>
      </c>
      <c r="G5889" s="61">
        <v>0</v>
      </c>
      <c r="H5889" s="61">
        <v>0</v>
      </c>
      <c r="I5889" s="61">
        <v>0</v>
      </c>
      <c r="J5889" s="61">
        <f t="shared" si="56"/>
        <v>9548.5</v>
      </c>
    </row>
    <row r="5890" spans="1:10" x14ac:dyDescent="0.25">
      <c r="A5890" s="20">
        <v>45900</v>
      </c>
      <c r="B5890" t="s">
        <v>1039</v>
      </c>
      <c r="C5890" t="s">
        <v>291</v>
      </c>
      <c r="D5890" s="61">
        <v>44467.76</v>
      </c>
      <c r="F5890" s="61">
        <v>0</v>
      </c>
      <c r="G5890" s="61">
        <v>0</v>
      </c>
      <c r="H5890" s="61">
        <v>0</v>
      </c>
      <c r="I5890" s="61">
        <v>0</v>
      </c>
      <c r="J5890" s="61">
        <f t="shared" si="56"/>
        <v>44467.76</v>
      </c>
    </row>
    <row r="5891" spans="1:10" x14ac:dyDescent="0.25">
      <c r="A5891" s="20">
        <v>45900</v>
      </c>
      <c r="B5891" t="s">
        <v>1040</v>
      </c>
      <c r="C5891" t="s">
        <v>299</v>
      </c>
      <c r="D5891" s="61">
        <v>1301.58</v>
      </c>
      <c r="F5891" s="61">
        <v>0</v>
      </c>
      <c r="G5891" s="61">
        <v>0</v>
      </c>
      <c r="H5891" s="61">
        <v>0</v>
      </c>
      <c r="I5891" s="61">
        <v>0</v>
      </c>
      <c r="J5891" s="61">
        <f t="shared" si="56"/>
        <v>1301.58</v>
      </c>
    </row>
    <row r="5892" spans="1:10" x14ac:dyDescent="0.25">
      <c r="A5892" s="20">
        <v>45900</v>
      </c>
      <c r="B5892" t="s">
        <v>1042</v>
      </c>
      <c r="C5892" t="s">
        <v>302</v>
      </c>
      <c r="D5892" s="61">
        <v>137128.53</v>
      </c>
      <c r="F5892" s="61">
        <v>-99.5</v>
      </c>
      <c r="G5892" s="61">
        <v>1454.69</v>
      </c>
      <c r="H5892" s="61">
        <v>0</v>
      </c>
      <c r="I5892" s="61">
        <v>0</v>
      </c>
      <c r="J5892" s="61">
        <f t="shared" si="56"/>
        <v>138483.72</v>
      </c>
    </row>
    <row r="5893" spans="1:10" x14ac:dyDescent="0.25">
      <c r="A5893" s="20">
        <v>45900</v>
      </c>
      <c r="B5893" t="s">
        <v>1051</v>
      </c>
      <c r="C5893" t="s">
        <v>51</v>
      </c>
      <c r="D5893" s="61">
        <v>11304.36</v>
      </c>
      <c r="F5893" s="61">
        <v>0</v>
      </c>
      <c r="G5893" s="61">
        <v>0</v>
      </c>
      <c r="H5893" s="61">
        <v>0</v>
      </c>
      <c r="I5893" s="61">
        <v>0</v>
      </c>
      <c r="J5893" s="61">
        <f t="shared" si="56"/>
        <v>11304.36</v>
      </c>
    </row>
    <row r="5894" spans="1:10" x14ac:dyDescent="0.25">
      <c r="A5894" s="20">
        <v>45900</v>
      </c>
      <c r="B5894" t="s">
        <v>1061</v>
      </c>
      <c r="C5894" t="s">
        <v>327</v>
      </c>
      <c r="D5894" s="61">
        <v>7401.28</v>
      </c>
      <c r="F5894" s="61">
        <v>0</v>
      </c>
      <c r="G5894" s="61">
        <v>0</v>
      </c>
      <c r="H5894" s="61">
        <v>0</v>
      </c>
      <c r="I5894" s="61">
        <v>0</v>
      </c>
      <c r="J5894" s="61">
        <f t="shared" si="56"/>
        <v>7401.28</v>
      </c>
    </row>
    <row r="5895" spans="1:10" x14ac:dyDescent="0.25">
      <c r="A5895" s="20">
        <v>45900</v>
      </c>
      <c r="B5895" t="s">
        <v>1065</v>
      </c>
      <c r="C5895" t="s">
        <v>340</v>
      </c>
      <c r="D5895" s="61">
        <v>1010</v>
      </c>
      <c r="F5895" s="61">
        <v>0</v>
      </c>
      <c r="G5895" s="61">
        <v>0</v>
      </c>
      <c r="H5895" s="61">
        <v>0</v>
      </c>
      <c r="I5895" s="61">
        <v>0</v>
      </c>
      <c r="J5895" s="61">
        <f t="shared" si="56"/>
        <v>1010</v>
      </c>
    </row>
    <row r="5896" spans="1:10" x14ac:dyDescent="0.25">
      <c r="A5896" s="20">
        <v>45900</v>
      </c>
      <c r="B5896" t="s">
        <v>1071</v>
      </c>
      <c r="C5896" t="s">
        <v>349</v>
      </c>
      <c r="D5896" s="61">
        <v>18686</v>
      </c>
      <c r="F5896" s="61">
        <v>0</v>
      </c>
      <c r="G5896" s="61">
        <v>0</v>
      </c>
      <c r="H5896" s="61">
        <v>0</v>
      </c>
      <c r="I5896" s="61">
        <v>0</v>
      </c>
      <c r="J5896" s="61">
        <f t="shared" si="56"/>
        <v>18686</v>
      </c>
    </row>
    <row r="5897" spans="1:10" x14ac:dyDescent="0.25">
      <c r="A5897" s="20">
        <v>45900</v>
      </c>
      <c r="B5897" t="s">
        <v>1078</v>
      </c>
      <c r="C5897" t="s">
        <v>55</v>
      </c>
      <c r="D5897" s="61">
        <v>6273.26</v>
      </c>
      <c r="F5897" s="61">
        <v>0</v>
      </c>
      <c r="G5897" s="61">
        <v>0</v>
      </c>
      <c r="H5897" s="61">
        <v>0</v>
      </c>
      <c r="I5897" s="61">
        <v>0</v>
      </c>
      <c r="J5897" s="61">
        <f t="shared" si="56"/>
        <v>6273.26</v>
      </c>
    </row>
    <row r="5898" spans="1:10" x14ac:dyDescent="0.25">
      <c r="A5898" s="20">
        <v>45900</v>
      </c>
      <c r="B5898" t="s">
        <v>1081</v>
      </c>
      <c r="C5898" t="s">
        <v>533</v>
      </c>
      <c r="D5898" s="61">
        <v>0</v>
      </c>
      <c r="F5898" s="61">
        <v>0</v>
      </c>
      <c r="G5898" s="61">
        <v>0</v>
      </c>
      <c r="H5898" s="61">
        <v>0</v>
      </c>
      <c r="I5898" s="61">
        <v>-93.6</v>
      </c>
      <c r="J5898" s="61">
        <f t="shared" si="56"/>
        <v>-93.6</v>
      </c>
    </row>
    <row r="5899" spans="1:10" x14ac:dyDescent="0.25">
      <c r="A5899" s="20">
        <v>45900</v>
      </c>
      <c r="B5899" t="s">
        <v>1082</v>
      </c>
      <c r="C5899" t="s">
        <v>431</v>
      </c>
      <c r="D5899" s="61">
        <v>2703.53</v>
      </c>
      <c r="F5899" s="61">
        <v>0</v>
      </c>
      <c r="G5899" s="61">
        <v>0</v>
      </c>
      <c r="H5899" s="61">
        <v>0</v>
      </c>
      <c r="I5899" s="61">
        <v>-257.54000000000002</v>
      </c>
      <c r="J5899" s="61">
        <f t="shared" si="56"/>
        <v>2445.9900000000002</v>
      </c>
    </row>
    <row r="5900" spans="1:10" x14ac:dyDescent="0.25">
      <c r="A5900" s="20">
        <v>45900</v>
      </c>
      <c r="B5900" t="s">
        <v>1090</v>
      </c>
      <c r="C5900" t="s">
        <v>1091</v>
      </c>
      <c r="D5900" s="61">
        <v>6663.67</v>
      </c>
      <c r="F5900" s="61">
        <v>0</v>
      </c>
      <c r="G5900" s="61">
        <v>0</v>
      </c>
      <c r="H5900" s="61">
        <v>0</v>
      </c>
      <c r="I5900" s="61">
        <v>2322.9</v>
      </c>
      <c r="J5900" s="61">
        <f t="shared" si="56"/>
        <v>8986.57</v>
      </c>
    </row>
    <row r="5901" spans="1:10" x14ac:dyDescent="0.25">
      <c r="A5901" s="20">
        <v>45900</v>
      </c>
      <c r="B5901" t="s">
        <v>1092</v>
      </c>
      <c r="C5901" t="s">
        <v>369</v>
      </c>
      <c r="D5901" s="61">
        <v>0</v>
      </c>
      <c r="F5901" s="61">
        <v>0</v>
      </c>
      <c r="G5901" s="61">
        <v>0</v>
      </c>
      <c r="H5901" s="61">
        <v>0</v>
      </c>
      <c r="I5901" s="61">
        <v>-891</v>
      </c>
      <c r="J5901" s="61">
        <f t="shared" si="56"/>
        <v>-891</v>
      </c>
    </row>
    <row r="5902" spans="1:10" x14ac:dyDescent="0.25">
      <c r="A5902" s="20">
        <v>45900</v>
      </c>
      <c r="B5902" t="s">
        <v>1096</v>
      </c>
      <c r="C5902" t="s">
        <v>586</v>
      </c>
      <c r="D5902" s="61">
        <v>0</v>
      </c>
      <c r="F5902" s="61">
        <v>0</v>
      </c>
      <c r="G5902" s="61">
        <v>0</v>
      </c>
      <c r="H5902" s="61">
        <v>0</v>
      </c>
      <c r="I5902" s="61">
        <v>-646.09</v>
      </c>
      <c r="J5902" s="61">
        <f t="shared" si="56"/>
        <v>-646.09</v>
      </c>
    </row>
    <row r="5903" spans="1:10" x14ac:dyDescent="0.25">
      <c r="A5903" s="20">
        <v>45900</v>
      </c>
      <c r="B5903" t="s">
        <v>1104</v>
      </c>
      <c r="C5903" t="s">
        <v>1105</v>
      </c>
      <c r="D5903" s="61">
        <v>8035.66</v>
      </c>
      <c r="F5903" s="61">
        <v>0</v>
      </c>
      <c r="G5903" s="61">
        <v>0</v>
      </c>
      <c r="H5903" s="61">
        <v>0</v>
      </c>
      <c r="I5903" s="61">
        <v>0</v>
      </c>
      <c r="J5903" s="61">
        <f t="shared" si="56"/>
        <v>8035.66</v>
      </c>
    </row>
    <row r="5904" spans="1:10" x14ac:dyDescent="0.25">
      <c r="A5904" s="20">
        <v>45900</v>
      </c>
      <c r="B5904" t="s">
        <v>1106</v>
      </c>
      <c r="C5904" t="s">
        <v>1107</v>
      </c>
      <c r="D5904" s="61">
        <v>9481.06</v>
      </c>
      <c r="F5904" s="61">
        <v>0</v>
      </c>
      <c r="G5904" s="61">
        <v>0</v>
      </c>
      <c r="H5904" s="61">
        <v>0</v>
      </c>
      <c r="I5904" s="61">
        <v>0</v>
      </c>
      <c r="J5904" s="61">
        <f t="shared" si="56"/>
        <v>9481.06</v>
      </c>
    </row>
    <row r="5905" spans="1:10" x14ac:dyDescent="0.25">
      <c r="A5905" s="20">
        <v>45900</v>
      </c>
      <c r="B5905" t="s">
        <v>1132</v>
      </c>
      <c r="C5905" t="s">
        <v>10</v>
      </c>
      <c r="D5905" s="61">
        <v>59291.96</v>
      </c>
      <c r="F5905" s="61">
        <v>14880</v>
      </c>
      <c r="G5905" s="61">
        <v>0</v>
      </c>
      <c r="H5905" s="61">
        <v>0</v>
      </c>
      <c r="I5905" s="61">
        <v>0</v>
      </c>
      <c r="J5905" s="61">
        <f t="shared" si="56"/>
        <v>74171.959999999992</v>
      </c>
    </row>
    <row r="5906" spans="1:10" x14ac:dyDescent="0.25">
      <c r="A5906" s="20">
        <v>45900</v>
      </c>
      <c r="B5906" t="s">
        <v>1137</v>
      </c>
      <c r="C5906" t="s">
        <v>435</v>
      </c>
      <c r="D5906" s="61">
        <v>198</v>
      </c>
      <c r="F5906" s="61">
        <v>-51.69</v>
      </c>
      <c r="G5906" s="61">
        <v>0</v>
      </c>
      <c r="H5906" s="61">
        <v>0</v>
      </c>
      <c r="I5906" s="61">
        <v>0</v>
      </c>
      <c r="J5906" s="61">
        <f t="shared" si="56"/>
        <v>146.31</v>
      </c>
    </row>
    <row r="5907" spans="1:10" x14ac:dyDescent="0.25">
      <c r="A5907" s="20">
        <v>45900</v>
      </c>
      <c r="B5907" t="s">
        <v>1163</v>
      </c>
      <c r="C5907" t="s">
        <v>375</v>
      </c>
      <c r="D5907" s="61">
        <v>0</v>
      </c>
      <c r="F5907" s="61">
        <v>0</v>
      </c>
      <c r="G5907" s="61">
        <v>0</v>
      </c>
      <c r="H5907" s="61">
        <v>-3</v>
      </c>
      <c r="I5907" s="61">
        <v>0</v>
      </c>
      <c r="J5907" s="61">
        <f t="shared" si="56"/>
        <v>-3</v>
      </c>
    </row>
    <row r="5908" spans="1:10" x14ac:dyDescent="0.25">
      <c r="A5908" s="20">
        <v>45900</v>
      </c>
      <c r="B5908" t="s">
        <v>1164</v>
      </c>
      <c r="C5908" t="s">
        <v>63</v>
      </c>
      <c r="D5908" s="61">
        <v>1517.92</v>
      </c>
      <c r="F5908" s="61">
        <v>0</v>
      </c>
      <c r="G5908" s="61">
        <v>0</v>
      </c>
      <c r="H5908" s="61">
        <v>0</v>
      </c>
      <c r="I5908" s="61">
        <v>0</v>
      </c>
      <c r="J5908" s="61">
        <f t="shared" si="56"/>
        <v>1517.92</v>
      </c>
    </row>
    <row r="5909" spans="1:10" x14ac:dyDescent="0.25">
      <c r="A5909" s="20">
        <v>45900</v>
      </c>
      <c r="B5909" t="s">
        <v>1165</v>
      </c>
      <c r="C5909" t="s">
        <v>11</v>
      </c>
      <c r="D5909" s="61">
        <v>95063.83</v>
      </c>
      <c r="F5909" s="61">
        <v>572.96</v>
      </c>
      <c r="G5909" s="61">
        <v>4936.4399999999996</v>
      </c>
      <c r="H5909" s="61">
        <v>0</v>
      </c>
      <c r="I5909" s="61">
        <v>1179.78</v>
      </c>
      <c r="J5909" s="61">
        <f t="shared" si="56"/>
        <v>101753.01000000001</v>
      </c>
    </row>
    <row r="5910" spans="1:10" x14ac:dyDescent="0.25">
      <c r="A5910" s="20">
        <v>45900</v>
      </c>
      <c r="B5910" t="s">
        <v>1178</v>
      </c>
      <c r="C5910" t="s">
        <v>12</v>
      </c>
      <c r="D5910" s="61">
        <v>0</v>
      </c>
      <c r="F5910" s="61">
        <v>0</v>
      </c>
      <c r="G5910" s="61">
        <v>0</v>
      </c>
      <c r="H5910" s="61">
        <v>-96.77</v>
      </c>
      <c r="I5910" s="61">
        <v>-50.06</v>
      </c>
      <c r="J5910" s="61">
        <f t="shared" si="56"/>
        <v>-146.82999999999998</v>
      </c>
    </row>
    <row r="5911" spans="1:10" x14ac:dyDescent="0.25">
      <c r="A5911" s="20">
        <v>45900</v>
      </c>
      <c r="B5911" t="s">
        <v>1236</v>
      </c>
      <c r="C5911" t="s">
        <v>377</v>
      </c>
      <c r="D5911" s="61">
        <v>0</v>
      </c>
      <c r="F5911" s="61">
        <v>0</v>
      </c>
      <c r="G5911" s="61">
        <v>0</v>
      </c>
      <c r="H5911" s="61">
        <v>0</v>
      </c>
      <c r="I5911" s="61">
        <v>-220.24</v>
      </c>
      <c r="J5911" s="61">
        <f t="shared" si="56"/>
        <v>-220.24</v>
      </c>
    </row>
    <row r="5912" spans="1:10" x14ac:dyDescent="0.25">
      <c r="A5912" s="20">
        <v>45900</v>
      </c>
      <c r="B5912" t="s">
        <v>1246</v>
      </c>
      <c r="C5912" t="s">
        <v>68</v>
      </c>
      <c r="D5912" s="61">
        <v>268733.65000000002</v>
      </c>
      <c r="F5912" s="61">
        <v>0</v>
      </c>
      <c r="G5912" s="61">
        <v>0</v>
      </c>
      <c r="H5912" s="61">
        <v>0</v>
      </c>
      <c r="I5912" s="61">
        <v>0</v>
      </c>
      <c r="J5912" s="61">
        <f t="shared" si="56"/>
        <v>268733.65000000002</v>
      </c>
    </row>
    <row r="5913" spans="1:10" x14ac:dyDescent="0.25">
      <c r="A5913" s="20">
        <v>45900</v>
      </c>
      <c r="B5913" t="s">
        <v>1252</v>
      </c>
      <c r="C5913" t="s">
        <v>1253</v>
      </c>
      <c r="D5913" s="61">
        <v>1028.7</v>
      </c>
      <c r="F5913" s="61">
        <v>0</v>
      </c>
      <c r="G5913" s="61">
        <v>0</v>
      </c>
      <c r="H5913" s="61">
        <v>0</v>
      </c>
      <c r="I5913" s="61">
        <v>0</v>
      </c>
      <c r="J5913" s="61">
        <f t="shared" si="56"/>
        <v>1028.7</v>
      </c>
    </row>
    <row r="5914" spans="1:10" x14ac:dyDescent="0.25">
      <c r="A5914" s="20">
        <v>45900</v>
      </c>
      <c r="B5914" t="s">
        <v>1258</v>
      </c>
      <c r="C5914" t="s">
        <v>76</v>
      </c>
      <c r="D5914" s="61">
        <v>34938</v>
      </c>
      <c r="F5914" s="61">
        <v>-400</v>
      </c>
      <c r="G5914" s="61">
        <v>0</v>
      </c>
      <c r="H5914" s="61">
        <v>0</v>
      </c>
      <c r="I5914" s="61">
        <v>0</v>
      </c>
      <c r="J5914" s="61">
        <f t="shared" si="56"/>
        <v>34538</v>
      </c>
    </row>
    <row r="5915" spans="1:10" x14ac:dyDescent="0.25">
      <c r="A5915" s="20">
        <v>45900</v>
      </c>
      <c r="B5915" t="s">
        <v>1267</v>
      </c>
      <c r="C5915" t="s">
        <v>890</v>
      </c>
      <c r="D5915" s="61">
        <v>277</v>
      </c>
      <c r="F5915" s="61">
        <v>0</v>
      </c>
      <c r="G5915" s="61">
        <v>0</v>
      </c>
      <c r="H5915" s="61">
        <v>0</v>
      </c>
      <c r="I5915" s="61">
        <v>0</v>
      </c>
      <c r="J5915" s="61">
        <f t="shared" si="56"/>
        <v>277</v>
      </c>
    </row>
    <row r="5916" spans="1:10" x14ac:dyDescent="0.25">
      <c r="A5916" s="20">
        <v>45900</v>
      </c>
      <c r="B5916" t="s">
        <v>1270</v>
      </c>
      <c r="C5916" t="s">
        <v>13</v>
      </c>
      <c r="D5916" s="61">
        <v>15406.4</v>
      </c>
      <c r="F5916" s="61">
        <v>0</v>
      </c>
      <c r="G5916" s="61">
        <v>0</v>
      </c>
      <c r="H5916" s="61">
        <v>0</v>
      </c>
      <c r="I5916" s="61">
        <v>0</v>
      </c>
      <c r="J5916" s="61">
        <f t="shared" si="56"/>
        <v>15406.4</v>
      </c>
    </row>
    <row r="5917" spans="1:10" x14ac:dyDescent="0.25">
      <c r="A5917" s="20">
        <v>45900</v>
      </c>
      <c r="B5917" t="s">
        <v>1271</v>
      </c>
      <c r="C5917" t="s">
        <v>79</v>
      </c>
      <c r="D5917" s="61">
        <v>437.84</v>
      </c>
      <c r="F5917" s="61">
        <v>0</v>
      </c>
      <c r="G5917" s="61">
        <v>0</v>
      </c>
      <c r="H5917" s="61">
        <v>0</v>
      </c>
      <c r="I5917" s="61">
        <v>0</v>
      </c>
      <c r="J5917" s="61">
        <f t="shared" si="56"/>
        <v>437.84</v>
      </c>
    </row>
    <row r="5918" spans="1:10" x14ac:dyDescent="0.25">
      <c r="A5918" s="20">
        <v>45900</v>
      </c>
      <c r="B5918" t="s">
        <v>1272</v>
      </c>
      <c r="C5918" t="s">
        <v>80</v>
      </c>
      <c r="D5918" s="61">
        <v>1065.76</v>
      </c>
      <c r="F5918" s="61">
        <v>0</v>
      </c>
      <c r="G5918" s="61">
        <v>0</v>
      </c>
      <c r="H5918" s="61">
        <v>0</v>
      </c>
      <c r="I5918" s="61">
        <v>0</v>
      </c>
      <c r="J5918" s="61">
        <f t="shared" si="56"/>
        <v>1065.76</v>
      </c>
    </row>
    <row r="5919" spans="1:10" x14ac:dyDescent="0.25">
      <c r="A5919" s="20">
        <v>45900</v>
      </c>
      <c r="B5919" t="s">
        <v>1281</v>
      </c>
      <c r="C5919" t="s">
        <v>82</v>
      </c>
      <c r="D5919" s="61">
        <v>1618</v>
      </c>
      <c r="F5919" s="61">
        <v>0</v>
      </c>
      <c r="G5919" s="61">
        <v>80</v>
      </c>
      <c r="H5919" s="61">
        <v>0</v>
      </c>
      <c r="I5919" s="61">
        <v>0</v>
      </c>
      <c r="J5919" s="61">
        <f t="shared" si="56"/>
        <v>1698</v>
      </c>
    </row>
    <row r="5920" spans="1:10" x14ac:dyDescent="0.25">
      <c r="A5920" s="20">
        <v>45900</v>
      </c>
      <c r="B5920" t="s">
        <v>1284</v>
      </c>
      <c r="C5920" t="s">
        <v>83</v>
      </c>
      <c r="D5920" s="61">
        <v>3524.75</v>
      </c>
      <c r="F5920" s="61">
        <v>0</v>
      </c>
      <c r="G5920" s="61">
        <v>0</v>
      </c>
      <c r="H5920" s="61">
        <v>0</v>
      </c>
      <c r="I5920" s="61">
        <v>0</v>
      </c>
      <c r="J5920" s="61">
        <f t="shared" si="56"/>
        <v>3524.75</v>
      </c>
    </row>
    <row r="5921" spans="1:10" x14ac:dyDescent="0.25">
      <c r="A5921" s="20">
        <v>45900</v>
      </c>
      <c r="B5921" t="s">
        <v>1291</v>
      </c>
      <c r="C5921" t="s">
        <v>84</v>
      </c>
      <c r="D5921" s="61">
        <v>116687.86</v>
      </c>
      <c r="F5921" s="61">
        <v>0</v>
      </c>
      <c r="G5921" s="61">
        <v>0</v>
      </c>
      <c r="H5921" s="61">
        <v>0</v>
      </c>
      <c r="I5921" s="61">
        <v>0</v>
      </c>
      <c r="J5921" s="61">
        <f t="shared" si="56"/>
        <v>116687.86</v>
      </c>
    </row>
    <row r="5922" spans="1:10" x14ac:dyDescent="0.25">
      <c r="A5922" s="20">
        <v>45900</v>
      </c>
      <c r="B5922" t="s">
        <v>1304</v>
      </c>
      <c r="C5922" t="s">
        <v>86</v>
      </c>
      <c r="D5922" s="61">
        <v>2675</v>
      </c>
      <c r="F5922" s="61">
        <v>0</v>
      </c>
      <c r="G5922" s="61">
        <v>0</v>
      </c>
      <c r="H5922" s="61">
        <v>0</v>
      </c>
      <c r="I5922" s="61">
        <v>0</v>
      </c>
      <c r="J5922" s="61">
        <f t="shared" si="56"/>
        <v>2675</v>
      </c>
    </row>
    <row r="5923" spans="1:10" x14ac:dyDescent="0.25">
      <c r="A5923" s="20">
        <v>45900</v>
      </c>
      <c r="B5923" t="s">
        <v>1321</v>
      </c>
      <c r="C5923" t="s">
        <v>541</v>
      </c>
      <c r="D5923" s="61">
        <v>0</v>
      </c>
      <c r="F5923" s="61">
        <v>0</v>
      </c>
      <c r="G5923" s="61">
        <v>0</v>
      </c>
      <c r="H5923" s="61">
        <v>0</v>
      </c>
      <c r="I5923" s="61">
        <v>-608.84</v>
      </c>
      <c r="J5923" s="61">
        <f t="shared" si="56"/>
        <v>-608.84</v>
      </c>
    </row>
    <row r="5924" spans="1:10" x14ac:dyDescent="0.25">
      <c r="A5924" s="20">
        <v>45900</v>
      </c>
      <c r="B5924" t="s">
        <v>1330</v>
      </c>
      <c r="C5924" t="s">
        <v>15</v>
      </c>
      <c r="D5924" s="61">
        <v>54779.58</v>
      </c>
      <c r="F5924" s="61">
        <v>146.77000000000001</v>
      </c>
      <c r="G5924" s="61">
        <v>432.41</v>
      </c>
      <c r="H5924" s="61">
        <v>0</v>
      </c>
      <c r="I5924" s="61">
        <v>231.5</v>
      </c>
      <c r="J5924" s="61">
        <f t="shared" si="56"/>
        <v>55590.26</v>
      </c>
    </row>
    <row r="5925" spans="1:10" x14ac:dyDescent="0.25">
      <c r="A5925" s="20">
        <v>45900</v>
      </c>
      <c r="B5925" t="s">
        <v>1338</v>
      </c>
      <c r="C5925" t="s">
        <v>777</v>
      </c>
      <c r="D5925" s="61">
        <v>136</v>
      </c>
      <c r="F5925" s="61">
        <v>0</v>
      </c>
      <c r="G5925" s="61">
        <v>0</v>
      </c>
      <c r="H5925" s="61">
        <v>0</v>
      </c>
      <c r="I5925" s="61">
        <v>0</v>
      </c>
      <c r="J5925" s="61">
        <f t="shared" si="56"/>
        <v>136</v>
      </c>
    </row>
    <row r="5926" spans="1:10" x14ac:dyDescent="0.25">
      <c r="A5926" s="20">
        <v>45900</v>
      </c>
      <c r="B5926" t="s">
        <v>1346</v>
      </c>
      <c r="C5926" t="s">
        <v>385</v>
      </c>
      <c r="D5926" s="61">
        <v>0</v>
      </c>
      <c r="F5926" s="61">
        <v>-996</v>
      </c>
      <c r="G5926" s="61">
        <v>0</v>
      </c>
      <c r="H5926" s="61">
        <v>-188.56</v>
      </c>
      <c r="I5926" s="61">
        <v>0</v>
      </c>
      <c r="J5926" s="61">
        <f t="shared" si="56"/>
        <v>-1184.56</v>
      </c>
    </row>
    <row r="5927" spans="1:10" x14ac:dyDescent="0.25">
      <c r="A5927" s="20">
        <v>45900</v>
      </c>
      <c r="B5927" t="s">
        <v>1350</v>
      </c>
      <c r="C5927" t="s">
        <v>893</v>
      </c>
      <c r="D5927" s="61">
        <v>0</v>
      </c>
      <c r="F5927" s="61">
        <v>-880</v>
      </c>
      <c r="G5927" s="61">
        <v>0</v>
      </c>
      <c r="H5927" s="61">
        <v>0</v>
      </c>
      <c r="I5927" s="61">
        <v>0</v>
      </c>
      <c r="J5927" s="61">
        <f t="shared" si="56"/>
        <v>-880</v>
      </c>
    </row>
    <row r="5928" spans="1:10" x14ac:dyDescent="0.25">
      <c r="A5928" s="20">
        <v>45900</v>
      </c>
      <c r="B5928" t="s">
        <v>1362</v>
      </c>
      <c r="C5928" t="s">
        <v>94</v>
      </c>
      <c r="D5928" s="61">
        <v>59437.26</v>
      </c>
      <c r="F5928" s="61">
        <v>0</v>
      </c>
      <c r="G5928" s="61">
        <v>0</v>
      </c>
      <c r="H5928" s="61">
        <v>0</v>
      </c>
      <c r="I5928" s="61">
        <v>0</v>
      </c>
      <c r="J5928" s="61">
        <f t="shared" si="56"/>
        <v>59437.26</v>
      </c>
    </row>
    <row r="5929" spans="1:10" x14ac:dyDescent="0.25">
      <c r="A5929" s="20">
        <v>45900</v>
      </c>
      <c r="B5929" t="s">
        <v>1373</v>
      </c>
      <c r="C5929" t="s">
        <v>96</v>
      </c>
      <c r="D5929" s="61">
        <v>1858</v>
      </c>
      <c r="F5929" s="61">
        <v>0</v>
      </c>
      <c r="G5929" s="61">
        <v>0</v>
      </c>
      <c r="H5929" s="61">
        <v>0</v>
      </c>
      <c r="I5929" s="61">
        <v>0</v>
      </c>
      <c r="J5929" s="61">
        <f t="shared" si="56"/>
        <v>1858</v>
      </c>
    </row>
    <row r="5930" spans="1:10" x14ac:dyDescent="0.25">
      <c r="A5930" s="20">
        <v>45900</v>
      </c>
      <c r="B5930" t="s">
        <v>1380</v>
      </c>
      <c r="C5930" t="s">
        <v>97</v>
      </c>
      <c r="D5930" s="61">
        <v>12035.3</v>
      </c>
      <c r="F5930" s="61">
        <v>-149.30000000000001</v>
      </c>
      <c r="G5930" s="61">
        <v>0</v>
      </c>
      <c r="H5930" s="61">
        <v>0</v>
      </c>
      <c r="I5930" s="61">
        <v>0</v>
      </c>
      <c r="J5930" s="61">
        <f t="shared" si="56"/>
        <v>11886</v>
      </c>
    </row>
    <row r="5931" spans="1:10" x14ac:dyDescent="0.25">
      <c r="A5931" s="20">
        <v>45900</v>
      </c>
      <c r="B5931" t="s">
        <v>1389</v>
      </c>
      <c r="C5931" t="s">
        <v>16</v>
      </c>
      <c r="D5931" s="61">
        <v>23336.58</v>
      </c>
      <c r="F5931" s="61">
        <v>1036.8</v>
      </c>
      <c r="G5931" s="61">
        <v>4667.5</v>
      </c>
      <c r="H5931" s="61">
        <v>0</v>
      </c>
      <c r="I5931" s="61">
        <v>0</v>
      </c>
      <c r="J5931" s="61">
        <f t="shared" si="56"/>
        <v>29040.880000000001</v>
      </c>
    </row>
    <row r="5932" spans="1:10" x14ac:dyDescent="0.25">
      <c r="A5932" s="20">
        <v>45900</v>
      </c>
      <c r="B5932" t="s">
        <v>1392</v>
      </c>
      <c r="C5932" t="s">
        <v>100</v>
      </c>
      <c r="D5932" s="61">
        <v>35969.440000000002</v>
      </c>
      <c r="F5932" s="61">
        <v>0</v>
      </c>
      <c r="G5932" s="61">
        <v>0</v>
      </c>
      <c r="H5932" s="61">
        <v>0</v>
      </c>
      <c r="I5932" s="61">
        <v>0</v>
      </c>
      <c r="J5932" s="61">
        <f t="shared" si="56"/>
        <v>35969.440000000002</v>
      </c>
    </row>
    <row r="5933" spans="1:10" x14ac:dyDescent="0.25">
      <c r="A5933" s="20">
        <v>45900</v>
      </c>
      <c r="B5933" t="s">
        <v>1393</v>
      </c>
      <c r="C5933" t="s">
        <v>101</v>
      </c>
      <c r="D5933" s="61">
        <v>3714.68</v>
      </c>
      <c r="F5933" s="61">
        <v>0</v>
      </c>
      <c r="G5933" s="61">
        <v>0</v>
      </c>
      <c r="H5933" s="61">
        <v>0</v>
      </c>
      <c r="I5933" s="61">
        <v>-81.599999999999994</v>
      </c>
      <c r="J5933" s="61">
        <f t="shared" si="56"/>
        <v>3633.08</v>
      </c>
    </row>
    <row r="5934" spans="1:10" x14ac:dyDescent="0.25">
      <c r="A5934" s="20">
        <v>45900</v>
      </c>
      <c r="B5934" t="s">
        <v>1394</v>
      </c>
      <c r="C5934" t="s">
        <v>102</v>
      </c>
      <c r="D5934" s="61">
        <v>210</v>
      </c>
      <c r="F5934" s="61">
        <v>0</v>
      </c>
      <c r="G5934" s="61">
        <v>0</v>
      </c>
      <c r="H5934" s="61">
        <v>0</v>
      </c>
      <c r="I5934" s="61">
        <v>0</v>
      </c>
      <c r="J5934" s="61">
        <f t="shared" ref="J5934:J5997" si="57">SUM(D5934:I5934)</f>
        <v>210</v>
      </c>
    </row>
    <row r="5935" spans="1:10" x14ac:dyDescent="0.25">
      <c r="A5935" s="20">
        <v>45900</v>
      </c>
      <c r="B5935" t="s">
        <v>1410</v>
      </c>
      <c r="C5935" t="s">
        <v>105</v>
      </c>
      <c r="D5935" s="61">
        <v>203.46</v>
      </c>
      <c r="F5935" s="61">
        <v>0</v>
      </c>
      <c r="G5935" s="61">
        <v>0</v>
      </c>
      <c r="H5935" s="61">
        <v>6.51</v>
      </c>
      <c r="I5935" s="61">
        <v>-231</v>
      </c>
      <c r="J5935" s="61">
        <f t="shared" si="57"/>
        <v>-21.03</v>
      </c>
    </row>
    <row r="5936" spans="1:10" x14ac:dyDescent="0.25">
      <c r="A5936" s="20">
        <v>45900</v>
      </c>
      <c r="B5936" t="s">
        <v>1417</v>
      </c>
      <c r="C5936" t="s">
        <v>1418</v>
      </c>
      <c r="D5936" s="61">
        <v>579.57000000000005</v>
      </c>
      <c r="F5936" s="61">
        <v>0</v>
      </c>
      <c r="G5936" s="61">
        <v>0</v>
      </c>
      <c r="H5936" s="61">
        <v>0</v>
      </c>
      <c r="I5936" s="61">
        <v>0</v>
      </c>
      <c r="J5936" s="61">
        <f t="shared" si="57"/>
        <v>579.57000000000005</v>
      </c>
    </row>
    <row r="5937" spans="1:10" x14ac:dyDescent="0.25">
      <c r="A5937" s="20">
        <v>45900</v>
      </c>
      <c r="B5937" t="s">
        <v>1424</v>
      </c>
      <c r="C5937" t="s">
        <v>108</v>
      </c>
      <c r="D5937" s="61">
        <v>0</v>
      </c>
      <c r="F5937" s="61">
        <v>337.35</v>
      </c>
      <c r="G5937" s="61">
        <v>84</v>
      </c>
      <c r="H5937" s="61">
        <v>0</v>
      </c>
      <c r="I5937" s="61">
        <v>0</v>
      </c>
      <c r="J5937" s="61">
        <f t="shared" si="57"/>
        <v>421.35</v>
      </c>
    </row>
    <row r="5938" spans="1:10" x14ac:dyDescent="0.25">
      <c r="A5938" s="20">
        <v>45900</v>
      </c>
      <c r="B5938" t="s">
        <v>1440</v>
      </c>
      <c r="C5938" t="s">
        <v>18</v>
      </c>
      <c r="D5938" s="61">
        <v>4295.3900000000003</v>
      </c>
      <c r="F5938" s="61">
        <v>0</v>
      </c>
      <c r="G5938" s="61">
        <v>0</v>
      </c>
      <c r="H5938" s="61">
        <v>0</v>
      </c>
      <c r="I5938" s="61">
        <v>0</v>
      </c>
      <c r="J5938" s="61">
        <f t="shared" si="57"/>
        <v>4295.3900000000003</v>
      </c>
    </row>
    <row r="5939" spans="1:10" x14ac:dyDescent="0.25">
      <c r="A5939" s="20">
        <v>45900</v>
      </c>
      <c r="B5939" t="s">
        <v>1448</v>
      </c>
      <c r="C5939" t="s">
        <v>112</v>
      </c>
      <c r="D5939" s="61">
        <v>3823.91</v>
      </c>
      <c r="F5939" s="61">
        <v>0</v>
      </c>
      <c r="G5939" s="61">
        <v>0</v>
      </c>
      <c r="H5939" s="61">
        <v>0</v>
      </c>
      <c r="I5939" s="61">
        <v>0</v>
      </c>
      <c r="J5939" s="61">
        <f t="shared" si="57"/>
        <v>3823.91</v>
      </c>
    </row>
    <row r="5940" spans="1:10" x14ac:dyDescent="0.25">
      <c r="A5940" s="20">
        <v>45900</v>
      </c>
      <c r="B5940" t="s">
        <v>1456</v>
      </c>
      <c r="C5940" t="s">
        <v>543</v>
      </c>
      <c r="D5940" s="61">
        <v>198.31</v>
      </c>
      <c r="F5940" s="61">
        <v>0</v>
      </c>
      <c r="G5940" s="61">
        <v>0</v>
      </c>
      <c r="H5940" s="61">
        <v>0</v>
      </c>
      <c r="I5940" s="61">
        <v>0</v>
      </c>
      <c r="J5940" s="61">
        <f t="shared" si="57"/>
        <v>198.31</v>
      </c>
    </row>
    <row r="5941" spans="1:10" x14ac:dyDescent="0.25">
      <c r="A5941" s="20">
        <v>45900</v>
      </c>
      <c r="B5941" t="s">
        <v>1479</v>
      </c>
      <c r="C5941" t="s">
        <v>117</v>
      </c>
      <c r="D5941" s="61">
        <v>0</v>
      </c>
      <c r="F5941" s="61">
        <v>0</v>
      </c>
      <c r="G5941" s="61">
        <v>-4400.8</v>
      </c>
      <c r="H5941" s="61">
        <v>0</v>
      </c>
      <c r="I5941" s="61">
        <v>0</v>
      </c>
      <c r="J5941" s="61">
        <f t="shared" si="57"/>
        <v>-4400.8</v>
      </c>
    </row>
    <row r="5942" spans="1:10" x14ac:dyDescent="0.25">
      <c r="A5942" s="20">
        <v>45900</v>
      </c>
      <c r="B5942" t="s">
        <v>1480</v>
      </c>
      <c r="C5942" t="s">
        <v>118</v>
      </c>
      <c r="D5942" s="61">
        <v>27771.9</v>
      </c>
      <c r="F5942" s="61">
        <v>0</v>
      </c>
      <c r="G5942" s="61">
        <v>0</v>
      </c>
      <c r="H5942" s="61">
        <v>-630</v>
      </c>
      <c r="I5942" s="61">
        <v>0</v>
      </c>
      <c r="J5942" s="61">
        <f t="shared" si="57"/>
        <v>27141.9</v>
      </c>
    </row>
    <row r="5943" spans="1:10" x14ac:dyDescent="0.25">
      <c r="A5943" s="20">
        <v>45900</v>
      </c>
      <c r="B5943" t="s">
        <v>1485</v>
      </c>
      <c r="C5943" t="s">
        <v>119</v>
      </c>
      <c r="D5943" s="61">
        <v>468</v>
      </c>
      <c r="F5943" s="61">
        <v>834.6</v>
      </c>
      <c r="G5943" s="61">
        <v>0</v>
      </c>
      <c r="H5943" s="61">
        <v>0</v>
      </c>
      <c r="I5943" s="61">
        <v>0</v>
      </c>
      <c r="J5943" s="61">
        <f t="shared" si="57"/>
        <v>1302.5999999999999</v>
      </c>
    </row>
    <row r="5944" spans="1:10" x14ac:dyDescent="0.25">
      <c r="A5944" s="20">
        <v>45900</v>
      </c>
      <c r="B5944" t="s">
        <v>1489</v>
      </c>
      <c r="C5944" t="s">
        <v>122</v>
      </c>
      <c r="D5944" s="61">
        <v>397.4</v>
      </c>
      <c r="F5944" s="61">
        <v>0</v>
      </c>
      <c r="G5944" s="61">
        <v>0</v>
      </c>
      <c r="H5944" s="61">
        <v>0</v>
      </c>
      <c r="I5944" s="61">
        <v>0</v>
      </c>
      <c r="J5944" s="61">
        <f t="shared" si="57"/>
        <v>397.4</v>
      </c>
    </row>
    <row r="5945" spans="1:10" x14ac:dyDescent="0.25">
      <c r="A5945" s="20">
        <v>45900</v>
      </c>
      <c r="B5945" t="s">
        <v>1490</v>
      </c>
      <c r="C5945" t="s">
        <v>390</v>
      </c>
      <c r="D5945" s="61">
        <v>0</v>
      </c>
      <c r="F5945" s="61">
        <v>0</v>
      </c>
      <c r="G5945" s="61">
        <v>982.62</v>
      </c>
      <c r="H5945" s="61">
        <v>0</v>
      </c>
      <c r="I5945" s="61">
        <v>0</v>
      </c>
      <c r="J5945" s="61">
        <f t="shared" si="57"/>
        <v>982.62</v>
      </c>
    </row>
    <row r="5946" spans="1:10" x14ac:dyDescent="0.25">
      <c r="A5946" s="20">
        <v>45900</v>
      </c>
      <c r="B5946" t="s">
        <v>1524</v>
      </c>
      <c r="C5946" t="s">
        <v>545</v>
      </c>
      <c r="D5946" s="61">
        <v>1262.21</v>
      </c>
      <c r="F5946" s="61">
        <v>0</v>
      </c>
      <c r="G5946" s="61">
        <v>0</v>
      </c>
      <c r="H5946" s="61">
        <v>0</v>
      </c>
      <c r="I5946" s="61">
        <v>0</v>
      </c>
      <c r="J5946" s="61">
        <f t="shared" si="57"/>
        <v>1262.21</v>
      </c>
    </row>
    <row r="5947" spans="1:10" x14ac:dyDescent="0.25">
      <c r="A5947" s="20">
        <v>45900</v>
      </c>
      <c r="B5947" t="s">
        <v>1533</v>
      </c>
      <c r="C5947" t="s">
        <v>1534</v>
      </c>
      <c r="D5947" s="61">
        <v>-50</v>
      </c>
      <c r="F5947" s="61">
        <v>0</v>
      </c>
      <c r="G5947" s="61">
        <v>0</v>
      </c>
      <c r="H5947" s="61">
        <v>0</v>
      </c>
      <c r="I5947" s="61">
        <v>0</v>
      </c>
      <c r="J5947" s="61">
        <f t="shared" si="57"/>
        <v>-50</v>
      </c>
    </row>
    <row r="5948" spans="1:10" x14ac:dyDescent="0.25">
      <c r="A5948" s="20">
        <v>45900</v>
      </c>
      <c r="B5948" t="s">
        <v>1544</v>
      </c>
      <c r="C5948" t="s">
        <v>138</v>
      </c>
      <c r="D5948" s="61">
        <v>4716</v>
      </c>
      <c r="F5948" s="61">
        <v>0</v>
      </c>
      <c r="G5948" s="61">
        <v>0</v>
      </c>
      <c r="H5948" s="61">
        <v>0</v>
      </c>
      <c r="I5948" s="61">
        <v>0</v>
      </c>
      <c r="J5948" s="61">
        <f t="shared" si="57"/>
        <v>4716</v>
      </c>
    </row>
    <row r="5949" spans="1:10" x14ac:dyDescent="0.25">
      <c r="A5949" s="20">
        <v>45900</v>
      </c>
      <c r="B5949" t="s">
        <v>1553</v>
      </c>
      <c r="C5949" t="s">
        <v>140</v>
      </c>
      <c r="D5949" s="61">
        <v>3141</v>
      </c>
      <c r="F5949" s="61">
        <v>0</v>
      </c>
      <c r="G5949" s="61">
        <v>0</v>
      </c>
      <c r="H5949" s="61">
        <v>-784</v>
      </c>
      <c r="I5949" s="61">
        <v>0</v>
      </c>
      <c r="J5949" s="61">
        <f t="shared" si="57"/>
        <v>2357</v>
      </c>
    </row>
    <row r="5950" spans="1:10" x14ac:dyDescent="0.25">
      <c r="A5950" s="20">
        <v>45900</v>
      </c>
      <c r="B5950" t="s">
        <v>1556</v>
      </c>
      <c r="C5950" t="s">
        <v>142</v>
      </c>
      <c r="D5950" s="61">
        <v>5668</v>
      </c>
      <c r="F5950" s="61">
        <v>0</v>
      </c>
      <c r="G5950" s="61">
        <v>0</v>
      </c>
      <c r="H5950" s="61">
        <v>0</v>
      </c>
      <c r="I5950" s="61">
        <v>0</v>
      </c>
      <c r="J5950" s="61">
        <f t="shared" si="57"/>
        <v>5668</v>
      </c>
    </row>
    <row r="5951" spans="1:10" x14ac:dyDescent="0.25">
      <c r="A5951" s="20">
        <v>45900</v>
      </c>
      <c r="B5951" t="s">
        <v>1571</v>
      </c>
      <c r="C5951" t="s">
        <v>145</v>
      </c>
      <c r="D5951" s="61">
        <v>12096.4</v>
      </c>
      <c r="F5951" s="61">
        <v>0</v>
      </c>
      <c r="G5951" s="61">
        <v>0</v>
      </c>
      <c r="H5951" s="61">
        <v>0</v>
      </c>
      <c r="I5951" s="61">
        <v>0</v>
      </c>
      <c r="J5951" s="61">
        <f t="shared" si="57"/>
        <v>12096.4</v>
      </c>
    </row>
    <row r="5952" spans="1:10" x14ac:dyDescent="0.25">
      <c r="A5952" s="20">
        <v>45900</v>
      </c>
      <c r="B5952" t="s">
        <v>1581</v>
      </c>
      <c r="C5952" t="s">
        <v>147</v>
      </c>
      <c r="D5952" s="61">
        <v>30013.4</v>
      </c>
      <c r="F5952" s="61">
        <v>0</v>
      </c>
      <c r="G5952" s="61">
        <v>0</v>
      </c>
      <c r="H5952" s="61">
        <v>0</v>
      </c>
      <c r="I5952" s="61">
        <v>0</v>
      </c>
      <c r="J5952" s="61">
        <f t="shared" si="57"/>
        <v>30013.4</v>
      </c>
    </row>
    <row r="5953" spans="1:10" x14ac:dyDescent="0.25">
      <c r="A5953" s="20">
        <v>45900</v>
      </c>
      <c r="B5953" t="s">
        <v>1600</v>
      </c>
      <c r="C5953" t="s">
        <v>150</v>
      </c>
      <c r="D5953" s="61">
        <v>653.1</v>
      </c>
      <c r="F5953" s="61">
        <v>0</v>
      </c>
      <c r="G5953" s="61">
        <v>0</v>
      </c>
      <c r="H5953" s="61">
        <v>0</v>
      </c>
      <c r="I5953" s="61">
        <v>0</v>
      </c>
      <c r="J5953" s="61">
        <f t="shared" si="57"/>
        <v>653.1</v>
      </c>
    </row>
    <row r="5954" spans="1:10" x14ac:dyDescent="0.25">
      <c r="A5954" s="20">
        <v>45900</v>
      </c>
      <c r="B5954" t="s">
        <v>1626</v>
      </c>
      <c r="C5954" t="s">
        <v>581</v>
      </c>
      <c r="D5954" s="61">
        <v>0</v>
      </c>
      <c r="F5954" s="61">
        <v>0</v>
      </c>
      <c r="G5954" s="61">
        <v>0</v>
      </c>
      <c r="H5954" s="61">
        <v>0</v>
      </c>
      <c r="I5954" s="61">
        <v>-16.100000000000001</v>
      </c>
      <c r="J5954" s="61">
        <f t="shared" si="57"/>
        <v>-16.100000000000001</v>
      </c>
    </row>
    <row r="5955" spans="1:10" x14ac:dyDescent="0.25">
      <c r="A5955" s="20">
        <v>45900</v>
      </c>
      <c r="B5955" t="s">
        <v>1627</v>
      </c>
      <c r="C5955" t="s">
        <v>907</v>
      </c>
      <c r="D5955" s="61">
        <v>-1104</v>
      </c>
      <c r="F5955" s="61">
        <v>0</v>
      </c>
      <c r="G5955" s="61">
        <v>0</v>
      </c>
      <c r="H5955" s="61">
        <v>0</v>
      </c>
      <c r="I5955" s="61">
        <v>0</v>
      </c>
      <c r="J5955" s="61">
        <f t="shared" si="57"/>
        <v>-1104</v>
      </c>
    </row>
    <row r="5956" spans="1:10" x14ac:dyDescent="0.25">
      <c r="A5956" s="20">
        <v>45900</v>
      </c>
      <c r="B5956" t="s">
        <v>1640</v>
      </c>
      <c r="C5956" t="s">
        <v>155</v>
      </c>
      <c r="D5956" s="61">
        <v>-2964</v>
      </c>
      <c r="F5956" s="61">
        <v>-23569.06</v>
      </c>
      <c r="G5956" s="61">
        <v>-9.59</v>
      </c>
      <c r="H5956" s="61">
        <v>0</v>
      </c>
      <c r="I5956" s="61">
        <v>-21365.9</v>
      </c>
      <c r="J5956" s="61">
        <f t="shared" si="57"/>
        <v>-47908.55</v>
      </c>
    </row>
    <row r="5957" spans="1:10" x14ac:dyDescent="0.25">
      <c r="A5957" s="20">
        <v>45900</v>
      </c>
      <c r="B5957" t="s">
        <v>1643</v>
      </c>
      <c r="C5957" t="s">
        <v>156</v>
      </c>
      <c r="D5957" s="61">
        <v>554</v>
      </c>
      <c r="F5957" s="61">
        <v>0</v>
      </c>
      <c r="G5957" s="61">
        <v>0</v>
      </c>
      <c r="H5957" s="61">
        <v>0</v>
      </c>
      <c r="I5957" s="61">
        <v>-297.89</v>
      </c>
      <c r="J5957" s="61">
        <f t="shared" si="57"/>
        <v>256.11</v>
      </c>
    </row>
    <row r="5958" spans="1:10" x14ac:dyDescent="0.25">
      <c r="A5958" s="20">
        <v>45900</v>
      </c>
      <c r="B5958" t="s">
        <v>1657</v>
      </c>
      <c r="C5958" t="s">
        <v>159</v>
      </c>
      <c r="D5958" s="61">
        <v>0</v>
      </c>
      <c r="F5958" s="61">
        <v>0</v>
      </c>
      <c r="G5958" s="61">
        <v>0</v>
      </c>
      <c r="H5958" s="61">
        <v>0</v>
      </c>
      <c r="I5958" s="61">
        <v>-781.38</v>
      </c>
      <c r="J5958" s="61">
        <f t="shared" si="57"/>
        <v>-781.38</v>
      </c>
    </row>
    <row r="5959" spans="1:10" x14ac:dyDescent="0.25">
      <c r="A5959" s="20">
        <v>45900</v>
      </c>
      <c r="B5959" t="s">
        <v>1658</v>
      </c>
      <c r="C5959" t="s">
        <v>160</v>
      </c>
      <c r="D5959" s="61">
        <v>0</v>
      </c>
      <c r="F5959" s="61">
        <v>0</v>
      </c>
      <c r="G5959" s="61">
        <v>-101.64</v>
      </c>
      <c r="H5959" s="61">
        <v>0</v>
      </c>
      <c r="I5959" s="61">
        <v>0</v>
      </c>
      <c r="J5959" s="61">
        <f t="shared" si="57"/>
        <v>-101.64</v>
      </c>
    </row>
    <row r="5960" spans="1:10" x14ac:dyDescent="0.25">
      <c r="A5960" s="20">
        <v>45900</v>
      </c>
      <c r="B5960" t="s">
        <v>1659</v>
      </c>
      <c r="C5960" t="s">
        <v>161</v>
      </c>
      <c r="D5960" s="61">
        <v>97.37</v>
      </c>
      <c r="F5960" s="61">
        <v>0</v>
      </c>
      <c r="G5960" s="61">
        <v>0</v>
      </c>
      <c r="H5960" s="61">
        <v>0</v>
      </c>
      <c r="I5960" s="61">
        <v>0</v>
      </c>
      <c r="J5960" s="61">
        <f t="shared" si="57"/>
        <v>97.37</v>
      </c>
    </row>
    <row r="5961" spans="1:10" x14ac:dyDescent="0.25">
      <c r="A5961" s="20">
        <v>45900</v>
      </c>
      <c r="B5961" t="s">
        <v>1664</v>
      </c>
      <c r="C5961" t="s">
        <v>912</v>
      </c>
      <c r="D5961" s="61">
        <v>8756.91</v>
      </c>
      <c r="F5961" s="61">
        <v>0</v>
      </c>
      <c r="G5961" s="61">
        <v>0</v>
      </c>
      <c r="H5961" s="61">
        <v>0</v>
      </c>
      <c r="I5961" s="61">
        <v>0</v>
      </c>
      <c r="J5961" s="61">
        <f t="shared" si="57"/>
        <v>8756.91</v>
      </c>
    </row>
    <row r="5962" spans="1:10" x14ac:dyDescent="0.25">
      <c r="A5962" s="20">
        <v>45900</v>
      </c>
      <c r="B5962" t="s">
        <v>1671</v>
      </c>
      <c r="C5962" t="s">
        <v>163</v>
      </c>
      <c r="D5962" s="61">
        <v>-88</v>
      </c>
      <c r="F5962" s="61">
        <v>0</v>
      </c>
      <c r="G5962" s="61">
        <v>0</v>
      </c>
      <c r="H5962" s="61">
        <v>0</v>
      </c>
      <c r="I5962" s="61">
        <v>0</v>
      </c>
      <c r="J5962" s="61">
        <f t="shared" si="57"/>
        <v>-88</v>
      </c>
    </row>
    <row r="5963" spans="1:10" x14ac:dyDescent="0.25">
      <c r="A5963" s="20">
        <v>45900</v>
      </c>
      <c r="B5963" t="s">
        <v>1677</v>
      </c>
      <c r="C5963" t="s">
        <v>164</v>
      </c>
      <c r="D5963" s="61">
        <v>6688.86</v>
      </c>
      <c r="F5963" s="61">
        <v>0</v>
      </c>
      <c r="G5963" s="61">
        <v>-118.3</v>
      </c>
      <c r="H5963" s="61">
        <v>0</v>
      </c>
      <c r="I5963" s="61">
        <v>0</v>
      </c>
      <c r="J5963" s="61">
        <f t="shared" si="57"/>
        <v>6570.5599999999995</v>
      </c>
    </row>
    <row r="5964" spans="1:10" x14ac:dyDescent="0.25">
      <c r="A5964" s="20">
        <v>45900</v>
      </c>
      <c r="B5964" t="s">
        <v>1682</v>
      </c>
      <c r="C5964" t="s">
        <v>395</v>
      </c>
      <c r="D5964" s="61">
        <v>72.72</v>
      </c>
      <c r="F5964" s="61">
        <v>0</v>
      </c>
      <c r="G5964" s="61">
        <v>0</v>
      </c>
      <c r="H5964" s="61">
        <v>0</v>
      </c>
      <c r="I5964" s="61">
        <v>0</v>
      </c>
      <c r="J5964" s="61">
        <f t="shared" si="57"/>
        <v>72.72</v>
      </c>
    </row>
    <row r="5965" spans="1:10" x14ac:dyDescent="0.25">
      <c r="A5965" s="20">
        <v>45900</v>
      </c>
      <c r="B5965" t="s">
        <v>1688</v>
      </c>
      <c r="C5965" t="s">
        <v>617</v>
      </c>
      <c r="D5965" s="61">
        <v>0</v>
      </c>
      <c r="F5965" s="61">
        <v>0</v>
      </c>
      <c r="G5965" s="61">
        <v>0</v>
      </c>
      <c r="H5965" s="61">
        <v>0</v>
      </c>
      <c r="I5965" s="61">
        <v>-1500</v>
      </c>
      <c r="J5965" s="61">
        <f t="shared" si="57"/>
        <v>-1500</v>
      </c>
    </row>
    <row r="5966" spans="1:10" x14ac:dyDescent="0.25">
      <c r="A5966" s="20">
        <v>45900</v>
      </c>
      <c r="B5966" t="s">
        <v>1689</v>
      </c>
      <c r="C5966" t="s">
        <v>168</v>
      </c>
      <c r="D5966" s="61">
        <v>208</v>
      </c>
      <c r="F5966" s="61">
        <v>0</v>
      </c>
      <c r="G5966" s="61">
        <v>0</v>
      </c>
      <c r="H5966" s="61">
        <v>0</v>
      </c>
      <c r="I5966" s="61">
        <v>0</v>
      </c>
      <c r="J5966" s="61">
        <f t="shared" si="57"/>
        <v>208</v>
      </c>
    </row>
    <row r="5967" spans="1:10" x14ac:dyDescent="0.25">
      <c r="A5967" s="20">
        <v>45900</v>
      </c>
      <c r="B5967" t="s">
        <v>1694</v>
      </c>
      <c r="C5967" t="s">
        <v>169</v>
      </c>
      <c r="D5967" s="61">
        <v>6679.98</v>
      </c>
      <c r="F5967" s="61">
        <v>-353.97</v>
      </c>
      <c r="G5967" s="61">
        <v>-170.53</v>
      </c>
      <c r="H5967" s="61">
        <v>0</v>
      </c>
      <c r="I5967" s="61">
        <v>0</v>
      </c>
      <c r="J5967" s="61">
        <f t="shared" si="57"/>
        <v>6155.48</v>
      </c>
    </row>
    <row r="5968" spans="1:10" x14ac:dyDescent="0.25">
      <c r="A5968" s="20">
        <v>45900</v>
      </c>
      <c r="B5968" t="s">
        <v>1701</v>
      </c>
      <c r="C5968" t="s">
        <v>171</v>
      </c>
      <c r="D5968" s="61">
        <v>528.21</v>
      </c>
      <c r="F5968" s="61">
        <v>0</v>
      </c>
      <c r="G5968" s="61">
        <v>0</v>
      </c>
      <c r="H5968" s="61">
        <v>0</v>
      </c>
      <c r="I5968" s="61">
        <v>0</v>
      </c>
      <c r="J5968" s="61">
        <f t="shared" si="57"/>
        <v>528.21</v>
      </c>
    </row>
    <row r="5969" spans="1:10" x14ac:dyDescent="0.25">
      <c r="A5969" s="20">
        <v>45900</v>
      </c>
      <c r="B5969" t="s">
        <v>1704</v>
      </c>
      <c r="C5969" t="s">
        <v>173</v>
      </c>
      <c r="D5969" s="61">
        <v>0</v>
      </c>
      <c r="F5969" s="61">
        <v>0</v>
      </c>
      <c r="G5969" s="61">
        <v>-270.47000000000003</v>
      </c>
      <c r="H5969" s="61">
        <v>0</v>
      </c>
      <c r="I5969" s="61">
        <v>0</v>
      </c>
      <c r="J5969" s="61">
        <f t="shared" si="57"/>
        <v>-270.47000000000003</v>
      </c>
    </row>
    <row r="5970" spans="1:10" x14ac:dyDescent="0.25">
      <c r="A5970" s="20">
        <v>45900</v>
      </c>
      <c r="B5970" t="s">
        <v>1709</v>
      </c>
      <c r="C5970" t="s">
        <v>175</v>
      </c>
      <c r="D5970" s="61">
        <v>660</v>
      </c>
      <c r="F5970" s="61">
        <v>0</v>
      </c>
      <c r="G5970" s="61">
        <v>0</v>
      </c>
      <c r="H5970" s="61">
        <v>0</v>
      </c>
      <c r="I5970" s="61">
        <v>0</v>
      </c>
      <c r="J5970" s="61">
        <f t="shared" si="57"/>
        <v>660</v>
      </c>
    </row>
    <row r="5971" spans="1:10" x14ac:dyDescent="0.25">
      <c r="A5971" s="20">
        <v>45900</v>
      </c>
      <c r="B5971" t="s">
        <v>1712</v>
      </c>
      <c r="C5971" t="s">
        <v>176</v>
      </c>
      <c r="D5971" s="61">
        <v>763</v>
      </c>
      <c r="F5971" s="61">
        <v>0</v>
      </c>
      <c r="G5971" s="61">
        <v>0</v>
      </c>
      <c r="H5971" s="61">
        <v>0</v>
      </c>
      <c r="I5971" s="61">
        <v>-31.9</v>
      </c>
      <c r="J5971" s="61">
        <f t="shared" si="57"/>
        <v>731.1</v>
      </c>
    </row>
    <row r="5972" spans="1:10" x14ac:dyDescent="0.25">
      <c r="A5972" s="20">
        <v>45900</v>
      </c>
      <c r="B5972" t="s">
        <v>1724</v>
      </c>
      <c r="C5972" t="s">
        <v>497</v>
      </c>
      <c r="D5972" s="61">
        <v>0</v>
      </c>
      <c r="F5972" s="61">
        <v>0</v>
      </c>
      <c r="G5972" s="61">
        <v>0</v>
      </c>
      <c r="H5972" s="61">
        <v>0</v>
      </c>
      <c r="I5972" s="61">
        <v>64.489999999999995</v>
      </c>
      <c r="J5972" s="61">
        <f t="shared" si="57"/>
        <v>64.489999999999995</v>
      </c>
    </row>
    <row r="5973" spans="1:10" x14ac:dyDescent="0.25">
      <c r="A5973" s="20">
        <v>45900</v>
      </c>
      <c r="B5973" t="s">
        <v>1725</v>
      </c>
      <c r="C5973" t="s">
        <v>178</v>
      </c>
      <c r="D5973" s="61">
        <v>249</v>
      </c>
      <c r="F5973" s="61">
        <v>0</v>
      </c>
      <c r="G5973" s="61">
        <v>0</v>
      </c>
      <c r="H5973" s="61">
        <v>0</v>
      </c>
      <c r="I5973" s="61">
        <v>0</v>
      </c>
      <c r="J5973" s="61">
        <f t="shared" si="57"/>
        <v>249</v>
      </c>
    </row>
    <row r="5974" spans="1:10" x14ac:dyDescent="0.25">
      <c r="A5974" s="20">
        <v>45900</v>
      </c>
      <c r="B5974" t="s">
        <v>1726</v>
      </c>
      <c r="C5974" t="s">
        <v>179</v>
      </c>
      <c r="D5974" s="61">
        <v>31392</v>
      </c>
      <c r="F5974" s="61">
        <v>0</v>
      </c>
      <c r="G5974" s="61">
        <v>0</v>
      </c>
      <c r="H5974" s="61">
        <v>0</v>
      </c>
      <c r="I5974" s="61">
        <v>0</v>
      </c>
      <c r="J5974" s="61">
        <f t="shared" si="57"/>
        <v>31392</v>
      </c>
    </row>
    <row r="5975" spans="1:10" x14ac:dyDescent="0.25">
      <c r="A5975" s="20">
        <v>45900</v>
      </c>
      <c r="B5975" t="s">
        <v>1749</v>
      </c>
      <c r="C5975" t="s">
        <v>396</v>
      </c>
      <c r="D5975" s="61">
        <v>0</v>
      </c>
      <c r="F5975" s="61">
        <v>0</v>
      </c>
      <c r="G5975" s="61">
        <v>0</v>
      </c>
      <c r="H5975" s="61">
        <v>0</v>
      </c>
      <c r="I5975" s="61">
        <v>54</v>
      </c>
      <c r="J5975" s="61">
        <f t="shared" si="57"/>
        <v>54</v>
      </c>
    </row>
    <row r="5976" spans="1:10" x14ac:dyDescent="0.25">
      <c r="A5976" s="20">
        <v>45900</v>
      </c>
      <c r="B5976" t="s">
        <v>1769</v>
      </c>
      <c r="C5976" t="s">
        <v>185</v>
      </c>
      <c r="D5976" s="61">
        <v>0</v>
      </c>
      <c r="F5976" s="61">
        <v>0</v>
      </c>
      <c r="G5976" s="61">
        <v>0</v>
      </c>
      <c r="H5976" s="61">
        <v>0</v>
      </c>
      <c r="I5976" s="61">
        <v>-831.6</v>
      </c>
      <c r="J5976" s="61">
        <f t="shared" si="57"/>
        <v>-831.6</v>
      </c>
    </row>
    <row r="5977" spans="1:10" x14ac:dyDescent="0.25">
      <c r="A5977" s="20">
        <v>45900</v>
      </c>
      <c r="B5977" t="s">
        <v>1777</v>
      </c>
      <c r="C5977" t="s">
        <v>915</v>
      </c>
      <c r="D5977" s="61">
        <v>290</v>
      </c>
      <c r="F5977" s="61">
        <v>0</v>
      </c>
      <c r="G5977" s="61">
        <v>0</v>
      </c>
      <c r="H5977" s="61">
        <v>0</v>
      </c>
      <c r="I5977" s="61">
        <v>0</v>
      </c>
      <c r="J5977" s="61">
        <f t="shared" si="57"/>
        <v>290</v>
      </c>
    </row>
    <row r="5978" spans="1:10" x14ac:dyDescent="0.25">
      <c r="A5978" s="20">
        <v>45900</v>
      </c>
      <c r="B5978" t="s">
        <v>1778</v>
      </c>
      <c r="C5978" t="s">
        <v>188</v>
      </c>
      <c r="D5978" s="61">
        <v>7252.2</v>
      </c>
      <c r="F5978" s="61">
        <v>0</v>
      </c>
      <c r="G5978" s="61">
        <v>0</v>
      </c>
      <c r="H5978" s="61">
        <v>0</v>
      </c>
      <c r="I5978" s="61">
        <v>0</v>
      </c>
      <c r="J5978" s="61">
        <f t="shared" si="57"/>
        <v>7252.2</v>
      </c>
    </row>
    <row r="5979" spans="1:10" x14ac:dyDescent="0.25">
      <c r="A5979" s="20">
        <v>45900</v>
      </c>
      <c r="B5979" t="s">
        <v>1785</v>
      </c>
      <c r="C5979" t="s">
        <v>398</v>
      </c>
      <c r="D5979" s="61">
        <v>0</v>
      </c>
      <c r="F5979" s="61">
        <v>0</v>
      </c>
      <c r="G5979" s="61">
        <v>0</v>
      </c>
      <c r="H5979" s="61">
        <v>0</v>
      </c>
      <c r="I5979" s="61">
        <v>-43.97</v>
      </c>
      <c r="J5979" s="61">
        <f t="shared" si="57"/>
        <v>-43.97</v>
      </c>
    </row>
    <row r="5980" spans="1:10" x14ac:dyDescent="0.25">
      <c r="A5980" s="20">
        <v>45900</v>
      </c>
      <c r="B5980" t="s">
        <v>1787</v>
      </c>
      <c r="C5980" t="s">
        <v>23</v>
      </c>
      <c r="D5980" s="61">
        <v>6238.4</v>
      </c>
      <c r="F5980" s="61">
        <v>0</v>
      </c>
      <c r="G5980" s="61">
        <v>0</v>
      </c>
      <c r="H5980" s="61">
        <v>0</v>
      </c>
      <c r="I5980" s="61">
        <v>0</v>
      </c>
      <c r="J5980" s="61">
        <f t="shared" si="57"/>
        <v>6238.4</v>
      </c>
    </row>
    <row r="5981" spans="1:10" x14ac:dyDescent="0.25">
      <c r="A5981" s="20">
        <v>45900</v>
      </c>
      <c r="B5981" t="s">
        <v>1792</v>
      </c>
      <c r="C5981" t="s">
        <v>192</v>
      </c>
      <c r="D5981" s="61">
        <v>0</v>
      </c>
      <c r="F5981" s="61">
        <v>0</v>
      </c>
      <c r="G5981" s="61">
        <v>0</v>
      </c>
      <c r="H5981" s="61">
        <v>0</v>
      </c>
      <c r="I5981" s="61">
        <v>215.25</v>
      </c>
      <c r="J5981" s="61">
        <f t="shared" si="57"/>
        <v>215.25</v>
      </c>
    </row>
    <row r="5982" spans="1:10" x14ac:dyDescent="0.25">
      <c r="A5982" s="20">
        <v>45900</v>
      </c>
      <c r="B5982" t="s">
        <v>1793</v>
      </c>
      <c r="C5982" t="s">
        <v>919</v>
      </c>
      <c r="D5982" s="61">
        <v>1986.05</v>
      </c>
      <c r="F5982" s="61">
        <v>0</v>
      </c>
      <c r="G5982" s="61">
        <v>0</v>
      </c>
      <c r="H5982" s="61">
        <v>0</v>
      </c>
      <c r="I5982" s="61">
        <v>0</v>
      </c>
      <c r="J5982" s="61">
        <f t="shared" si="57"/>
        <v>1986.05</v>
      </c>
    </row>
    <row r="5983" spans="1:10" x14ac:dyDescent="0.25">
      <c r="A5983" s="20">
        <v>45900</v>
      </c>
      <c r="B5983" t="s">
        <v>1794</v>
      </c>
      <c r="C5983" t="s">
        <v>193</v>
      </c>
      <c r="D5983" s="61">
        <v>-4648.4399999999996</v>
      </c>
      <c r="F5983" s="61">
        <v>0</v>
      </c>
      <c r="G5983" s="61">
        <v>0</v>
      </c>
      <c r="H5983" s="61">
        <v>0</v>
      </c>
      <c r="I5983" s="61">
        <v>0</v>
      </c>
      <c r="J5983" s="61">
        <f t="shared" si="57"/>
        <v>-4648.4399999999996</v>
      </c>
    </row>
    <row r="5984" spans="1:10" x14ac:dyDescent="0.25">
      <c r="A5984" s="20">
        <v>45900</v>
      </c>
      <c r="B5984" t="s">
        <v>1796</v>
      </c>
      <c r="C5984" t="s">
        <v>455</v>
      </c>
      <c r="D5984" s="61">
        <v>290.37</v>
      </c>
      <c r="F5984" s="61">
        <v>0</v>
      </c>
      <c r="G5984" s="61">
        <v>0</v>
      </c>
      <c r="H5984" s="61">
        <v>0</v>
      </c>
      <c r="I5984" s="61">
        <v>0</v>
      </c>
      <c r="J5984" s="61">
        <f t="shared" si="57"/>
        <v>290.37</v>
      </c>
    </row>
    <row r="5985" spans="1:10" x14ac:dyDescent="0.25">
      <c r="A5985" s="20">
        <v>45900</v>
      </c>
      <c r="B5985" t="s">
        <v>1806</v>
      </c>
      <c r="C5985" t="s">
        <v>194</v>
      </c>
      <c r="D5985" s="61">
        <v>958.31</v>
      </c>
      <c r="F5985" s="61">
        <v>0</v>
      </c>
      <c r="G5985" s="61">
        <v>0</v>
      </c>
      <c r="H5985" s="61">
        <v>0</v>
      </c>
      <c r="I5985" s="61">
        <v>-117.9</v>
      </c>
      <c r="J5985" s="61">
        <f t="shared" si="57"/>
        <v>840.41</v>
      </c>
    </row>
    <row r="5986" spans="1:10" x14ac:dyDescent="0.25">
      <c r="A5986" s="20">
        <v>45900</v>
      </c>
      <c r="B5986" t="s">
        <v>1807</v>
      </c>
      <c r="C5986" t="s">
        <v>24</v>
      </c>
      <c r="D5986" s="61">
        <v>6525.57</v>
      </c>
      <c r="F5986" s="61">
        <v>0</v>
      </c>
      <c r="G5986" s="61">
        <v>0</v>
      </c>
      <c r="H5986" s="61">
        <v>500.03</v>
      </c>
      <c r="I5986" s="61">
        <v>-142.84</v>
      </c>
      <c r="J5986" s="61">
        <f t="shared" si="57"/>
        <v>6882.7599999999993</v>
      </c>
    </row>
    <row r="5987" spans="1:10" x14ac:dyDescent="0.25">
      <c r="A5987" s="20">
        <v>45900</v>
      </c>
      <c r="B5987" t="s">
        <v>1808</v>
      </c>
      <c r="C5987" t="s">
        <v>195</v>
      </c>
      <c r="D5987" s="61">
        <v>14438.4</v>
      </c>
      <c r="F5987" s="61">
        <v>0</v>
      </c>
      <c r="G5987" s="61">
        <v>0</v>
      </c>
      <c r="H5987" s="61">
        <v>0</v>
      </c>
      <c r="I5987" s="61">
        <v>0</v>
      </c>
      <c r="J5987" s="61">
        <f t="shared" si="57"/>
        <v>14438.4</v>
      </c>
    </row>
    <row r="5988" spans="1:10" x14ac:dyDescent="0.25">
      <c r="A5988" s="20">
        <v>45900</v>
      </c>
      <c r="B5988" t="s">
        <v>1828</v>
      </c>
      <c r="C5988" t="s">
        <v>876</v>
      </c>
      <c r="D5988" s="61">
        <v>0</v>
      </c>
      <c r="F5988" s="61">
        <v>0</v>
      </c>
      <c r="G5988" s="61">
        <v>-1112.8</v>
      </c>
      <c r="H5988" s="61">
        <v>0</v>
      </c>
      <c r="I5988" s="61">
        <v>0</v>
      </c>
      <c r="J5988" s="61">
        <f t="shared" si="57"/>
        <v>-1112.8</v>
      </c>
    </row>
    <row r="5989" spans="1:10" x14ac:dyDescent="0.25">
      <c r="A5989" s="20">
        <v>45900</v>
      </c>
      <c r="B5989" t="s">
        <v>1829</v>
      </c>
      <c r="C5989" t="s">
        <v>199</v>
      </c>
      <c r="D5989" s="61">
        <v>6990</v>
      </c>
      <c r="F5989" s="61">
        <v>0</v>
      </c>
      <c r="G5989" s="61">
        <v>0</v>
      </c>
      <c r="H5989" s="61">
        <v>0</v>
      </c>
      <c r="I5989" s="61">
        <v>0</v>
      </c>
      <c r="J5989" s="61">
        <f t="shared" si="57"/>
        <v>6990</v>
      </c>
    </row>
    <row r="5990" spans="1:10" x14ac:dyDescent="0.25">
      <c r="A5990" s="20">
        <v>45900</v>
      </c>
      <c r="B5990" t="s">
        <v>1833</v>
      </c>
      <c r="C5990" t="s">
        <v>25</v>
      </c>
      <c r="D5990" s="61">
        <v>0</v>
      </c>
      <c r="F5990" s="61">
        <v>0</v>
      </c>
      <c r="G5990" s="61">
        <v>0</v>
      </c>
      <c r="H5990" s="61">
        <v>0</v>
      </c>
      <c r="I5990" s="61">
        <v>-303.5</v>
      </c>
      <c r="J5990" s="61">
        <f t="shared" si="57"/>
        <v>-303.5</v>
      </c>
    </row>
    <row r="5991" spans="1:10" x14ac:dyDescent="0.25">
      <c r="A5991" s="20">
        <v>45900</v>
      </c>
      <c r="B5991" t="s">
        <v>1834</v>
      </c>
      <c r="C5991" t="s">
        <v>200</v>
      </c>
      <c r="D5991" s="61">
        <v>396.58</v>
      </c>
      <c r="F5991" s="61">
        <v>0</v>
      </c>
      <c r="G5991" s="61">
        <v>0</v>
      </c>
      <c r="H5991" s="61">
        <v>0</v>
      </c>
      <c r="I5991" s="61">
        <v>0</v>
      </c>
      <c r="J5991" s="61">
        <f t="shared" si="57"/>
        <v>396.58</v>
      </c>
    </row>
    <row r="5992" spans="1:10" x14ac:dyDescent="0.25">
      <c r="A5992" s="20">
        <v>45900</v>
      </c>
      <c r="B5992" t="s">
        <v>1844</v>
      </c>
      <c r="C5992" t="s">
        <v>400</v>
      </c>
      <c r="D5992" s="61">
        <v>8384.1</v>
      </c>
      <c r="F5992" s="61">
        <v>0</v>
      </c>
      <c r="G5992" s="61">
        <v>0</v>
      </c>
      <c r="H5992" s="61">
        <v>0</v>
      </c>
      <c r="I5992" s="61">
        <v>0</v>
      </c>
      <c r="J5992" s="61">
        <f t="shared" si="57"/>
        <v>8384.1</v>
      </c>
    </row>
    <row r="5993" spans="1:10" x14ac:dyDescent="0.25">
      <c r="A5993" s="20">
        <v>45900</v>
      </c>
      <c r="B5993" t="s">
        <v>1851</v>
      </c>
      <c r="C5993" t="s">
        <v>921</v>
      </c>
      <c r="D5993" s="61">
        <v>590.64</v>
      </c>
      <c r="F5993" s="61">
        <v>0</v>
      </c>
      <c r="G5993" s="61">
        <v>0</v>
      </c>
      <c r="H5993" s="61">
        <v>0</v>
      </c>
      <c r="I5993" s="61">
        <v>0</v>
      </c>
      <c r="J5993" s="61">
        <f t="shared" si="57"/>
        <v>590.64</v>
      </c>
    </row>
    <row r="5994" spans="1:10" x14ac:dyDescent="0.25">
      <c r="A5994" s="20">
        <v>45900</v>
      </c>
      <c r="B5994" t="s">
        <v>1860</v>
      </c>
      <c r="C5994" t="s">
        <v>202</v>
      </c>
      <c r="D5994" s="61">
        <v>0</v>
      </c>
      <c r="F5994" s="61">
        <v>-33.26</v>
      </c>
      <c r="G5994" s="61">
        <v>0</v>
      </c>
      <c r="H5994" s="61">
        <v>0</v>
      </c>
      <c r="I5994" s="61">
        <v>0</v>
      </c>
      <c r="J5994" s="61">
        <f t="shared" si="57"/>
        <v>-33.26</v>
      </c>
    </row>
    <row r="5995" spans="1:10" x14ac:dyDescent="0.25">
      <c r="A5995" s="20">
        <v>45900</v>
      </c>
      <c r="B5995" t="s">
        <v>1875</v>
      </c>
      <c r="C5995" t="s">
        <v>205</v>
      </c>
      <c r="D5995" s="61">
        <v>16827.34</v>
      </c>
      <c r="F5995" s="61">
        <v>5348.93</v>
      </c>
      <c r="G5995" s="61">
        <v>436.99</v>
      </c>
      <c r="H5995" s="61">
        <v>0</v>
      </c>
      <c r="I5995" s="61">
        <v>336.28</v>
      </c>
      <c r="J5995" s="61">
        <f t="shared" si="57"/>
        <v>22949.54</v>
      </c>
    </row>
    <row r="5996" spans="1:10" x14ac:dyDescent="0.25">
      <c r="A5996" s="20">
        <v>45900</v>
      </c>
      <c r="B5996" t="s">
        <v>1883</v>
      </c>
      <c r="C5996" t="s">
        <v>207</v>
      </c>
      <c r="D5996" s="61">
        <v>8301.4</v>
      </c>
      <c r="F5996" s="61">
        <v>-916.8</v>
      </c>
      <c r="G5996" s="61">
        <v>0</v>
      </c>
      <c r="H5996" s="61">
        <v>0</v>
      </c>
      <c r="I5996" s="61">
        <v>0</v>
      </c>
      <c r="J5996" s="61">
        <f t="shared" si="57"/>
        <v>7384.5999999999995</v>
      </c>
    </row>
    <row r="5997" spans="1:10" x14ac:dyDescent="0.25">
      <c r="A5997" s="20">
        <v>45900</v>
      </c>
      <c r="B5997" t="s">
        <v>1924</v>
      </c>
      <c r="C5997" t="s">
        <v>28</v>
      </c>
      <c r="D5997" s="61">
        <v>52.79</v>
      </c>
      <c r="F5997" s="61">
        <v>0</v>
      </c>
      <c r="G5997" s="61">
        <v>0</v>
      </c>
      <c r="H5997" s="61">
        <v>0</v>
      </c>
      <c r="I5997" s="61">
        <v>0</v>
      </c>
      <c r="J5997" s="61">
        <f t="shared" si="57"/>
        <v>52.79</v>
      </c>
    </row>
    <row r="5998" spans="1:10" x14ac:dyDescent="0.25">
      <c r="A5998" s="20">
        <v>45900</v>
      </c>
      <c r="B5998" t="s">
        <v>1950</v>
      </c>
      <c r="C5998" t="s">
        <v>219</v>
      </c>
      <c r="D5998" s="61">
        <v>10405.06</v>
      </c>
      <c r="F5998" s="61">
        <v>0</v>
      </c>
      <c r="G5998" s="61">
        <v>-398.23</v>
      </c>
      <c r="H5998" s="61">
        <v>0</v>
      </c>
      <c r="I5998" s="61">
        <v>-23.66</v>
      </c>
      <c r="J5998" s="61">
        <f t="shared" ref="J5998:J6061" si="58">SUM(D5998:I5998)</f>
        <v>9983.17</v>
      </c>
    </row>
    <row r="5999" spans="1:10" x14ac:dyDescent="0.25">
      <c r="A5999" s="20">
        <v>45900</v>
      </c>
      <c r="B5999" t="s">
        <v>1960</v>
      </c>
      <c r="C5999" t="s">
        <v>502</v>
      </c>
      <c r="D5999" s="61">
        <v>0</v>
      </c>
      <c r="F5999" s="61">
        <v>0</v>
      </c>
      <c r="G5999" s="61">
        <v>0</v>
      </c>
      <c r="H5999" s="61">
        <v>0</v>
      </c>
      <c r="I5999" s="61">
        <v>-9.48</v>
      </c>
      <c r="J5999" s="61">
        <f t="shared" si="58"/>
        <v>-9.48</v>
      </c>
    </row>
    <row r="6000" spans="1:10" x14ac:dyDescent="0.25">
      <c r="A6000" s="20">
        <v>45900</v>
      </c>
      <c r="B6000" t="s">
        <v>1976</v>
      </c>
      <c r="C6000" t="s">
        <v>29</v>
      </c>
      <c r="D6000" s="61">
        <v>199223.8</v>
      </c>
      <c r="F6000" s="61">
        <v>8442.24</v>
      </c>
      <c r="G6000" s="61">
        <v>1200</v>
      </c>
      <c r="H6000" s="61">
        <v>849</v>
      </c>
      <c r="I6000" s="61">
        <v>-414</v>
      </c>
      <c r="J6000" s="61">
        <f t="shared" si="58"/>
        <v>209301.03999999998</v>
      </c>
    </row>
    <row r="6001" spans="1:10" x14ac:dyDescent="0.25">
      <c r="A6001" s="20">
        <v>45900</v>
      </c>
      <c r="B6001" t="s">
        <v>1987</v>
      </c>
      <c r="C6001" t="s">
        <v>227</v>
      </c>
      <c r="D6001" s="61">
        <v>635</v>
      </c>
      <c r="F6001" s="61">
        <v>0</v>
      </c>
      <c r="G6001" s="61">
        <v>0</v>
      </c>
      <c r="H6001" s="61">
        <v>0</v>
      </c>
      <c r="I6001" s="61">
        <v>0</v>
      </c>
      <c r="J6001" s="61">
        <f t="shared" si="58"/>
        <v>635</v>
      </c>
    </row>
    <row r="6002" spans="1:10" x14ac:dyDescent="0.25">
      <c r="A6002" s="20">
        <v>45900</v>
      </c>
      <c r="B6002" t="s">
        <v>1988</v>
      </c>
      <c r="C6002" t="s">
        <v>864</v>
      </c>
      <c r="D6002" s="61">
        <v>-368</v>
      </c>
      <c r="F6002" s="61">
        <v>0</v>
      </c>
      <c r="G6002" s="61">
        <v>0</v>
      </c>
      <c r="H6002" s="61">
        <v>0</v>
      </c>
      <c r="I6002" s="61">
        <v>0</v>
      </c>
      <c r="J6002" s="61">
        <f t="shared" si="58"/>
        <v>-368</v>
      </c>
    </row>
    <row r="6003" spans="1:10" x14ac:dyDescent="0.25">
      <c r="A6003" s="20">
        <v>45900</v>
      </c>
      <c r="B6003" t="s">
        <v>2006</v>
      </c>
      <c r="C6003" t="s">
        <v>624</v>
      </c>
      <c r="D6003" s="61">
        <v>53173</v>
      </c>
      <c r="F6003" s="61">
        <v>0</v>
      </c>
      <c r="G6003" s="61">
        <v>0</v>
      </c>
      <c r="H6003" s="61">
        <v>0</v>
      </c>
      <c r="I6003" s="61">
        <v>0</v>
      </c>
      <c r="J6003" s="61">
        <f t="shared" si="58"/>
        <v>53173</v>
      </c>
    </row>
    <row r="6004" spans="1:10" x14ac:dyDescent="0.25">
      <c r="A6004" s="20">
        <v>45900</v>
      </c>
      <c r="B6004" t="s">
        <v>2007</v>
      </c>
      <c r="C6004" t="s">
        <v>2008</v>
      </c>
      <c r="D6004" s="61">
        <v>0</v>
      </c>
      <c r="F6004" s="61">
        <v>-21.28</v>
      </c>
      <c r="G6004" s="61">
        <v>0</v>
      </c>
      <c r="H6004" s="61">
        <v>0</v>
      </c>
      <c r="I6004" s="61">
        <v>0</v>
      </c>
      <c r="J6004" s="61">
        <f t="shared" si="58"/>
        <v>-21.28</v>
      </c>
    </row>
    <row r="6005" spans="1:10" x14ac:dyDescent="0.25">
      <c r="A6005" s="20">
        <v>45900</v>
      </c>
      <c r="B6005" t="s">
        <v>2009</v>
      </c>
      <c r="C6005" t="s">
        <v>560</v>
      </c>
      <c r="D6005" s="61">
        <v>0</v>
      </c>
      <c r="F6005" s="61">
        <v>-12900</v>
      </c>
      <c r="G6005" s="61">
        <v>0</v>
      </c>
      <c r="H6005" s="61">
        <v>0</v>
      </c>
      <c r="I6005" s="61">
        <v>0</v>
      </c>
      <c r="J6005" s="61">
        <f t="shared" si="58"/>
        <v>-12900</v>
      </c>
    </row>
    <row r="6006" spans="1:10" x14ac:dyDescent="0.25">
      <c r="A6006" s="20">
        <v>45900</v>
      </c>
      <c r="B6006" t="s">
        <v>2024</v>
      </c>
      <c r="C6006" t="s">
        <v>239</v>
      </c>
      <c r="D6006" s="61">
        <v>0</v>
      </c>
      <c r="F6006" s="61">
        <v>-59.15</v>
      </c>
      <c r="G6006" s="61">
        <v>0</v>
      </c>
      <c r="H6006" s="61">
        <v>0</v>
      </c>
      <c r="I6006" s="61">
        <v>0</v>
      </c>
      <c r="J6006" s="61">
        <f t="shared" si="58"/>
        <v>-59.15</v>
      </c>
    </row>
    <row r="6007" spans="1:10" x14ac:dyDescent="0.25">
      <c r="A6007" s="20">
        <v>45900</v>
      </c>
      <c r="B6007" t="s">
        <v>2029</v>
      </c>
      <c r="C6007" t="s">
        <v>241</v>
      </c>
      <c r="D6007" s="61">
        <v>1800</v>
      </c>
      <c r="F6007" s="61">
        <v>0</v>
      </c>
      <c r="G6007" s="61">
        <v>0</v>
      </c>
      <c r="H6007" s="61">
        <v>0</v>
      </c>
      <c r="I6007" s="61">
        <v>0</v>
      </c>
      <c r="J6007" s="61">
        <f t="shared" si="58"/>
        <v>1800</v>
      </c>
    </row>
    <row r="6008" spans="1:10" x14ac:dyDescent="0.25">
      <c r="A6008" s="20">
        <v>45900</v>
      </c>
      <c r="B6008" t="s">
        <v>2033</v>
      </c>
      <c r="C6008" t="s">
        <v>243</v>
      </c>
      <c r="D6008" s="61">
        <v>720</v>
      </c>
      <c r="F6008" s="61">
        <v>0</v>
      </c>
      <c r="G6008" s="61">
        <v>0</v>
      </c>
      <c r="H6008" s="61">
        <v>0</v>
      </c>
      <c r="I6008" s="61">
        <v>0</v>
      </c>
      <c r="J6008" s="61">
        <f t="shared" si="58"/>
        <v>720</v>
      </c>
    </row>
    <row r="6009" spans="1:10" x14ac:dyDescent="0.25">
      <c r="A6009" s="20">
        <v>45900</v>
      </c>
      <c r="B6009" t="s">
        <v>2058</v>
      </c>
      <c r="C6009" t="s">
        <v>30</v>
      </c>
      <c r="D6009" s="61">
        <v>412921.16</v>
      </c>
      <c r="F6009" s="61">
        <v>14302.33</v>
      </c>
      <c r="G6009" s="61">
        <v>0</v>
      </c>
      <c r="H6009" s="61">
        <v>0</v>
      </c>
      <c r="I6009" s="61">
        <v>0</v>
      </c>
      <c r="J6009" s="61">
        <f t="shared" si="58"/>
        <v>427223.49</v>
      </c>
    </row>
    <row r="6010" spans="1:10" x14ac:dyDescent="0.25">
      <c r="A6010" s="20">
        <v>45900</v>
      </c>
      <c r="B6010" t="s">
        <v>2060</v>
      </c>
      <c r="C6010" t="s">
        <v>244</v>
      </c>
      <c r="D6010" s="61">
        <v>9541.39</v>
      </c>
      <c r="F6010" s="61">
        <v>0</v>
      </c>
      <c r="G6010" s="61">
        <v>0</v>
      </c>
      <c r="H6010" s="61">
        <v>0</v>
      </c>
      <c r="I6010" s="61">
        <v>0</v>
      </c>
      <c r="J6010" s="61">
        <f t="shared" si="58"/>
        <v>9541.39</v>
      </c>
    </row>
    <row r="6011" spans="1:10" x14ac:dyDescent="0.25">
      <c r="A6011" s="20">
        <v>45900</v>
      </c>
      <c r="B6011" t="s">
        <v>2074</v>
      </c>
      <c r="C6011" t="s">
        <v>880</v>
      </c>
      <c r="D6011" s="61">
        <v>0</v>
      </c>
      <c r="F6011" s="61">
        <v>0</v>
      </c>
      <c r="G6011" s="61">
        <v>-1101.18</v>
      </c>
      <c r="H6011" s="61">
        <v>0</v>
      </c>
      <c r="I6011" s="61">
        <v>0</v>
      </c>
      <c r="J6011" s="61">
        <f t="shared" si="58"/>
        <v>-1101.18</v>
      </c>
    </row>
    <row r="6012" spans="1:10" x14ac:dyDescent="0.25">
      <c r="A6012" s="20">
        <v>45900</v>
      </c>
      <c r="B6012" t="s">
        <v>2076</v>
      </c>
      <c r="C6012" t="s">
        <v>247</v>
      </c>
      <c r="D6012" s="61">
        <v>0</v>
      </c>
      <c r="F6012" s="61">
        <v>0</v>
      </c>
      <c r="G6012" s="61">
        <v>-42.56</v>
      </c>
      <c r="H6012" s="61">
        <v>0</v>
      </c>
      <c r="I6012" s="61">
        <v>0</v>
      </c>
      <c r="J6012" s="61">
        <f t="shared" si="58"/>
        <v>-42.56</v>
      </c>
    </row>
    <row r="6013" spans="1:10" x14ac:dyDescent="0.25">
      <c r="A6013" s="20">
        <v>45900</v>
      </c>
      <c r="B6013" t="s">
        <v>2081</v>
      </c>
      <c r="C6013" t="s">
        <v>465</v>
      </c>
      <c r="D6013" s="61">
        <v>1078</v>
      </c>
      <c r="F6013" s="61">
        <v>0</v>
      </c>
      <c r="G6013" s="61">
        <v>0</v>
      </c>
      <c r="H6013" s="61">
        <v>0</v>
      </c>
      <c r="I6013" s="61">
        <v>0</v>
      </c>
      <c r="J6013" s="61">
        <f t="shared" si="58"/>
        <v>1078</v>
      </c>
    </row>
    <row r="6014" spans="1:10" x14ac:dyDescent="0.25">
      <c r="A6014" s="20">
        <v>45900</v>
      </c>
      <c r="B6014" t="s">
        <v>2083</v>
      </c>
      <c r="C6014" t="s">
        <v>741</v>
      </c>
      <c r="D6014" s="61">
        <v>814</v>
      </c>
      <c r="F6014" s="61">
        <v>0</v>
      </c>
      <c r="G6014" s="61">
        <v>0</v>
      </c>
      <c r="H6014" s="61">
        <v>0</v>
      </c>
      <c r="I6014" s="61">
        <v>0</v>
      </c>
      <c r="J6014" s="61">
        <f t="shared" si="58"/>
        <v>814</v>
      </c>
    </row>
    <row r="6015" spans="1:10" x14ac:dyDescent="0.25">
      <c r="A6015" s="20">
        <v>45900</v>
      </c>
      <c r="B6015" t="s">
        <v>2097</v>
      </c>
      <c r="C6015" t="s">
        <v>407</v>
      </c>
      <c r="D6015" s="61">
        <v>2370</v>
      </c>
      <c r="F6015" s="61">
        <v>0</v>
      </c>
      <c r="G6015" s="61">
        <v>0</v>
      </c>
      <c r="H6015" s="61">
        <v>0</v>
      </c>
      <c r="I6015" s="61">
        <v>0</v>
      </c>
      <c r="J6015" s="61">
        <f t="shared" si="58"/>
        <v>2370</v>
      </c>
    </row>
    <row r="6016" spans="1:10" x14ac:dyDescent="0.25">
      <c r="A6016" s="20">
        <v>45900</v>
      </c>
      <c r="B6016" t="s">
        <v>2108</v>
      </c>
      <c r="C6016" t="s">
        <v>683</v>
      </c>
      <c r="D6016" s="61">
        <v>157242.70000000001</v>
      </c>
      <c r="F6016" s="61">
        <v>0</v>
      </c>
      <c r="G6016" s="61">
        <v>0</v>
      </c>
      <c r="H6016" s="61">
        <v>0</v>
      </c>
      <c r="I6016" s="61">
        <v>0</v>
      </c>
      <c r="J6016" s="61">
        <f t="shared" si="58"/>
        <v>157242.70000000001</v>
      </c>
    </row>
    <row r="6017" spans="1:10" x14ac:dyDescent="0.25">
      <c r="A6017" s="20">
        <v>45900</v>
      </c>
      <c r="B6017" t="s">
        <v>2109</v>
      </c>
      <c r="C6017" t="s">
        <v>252</v>
      </c>
      <c r="D6017" s="61">
        <v>198.35</v>
      </c>
      <c r="F6017" s="61">
        <v>-64.099999999999994</v>
      </c>
      <c r="G6017" s="61">
        <v>0</v>
      </c>
      <c r="H6017" s="61">
        <v>-103.32</v>
      </c>
      <c r="I6017" s="61">
        <v>0</v>
      </c>
      <c r="J6017" s="61">
        <f t="shared" si="58"/>
        <v>30.930000000000007</v>
      </c>
    </row>
    <row r="6018" spans="1:10" x14ac:dyDescent="0.25">
      <c r="A6018" s="20">
        <v>45900</v>
      </c>
      <c r="B6018" t="s">
        <v>2113</v>
      </c>
      <c r="C6018" t="s">
        <v>254</v>
      </c>
      <c r="D6018" s="61">
        <v>1342</v>
      </c>
      <c r="F6018" s="61">
        <v>0</v>
      </c>
      <c r="G6018" s="61">
        <v>0</v>
      </c>
      <c r="H6018" s="61">
        <v>0</v>
      </c>
      <c r="I6018" s="61">
        <v>0</v>
      </c>
      <c r="J6018" s="61">
        <f t="shared" si="58"/>
        <v>1342</v>
      </c>
    </row>
    <row r="6019" spans="1:10" x14ac:dyDescent="0.25">
      <c r="A6019" s="20">
        <v>45900</v>
      </c>
      <c r="B6019" t="s">
        <v>2118</v>
      </c>
      <c r="C6019" t="s">
        <v>684</v>
      </c>
      <c r="D6019" s="61">
        <v>0</v>
      </c>
      <c r="F6019" s="61">
        <v>0</v>
      </c>
      <c r="G6019" s="61">
        <v>0</v>
      </c>
      <c r="H6019" s="61">
        <v>-18.45</v>
      </c>
      <c r="I6019" s="61">
        <v>0</v>
      </c>
      <c r="J6019" s="61">
        <f t="shared" si="58"/>
        <v>-18.45</v>
      </c>
    </row>
    <row r="6020" spans="1:10" x14ac:dyDescent="0.25">
      <c r="A6020" s="20">
        <v>45900</v>
      </c>
      <c r="B6020" t="s">
        <v>2162</v>
      </c>
      <c r="C6020" t="s">
        <v>32</v>
      </c>
      <c r="D6020" s="61">
        <v>2699.91</v>
      </c>
      <c r="F6020" s="61">
        <v>994.56</v>
      </c>
      <c r="G6020" s="61">
        <v>516.22</v>
      </c>
      <c r="H6020" s="61">
        <v>-65.28</v>
      </c>
      <c r="I6020" s="61">
        <v>1416.17</v>
      </c>
      <c r="J6020" s="61">
        <f t="shared" si="58"/>
        <v>5561.58</v>
      </c>
    </row>
    <row r="6021" spans="1:10" x14ac:dyDescent="0.25">
      <c r="A6021" s="20">
        <v>45900</v>
      </c>
      <c r="B6021" t="s">
        <v>2163</v>
      </c>
      <c r="C6021" t="s">
        <v>259</v>
      </c>
      <c r="D6021" s="61">
        <v>373</v>
      </c>
      <c r="F6021" s="61">
        <v>0</v>
      </c>
      <c r="G6021" s="61">
        <v>0</v>
      </c>
      <c r="H6021" s="61">
        <v>0</v>
      </c>
      <c r="I6021" s="61">
        <v>0</v>
      </c>
      <c r="J6021" s="61">
        <f t="shared" si="58"/>
        <v>373</v>
      </c>
    </row>
    <row r="6022" spans="1:10" x14ac:dyDescent="0.25">
      <c r="A6022" s="20">
        <v>45900</v>
      </c>
      <c r="B6022" t="s">
        <v>2166</v>
      </c>
      <c r="C6022" t="s">
        <v>468</v>
      </c>
      <c r="D6022" s="61">
        <v>0</v>
      </c>
      <c r="F6022" s="61">
        <v>792</v>
      </c>
      <c r="G6022" s="61">
        <v>0</v>
      </c>
      <c r="H6022" s="61">
        <v>0</v>
      </c>
      <c r="I6022" s="61">
        <v>0</v>
      </c>
      <c r="J6022" s="61">
        <f t="shared" si="58"/>
        <v>792</v>
      </c>
    </row>
    <row r="6023" spans="1:10" x14ac:dyDescent="0.25">
      <c r="A6023" s="20">
        <v>45900</v>
      </c>
      <c r="B6023" t="s">
        <v>2169</v>
      </c>
      <c r="C6023" t="s">
        <v>882</v>
      </c>
      <c r="D6023" s="61">
        <v>1360</v>
      </c>
      <c r="F6023" s="61">
        <v>0</v>
      </c>
      <c r="G6023" s="61">
        <v>0</v>
      </c>
      <c r="H6023" s="61">
        <v>0</v>
      </c>
      <c r="I6023" s="61">
        <v>0</v>
      </c>
      <c r="J6023" s="61">
        <f t="shared" si="58"/>
        <v>1360</v>
      </c>
    </row>
    <row r="6024" spans="1:10" x14ac:dyDescent="0.25">
      <c r="A6024" s="20">
        <v>45900</v>
      </c>
      <c r="B6024" t="s">
        <v>2170</v>
      </c>
      <c r="C6024" t="s">
        <v>2171</v>
      </c>
      <c r="D6024" s="61">
        <v>0</v>
      </c>
      <c r="F6024" s="61">
        <v>-10171.879999999999</v>
      </c>
      <c r="G6024" s="61">
        <v>0</v>
      </c>
      <c r="H6024" s="61">
        <v>0</v>
      </c>
      <c r="I6024" s="61">
        <v>0</v>
      </c>
      <c r="J6024" s="61">
        <f t="shared" si="58"/>
        <v>-10171.879999999999</v>
      </c>
    </row>
    <row r="6025" spans="1:10" x14ac:dyDescent="0.25">
      <c r="A6025" s="20">
        <v>45900</v>
      </c>
      <c r="B6025" t="s">
        <v>2175</v>
      </c>
      <c r="C6025" t="s">
        <v>408</v>
      </c>
      <c r="D6025" s="61">
        <v>0</v>
      </c>
      <c r="F6025" s="61">
        <v>0</v>
      </c>
      <c r="G6025" s="61">
        <v>0</v>
      </c>
      <c r="H6025" s="61">
        <v>0</v>
      </c>
      <c r="I6025" s="61">
        <v>-196.34</v>
      </c>
      <c r="J6025" s="61">
        <f t="shared" si="58"/>
        <v>-196.34</v>
      </c>
    </row>
    <row r="6026" spans="1:10" x14ac:dyDescent="0.25">
      <c r="A6026" s="20">
        <v>45900</v>
      </c>
      <c r="B6026" t="s">
        <v>2182</v>
      </c>
      <c r="C6026" t="s">
        <v>514</v>
      </c>
      <c r="D6026" s="61">
        <v>0</v>
      </c>
      <c r="F6026" s="61">
        <v>0</v>
      </c>
      <c r="G6026" s="61">
        <v>-53.73</v>
      </c>
      <c r="H6026" s="61">
        <v>0</v>
      </c>
      <c r="I6026" s="61">
        <v>0</v>
      </c>
      <c r="J6026" s="61">
        <f t="shared" si="58"/>
        <v>-53.73</v>
      </c>
    </row>
    <row r="6027" spans="1:10" x14ac:dyDescent="0.25">
      <c r="A6027" s="20">
        <v>45900</v>
      </c>
      <c r="B6027" t="s">
        <v>2186</v>
      </c>
      <c r="C6027" t="s">
        <v>515</v>
      </c>
      <c r="D6027" s="61">
        <v>7951.88</v>
      </c>
      <c r="F6027" s="61">
        <v>0</v>
      </c>
      <c r="G6027" s="61">
        <v>0</v>
      </c>
      <c r="H6027" s="61">
        <v>0</v>
      </c>
      <c r="I6027" s="61">
        <v>0</v>
      </c>
      <c r="J6027" s="61">
        <f t="shared" si="58"/>
        <v>7951.88</v>
      </c>
    </row>
    <row r="6028" spans="1:10" x14ac:dyDescent="0.25">
      <c r="A6028" s="20">
        <v>45900</v>
      </c>
      <c r="B6028" t="s">
        <v>2194</v>
      </c>
      <c r="C6028" t="s">
        <v>263</v>
      </c>
      <c r="D6028" s="61">
        <v>11645.75</v>
      </c>
      <c r="F6028" s="61">
        <v>0</v>
      </c>
      <c r="G6028" s="61">
        <v>0</v>
      </c>
      <c r="H6028" s="61">
        <v>0</v>
      </c>
      <c r="I6028" s="61">
        <v>0</v>
      </c>
      <c r="J6028" s="61">
        <f t="shared" si="58"/>
        <v>11645.75</v>
      </c>
    </row>
    <row r="6029" spans="1:10" x14ac:dyDescent="0.25">
      <c r="A6029" s="20">
        <v>45900</v>
      </c>
      <c r="B6029" t="s">
        <v>2202</v>
      </c>
      <c r="C6029" t="s">
        <v>633</v>
      </c>
      <c r="D6029" s="61">
        <v>7338.06</v>
      </c>
      <c r="F6029" s="61">
        <v>0</v>
      </c>
      <c r="G6029" s="61">
        <v>0</v>
      </c>
      <c r="H6029" s="61">
        <v>0</v>
      </c>
      <c r="I6029" s="61">
        <v>0</v>
      </c>
      <c r="J6029" s="61">
        <f t="shared" si="58"/>
        <v>7338.06</v>
      </c>
    </row>
    <row r="6030" spans="1:10" x14ac:dyDescent="0.25">
      <c r="A6030" s="20">
        <v>45900</v>
      </c>
      <c r="B6030" t="s">
        <v>2204</v>
      </c>
      <c r="C6030" t="s">
        <v>689</v>
      </c>
      <c r="D6030" s="61">
        <v>8501.76</v>
      </c>
      <c r="F6030" s="61">
        <v>0</v>
      </c>
      <c r="G6030" s="61">
        <v>0</v>
      </c>
      <c r="H6030" s="61">
        <v>-2038.7</v>
      </c>
      <c r="I6030" s="61">
        <v>0</v>
      </c>
      <c r="J6030" s="61">
        <f t="shared" si="58"/>
        <v>6463.06</v>
      </c>
    </row>
    <row r="6031" spans="1:10" x14ac:dyDescent="0.25">
      <c r="A6031" s="20">
        <v>45900</v>
      </c>
      <c r="B6031" t="s">
        <v>2216</v>
      </c>
      <c r="C6031" t="s">
        <v>410</v>
      </c>
      <c r="D6031" s="61">
        <v>910.54</v>
      </c>
      <c r="F6031" s="61">
        <v>0</v>
      </c>
      <c r="G6031" s="61">
        <v>0</v>
      </c>
      <c r="H6031" s="61">
        <v>0</v>
      </c>
      <c r="I6031" s="61">
        <v>0</v>
      </c>
      <c r="J6031" s="61">
        <f t="shared" si="58"/>
        <v>910.54</v>
      </c>
    </row>
    <row r="6032" spans="1:10" x14ac:dyDescent="0.25">
      <c r="A6032" s="20">
        <v>45900</v>
      </c>
      <c r="B6032" t="s">
        <v>2218</v>
      </c>
      <c r="C6032" t="s">
        <v>411</v>
      </c>
      <c r="D6032" s="61">
        <v>240</v>
      </c>
      <c r="F6032" s="61">
        <v>0</v>
      </c>
      <c r="G6032" s="61">
        <v>0</v>
      </c>
      <c r="H6032" s="61">
        <v>0</v>
      </c>
      <c r="I6032" s="61">
        <v>0</v>
      </c>
      <c r="J6032" s="61">
        <f t="shared" si="58"/>
        <v>240</v>
      </c>
    </row>
    <row r="6033" spans="1:10" x14ac:dyDescent="0.25">
      <c r="A6033" s="20">
        <v>45900</v>
      </c>
      <c r="B6033" t="s">
        <v>2220</v>
      </c>
      <c r="C6033" t="s">
        <v>33</v>
      </c>
      <c r="D6033" s="61">
        <v>4005.03</v>
      </c>
      <c r="F6033" s="61">
        <v>105.42</v>
      </c>
      <c r="G6033" s="61">
        <v>-1038.72</v>
      </c>
      <c r="H6033" s="61">
        <v>998.43</v>
      </c>
      <c r="I6033" s="61">
        <v>321.2</v>
      </c>
      <c r="J6033" s="61">
        <f t="shared" si="58"/>
        <v>4391.3599999999997</v>
      </c>
    </row>
    <row r="6034" spans="1:10" x14ac:dyDescent="0.25">
      <c r="A6034" s="20">
        <v>45900</v>
      </c>
      <c r="B6034" t="s">
        <v>2223</v>
      </c>
      <c r="C6034" t="s">
        <v>270</v>
      </c>
      <c r="D6034" s="61">
        <v>8963.56</v>
      </c>
      <c r="F6034" s="61">
        <v>0</v>
      </c>
      <c r="G6034" s="61">
        <v>0</v>
      </c>
      <c r="H6034" s="61">
        <v>0</v>
      </c>
      <c r="I6034" s="61">
        <v>0</v>
      </c>
      <c r="J6034" s="61">
        <f t="shared" si="58"/>
        <v>8963.56</v>
      </c>
    </row>
    <row r="6035" spans="1:10" x14ac:dyDescent="0.25">
      <c r="A6035" s="20">
        <v>45900</v>
      </c>
      <c r="B6035" t="s">
        <v>2227</v>
      </c>
      <c r="C6035" t="s">
        <v>271</v>
      </c>
      <c r="D6035" s="61">
        <v>0</v>
      </c>
      <c r="F6035" s="61">
        <v>0</v>
      </c>
      <c r="G6035" s="61">
        <v>0</v>
      </c>
      <c r="H6035" s="61">
        <v>0</v>
      </c>
      <c r="I6035" s="61">
        <v>-1172</v>
      </c>
      <c r="J6035" s="61">
        <f t="shared" si="58"/>
        <v>-1172</v>
      </c>
    </row>
    <row r="6036" spans="1:10" x14ac:dyDescent="0.25">
      <c r="A6036" s="20">
        <v>45900</v>
      </c>
      <c r="B6036" t="s">
        <v>2238</v>
      </c>
      <c r="C6036" t="s">
        <v>272</v>
      </c>
      <c r="D6036" s="61">
        <v>806</v>
      </c>
      <c r="F6036" s="61">
        <v>0</v>
      </c>
      <c r="G6036" s="61">
        <v>0</v>
      </c>
      <c r="H6036" s="61">
        <v>0</v>
      </c>
      <c r="I6036" s="61">
        <v>0</v>
      </c>
      <c r="J6036" s="61">
        <f t="shared" si="58"/>
        <v>806</v>
      </c>
    </row>
    <row r="6037" spans="1:10" x14ac:dyDescent="0.25">
      <c r="A6037" s="20">
        <v>45900</v>
      </c>
      <c r="B6037" t="s">
        <v>2250</v>
      </c>
      <c r="C6037" t="s">
        <v>34</v>
      </c>
      <c r="D6037" s="61">
        <v>750</v>
      </c>
      <c r="F6037" s="61">
        <v>0</v>
      </c>
      <c r="G6037" s="61">
        <v>0</v>
      </c>
      <c r="H6037" s="61">
        <v>0</v>
      </c>
      <c r="I6037" s="61">
        <v>0</v>
      </c>
      <c r="J6037" s="61">
        <f t="shared" si="58"/>
        <v>750</v>
      </c>
    </row>
    <row r="6038" spans="1:10" x14ac:dyDescent="0.25">
      <c r="A6038" s="20">
        <v>45900</v>
      </c>
      <c r="B6038" t="s">
        <v>2254</v>
      </c>
      <c r="C6038" t="s">
        <v>278</v>
      </c>
      <c r="D6038" s="61">
        <v>0</v>
      </c>
      <c r="F6038" s="61">
        <v>0</v>
      </c>
      <c r="G6038" s="61">
        <v>-1802.85</v>
      </c>
      <c r="H6038" s="61">
        <v>-0.01</v>
      </c>
      <c r="I6038" s="61">
        <v>0</v>
      </c>
      <c r="J6038" s="61">
        <f t="shared" si="58"/>
        <v>-1802.86</v>
      </c>
    </row>
    <row r="6039" spans="1:10" x14ac:dyDescent="0.25">
      <c r="A6039" s="20">
        <v>45900</v>
      </c>
      <c r="B6039" t="s">
        <v>2265</v>
      </c>
      <c r="C6039" t="s">
        <v>566</v>
      </c>
      <c r="D6039" s="61">
        <v>0</v>
      </c>
      <c r="F6039" s="61">
        <v>0</v>
      </c>
      <c r="G6039" s="61">
        <v>0</v>
      </c>
      <c r="H6039" s="61">
        <v>0</v>
      </c>
      <c r="I6039" s="61">
        <v>-14.41</v>
      </c>
      <c r="J6039" s="61">
        <f t="shared" si="58"/>
        <v>-14.41</v>
      </c>
    </row>
    <row r="6040" spans="1:10" x14ac:dyDescent="0.25">
      <c r="A6040" s="20">
        <v>45900</v>
      </c>
      <c r="B6040" t="s">
        <v>2313</v>
      </c>
      <c r="C6040" t="s">
        <v>695</v>
      </c>
      <c r="D6040" s="61">
        <v>25774.720000000001</v>
      </c>
      <c r="F6040" s="61">
        <v>0</v>
      </c>
      <c r="G6040" s="61">
        <v>0</v>
      </c>
      <c r="H6040" s="61">
        <v>0</v>
      </c>
      <c r="I6040" s="61">
        <v>0</v>
      </c>
      <c r="J6040" s="61">
        <f t="shared" si="58"/>
        <v>25774.720000000001</v>
      </c>
    </row>
    <row r="6041" spans="1:10" x14ac:dyDescent="0.25">
      <c r="A6041" s="20">
        <v>45900</v>
      </c>
      <c r="B6041" t="s">
        <v>2317</v>
      </c>
      <c r="C6041" t="s">
        <v>284</v>
      </c>
      <c r="D6041" s="61">
        <v>171222.16</v>
      </c>
      <c r="F6041" s="61">
        <v>0</v>
      </c>
      <c r="G6041" s="61">
        <v>0</v>
      </c>
      <c r="H6041" s="61">
        <v>0</v>
      </c>
      <c r="I6041" s="61">
        <v>0</v>
      </c>
      <c r="J6041" s="61">
        <f t="shared" si="58"/>
        <v>171222.16</v>
      </c>
    </row>
    <row r="6042" spans="1:10" x14ac:dyDescent="0.25">
      <c r="A6042" s="20">
        <v>45900</v>
      </c>
      <c r="B6042" t="s">
        <v>2318</v>
      </c>
      <c r="C6042" t="s">
        <v>285</v>
      </c>
      <c r="D6042" s="61">
        <v>26630.16</v>
      </c>
      <c r="F6042" s="61">
        <v>0</v>
      </c>
      <c r="G6042" s="61">
        <v>0</v>
      </c>
      <c r="H6042" s="61">
        <v>0</v>
      </c>
      <c r="I6042" s="61">
        <v>0</v>
      </c>
      <c r="J6042" s="61">
        <f t="shared" si="58"/>
        <v>26630.16</v>
      </c>
    </row>
    <row r="6043" spans="1:10" x14ac:dyDescent="0.25">
      <c r="A6043" s="20">
        <v>45900</v>
      </c>
      <c r="B6043" t="s">
        <v>2325</v>
      </c>
      <c r="C6043" t="s">
        <v>287</v>
      </c>
      <c r="D6043" s="61">
        <v>496.76</v>
      </c>
      <c r="F6043" s="61">
        <v>0</v>
      </c>
      <c r="G6043" s="61">
        <v>0</v>
      </c>
      <c r="H6043" s="61">
        <v>0</v>
      </c>
      <c r="I6043" s="61">
        <v>0</v>
      </c>
      <c r="J6043" s="61">
        <f t="shared" si="58"/>
        <v>496.76</v>
      </c>
    </row>
    <row r="6044" spans="1:10" x14ac:dyDescent="0.25">
      <c r="A6044" s="20">
        <v>45900</v>
      </c>
      <c r="B6044" t="s">
        <v>2329</v>
      </c>
      <c r="C6044" t="s">
        <v>475</v>
      </c>
      <c r="D6044" s="61">
        <v>0</v>
      </c>
      <c r="F6044" s="61">
        <v>0</v>
      </c>
      <c r="G6044" s="61">
        <v>0</v>
      </c>
      <c r="H6044" s="61">
        <v>0</v>
      </c>
      <c r="I6044" s="61">
        <v>-299.55</v>
      </c>
      <c r="J6044" s="61">
        <f t="shared" si="58"/>
        <v>-299.55</v>
      </c>
    </row>
    <row r="6045" spans="1:10" x14ac:dyDescent="0.25">
      <c r="A6045" s="20">
        <v>45900</v>
      </c>
      <c r="B6045" t="s">
        <v>2333</v>
      </c>
      <c r="C6045" t="s">
        <v>2334</v>
      </c>
      <c r="D6045" s="61">
        <v>141.01</v>
      </c>
      <c r="F6045" s="61">
        <v>0</v>
      </c>
      <c r="G6045" s="61">
        <v>0</v>
      </c>
      <c r="H6045" s="61">
        <v>0</v>
      </c>
      <c r="I6045" s="61">
        <v>0</v>
      </c>
      <c r="J6045" s="61">
        <f t="shared" si="58"/>
        <v>141.01</v>
      </c>
    </row>
    <row r="6046" spans="1:10" x14ac:dyDescent="0.25">
      <c r="A6046" s="20">
        <v>45900</v>
      </c>
      <c r="B6046" t="s">
        <v>2346</v>
      </c>
      <c r="C6046" t="s">
        <v>418</v>
      </c>
      <c r="D6046" s="61">
        <v>0</v>
      </c>
      <c r="F6046" s="61">
        <v>138</v>
      </c>
      <c r="G6046" s="61">
        <v>136.5</v>
      </c>
      <c r="H6046" s="61">
        <v>0</v>
      </c>
      <c r="I6046" s="61">
        <v>0</v>
      </c>
      <c r="J6046" s="61">
        <f t="shared" si="58"/>
        <v>274.5</v>
      </c>
    </row>
    <row r="6047" spans="1:10" x14ac:dyDescent="0.25">
      <c r="A6047" s="20">
        <v>45900</v>
      </c>
      <c r="B6047" t="s">
        <v>2349</v>
      </c>
      <c r="C6047" t="s">
        <v>290</v>
      </c>
      <c r="D6047" s="61">
        <v>0</v>
      </c>
      <c r="F6047" s="61">
        <v>0</v>
      </c>
      <c r="G6047" s="61">
        <v>30245.5</v>
      </c>
      <c r="H6047" s="61">
        <v>0</v>
      </c>
      <c r="I6047" s="61">
        <v>0</v>
      </c>
      <c r="J6047" s="61">
        <f t="shared" si="58"/>
        <v>30245.5</v>
      </c>
    </row>
    <row r="6048" spans="1:10" x14ac:dyDescent="0.25">
      <c r="A6048" s="20">
        <v>45900</v>
      </c>
      <c r="B6048" t="s">
        <v>2356</v>
      </c>
      <c r="C6048" t="s">
        <v>757</v>
      </c>
      <c r="D6048" s="61">
        <v>796.7</v>
      </c>
      <c r="F6048" s="61">
        <v>0</v>
      </c>
      <c r="G6048" s="61">
        <v>0</v>
      </c>
      <c r="H6048" s="61">
        <v>0</v>
      </c>
      <c r="I6048" s="61">
        <v>0</v>
      </c>
      <c r="J6048" s="61">
        <f t="shared" si="58"/>
        <v>796.7</v>
      </c>
    </row>
    <row r="6049" spans="1:10" x14ac:dyDescent="0.25">
      <c r="A6049" s="20">
        <v>45900</v>
      </c>
      <c r="B6049" t="s">
        <v>2366</v>
      </c>
      <c r="C6049" t="s">
        <v>2367</v>
      </c>
      <c r="D6049" s="61">
        <v>-3485</v>
      </c>
      <c r="F6049" s="61">
        <v>0</v>
      </c>
      <c r="G6049" s="61">
        <v>0</v>
      </c>
      <c r="H6049" s="61">
        <v>0</v>
      </c>
      <c r="I6049" s="61">
        <v>0</v>
      </c>
      <c r="J6049" s="61">
        <f t="shared" si="58"/>
        <v>-3485</v>
      </c>
    </row>
    <row r="6050" spans="1:10" x14ac:dyDescent="0.25">
      <c r="A6050" s="20">
        <v>45900</v>
      </c>
      <c r="B6050" t="s">
        <v>2370</v>
      </c>
      <c r="C6050" t="s">
        <v>298</v>
      </c>
      <c r="D6050" s="61">
        <v>3866.84</v>
      </c>
      <c r="F6050" s="61">
        <v>0</v>
      </c>
      <c r="G6050" s="61">
        <v>0</v>
      </c>
      <c r="H6050" s="61">
        <v>0</v>
      </c>
      <c r="I6050" s="61">
        <v>0</v>
      </c>
      <c r="J6050" s="61">
        <f t="shared" si="58"/>
        <v>3866.84</v>
      </c>
    </row>
    <row r="6051" spans="1:10" x14ac:dyDescent="0.25">
      <c r="A6051" s="20">
        <v>45900</v>
      </c>
      <c r="B6051" t="s">
        <v>2376</v>
      </c>
      <c r="C6051" t="s">
        <v>301</v>
      </c>
      <c r="D6051" s="61">
        <v>41888</v>
      </c>
      <c r="F6051" s="61">
        <v>0</v>
      </c>
      <c r="G6051" s="61">
        <v>0</v>
      </c>
      <c r="H6051" s="61">
        <v>0</v>
      </c>
      <c r="I6051" s="61">
        <v>0</v>
      </c>
      <c r="J6051" s="61">
        <f t="shared" si="58"/>
        <v>41888</v>
      </c>
    </row>
    <row r="6052" spans="1:10" x14ac:dyDescent="0.25">
      <c r="A6052" s="20">
        <v>45900</v>
      </c>
      <c r="B6052" t="s">
        <v>2380</v>
      </c>
      <c r="C6052" t="s">
        <v>419</v>
      </c>
      <c r="D6052" s="61">
        <v>202.88</v>
      </c>
      <c r="F6052" s="61">
        <v>0</v>
      </c>
      <c r="G6052" s="61">
        <v>0</v>
      </c>
      <c r="H6052" s="61">
        <v>0</v>
      </c>
      <c r="I6052" s="61">
        <v>0</v>
      </c>
      <c r="J6052" s="61">
        <f t="shared" si="58"/>
        <v>202.88</v>
      </c>
    </row>
    <row r="6053" spans="1:10" x14ac:dyDescent="0.25">
      <c r="A6053" s="20">
        <v>45900</v>
      </c>
      <c r="B6053" t="s">
        <v>2389</v>
      </c>
      <c r="C6053" t="s">
        <v>571</v>
      </c>
      <c r="D6053" s="61">
        <v>0</v>
      </c>
      <c r="F6053" s="61">
        <v>0</v>
      </c>
      <c r="G6053" s="61">
        <v>96.96</v>
      </c>
      <c r="H6053" s="61">
        <v>0</v>
      </c>
      <c r="I6053" s="61">
        <v>-19694.63</v>
      </c>
      <c r="J6053" s="61">
        <f t="shared" si="58"/>
        <v>-19597.670000000002</v>
      </c>
    </row>
    <row r="6054" spans="1:10" x14ac:dyDescent="0.25">
      <c r="A6054" s="20">
        <v>45900</v>
      </c>
      <c r="B6054" t="s">
        <v>2390</v>
      </c>
      <c r="C6054" t="s">
        <v>303</v>
      </c>
      <c r="D6054" s="61">
        <v>0</v>
      </c>
      <c r="F6054" s="61">
        <v>0</v>
      </c>
      <c r="G6054" s="61">
        <v>0</v>
      </c>
      <c r="H6054" s="61">
        <v>1323</v>
      </c>
      <c r="I6054" s="61">
        <v>0</v>
      </c>
      <c r="J6054" s="61">
        <f t="shared" si="58"/>
        <v>1323</v>
      </c>
    </row>
    <row r="6055" spans="1:10" x14ac:dyDescent="0.25">
      <c r="A6055" s="20">
        <v>45900</v>
      </c>
      <c r="B6055" t="s">
        <v>2417</v>
      </c>
      <c r="C6055" t="s">
        <v>37</v>
      </c>
      <c r="D6055" s="61">
        <v>4899.92</v>
      </c>
      <c r="F6055" s="61">
        <v>352.96</v>
      </c>
      <c r="G6055" s="61">
        <v>1550.97</v>
      </c>
      <c r="H6055" s="61">
        <v>4046.81</v>
      </c>
      <c r="I6055" s="61">
        <v>11484.57</v>
      </c>
      <c r="J6055" s="61">
        <f t="shared" si="58"/>
        <v>22335.23</v>
      </c>
    </row>
    <row r="6056" spans="1:10" x14ac:dyDescent="0.25">
      <c r="A6056" s="20">
        <v>45900</v>
      </c>
      <c r="B6056" t="s">
        <v>2420</v>
      </c>
      <c r="C6056" t="s">
        <v>308</v>
      </c>
      <c r="D6056" s="61">
        <v>45456.9</v>
      </c>
      <c r="F6056" s="61">
        <v>0</v>
      </c>
      <c r="G6056" s="61">
        <v>0</v>
      </c>
      <c r="H6056" s="61">
        <v>0</v>
      </c>
      <c r="I6056" s="61">
        <v>0</v>
      </c>
      <c r="J6056" s="61">
        <f t="shared" si="58"/>
        <v>45456.9</v>
      </c>
    </row>
    <row r="6057" spans="1:10" x14ac:dyDescent="0.25">
      <c r="A6057" s="20">
        <v>45900</v>
      </c>
      <c r="B6057" t="s">
        <v>2428</v>
      </c>
      <c r="C6057" t="s">
        <v>787</v>
      </c>
      <c r="D6057" s="61">
        <v>0</v>
      </c>
      <c r="F6057" s="61">
        <v>0</v>
      </c>
      <c r="G6057" s="61">
        <v>-13.23</v>
      </c>
      <c r="H6057" s="61">
        <v>0</v>
      </c>
      <c r="I6057" s="61">
        <v>0</v>
      </c>
      <c r="J6057" s="61">
        <f t="shared" si="58"/>
        <v>-13.23</v>
      </c>
    </row>
    <row r="6058" spans="1:10" x14ac:dyDescent="0.25">
      <c r="A6058" s="20">
        <v>45900</v>
      </c>
      <c r="B6058" t="s">
        <v>2435</v>
      </c>
      <c r="C6058" t="s">
        <v>46</v>
      </c>
      <c r="D6058" s="61">
        <v>600</v>
      </c>
      <c r="F6058" s="61">
        <v>0</v>
      </c>
      <c r="G6058" s="61">
        <v>0</v>
      </c>
      <c r="H6058" s="61">
        <v>0</v>
      </c>
      <c r="I6058" s="61">
        <v>0</v>
      </c>
      <c r="J6058" s="61">
        <f t="shared" si="58"/>
        <v>600</v>
      </c>
    </row>
    <row r="6059" spans="1:10" x14ac:dyDescent="0.25">
      <c r="A6059" s="20">
        <v>45900</v>
      </c>
      <c r="B6059" t="s">
        <v>2455</v>
      </c>
      <c r="C6059" t="s">
        <v>697</v>
      </c>
      <c r="D6059" s="61">
        <v>0</v>
      </c>
      <c r="F6059" s="61">
        <v>170.71</v>
      </c>
      <c r="G6059" s="61">
        <v>0</v>
      </c>
      <c r="H6059" s="61">
        <v>0</v>
      </c>
      <c r="I6059" s="61">
        <v>0</v>
      </c>
      <c r="J6059" s="61">
        <f t="shared" si="58"/>
        <v>170.71</v>
      </c>
    </row>
    <row r="6060" spans="1:10" x14ac:dyDescent="0.25">
      <c r="A6060" s="20">
        <v>45900</v>
      </c>
      <c r="B6060" t="s">
        <v>2490</v>
      </c>
      <c r="C6060" t="s">
        <v>49</v>
      </c>
      <c r="D6060" s="61">
        <v>197653.36</v>
      </c>
      <c r="F6060" s="61">
        <v>8574.77</v>
      </c>
      <c r="G6060" s="61">
        <v>3874.75</v>
      </c>
      <c r="H6060" s="61">
        <v>79</v>
      </c>
      <c r="I6060" s="61">
        <v>16360.6</v>
      </c>
      <c r="J6060" s="61">
        <f t="shared" si="58"/>
        <v>226542.47999999998</v>
      </c>
    </row>
    <row r="6061" spans="1:10" x14ac:dyDescent="0.25">
      <c r="A6061" s="20">
        <v>45900</v>
      </c>
      <c r="B6061" t="s">
        <v>2496</v>
      </c>
      <c r="C6061" t="s">
        <v>50</v>
      </c>
      <c r="D6061" s="61">
        <v>75216.210000000006</v>
      </c>
      <c r="F6061" s="61">
        <v>1730.28</v>
      </c>
      <c r="G6061" s="61">
        <v>11644.48</v>
      </c>
      <c r="H6061" s="61">
        <v>-518.24</v>
      </c>
      <c r="I6061" s="61">
        <v>1900.88</v>
      </c>
      <c r="J6061" s="61">
        <f t="shared" si="58"/>
        <v>89973.61</v>
      </c>
    </row>
    <row r="6062" spans="1:10" x14ac:dyDescent="0.25">
      <c r="A6062" s="20">
        <v>45900</v>
      </c>
      <c r="B6062" t="s">
        <v>2505</v>
      </c>
      <c r="C6062" t="s">
        <v>318</v>
      </c>
      <c r="D6062" s="61">
        <v>11207.13</v>
      </c>
      <c r="F6062" s="61">
        <v>0</v>
      </c>
      <c r="G6062" s="61">
        <v>0</v>
      </c>
      <c r="H6062" s="61">
        <v>0</v>
      </c>
      <c r="I6062" s="61">
        <v>0</v>
      </c>
      <c r="J6062" s="61">
        <f t="shared" ref="J6062:J6125" si="59">SUM(D6062:I6062)</f>
        <v>11207.13</v>
      </c>
    </row>
    <row r="6063" spans="1:10" x14ac:dyDescent="0.25">
      <c r="A6063" s="20">
        <v>45900</v>
      </c>
      <c r="B6063" t="s">
        <v>2530</v>
      </c>
      <c r="C6063" t="s">
        <v>321</v>
      </c>
      <c r="D6063" s="61">
        <v>0</v>
      </c>
      <c r="F6063" s="61">
        <v>0</v>
      </c>
      <c r="G6063" s="61">
        <v>0</v>
      </c>
      <c r="H6063" s="61">
        <v>0</v>
      </c>
      <c r="I6063" s="61">
        <v>-47.94</v>
      </c>
      <c r="J6063" s="61">
        <f t="shared" si="59"/>
        <v>-47.94</v>
      </c>
    </row>
    <row r="6064" spans="1:10" x14ac:dyDescent="0.25">
      <c r="A6064" s="20">
        <v>45900</v>
      </c>
      <c r="B6064" t="s">
        <v>2532</v>
      </c>
      <c r="C6064" t="s">
        <v>323</v>
      </c>
      <c r="D6064" s="61">
        <v>7464.29</v>
      </c>
      <c r="F6064" s="61">
        <v>0</v>
      </c>
      <c r="G6064" s="61">
        <v>0</v>
      </c>
      <c r="H6064" s="61">
        <v>0</v>
      </c>
      <c r="I6064" s="61">
        <v>0</v>
      </c>
      <c r="J6064" s="61">
        <f t="shared" si="59"/>
        <v>7464.29</v>
      </c>
    </row>
    <row r="6065" spans="1:10" x14ac:dyDescent="0.25">
      <c r="A6065" s="20">
        <v>45900</v>
      </c>
      <c r="B6065" t="s">
        <v>2533</v>
      </c>
      <c r="C6065" t="s">
        <v>322</v>
      </c>
      <c r="D6065" s="61">
        <v>0</v>
      </c>
      <c r="F6065" s="61">
        <v>0</v>
      </c>
      <c r="G6065" s="61">
        <v>0</v>
      </c>
      <c r="H6065" s="61">
        <v>0</v>
      </c>
      <c r="I6065" s="61">
        <v>-348.81</v>
      </c>
      <c r="J6065" s="61">
        <f t="shared" si="59"/>
        <v>-348.81</v>
      </c>
    </row>
    <row r="6066" spans="1:10" x14ac:dyDescent="0.25">
      <c r="A6066" s="20">
        <v>45900</v>
      </c>
      <c r="B6066" t="s">
        <v>2544</v>
      </c>
      <c r="C6066" t="s">
        <v>325</v>
      </c>
      <c r="D6066" s="61">
        <v>0</v>
      </c>
      <c r="F6066" s="61">
        <v>0</v>
      </c>
      <c r="G6066" s="61">
        <v>0</v>
      </c>
      <c r="H6066" s="61">
        <v>0</v>
      </c>
      <c r="I6066" s="61">
        <v>-421.28</v>
      </c>
      <c r="J6066" s="61">
        <f t="shared" si="59"/>
        <v>-421.28</v>
      </c>
    </row>
    <row r="6067" spans="1:10" x14ac:dyDescent="0.25">
      <c r="A6067" s="20">
        <v>45900</v>
      </c>
      <c r="B6067" t="s">
        <v>2548</v>
      </c>
      <c r="C6067" t="s">
        <v>524</v>
      </c>
      <c r="D6067" s="61">
        <v>11725</v>
      </c>
      <c r="F6067" s="61">
        <v>0</v>
      </c>
      <c r="G6067" s="61">
        <v>0</v>
      </c>
      <c r="H6067" s="61">
        <v>0</v>
      </c>
      <c r="I6067" s="61">
        <v>0</v>
      </c>
      <c r="J6067" s="61">
        <f t="shared" si="59"/>
        <v>11725</v>
      </c>
    </row>
    <row r="6068" spans="1:10" x14ac:dyDescent="0.25">
      <c r="A6068" s="20">
        <v>45900</v>
      </c>
      <c r="B6068" t="s">
        <v>2557</v>
      </c>
      <c r="C6068" t="s">
        <v>2558</v>
      </c>
      <c r="D6068" s="61">
        <v>2163.8200000000002</v>
      </c>
      <c r="F6068" s="61">
        <v>0</v>
      </c>
      <c r="G6068" s="61">
        <v>0</v>
      </c>
      <c r="H6068" s="61">
        <v>0</v>
      </c>
      <c r="I6068" s="61">
        <v>0</v>
      </c>
      <c r="J6068" s="61">
        <f t="shared" si="59"/>
        <v>2163.8200000000002</v>
      </c>
    </row>
    <row r="6069" spans="1:10" x14ac:dyDescent="0.25">
      <c r="A6069" s="20">
        <v>45900</v>
      </c>
      <c r="B6069" t="s">
        <v>2577</v>
      </c>
      <c r="C6069" t="s">
        <v>525</v>
      </c>
      <c r="D6069" s="61">
        <v>16087.3</v>
      </c>
      <c r="F6069" s="61">
        <v>0</v>
      </c>
      <c r="G6069" s="61">
        <v>0</v>
      </c>
      <c r="H6069" s="61">
        <v>0</v>
      </c>
      <c r="I6069" s="61">
        <v>0</v>
      </c>
      <c r="J6069" s="61">
        <f t="shared" si="59"/>
        <v>16087.3</v>
      </c>
    </row>
    <row r="6070" spans="1:10" x14ac:dyDescent="0.25">
      <c r="A6070" s="20">
        <v>45900</v>
      </c>
      <c r="B6070" t="s">
        <v>2584</v>
      </c>
      <c r="C6070" t="s">
        <v>332</v>
      </c>
      <c r="D6070" s="61">
        <v>79435.5</v>
      </c>
      <c r="F6070" s="61">
        <v>-8200</v>
      </c>
      <c r="G6070" s="61">
        <v>0</v>
      </c>
      <c r="H6070" s="61">
        <v>0</v>
      </c>
      <c r="I6070" s="61">
        <v>0</v>
      </c>
      <c r="J6070" s="61">
        <f t="shared" si="59"/>
        <v>71235.5</v>
      </c>
    </row>
    <row r="6071" spans="1:10" x14ac:dyDescent="0.25">
      <c r="A6071" s="20">
        <v>45900</v>
      </c>
      <c r="B6071" t="s">
        <v>2600</v>
      </c>
      <c r="C6071" t="s">
        <v>767</v>
      </c>
      <c r="D6071" s="61">
        <v>0</v>
      </c>
      <c r="F6071" s="61">
        <v>-354.65</v>
      </c>
      <c r="G6071" s="61">
        <v>0</v>
      </c>
      <c r="H6071" s="61">
        <v>-126.76</v>
      </c>
      <c r="I6071" s="61">
        <v>0</v>
      </c>
      <c r="J6071" s="61">
        <f t="shared" si="59"/>
        <v>-481.40999999999997</v>
      </c>
    </row>
    <row r="6072" spans="1:10" x14ac:dyDescent="0.25">
      <c r="A6072" s="20">
        <v>45900</v>
      </c>
      <c r="B6072" t="s">
        <v>2601</v>
      </c>
      <c r="C6072" t="s">
        <v>337</v>
      </c>
      <c r="D6072" s="61">
        <v>16236.2</v>
      </c>
      <c r="F6072" s="61">
        <v>0</v>
      </c>
      <c r="G6072" s="61">
        <v>0</v>
      </c>
      <c r="H6072" s="61">
        <v>0</v>
      </c>
      <c r="I6072" s="61">
        <v>0</v>
      </c>
      <c r="J6072" s="61">
        <f t="shared" si="59"/>
        <v>16236.2</v>
      </c>
    </row>
    <row r="6073" spans="1:10" x14ac:dyDescent="0.25">
      <c r="A6073" s="20">
        <v>45900</v>
      </c>
      <c r="B6073" t="s">
        <v>2616</v>
      </c>
      <c r="C6073" t="s">
        <v>592</v>
      </c>
      <c r="D6073" s="61">
        <v>0</v>
      </c>
      <c r="F6073" s="61">
        <v>0</v>
      </c>
      <c r="G6073" s="61">
        <v>0</v>
      </c>
      <c r="H6073" s="61">
        <v>0</v>
      </c>
      <c r="I6073" s="61">
        <v>-85.32</v>
      </c>
      <c r="J6073" s="61">
        <f t="shared" si="59"/>
        <v>-85.32</v>
      </c>
    </row>
    <row r="6074" spans="1:10" x14ac:dyDescent="0.25">
      <c r="A6074" s="20">
        <v>45900</v>
      </c>
      <c r="B6074" t="s">
        <v>2623</v>
      </c>
      <c r="C6074" t="s">
        <v>530</v>
      </c>
      <c r="D6074" s="61">
        <v>2309.7600000000002</v>
      </c>
      <c r="F6074" s="61">
        <v>0</v>
      </c>
      <c r="G6074" s="61">
        <v>0</v>
      </c>
      <c r="H6074" s="61">
        <v>0</v>
      </c>
      <c r="I6074" s="61">
        <v>0</v>
      </c>
      <c r="J6074" s="61">
        <f t="shared" si="59"/>
        <v>2309.7600000000002</v>
      </c>
    </row>
    <row r="6075" spans="1:10" x14ac:dyDescent="0.25">
      <c r="A6075" s="20">
        <v>45900</v>
      </c>
      <c r="B6075" t="s">
        <v>2631</v>
      </c>
      <c r="C6075" t="s">
        <v>342</v>
      </c>
      <c r="D6075" s="61">
        <v>5136</v>
      </c>
      <c r="F6075" s="61">
        <v>0</v>
      </c>
      <c r="G6075" s="61">
        <v>0</v>
      </c>
      <c r="H6075" s="61">
        <v>0</v>
      </c>
      <c r="I6075" s="61">
        <v>0</v>
      </c>
      <c r="J6075" s="61">
        <f t="shared" si="59"/>
        <v>5136</v>
      </c>
    </row>
    <row r="6076" spans="1:10" x14ac:dyDescent="0.25">
      <c r="A6076" s="20">
        <v>45900</v>
      </c>
      <c r="B6076" t="s">
        <v>2638</v>
      </c>
      <c r="C6076" t="s">
        <v>645</v>
      </c>
      <c r="D6076" s="61">
        <v>1672</v>
      </c>
      <c r="F6076" s="61">
        <v>0</v>
      </c>
      <c r="G6076" s="61">
        <v>0</v>
      </c>
      <c r="H6076" s="61">
        <v>0</v>
      </c>
      <c r="I6076" s="61">
        <v>0</v>
      </c>
      <c r="J6076" s="61">
        <f t="shared" si="59"/>
        <v>1672</v>
      </c>
    </row>
    <row r="6077" spans="1:10" x14ac:dyDescent="0.25">
      <c r="A6077" s="20">
        <v>45900</v>
      </c>
      <c r="B6077" t="s">
        <v>2648</v>
      </c>
      <c r="C6077" t="s">
        <v>345</v>
      </c>
      <c r="D6077" s="61">
        <v>34409.040000000001</v>
      </c>
      <c r="F6077" s="61">
        <v>0</v>
      </c>
      <c r="G6077" s="61">
        <v>1256</v>
      </c>
      <c r="H6077" s="61">
        <v>0</v>
      </c>
      <c r="I6077" s="61">
        <v>0</v>
      </c>
      <c r="J6077" s="61">
        <f t="shared" si="59"/>
        <v>35665.040000000001</v>
      </c>
    </row>
    <row r="6078" spans="1:10" x14ac:dyDescent="0.25">
      <c r="A6078" s="20">
        <v>45900</v>
      </c>
      <c r="B6078" t="s">
        <v>2661</v>
      </c>
      <c r="C6078" t="s">
        <v>575</v>
      </c>
      <c r="D6078" s="61">
        <v>0</v>
      </c>
      <c r="F6078" s="61">
        <v>0</v>
      </c>
      <c r="G6078" s="61">
        <v>0</v>
      </c>
      <c r="H6078" s="61">
        <v>0</v>
      </c>
      <c r="I6078" s="61">
        <v>-536.64</v>
      </c>
      <c r="J6078" s="61">
        <f t="shared" si="59"/>
        <v>-536.64</v>
      </c>
    </row>
    <row r="6079" spans="1:10" x14ac:dyDescent="0.25">
      <c r="A6079" s="20">
        <v>45900</v>
      </c>
      <c r="B6079" t="s">
        <v>2689</v>
      </c>
      <c r="C6079" t="s">
        <v>9</v>
      </c>
      <c r="D6079" s="61">
        <v>39850.81</v>
      </c>
      <c r="F6079" s="61">
        <v>4636.8</v>
      </c>
      <c r="G6079" s="61">
        <v>3171.75</v>
      </c>
      <c r="H6079" s="61">
        <v>31.2</v>
      </c>
      <c r="I6079" s="61">
        <v>0</v>
      </c>
      <c r="J6079" s="61">
        <f t="shared" si="59"/>
        <v>47690.559999999998</v>
      </c>
    </row>
    <row r="6080" spans="1:10" x14ac:dyDescent="0.25">
      <c r="A6080" s="20">
        <v>45900</v>
      </c>
      <c r="B6080" t="s">
        <v>2690</v>
      </c>
      <c r="C6080" t="s">
        <v>706</v>
      </c>
      <c r="D6080" s="61">
        <v>0</v>
      </c>
      <c r="F6080" s="61">
        <v>0</v>
      </c>
      <c r="G6080" s="61">
        <v>0</v>
      </c>
      <c r="H6080" s="61">
        <v>14489.94</v>
      </c>
      <c r="I6080" s="61">
        <v>421.21</v>
      </c>
      <c r="J6080" s="61">
        <f t="shared" si="59"/>
        <v>14911.15</v>
      </c>
    </row>
    <row r="6081" spans="1:10" x14ac:dyDescent="0.25">
      <c r="A6081" s="20">
        <v>45900</v>
      </c>
      <c r="B6081" t="s">
        <v>2691</v>
      </c>
      <c r="C6081" t="s">
        <v>54</v>
      </c>
      <c r="D6081" s="61">
        <v>118.39</v>
      </c>
      <c r="F6081" s="61">
        <v>0</v>
      </c>
      <c r="G6081" s="61">
        <v>632.21</v>
      </c>
      <c r="H6081" s="61">
        <v>334</v>
      </c>
      <c r="I6081" s="61">
        <v>-120.13</v>
      </c>
      <c r="J6081" s="61">
        <f t="shared" si="59"/>
        <v>964.46999999999991</v>
      </c>
    </row>
    <row r="6082" spans="1:10" x14ac:dyDescent="0.25">
      <c r="A6082" s="20">
        <v>45900</v>
      </c>
      <c r="B6082" t="s">
        <v>2722</v>
      </c>
      <c r="C6082" t="s">
        <v>2723</v>
      </c>
      <c r="D6082" s="61">
        <v>23022.99</v>
      </c>
      <c r="F6082" s="61">
        <v>0</v>
      </c>
      <c r="G6082" s="61">
        <v>0</v>
      </c>
      <c r="H6082" s="61">
        <v>0</v>
      </c>
      <c r="I6082" s="61">
        <v>0</v>
      </c>
      <c r="J6082" s="61">
        <f t="shared" si="59"/>
        <v>23022.99</v>
      </c>
    </row>
    <row r="6083" spans="1:10" x14ac:dyDescent="0.25">
      <c r="A6083" s="20">
        <v>45900</v>
      </c>
      <c r="B6083" t="s">
        <v>2735</v>
      </c>
      <c r="C6083" t="s">
        <v>352</v>
      </c>
      <c r="D6083" s="61">
        <v>13983.93</v>
      </c>
      <c r="F6083" s="61">
        <v>0</v>
      </c>
      <c r="G6083" s="61">
        <v>0</v>
      </c>
      <c r="H6083" s="61">
        <v>0</v>
      </c>
      <c r="I6083" s="61">
        <v>0</v>
      </c>
      <c r="J6083" s="61">
        <f t="shared" si="59"/>
        <v>13983.93</v>
      </c>
    </row>
    <row r="6084" spans="1:10" x14ac:dyDescent="0.25">
      <c r="A6084" s="20">
        <v>45900</v>
      </c>
      <c r="B6084" t="s">
        <v>2750</v>
      </c>
      <c r="C6084" t="s">
        <v>357</v>
      </c>
      <c r="D6084" s="61">
        <v>0</v>
      </c>
      <c r="F6084" s="61">
        <v>-419.53</v>
      </c>
      <c r="G6084" s="61">
        <v>0</v>
      </c>
      <c r="H6084" s="61">
        <v>0</v>
      </c>
      <c r="I6084" s="61">
        <v>0</v>
      </c>
      <c r="J6084" s="61">
        <f t="shared" si="59"/>
        <v>-419.53</v>
      </c>
    </row>
    <row r="6085" spans="1:10" x14ac:dyDescent="0.25">
      <c r="A6085" s="20">
        <v>45900</v>
      </c>
      <c r="B6085" t="s">
        <v>2754</v>
      </c>
      <c r="C6085" t="s">
        <v>609</v>
      </c>
      <c r="D6085" s="61">
        <v>640.5</v>
      </c>
      <c r="F6085" s="61">
        <v>0</v>
      </c>
      <c r="G6085" s="61">
        <v>0</v>
      </c>
      <c r="H6085" s="61">
        <v>0</v>
      </c>
      <c r="I6085" s="61">
        <v>0</v>
      </c>
      <c r="J6085" s="61">
        <f t="shared" si="59"/>
        <v>640.5</v>
      </c>
    </row>
    <row r="6086" spans="1:10" x14ac:dyDescent="0.25">
      <c r="A6086" s="20">
        <v>45900</v>
      </c>
      <c r="B6086" t="s">
        <v>2760</v>
      </c>
      <c r="C6086" t="s">
        <v>2761</v>
      </c>
      <c r="D6086" s="61">
        <v>899.65</v>
      </c>
      <c r="F6086" s="61">
        <v>0</v>
      </c>
      <c r="G6086" s="61">
        <v>0</v>
      </c>
      <c r="H6086" s="61">
        <v>0</v>
      </c>
      <c r="I6086" s="61">
        <v>0</v>
      </c>
      <c r="J6086" s="61">
        <f t="shared" si="59"/>
        <v>899.65</v>
      </c>
    </row>
    <row r="6087" spans="1:10" x14ac:dyDescent="0.25">
      <c r="A6087" s="20">
        <v>45900</v>
      </c>
      <c r="B6087" t="s">
        <v>2776</v>
      </c>
      <c r="C6087" t="s">
        <v>432</v>
      </c>
      <c r="D6087" s="61">
        <v>0</v>
      </c>
      <c r="F6087" s="61">
        <v>0</v>
      </c>
      <c r="G6087" s="61">
        <v>0</v>
      </c>
      <c r="H6087" s="61">
        <v>-0.06</v>
      </c>
      <c r="I6087" s="61">
        <v>51.8</v>
      </c>
      <c r="J6087" s="61">
        <f t="shared" si="59"/>
        <v>51.739999999999995</v>
      </c>
    </row>
    <row r="6088" spans="1:10" x14ac:dyDescent="0.25">
      <c r="A6088" s="20">
        <v>45900</v>
      </c>
      <c r="B6088" t="s">
        <v>2782</v>
      </c>
      <c r="C6088" t="s">
        <v>363</v>
      </c>
      <c r="D6088" s="61">
        <v>0</v>
      </c>
      <c r="F6088" s="61">
        <v>0</v>
      </c>
      <c r="G6088" s="61">
        <v>-134.4</v>
      </c>
      <c r="H6088" s="61">
        <v>0</v>
      </c>
      <c r="I6088" s="61">
        <v>0</v>
      </c>
      <c r="J6088" s="61">
        <f t="shared" si="59"/>
        <v>-134.4</v>
      </c>
    </row>
    <row r="6089" spans="1:10" x14ac:dyDescent="0.25">
      <c r="A6089" s="20">
        <v>45900</v>
      </c>
      <c r="B6089" t="s">
        <v>2784</v>
      </c>
      <c r="C6089" t="s">
        <v>364</v>
      </c>
      <c r="D6089" s="61">
        <v>1094</v>
      </c>
      <c r="F6089" s="61">
        <v>0</v>
      </c>
      <c r="G6089" s="61">
        <v>0</v>
      </c>
      <c r="H6089" s="61">
        <v>0</v>
      </c>
      <c r="I6089" s="61">
        <v>0</v>
      </c>
      <c r="J6089" s="61">
        <f t="shared" si="59"/>
        <v>1094</v>
      </c>
    </row>
    <row r="6090" spans="1:10" x14ac:dyDescent="0.25">
      <c r="A6090" s="20">
        <v>45900</v>
      </c>
      <c r="B6090" t="s">
        <v>2802</v>
      </c>
      <c r="C6090" t="s">
        <v>365</v>
      </c>
      <c r="D6090" s="61">
        <v>31569.3</v>
      </c>
      <c r="F6090" s="61">
        <v>287.47000000000003</v>
      </c>
      <c r="G6090" s="61">
        <v>-26</v>
      </c>
      <c r="H6090" s="61">
        <v>5278.55</v>
      </c>
      <c r="I6090" s="61">
        <v>-1539.25</v>
      </c>
      <c r="J6090" s="61">
        <f t="shared" si="59"/>
        <v>35570.07</v>
      </c>
    </row>
    <row r="6091" spans="1:10" x14ac:dyDescent="0.25">
      <c r="A6091" s="20">
        <v>45900</v>
      </c>
      <c r="B6091" t="s">
        <v>2809</v>
      </c>
      <c r="C6091" t="s">
        <v>593</v>
      </c>
      <c r="D6091" s="61">
        <v>0</v>
      </c>
      <c r="F6091" s="61">
        <v>0</v>
      </c>
      <c r="G6091" s="61">
        <v>0</v>
      </c>
      <c r="H6091" s="61">
        <v>0</v>
      </c>
      <c r="I6091" s="61">
        <v>-100</v>
      </c>
      <c r="J6091" s="61">
        <f t="shared" si="59"/>
        <v>-100</v>
      </c>
    </row>
    <row r="6092" spans="1:10" x14ac:dyDescent="0.25">
      <c r="A6092" s="20">
        <v>45900</v>
      </c>
      <c r="B6092" t="s">
        <v>2810</v>
      </c>
      <c r="C6092" t="s">
        <v>366</v>
      </c>
      <c r="D6092" s="61">
        <v>0</v>
      </c>
      <c r="F6092" s="61">
        <v>0</v>
      </c>
      <c r="G6092" s="61">
        <v>502.82</v>
      </c>
      <c r="H6092" s="61">
        <v>0</v>
      </c>
      <c r="I6092" s="61">
        <v>0</v>
      </c>
      <c r="J6092" s="61">
        <f t="shared" si="59"/>
        <v>502.82</v>
      </c>
    </row>
    <row r="6093" spans="1:10" x14ac:dyDescent="0.25">
      <c r="A6093" s="20">
        <v>45900</v>
      </c>
      <c r="B6093" t="s">
        <v>2812</v>
      </c>
      <c r="C6093" t="s">
        <v>2813</v>
      </c>
      <c r="D6093" s="61">
        <v>-13</v>
      </c>
      <c r="F6093" s="61">
        <v>0</v>
      </c>
      <c r="G6093" s="61">
        <v>0</v>
      </c>
      <c r="H6093" s="61">
        <v>0</v>
      </c>
      <c r="I6093" s="61">
        <v>0</v>
      </c>
      <c r="J6093" s="61">
        <f t="shared" si="59"/>
        <v>-13</v>
      </c>
    </row>
    <row r="6094" spans="1:10" x14ac:dyDescent="0.25">
      <c r="A6094" s="20">
        <v>45900</v>
      </c>
      <c r="B6094" t="s">
        <v>2817</v>
      </c>
      <c r="C6094" t="s">
        <v>974</v>
      </c>
      <c r="D6094" s="61">
        <v>0</v>
      </c>
      <c r="F6094" s="61">
        <v>-20.2</v>
      </c>
      <c r="G6094" s="61">
        <v>0</v>
      </c>
      <c r="H6094" s="61">
        <v>0</v>
      </c>
      <c r="I6094" s="61">
        <v>0</v>
      </c>
      <c r="J6094" s="61">
        <f t="shared" si="59"/>
        <v>-20.2</v>
      </c>
    </row>
    <row r="6095" spans="1:10" x14ac:dyDescent="0.25">
      <c r="A6095" s="20">
        <v>45900</v>
      </c>
      <c r="B6095" t="s">
        <v>2819</v>
      </c>
      <c r="C6095" t="s">
        <v>611</v>
      </c>
      <c r="D6095" s="61">
        <v>79.959999999999994</v>
      </c>
      <c r="F6095" s="61">
        <v>0</v>
      </c>
      <c r="G6095" s="61">
        <v>0</v>
      </c>
      <c r="H6095" s="61">
        <v>0</v>
      </c>
      <c r="I6095" s="61">
        <v>0</v>
      </c>
      <c r="J6095" s="61">
        <f t="shared" si="59"/>
        <v>79.959999999999994</v>
      </c>
    </row>
    <row r="6096" spans="1:10" x14ac:dyDescent="0.25">
      <c r="A6096" s="20">
        <v>45900</v>
      </c>
      <c r="B6096" t="s">
        <v>2820</v>
      </c>
      <c r="C6096" t="s">
        <v>2821</v>
      </c>
      <c r="D6096" s="61">
        <v>0</v>
      </c>
      <c r="F6096" s="61">
        <v>0</v>
      </c>
      <c r="G6096" s="61">
        <v>-447.3</v>
      </c>
      <c r="H6096" s="61">
        <v>0</v>
      </c>
      <c r="I6096" s="61">
        <v>0</v>
      </c>
      <c r="J6096" s="61">
        <f t="shared" si="59"/>
        <v>-447.3</v>
      </c>
    </row>
    <row r="6097" spans="1:10" x14ac:dyDescent="0.25">
      <c r="A6097" s="20">
        <v>45900</v>
      </c>
      <c r="B6097" t="s">
        <v>2823</v>
      </c>
      <c r="C6097" t="s">
        <v>483</v>
      </c>
      <c r="D6097" s="61">
        <v>2180.23</v>
      </c>
      <c r="F6097" s="61">
        <v>0</v>
      </c>
      <c r="G6097" s="61">
        <v>0</v>
      </c>
      <c r="H6097" s="61">
        <v>0</v>
      </c>
      <c r="I6097" s="61">
        <v>0</v>
      </c>
      <c r="J6097" s="61">
        <f t="shared" si="59"/>
        <v>2180.23</v>
      </c>
    </row>
    <row r="6098" spans="1:10" x14ac:dyDescent="0.25">
      <c r="A6098" s="20">
        <v>45900</v>
      </c>
      <c r="B6098" t="s">
        <v>2832</v>
      </c>
      <c r="C6098" t="s">
        <v>536</v>
      </c>
      <c r="D6098" s="61">
        <v>91.91</v>
      </c>
      <c r="F6098" s="61">
        <v>0</v>
      </c>
      <c r="G6098" s="61">
        <v>0</v>
      </c>
      <c r="H6098" s="61">
        <v>0</v>
      </c>
      <c r="I6098" s="61">
        <v>0</v>
      </c>
      <c r="J6098" s="61">
        <f t="shared" si="59"/>
        <v>91.91</v>
      </c>
    </row>
    <row r="6099" spans="1:10" x14ac:dyDescent="0.25">
      <c r="A6099" s="20">
        <v>45900</v>
      </c>
      <c r="B6099" t="s">
        <v>2898</v>
      </c>
      <c r="C6099" t="s">
        <v>2899</v>
      </c>
      <c r="D6099" s="61">
        <v>-723</v>
      </c>
      <c r="F6099" s="61">
        <v>0</v>
      </c>
      <c r="G6099" s="61">
        <v>0</v>
      </c>
      <c r="H6099" s="61">
        <v>0</v>
      </c>
      <c r="I6099" s="61">
        <v>0</v>
      </c>
      <c r="J6099" s="61">
        <f t="shared" si="59"/>
        <v>-723</v>
      </c>
    </row>
    <row r="6100" spans="1:10" x14ac:dyDescent="0.25">
      <c r="A6100" s="20">
        <v>45900</v>
      </c>
      <c r="B6100" t="s">
        <v>2938</v>
      </c>
      <c r="C6100" t="s">
        <v>791</v>
      </c>
      <c r="D6100" s="61">
        <v>0</v>
      </c>
      <c r="F6100" s="61">
        <v>0</v>
      </c>
      <c r="G6100" s="61">
        <v>0</v>
      </c>
      <c r="H6100" s="61">
        <v>-0.01</v>
      </c>
      <c r="I6100" s="61">
        <v>0</v>
      </c>
      <c r="J6100" s="61">
        <f t="shared" si="59"/>
        <v>-0.01</v>
      </c>
    </row>
    <row r="6101" spans="1:10" x14ac:dyDescent="0.25">
      <c r="A6101" s="20">
        <v>45900</v>
      </c>
      <c r="B6101" t="s">
        <v>2955</v>
      </c>
      <c r="C6101" t="s">
        <v>693</v>
      </c>
      <c r="D6101" s="61">
        <v>68079</v>
      </c>
      <c r="F6101" s="61">
        <v>0</v>
      </c>
      <c r="G6101" s="61">
        <v>0</v>
      </c>
      <c r="H6101" s="61">
        <v>0</v>
      </c>
      <c r="I6101" s="61">
        <v>0</v>
      </c>
      <c r="J6101" s="61">
        <f t="shared" si="59"/>
        <v>68079</v>
      </c>
    </row>
    <row r="6102" spans="1:10" x14ac:dyDescent="0.25">
      <c r="A6102" s="20">
        <v>45900</v>
      </c>
      <c r="B6102" t="s">
        <v>2958</v>
      </c>
      <c r="C6102" t="s">
        <v>561</v>
      </c>
      <c r="D6102" s="61">
        <v>876</v>
      </c>
      <c r="F6102" s="61">
        <v>128.24</v>
      </c>
      <c r="G6102" s="61">
        <v>0</v>
      </c>
      <c r="H6102" s="61">
        <v>0</v>
      </c>
      <c r="I6102" s="61">
        <v>0</v>
      </c>
      <c r="J6102" s="61">
        <f t="shared" si="59"/>
        <v>1004.24</v>
      </c>
    </row>
    <row r="6103" spans="1:10" x14ac:dyDescent="0.25">
      <c r="A6103" s="20">
        <v>45900</v>
      </c>
      <c r="B6103" t="s">
        <v>2959</v>
      </c>
      <c r="C6103" t="s">
        <v>668</v>
      </c>
      <c r="D6103" s="61">
        <v>0</v>
      </c>
      <c r="F6103" s="61">
        <v>0</v>
      </c>
      <c r="G6103" s="61">
        <v>0</v>
      </c>
      <c r="H6103" s="61">
        <v>0</v>
      </c>
      <c r="I6103" s="61">
        <v>-24.18</v>
      </c>
      <c r="J6103" s="61">
        <f t="shared" si="59"/>
        <v>-24.18</v>
      </c>
    </row>
    <row r="6104" spans="1:10" x14ac:dyDescent="0.25">
      <c r="A6104" s="20">
        <v>45900</v>
      </c>
      <c r="B6104" t="s">
        <v>2960</v>
      </c>
      <c r="C6104" t="s">
        <v>538</v>
      </c>
      <c r="D6104" s="61">
        <v>2260</v>
      </c>
      <c r="F6104" s="61">
        <v>0</v>
      </c>
      <c r="G6104" s="61">
        <v>0</v>
      </c>
      <c r="H6104" s="61">
        <v>55.92</v>
      </c>
      <c r="I6104" s="61">
        <v>-370.57</v>
      </c>
      <c r="J6104" s="61">
        <f t="shared" si="59"/>
        <v>1945.3500000000001</v>
      </c>
    </row>
    <row r="6105" spans="1:10" x14ac:dyDescent="0.25">
      <c r="A6105" s="20">
        <v>45900</v>
      </c>
      <c r="B6105" t="s">
        <v>2963</v>
      </c>
      <c r="C6105" t="s">
        <v>565</v>
      </c>
      <c r="D6105" s="61">
        <v>30845</v>
      </c>
      <c r="F6105" s="61">
        <v>33221.300000000003</v>
      </c>
      <c r="G6105" s="61">
        <v>3444.48</v>
      </c>
      <c r="H6105" s="61">
        <v>0</v>
      </c>
      <c r="I6105" s="61">
        <v>-3804.52</v>
      </c>
      <c r="J6105" s="61">
        <f t="shared" si="59"/>
        <v>63706.26</v>
      </c>
    </row>
    <row r="6106" spans="1:10" x14ac:dyDescent="0.25">
      <c r="A6106" s="20">
        <v>45900</v>
      </c>
      <c r="B6106" t="s">
        <v>2968</v>
      </c>
      <c r="C6106" t="s">
        <v>520</v>
      </c>
      <c r="D6106" s="61">
        <v>175.2</v>
      </c>
      <c r="F6106" s="61">
        <v>0</v>
      </c>
      <c r="G6106" s="61">
        <v>0</v>
      </c>
      <c r="H6106" s="61">
        <v>0</v>
      </c>
      <c r="I6106" s="61">
        <v>-252</v>
      </c>
      <c r="J6106" s="61">
        <f t="shared" si="59"/>
        <v>-76.800000000000011</v>
      </c>
    </row>
    <row r="6107" spans="1:10" x14ac:dyDescent="0.25">
      <c r="A6107" s="20">
        <v>45900</v>
      </c>
      <c r="B6107" t="s">
        <v>2976</v>
      </c>
      <c r="C6107" t="s">
        <v>792</v>
      </c>
      <c r="D6107" s="61">
        <v>632</v>
      </c>
      <c r="F6107" s="61">
        <v>0</v>
      </c>
      <c r="G6107" s="61">
        <v>0</v>
      </c>
      <c r="H6107" s="61">
        <v>0</v>
      </c>
      <c r="I6107" s="61">
        <v>0</v>
      </c>
      <c r="J6107" s="61">
        <f t="shared" si="59"/>
        <v>632</v>
      </c>
    </row>
    <row r="6108" spans="1:10" x14ac:dyDescent="0.25">
      <c r="A6108" s="20">
        <v>45900</v>
      </c>
      <c r="B6108" t="s">
        <v>3027</v>
      </c>
      <c r="C6108" t="s">
        <v>3028</v>
      </c>
      <c r="D6108" s="61">
        <v>52374</v>
      </c>
      <c r="F6108" s="61">
        <v>4785</v>
      </c>
      <c r="G6108" s="61">
        <v>0</v>
      </c>
      <c r="H6108" s="61">
        <v>0</v>
      </c>
      <c r="I6108" s="61">
        <v>0</v>
      </c>
      <c r="J6108" s="61">
        <f t="shared" si="59"/>
        <v>57159</v>
      </c>
    </row>
    <row r="6109" spans="1:10" x14ac:dyDescent="0.25">
      <c r="A6109" s="20">
        <v>45900</v>
      </c>
      <c r="B6109" t="s">
        <v>3035</v>
      </c>
      <c r="C6109" t="s">
        <v>3036</v>
      </c>
      <c r="D6109" s="61">
        <v>0</v>
      </c>
      <c r="F6109" s="61">
        <v>40657.199999999997</v>
      </c>
      <c r="G6109" s="61">
        <v>0</v>
      </c>
      <c r="H6109" s="61">
        <v>0</v>
      </c>
      <c r="I6109" s="61">
        <v>0</v>
      </c>
      <c r="J6109" s="61">
        <f t="shared" si="59"/>
        <v>40657.199999999997</v>
      </c>
    </row>
    <row r="6110" spans="1:10" x14ac:dyDescent="0.25">
      <c r="A6110" s="20">
        <v>45900</v>
      </c>
      <c r="B6110" t="s">
        <v>12492</v>
      </c>
      <c r="C6110" t="s">
        <v>12493</v>
      </c>
      <c r="D6110" s="61">
        <v>342.43</v>
      </c>
      <c r="F6110" s="61">
        <v>0</v>
      </c>
      <c r="G6110" s="61">
        <v>0</v>
      </c>
      <c r="H6110" s="61">
        <v>0</v>
      </c>
      <c r="I6110" s="61">
        <v>0</v>
      </c>
      <c r="J6110" s="61">
        <f t="shared" si="59"/>
        <v>342.43</v>
      </c>
    </row>
    <row r="6111" spans="1:10" x14ac:dyDescent="0.25">
      <c r="A6111" s="20">
        <v>45900</v>
      </c>
      <c r="B6111" t="s">
        <v>12494</v>
      </c>
      <c r="C6111" t="s">
        <v>12495</v>
      </c>
      <c r="D6111" s="61">
        <v>207.53</v>
      </c>
      <c r="F6111" s="61">
        <v>0</v>
      </c>
      <c r="G6111" s="61">
        <v>0</v>
      </c>
      <c r="H6111" s="61">
        <v>0</v>
      </c>
      <c r="I6111" s="61">
        <v>0</v>
      </c>
      <c r="J6111" s="61">
        <f t="shared" si="59"/>
        <v>207.53</v>
      </c>
    </row>
    <row r="6112" spans="1:10" x14ac:dyDescent="0.25">
      <c r="A6112" s="73">
        <v>45930</v>
      </c>
      <c r="B6112" s="76" t="s">
        <v>976</v>
      </c>
      <c r="C6112" s="76" t="s">
        <v>64</v>
      </c>
      <c r="D6112" s="77">
        <v>35866.42</v>
      </c>
      <c r="E6112" s="74"/>
      <c r="F6112" s="77">
        <v>0</v>
      </c>
      <c r="G6112" s="77">
        <v>0</v>
      </c>
      <c r="H6112" s="77">
        <v>0</v>
      </c>
      <c r="I6112" s="77">
        <v>0</v>
      </c>
      <c r="J6112" s="75">
        <f t="shared" si="59"/>
        <v>35866.42</v>
      </c>
    </row>
    <row r="6113" spans="1:10" x14ac:dyDescent="0.25">
      <c r="A6113" s="20">
        <v>45930</v>
      </c>
      <c r="B6113" s="3" t="s">
        <v>977</v>
      </c>
      <c r="C6113" s="3" t="s">
        <v>87</v>
      </c>
      <c r="D6113" s="31">
        <v>19869.45</v>
      </c>
      <c r="F6113" s="31">
        <v>0</v>
      </c>
      <c r="G6113" s="31">
        <v>0</v>
      </c>
      <c r="H6113" s="31">
        <v>0</v>
      </c>
      <c r="I6113" s="31">
        <v>-81.7</v>
      </c>
      <c r="J6113" s="61">
        <f t="shared" si="59"/>
        <v>19787.75</v>
      </c>
    </row>
    <row r="6114" spans="1:10" x14ac:dyDescent="0.25">
      <c r="A6114" s="20">
        <v>45930</v>
      </c>
      <c r="B6114" s="3" t="s">
        <v>978</v>
      </c>
      <c r="C6114" s="3" t="s">
        <v>441</v>
      </c>
      <c r="D6114" s="31">
        <v>28302.400000000001</v>
      </c>
      <c r="F6114" s="31">
        <v>0</v>
      </c>
      <c r="G6114" s="31">
        <v>0</v>
      </c>
      <c r="H6114" s="31">
        <v>0</v>
      </c>
      <c r="I6114" s="31">
        <v>0</v>
      </c>
      <c r="J6114" s="61">
        <f t="shared" si="59"/>
        <v>28302.400000000001</v>
      </c>
    </row>
    <row r="6115" spans="1:10" x14ac:dyDescent="0.25">
      <c r="A6115" s="20">
        <v>45930</v>
      </c>
      <c r="B6115" s="3" t="s">
        <v>980</v>
      </c>
      <c r="C6115" s="3" t="s">
        <v>90</v>
      </c>
      <c r="D6115" s="31">
        <v>112252.55</v>
      </c>
      <c r="F6115" s="31">
        <v>-10270.49</v>
      </c>
      <c r="G6115" s="31">
        <v>0</v>
      </c>
      <c r="H6115" s="31">
        <v>0</v>
      </c>
      <c r="I6115" s="31">
        <v>0</v>
      </c>
      <c r="J6115" s="61">
        <f t="shared" si="59"/>
        <v>101982.06</v>
      </c>
    </row>
    <row r="6116" spans="1:10" x14ac:dyDescent="0.25">
      <c r="A6116" s="20">
        <v>45930</v>
      </c>
      <c r="B6116" s="3" t="s">
        <v>981</v>
      </c>
      <c r="C6116" s="3" t="s">
        <v>17</v>
      </c>
      <c r="D6116" s="31">
        <v>57611.4</v>
      </c>
      <c r="F6116" s="31">
        <v>0</v>
      </c>
      <c r="G6116" s="31">
        <v>0</v>
      </c>
      <c r="H6116" s="31">
        <v>0</v>
      </c>
      <c r="I6116" s="31">
        <v>0</v>
      </c>
      <c r="J6116" s="61">
        <f t="shared" si="59"/>
        <v>57611.4</v>
      </c>
    </row>
    <row r="6117" spans="1:10" x14ac:dyDescent="0.25">
      <c r="A6117" s="20">
        <v>45930</v>
      </c>
      <c r="B6117" s="3" t="s">
        <v>987</v>
      </c>
      <c r="C6117" s="3" t="s">
        <v>121</v>
      </c>
      <c r="D6117" s="31">
        <v>0</v>
      </c>
      <c r="F6117" s="31">
        <v>0</v>
      </c>
      <c r="G6117" s="31">
        <v>-1494.99</v>
      </c>
      <c r="H6117" s="31">
        <v>2429.6799999999998</v>
      </c>
      <c r="I6117" s="31">
        <v>3091.68</v>
      </c>
      <c r="J6117" s="61">
        <f t="shared" si="59"/>
        <v>4026.37</v>
      </c>
    </row>
    <row r="6118" spans="1:10" x14ac:dyDescent="0.25">
      <c r="A6118" s="20">
        <v>45930</v>
      </c>
      <c r="B6118" s="3" t="s">
        <v>998</v>
      </c>
      <c r="C6118" s="3" t="s">
        <v>21</v>
      </c>
      <c r="D6118" s="31">
        <v>0</v>
      </c>
      <c r="F6118" s="31">
        <v>0</v>
      </c>
      <c r="G6118" s="31">
        <v>0</v>
      </c>
      <c r="H6118" s="31">
        <v>24032</v>
      </c>
      <c r="I6118" s="31">
        <v>21588.880000000001</v>
      </c>
      <c r="J6118" s="61">
        <f t="shared" si="59"/>
        <v>45620.880000000005</v>
      </c>
    </row>
    <row r="6119" spans="1:10" x14ac:dyDescent="0.25">
      <c r="A6119" s="20">
        <v>45930</v>
      </c>
      <c r="B6119" s="3" t="s">
        <v>999</v>
      </c>
      <c r="C6119" s="3" t="s">
        <v>172</v>
      </c>
      <c r="D6119" s="31">
        <v>11881.81</v>
      </c>
      <c r="F6119" s="31">
        <v>-67.05</v>
      </c>
      <c r="G6119" s="31">
        <v>0</v>
      </c>
      <c r="H6119" s="31">
        <v>0</v>
      </c>
      <c r="I6119" s="31">
        <v>0</v>
      </c>
      <c r="J6119" s="61">
        <f t="shared" si="59"/>
        <v>11814.76</v>
      </c>
    </row>
    <row r="6120" spans="1:10" x14ac:dyDescent="0.25">
      <c r="A6120" s="20">
        <v>45930</v>
      </c>
      <c r="B6120" s="3" t="s">
        <v>1000</v>
      </c>
      <c r="C6120" s="3" t="s">
        <v>174</v>
      </c>
      <c r="D6120" s="31">
        <v>0</v>
      </c>
      <c r="F6120" s="31">
        <v>0</v>
      </c>
      <c r="G6120" s="31">
        <v>0</v>
      </c>
      <c r="H6120" s="31">
        <v>-946.26</v>
      </c>
      <c r="I6120" s="31">
        <v>-896.09</v>
      </c>
      <c r="J6120" s="61">
        <f t="shared" si="59"/>
        <v>-1842.35</v>
      </c>
    </row>
    <row r="6121" spans="1:10" x14ac:dyDescent="0.25">
      <c r="A6121" s="20">
        <v>45930</v>
      </c>
      <c r="B6121" s="3" t="s">
        <v>1001</v>
      </c>
      <c r="C6121" s="3" t="s">
        <v>180</v>
      </c>
      <c r="D6121" s="31">
        <v>326.97000000000003</v>
      </c>
      <c r="F6121" s="31">
        <v>0</v>
      </c>
      <c r="G6121" s="31">
        <v>0</v>
      </c>
      <c r="H6121" s="31">
        <v>0</v>
      </c>
      <c r="I6121" s="31">
        <v>0</v>
      </c>
      <c r="J6121" s="61">
        <f t="shared" si="59"/>
        <v>326.97000000000003</v>
      </c>
    </row>
    <row r="6122" spans="1:10" x14ac:dyDescent="0.25">
      <c r="A6122" s="20">
        <v>45930</v>
      </c>
      <c r="B6122" s="3" t="s">
        <v>1006</v>
      </c>
      <c r="C6122" s="3" t="s">
        <v>26</v>
      </c>
      <c r="D6122" s="31">
        <v>0</v>
      </c>
      <c r="F6122" s="31">
        <v>-19.25</v>
      </c>
      <c r="G6122" s="31">
        <v>795.2</v>
      </c>
      <c r="H6122" s="31">
        <v>815.29</v>
      </c>
      <c r="I6122" s="31">
        <v>0</v>
      </c>
      <c r="J6122" s="61">
        <f t="shared" si="59"/>
        <v>1591.24</v>
      </c>
    </row>
    <row r="6123" spans="1:10" x14ac:dyDescent="0.25">
      <c r="A6123" s="20">
        <v>45930</v>
      </c>
      <c r="B6123" s="3" t="s">
        <v>1013</v>
      </c>
      <c r="C6123" s="3" t="s">
        <v>210</v>
      </c>
      <c r="D6123" s="31">
        <v>13257.73</v>
      </c>
      <c r="F6123" s="31">
        <v>3051</v>
      </c>
      <c r="G6123" s="31">
        <v>8365.36</v>
      </c>
      <c r="H6123" s="31">
        <v>0</v>
      </c>
      <c r="I6123" s="31">
        <v>0</v>
      </c>
      <c r="J6123" s="61">
        <f t="shared" si="59"/>
        <v>24674.09</v>
      </c>
    </row>
    <row r="6124" spans="1:10" x14ac:dyDescent="0.25">
      <c r="A6124" s="20">
        <v>45930</v>
      </c>
      <c r="B6124" s="3" t="s">
        <v>1022</v>
      </c>
      <c r="C6124" s="3" t="s">
        <v>687</v>
      </c>
      <c r="D6124" s="31">
        <v>746.87</v>
      </c>
      <c r="F6124" s="31">
        <v>0</v>
      </c>
      <c r="G6124" s="31">
        <v>0</v>
      </c>
      <c r="H6124" s="31">
        <v>0</v>
      </c>
      <c r="I6124" s="31">
        <v>-1836.95</v>
      </c>
      <c r="J6124" s="61">
        <f t="shared" si="59"/>
        <v>-1090.08</v>
      </c>
    </row>
    <row r="6125" spans="1:10" x14ac:dyDescent="0.25">
      <c r="A6125" s="20">
        <v>45930</v>
      </c>
      <c r="B6125" s="3" t="s">
        <v>1023</v>
      </c>
      <c r="C6125" s="3" t="s">
        <v>264</v>
      </c>
      <c r="D6125" s="31">
        <v>0</v>
      </c>
      <c r="F6125" s="31">
        <v>0</v>
      </c>
      <c r="G6125" s="31">
        <v>0</v>
      </c>
      <c r="H6125" s="31">
        <v>0</v>
      </c>
      <c r="I6125" s="31">
        <v>-1820.63</v>
      </c>
      <c r="J6125" s="61">
        <f t="shared" si="59"/>
        <v>-1820.63</v>
      </c>
    </row>
    <row r="6126" spans="1:10" x14ac:dyDescent="0.25">
      <c r="A6126" s="20">
        <v>45930</v>
      </c>
      <c r="B6126" s="3" t="s">
        <v>1024</v>
      </c>
      <c r="C6126" s="3" t="s">
        <v>265</v>
      </c>
      <c r="D6126" s="31">
        <v>30384.36</v>
      </c>
      <c r="F6126" s="31">
        <v>0</v>
      </c>
      <c r="G6126" s="31">
        <v>0</v>
      </c>
      <c r="H6126" s="31">
        <v>0</v>
      </c>
      <c r="I6126" s="31">
        <v>0</v>
      </c>
      <c r="J6126" s="61">
        <f t="shared" ref="J6126:J6189" si="60">SUM(D6126:I6126)</f>
        <v>30384.36</v>
      </c>
    </row>
    <row r="6127" spans="1:10" x14ac:dyDescent="0.25">
      <c r="A6127" s="20">
        <v>45930</v>
      </c>
      <c r="B6127" s="3" t="s">
        <v>1031</v>
      </c>
      <c r="C6127" s="3" t="s">
        <v>280</v>
      </c>
      <c r="D6127" s="31">
        <v>3030.08</v>
      </c>
      <c r="F6127" s="31">
        <v>-2850.43</v>
      </c>
      <c r="G6127" s="31">
        <v>-41.77</v>
      </c>
      <c r="H6127" s="31">
        <v>0</v>
      </c>
      <c r="I6127" s="31">
        <v>0</v>
      </c>
      <c r="J6127" s="61">
        <f t="shared" si="60"/>
        <v>137.88000000000008</v>
      </c>
    </row>
    <row r="6128" spans="1:10" x14ac:dyDescent="0.25">
      <c r="A6128" s="20">
        <v>45930</v>
      </c>
      <c r="B6128" s="3" t="s">
        <v>1032</v>
      </c>
      <c r="C6128" s="3" t="s">
        <v>35</v>
      </c>
      <c r="D6128" s="31">
        <v>39257.21</v>
      </c>
      <c r="F6128" s="31">
        <v>0</v>
      </c>
      <c r="G6128" s="31">
        <v>0</v>
      </c>
      <c r="H6128" s="31">
        <v>0</v>
      </c>
      <c r="I6128" s="31">
        <v>0</v>
      </c>
      <c r="J6128" s="61">
        <f t="shared" si="60"/>
        <v>39257.21</v>
      </c>
    </row>
    <row r="6129" spans="1:10" x14ac:dyDescent="0.25">
      <c r="A6129" s="20">
        <v>45930</v>
      </c>
      <c r="B6129" s="3" t="s">
        <v>1034</v>
      </c>
      <c r="C6129" s="3" t="s">
        <v>283</v>
      </c>
      <c r="D6129" s="31">
        <v>0</v>
      </c>
      <c r="F6129" s="31">
        <v>0</v>
      </c>
      <c r="G6129" s="31">
        <v>-36.53</v>
      </c>
      <c r="H6129" s="31">
        <v>0</v>
      </c>
      <c r="I6129" s="31">
        <v>0</v>
      </c>
      <c r="J6129" s="61">
        <f t="shared" si="60"/>
        <v>-36.53</v>
      </c>
    </row>
    <row r="6130" spans="1:10" x14ac:dyDescent="0.25">
      <c r="A6130" s="20">
        <v>45930</v>
      </c>
      <c r="B6130" s="3" t="s">
        <v>1037</v>
      </c>
      <c r="C6130" s="3" t="s">
        <v>567</v>
      </c>
      <c r="D6130" s="31">
        <v>0</v>
      </c>
      <c r="F6130" s="31">
        <v>0</v>
      </c>
      <c r="G6130" s="31">
        <v>0</v>
      </c>
      <c r="H6130" s="31">
        <v>0</v>
      </c>
      <c r="I6130" s="31">
        <v>-12463.9</v>
      </c>
      <c r="J6130" s="61">
        <f t="shared" si="60"/>
        <v>-12463.9</v>
      </c>
    </row>
    <row r="6131" spans="1:10" x14ac:dyDescent="0.25">
      <c r="A6131" s="20">
        <v>45930</v>
      </c>
      <c r="B6131" s="3" t="s">
        <v>1038</v>
      </c>
      <c r="C6131" s="3" t="s">
        <v>289</v>
      </c>
      <c r="D6131" s="31">
        <v>9795.9699999999993</v>
      </c>
      <c r="F6131" s="31">
        <v>0</v>
      </c>
      <c r="G6131" s="31">
        <v>0</v>
      </c>
      <c r="H6131" s="31">
        <v>0</v>
      </c>
      <c r="I6131" s="31">
        <v>0</v>
      </c>
      <c r="J6131" s="61">
        <f t="shared" si="60"/>
        <v>9795.9699999999993</v>
      </c>
    </row>
    <row r="6132" spans="1:10" x14ac:dyDescent="0.25">
      <c r="A6132" s="20">
        <v>45930</v>
      </c>
      <c r="B6132" s="3" t="s">
        <v>1039</v>
      </c>
      <c r="C6132" s="3" t="s">
        <v>291</v>
      </c>
      <c r="D6132" s="31">
        <v>44467.76</v>
      </c>
      <c r="F6132" s="31">
        <v>0</v>
      </c>
      <c r="G6132" s="31">
        <v>0</v>
      </c>
      <c r="H6132" s="31">
        <v>0</v>
      </c>
      <c r="I6132" s="31">
        <v>0</v>
      </c>
      <c r="J6132" s="61">
        <f t="shared" si="60"/>
        <v>44467.76</v>
      </c>
    </row>
    <row r="6133" spans="1:10" x14ac:dyDescent="0.25">
      <c r="A6133" s="20">
        <v>45930</v>
      </c>
      <c r="B6133" s="3" t="s">
        <v>1040</v>
      </c>
      <c r="C6133" s="3" t="s">
        <v>299</v>
      </c>
      <c r="D6133" s="31">
        <v>1301.23</v>
      </c>
      <c r="F6133" s="31">
        <v>0</v>
      </c>
      <c r="G6133" s="31">
        <v>0</v>
      </c>
      <c r="H6133" s="31">
        <v>0</v>
      </c>
      <c r="I6133" s="31">
        <v>0</v>
      </c>
      <c r="J6133" s="61">
        <f t="shared" si="60"/>
        <v>1301.23</v>
      </c>
    </row>
    <row r="6134" spans="1:10" x14ac:dyDescent="0.25">
      <c r="A6134" s="20">
        <v>45930</v>
      </c>
      <c r="B6134" s="3" t="s">
        <v>1042</v>
      </c>
      <c r="C6134" s="3" t="s">
        <v>302</v>
      </c>
      <c r="D6134" s="31">
        <v>-5227.3599999999997</v>
      </c>
      <c r="F6134" s="31">
        <v>10867.5</v>
      </c>
      <c r="G6134" s="31">
        <v>1454.69</v>
      </c>
      <c r="H6134" s="31">
        <v>0</v>
      </c>
      <c r="I6134" s="31">
        <v>0</v>
      </c>
      <c r="J6134" s="61">
        <f t="shared" si="60"/>
        <v>7094.83</v>
      </c>
    </row>
    <row r="6135" spans="1:10" x14ac:dyDescent="0.25">
      <c r="A6135" s="20">
        <v>45930</v>
      </c>
      <c r="B6135" s="3" t="s">
        <v>1043</v>
      </c>
      <c r="C6135" s="3" t="s">
        <v>36</v>
      </c>
      <c r="D6135" s="31">
        <v>41551.019999999997</v>
      </c>
      <c r="F6135" s="31">
        <v>0</v>
      </c>
      <c r="G6135" s="31">
        <v>0</v>
      </c>
      <c r="H6135" s="31">
        <v>0</v>
      </c>
      <c r="I6135" s="31">
        <v>0</v>
      </c>
      <c r="J6135" s="61">
        <f t="shared" si="60"/>
        <v>41551.019999999997</v>
      </c>
    </row>
    <row r="6136" spans="1:10" x14ac:dyDescent="0.25">
      <c r="A6136" s="20">
        <v>45930</v>
      </c>
      <c r="B6136" s="3" t="s">
        <v>1046</v>
      </c>
      <c r="C6136" s="3" t="s">
        <v>590</v>
      </c>
      <c r="D6136" s="31">
        <v>9471.83</v>
      </c>
      <c r="F6136" s="31">
        <v>0</v>
      </c>
      <c r="G6136" s="31">
        <v>0</v>
      </c>
      <c r="H6136" s="31">
        <v>0</v>
      </c>
      <c r="I6136" s="31">
        <v>0</v>
      </c>
      <c r="J6136" s="61">
        <f t="shared" si="60"/>
        <v>9471.83</v>
      </c>
    </row>
    <row r="6137" spans="1:10" x14ac:dyDescent="0.25">
      <c r="A6137" s="20">
        <v>45930</v>
      </c>
      <c r="B6137" s="3" t="s">
        <v>1051</v>
      </c>
      <c r="C6137" s="3" t="s">
        <v>51</v>
      </c>
      <c r="D6137" s="31">
        <v>6022.91</v>
      </c>
      <c r="F6137" s="31">
        <v>0</v>
      </c>
      <c r="G6137" s="31">
        <v>0</v>
      </c>
      <c r="H6137" s="31">
        <v>0</v>
      </c>
      <c r="I6137" s="31">
        <v>0</v>
      </c>
      <c r="J6137" s="61">
        <f t="shared" si="60"/>
        <v>6022.91</v>
      </c>
    </row>
    <row r="6138" spans="1:10" x14ac:dyDescent="0.25">
      <c r="A6138" s="20">
        <v>45930</v>
      </c>
      <c r="B6138" s="3" t="s">
        <v>1052</v>
      </c>
      <c r="C6138" s="3" t="s">
        <v>422</v>
      </c>
      <c r="D6138" s="31">
        <v>3089.81</v>
      </c>
      <c r="F6138" s="31">
        <v>0</v>
      </c>
      <c r="G6138" s="31">
        <v>0</v>
      </c>
      <c r="H6138" s="31">
        <v>0</v>
      </c>
      <c r="I6138" s="31">
        <v>0</v>
      </c>
      <c r="J6138" s="61">
        <f t="shared" si="60"/>
        <v>3089.81</v>
      </c>
    </row>
    <row r="6139" spans="1:10" x14ac:dyDescent="0.25">
      <c r="A6139" s="20">
        <v>45930</v>
      </c>
      <c r="B6139" s="3" t="s">
        <v>1061</v>
      </c>
      <c r="C6139" s="3" t="s">
        <v>327</v>
      </c>
      <c r="D6139" s="31">
        <v>4893.41</v>
      </c>
      <c r="F6139" s="31">
        <v>0</v>
      </c>
      <c r="G6139" s="31">
        <v>0</v>
      </c>
      <c r="H6139" s="31">
        <v>0</v>
      </c>
      <c r="I6139" s="31">
        <v>0</v>
      </c>
      <c r="J6139" s="61">
        <f t="shared" si="60"/>
        <v>4893.41</v>
      </c>
    </row>
    <row r="6140" spans="1:10" x14ac:dyDescent="0.25">
      <c r="A6140" s="20">
        <v>45930</v>
      </c>
      <c r="B6140" s="3" t="s">
        <v>1071</v>
      </c>
      <c r="C6140" s="3" t="s">
        <v>349</v>
      </c>
      <c r="D6140" s="31">
        <v>17747.349999999999</v>
      </c>
      <c r="F6140" s="31">
        <v>0</v>
      </c>
      <c r="G6140" s="31">
        <v>0</v>
      </c>
      <c r="H6140" s="31">
        <v>0</v>
      </c>
      <c r="I6140" s="31">
        <v>0</v>
      </c>
      <c r="J6140" s="61">
        <f t="shared" si="60"/>
        <v>17747.349999999999</v>
      </c>
    </row>
    <row r="6141" spans="1:10" x14ac:dyDescent="0.25">
      <c r="A6141" s="20">
        <v>45930</v>
      </c>
      <c r="B6141" s="3" t="s">
        <v>1077</v>
      </c>
      <c r="C6141" s="3" t="s">
        <v>353</v>
      </c>
      <c r="D6141" s="31">
        <v>-1172.04</v>
      </c>
      <c r="F6141" s="31">
        <v>0</v>
      </c>
      <c r="G6141" s="31">
        <v>0</v>
      </c>
      <c r="H6141" s="31">
        <v>0</v>
      </c>
      <c r="I6141" s="31">
        <v>0</v>
      </c>
      <c r="J6141" s="61">
        <f t="shared" si="60"/>
        <v>-1172.04</v>
      </c>
    </row>
    <row r="6142" spans="1:10" x14ac:dyDescent="0.25">
      <c r="A6142" s="20">
        <v>45930</v>
      </c>
      <c r="B6142" s="3" t="s">
        <v>1081</v>
      </c>
      <c r="C6142" s="3" t="s">
        <v>533</v>
      </c>
      <c r="D6142" s="31">
        <v>0</v>
      </c>
      <c r="F6142" s="31">
        <v>0</v>
      </c>
      <c r="G6142" s="31">
        <v>0</v>
      </c>
      <c r="H6142" s="31">
        <v>0</v>
      </c>
      <c r="I6142" s="31">
        <v>-93.6</v>
      </c>
      <c r="J6142" s="61">
        <f t="shared" si="60"/>
        <v>-93.6</v>
      </c>
    </row>
    <row r="6143" spans="1:10" x14ac:dyDescent="0.25">
      <c r="A6143" s="20">
        <v>45930</v>
      </c>
      <c r="B6143" s="3" t="s">
        <v>1082</v>
      </c>
      <c r="C6143" s="3" t="s">
        <v>431</v>
      </c>
      <c r="D6143" s="31">
        <v>2703.53</v>
      </c>
      <c r="F6143" s="31">
        <v>0</v>
      </c>
      <c r="G6143" s="31">
        <v>0</v>
      </c>
      <c r="H6143" s="31">
        <v>0</v>
      </c>
      <c r="I6143" s="31">
        <v>-257.54000000000002</v>
      </c>
      <c r="J6143" s="61">
        <f t="shared" si="60"/>
        <v>2445.9900000000002</v>
      </c>
    </row>
    <row r="6144" spans="1:10" x14ac:dyDescent="0.25">
      <c r="A6144" s="20">
        <v>45930</v>
      </c>
      <c r="B6144" s="3" t="s">
        <v>1084</v>
      </c>
      <c r="C6144" s="3" t="s">
        <v>433</v>
      </c>
      <c r="D6144" s="31">
        <v>2816.53</v>
      </c>
      <c r="F6144" s="31">
        <v>0</v>
      </c>
      <c r="G6144" s="31">
        <v>0</v>
      </c>
      <c r="H6144" s="31">
        <v>0</v>
      </c>
      <c r="I6144" s="31">
        <v>0</v>
      </c>
      <c r="J6144" s="61">
        <f t="shared" si="60"/>
        <v>2816.53</v>
      </c>
    </row>
    <row r="6145" spans="1:10" x14ac:dyDescent="0.25">
      <c r="A6145" s="20">
        <v>45930</v>
      </c>
      <c r="B6145" s="3" t="s">
        <v>1090</v>
      </c>
      <c r="C6145" s="3" t="s">
        <v>1091</v>
      </c>
      <c r="D6145" s="31">
        <v>0</v>
      </c>
      <c r="F6145" s="31">
        <v>-686.19</v>
      </c>
      <c r="G6145" s="31">
        <v>0</v>
      </c>
      <c r="H6145" s="31">
        <v>0</v>
      </c>
      <c r="I6145" s="31">
        <v>2322.9</v>
      </c>
      <c r="J6145" s="61">
        <f t="shared" si="60"/>
        <v>1636.71</v>
      </c>
    </row>
    <row r="6146" spans="1:10" x14ac:dyDescent="0.25">
      <c r="A6146" s="20">
        <v>45930</v>
      </c>
      <c r="B6146" s="3" t="s">
        <v>1092</v>
      </c>
      <c r="C6146" s="3" t="s">
        <v>369</v>
      </c>
      <c r="D6146" s="31">
        <v>0</v>
      </c>
      <c r="F6146" s="31">
        <v>0</v>
      </c>
      <c r="G6146" s="31">
        <v>0</v>
      </c>
      <c r="H6146" s="31">
        <v>0</v>
      </c>
      <c r="I6146" s="31">
        <v>-891</v>
      </c>
      <c r="J6146" s="61">
        <f t="shared" si="60"/>
        <v>-891</v>
      </c>
    </row>
    <row r="6147" spans="1:10" x14ac:dyDescent="0.25">
      <c r="A6147" s="20">
        <v>45930</v>
      </c>
      <c r="B6147" s="3" t="s">
        <v>1096</v>
      </c>
      <c r="C6147" s="3" t="s">
        <v>586</v>
      </c>
      <c r="D6147" s="31">
        <v>0</v>
      </c>
      <c r="F6147" s="31">
        <v>0</v>
      </c>
      <c r="G6147" s="31">
        <v>0</v>
      </c>
      <c r="H6147" s="31">
        <v>0</v>
      </c>
      <c r="I6147" s="31">
        <v>-646.09</v>
      </c>
      <c r="J6147" s="61">
        <f t="shared" si="60"/>
        <v>-646.09</v>
      </c>
    </row>
    <row r="6148" spans="1:10" x14ac:dyDescent="0.25">
      <c r="A6148" s="20">
        <v>45930</v>
      </c>
      <c r="B6148" s="3" t="s">
        <v>1104</v>
      </c>
      <c r="C6148" s="3" t="s">
        <v>1105</v>
      </c>
      <c r="D6148" s="31">
        <v>6611.86</v>
      </c>
      <c r="F6148" s="31">
        <v>0</v>
      </c>
      <c r="G6148" s="31">
        <v>0</v>
      </c>
      <c r="H6148" s="31">
        <v>0</v>
      </c>
      <c r="I6148" s="31">
        <v>0</v>
      </c>
      <c r="J6148" s="61">
        <f t="shared" si="60"/>
        <v>6611.86</v>
      </c>
    </row>
    <row r="6149" spans="1:10" x14ac:dyDescent="0.25">
      <c r="A6149" s="20">
        <v>45930</v>
      </c>
      <c r="B6149" s="3" t="s">
        <v>1106</v>
      </c>
      <c r="C6149" s="3" t="s">
        <v>1107</v>
      </c>
      <c r="D6149" s="31">
        <v>17058.48</v>
      </c>
      <c r="F6149" s="31">
        <v>0</v>
      </c>
      <c r="G6149" s="31">
        <v>0</v>
      </c>
      <c r="H6149" s="31">
        <v>0</v>
      </c>
      <c r="I6149" s="31">
        <v>0</v>
      </c>
      <c r="J6149" s="61">
        <f t="shared" si="60"/>
        <v>17058.48</v>
      </c>
    </row>
    <row r="6150" spans="1:10" x14ac:dyDescent="0.25">
      <c r="A6150" s="20">
        <v>45930</v>
      </c>
      <c r="B6150" s="3" t="s">
        <v>1132</v>
      </c>
      <c r="C6150" s="3" t="s">
        <v>10</v>
      </c>
      <c r="D6150" s="31">
        <v>59160.79</v>
      </c>
      <c r="F6150" s="31">
        <v>14904.88</v>
      </c>
      <c r="G6150" s="31">
        <v>0</v>
      </c>
      <c r="H6150" s="31">
        <v>0</v>
      </c>
      <c r="I6150" s="31">
        <v>0</v>
      </c>
      <c r="J6150" s="61">
        <f t="shared" si="60"/>
        <v>74065.67</v>
      </c>
    </row>
    <row r="6151" spans="1:10" x14ac:dyDescent="0.25">
      <c r="A6151" s="20">
        <v>45930</v>
      </c>
      <c r="B6151" s="3" t="s">
        <v>1137</v>
      </c>
      <c r="C6151" s="3" t="s">
        <v>435</v>
      </c>
      <c r="D6151" s="31">
        <v>198</v>
      </c>
      <c r="F6151" s="31">
        <v>-51.69</v>
      </c>
      <c r="G6151" s="31">
        <v>0</v>
      </c>
      <c r="H6151" s="31">
        <v>0</v>
      </c>
      <c r="I6151" s="31">
        <v>0</v>
      </c>
      <c r="J6151" s="61">
        <f t="shared" si="60"/>
        <v>146.31</v>
      </c>
    </row>
    <row r="6152" spans="1:10" x14ac:dyDescent="0.25">
      <c r="A6152" s="20">
        <v>45930</v>
      </c>
      <c r="B6152" s="3" t="s">
        <v>1163</v>
      </c>
      <c r="C6152" s="3" t="s">
        <v>375</v>
      </c>
      <c r="D6152" s="31">
        <v>0</v>
      </c>
      <c r="F6152" s="31">
        <v>0</v>
      </c>
      <c r="G6152" s="31">
        <v>0</v>
      </c>
      <c r="H6152" s="31">
        <v>0</v>
      </c>
      <c r="I6152" s="31">
        <v>-3</v>
      </c>
      <c r="J6152" s="61">
        <f t="shared" si="60"/>
        <v>-3</v>
      </c>
    </row>
    <row r="6153" spans="1:10" x14ac:dyDescent="0.25">
      <c r="A6153" s="20">
        <v>45930</v>
      </c>
      <c r="B6153" s="3" t="s">
        <v>1164</v>
      </c>
      <c r="C6153" s="3" t="s">
        <v>63</v>
      </c>
      <c r="D6153" s="31">
        <v>3744.17</v>
      </c>
      <c r="F6153" s="31">
        <v>0</v>
      </c>
      <c r="G6153" s="31">
        <v>0</v>
      </c>
      <c r="H6153" s="31">
        <v>0</v>
      </c>
      <c r="I6153" s="31">
        <v>0</v>
      </c>
      <c r="J6153" s="61">
        <f t="shared" si="60"/>
        <v>3744.17</v>
      </c>
    </row>
    <row r="6154" spans="1:10" x14ac:dyDescent="0.25">
      <c r="A6154" s="20">
        <v>45930</v>
      </c>
      <c r="B6154" s="3" t="s">
        <v>1165</v>
      </c>
      <c r="C6154" s="3" t="s">
        <v>11</v>
      </c>
      <c r="D6154" s="31">
        <v>242283.76</v>
      </c>
      <c r="F6154" s="31">
        <v>6362</v>
      </c>
      <c r="G6154" s="31">
        <v>5254.04</v>
      </c>
      <c r="H6154" s="31">
        <v>55.36</v>
      </c>
      <c r="I6154" s="31">
        <v>1179.78</v>
      </c>
      <c r="J6154" s="61">
        <f t="shared" si="60"/>
        <v>255134.94</v>
      </c>
    </row>
    <row r="6155" spans="1:10" x14ac:dyDescent="0.25">
      <c r="A6155" s="20">
        <v>45930</v>
      </c>
      <c r="B6155" s="3" t="s">
        <v>1178</v>
      </c>
      <c r="C6155" s="3" t="s">
        <v>12</v>
      </c>
      <c r="D6155" s="31">
        <v>0</v>
      </c>
      <c r="F6155" s="31">
        <v>0</v>
      </c>
      <c r="G6155" s="31">
        <v>0</v>
      </c>
      <c r="H6155" s="31">
        <v>0</v>
      </c>
      <c r="I6155" s="31">
        <v>-146.83000000000001</v>
      </c>
      <c r="J6155" s="61">
        <f t="shared" si="60"/>
        <v>-146.83000000000001</v>
      </c>
    </row>
    <row r="6156" spans="1:10" x14ac:dyDescent="0.25">
      <c r="A6156" s="20">
        <v>45930</v>
      </c>
      <c r="B6156" s="3" t="s">
        <v>1236</v>
      </c>
      <c r="C6156" s="3" t="s">
        <v>377</v>
      </c>
      <c r="D6156" s="31">
        <v>0</v>
      </c>
      <c r="F6156" s="31">
        <v>0</v>
      </c>
      <c r="G6156" s="31">
        <v>0</v>
      </c>
      <c r="H6156" s="31">
        <v>0</v>
      </c>
      <c r="I6156" s="31">
        <v>-220.24</v>
      </c>
      <c r="J6156" s="61">
        <f t="shared" si="60"/>
        <v>-220.24</v>
      </c>
    </row>
    <row r="6157" spans="1:10" x14ac:dyDescent="0.25">
      <c r="A6157" s="20">
        <v>45930</v>
      </c>
      <c r="B6157" s="3" t="s">
        <v>1237</v>
      </c>
      <c r="C6157" s="3" t="s">
        <v>65</v>
      </c>
      <c r="D6157" s="31">
        <v>959.93</v>
      </c>
      <c r="F6157" s="31">
        <v>0</v>
      </c>
      <c r="G6157" s="31">
        <v>0</v>
      </c>
      <c r="H6157" s="31">
        <v>0</v>
      </c>
      <c r="I6157" s="31">
        <v>0</v>
      </c>
      <c r="J6157" s="61">
        <f t="shared" si="60"/>
        <v>959.93</v>
      </c>
    </row>
    <row r="6158" spans="1:10" x14ac:dyDescent="0.25">
      <c r="A6158" s="20">
        <v>45930</v>
      </c>
      <c r="B6158" s="3" t="s">
        <v>1246</v>
      </c>
      <c r="C6158" s="3" t="s">
        <v>68</v>
      </c>
      <c r="D6158" s="31">
        <v>217724.62</v>
      </c>
      <c r="F6158" s="31">
        <v>0</v>
      </c>
      <c r="G6158" s="31">
        <v>0</v>
      </c>
      <c r="H6158" s="31">
        <v>0</v>
      </c>
      <c r="I6158" s="31">
        <v>0</v>
      </c>
      <c r="J6158" s="61">
        <f t="shared" si="60"/>
        <v>217724.62</v>
      </c>
    </row>
    <row r="6159" spans="1:10" x14ac:dyDescent="0.25">
      <c r="A6159" s="20">
        <v>45930</v>
      </c>
      <c r="B6159" s="3" t="s">
        <v>1258</v>
      </c>
      <c r="C6159" s="3" t="s">
        <v>76</v>
      </c>
      <c r="D6159" s="31">
        <v>15254</v>
      </c>
      <c r="F6159" s="31">
        <v>-400</v>
      </c>
      <c r="G6159" s="31">
        <v>0</v>
      </c>
      <c r="H6159" s="31">
        <v>0</v>
      </c>
      <c r="I6159" s="31">
        <v>0</v>
      </c>
      <c r="J6159" s="61">
        <f t="shared" si="60"/>
        <v>14854</v>
      </c>
    </row>
    <row r="6160" spans="1:10" x14ac:dyDescent="0.25">
      <c r="A6160" s="20">
        <v>45930</v>
      </c>
      <c r="B6160" s="3" t="s">
        <v>1267</v>
      </c>
      <c r="C6160" s="3" t="s">
        <v>890</v>
      </c>
      <c r="D6160" s="31">
        <v>277</v>
      </c>
      <c r="F6160" s="31">
        <v>0</v>
      </c>
      <c r="G6160" s="31">
        <v>0</v>
      </c>
      <c r="H6160" s="31">
        <v>0</v>
      </c>
      <c r="I6160" s="31">
        <v>0</v>
      </c>
      <c r="J6160" s="61">
        <f t="shared" si="60"/>
        <v>277</v>
      </c>
    </row>
    <row r="6161" spans="1:10" x14ac:dyDescent="0.25">
      <c r="A6161" s="20">
        <v>45930</v>
      </c>
      <c r="B6161" s="3" t="s">
        <v>1270</v>
      </c>
      <c r="C6161" s="3" t="s">
        <v>13</v>
      </c>
      <c r="D6161" s="31">
        <v>2443</v>
      </c>
      <c r="F6161" s="31">
        <v>0</v>
      </c>
      <c r="G6161" s="31">
        <v>0</v>
      </c>
      <c r="H6161" s="31">
        <v>0</v>
      </c>
      <c r="I6161" s="31">
        <v>0</v>
      </c>
      <c r="J6161" s="61">
        <f t="shared" si="60"/>
        <v>2443</v>
      </c>
    </row>
    <row r="6162" spans="1:10" x14ac:dyDescent="0.25">
      <c r="A6162" s="20">
        <v>45930</v>
      </c>
      <c r="B6162" s="3" t="s">
        <v>1271</v>
      </c>
      <c r="C6162" s="3" t="s">
        <v>79</v>
      </c>
      <c r="D6162" s="31">
        <v>437.84</v>
      </c>
      <c r="F6162" s="31">
        <v>0</v>
      </c>
      <c r="G6162" s="31">
        <v>0</v>
      </c>
      <c r="H6162" s="31">
        <v>0</v>
      </c>
      <c r="I6162" s="31">
        <v>0</v>
      </c>
      <c r="J6162" s="61">
        <f t="shared" si="60"/>
        <v>437.84</v>
      </c>
    </row>
    <row r="6163" spans="1:10" x14ac:dyDescent="0.25">
      <c r="A6163" s="20">
        <v>45930</v>
      </c>
      <c r="B6163" s="3" t="s">
        <v>1272</v>
      </c>
      <c r="C6163" s="3" t="s">
        <v>80</v>
      </c>
      <c r="D6163" s="31">
        <v>769.76</v>
      </c>
      <c r="F6163" s="31">
        <v>0</v>
      </c>
      <c r="G6163" s="31">
        <v>0</v>
      </c>
      <c r="H6163" s="31">
        <v>0</v>
      </c>
      <c r="I6163" s="31">
        <v>0</v>
      </c>
      <c r="J6163" s="61">
        <f t="shared" si="60"/>
        <v>769.76</v>
      </c>
    </row>
    <row r="6164" spans="1:10" x14ac:dyDescent="0.25">
      <c r="A6164" s="20">
        <v>45930</v>
      </c>
      <c r="B6164" s="3" t="s">
        <v>1281</v>
      </c>
      <c r="C6164" s="3" t="s">
        <v>82</v>
      </c>
      <c r="D6164" s="31">
        <v>57.7</v>
      </c>
      <c r="F6164" s="31">
        <v>0</v>
      </c>
      <c r="G6164" s="31">
        <v>0</v>
      </c>
      <c r="H6164" s="31">
        <v>80</v>
      </c>
      <c r="I6164" s="31">
        <v>0</v>
      </c>
      <c r="J6164" s="61">
        <f t="shared" si="60"/>
        <v>137.69999999999999</v>
      </c>
    </row>
    <row r="6165" spans="1:10" x14ac:dyDescent="0.25">
      <c r="A6165" s="20">
        <v>45930</v>
      </c>
      <c r="B6165" s="3" t="s">
        <v>1284</v>
      </c>
      <c r="C6165" s="3" t="s">
        <v>83</v>
      </c>
      <c r="D6165" s="31">
        <v>2562.75</v>
      </c>
      <c r="F6165" s="31">
        <v>0</v>
      </c>
      <c r="G6165" s="31">
        <v>0</v>
      </c>
      <c r="H6165" s="31">
        <v>0</v>
      </c>
      <c r="I6165" s="31">
        <v>0</v>
      </c>
      <c r="J6165" s="61">
        <f t="shared" si="60"/>
        <v>2562.75</v>
      </c>
    </row>
    <row r="6166" spans="1:10" x14ac:dyDescent="0.25">
      <c r="A6166" s="20">
        <v>45930</v>
      </c>
      <c r="B6166" s="3" t="s">
        <v>1291</v>
      </c>
      <c r="C6166" s="3" t="s">
        <v>84</v>
      </c>
      <c r="D6166" s="31">
        <v>93317.33</v>
      </c>
      <c r="F6166" s="31">
        <v>0</v>
      </c>
      <c r="G6166" s="31">
        <v>0</v>
      </c>
      <c r="H6166" s="31">
        <v>0</v>
      </c>
      <c r="I6166" s="31">
        <v>0</v>
      </c>
      <c r="J6166" s="61">
        <f t="shared" si="60"/>
        <v>93317.33</v>
      </c>
    </row>
    <row r="6167" spans="1:10" x14ac:dyDescent="0.25">
      <c r="A6167" s="20">
        <v>45930</v>
      </c>
      <c r="B6167" s="3" t="s">
        <v>1304</v>
      </c>
      <c r="C6167" s="3" t="s">
        <v>86</v>
      </c>
      <c r="D6167" s="31">
        <v>5859.16</v>
      </c>
      <c r="F6167" s="31">
        <v>0</v>
      </c>
      <c r="G6167" s="31">
        <v>0</v>
      </c>
      <c r="H6167" s="31">
        <v>0</v>
      </c>
      <c r="I6167" s="31">
        <v>0</v>
      </c>
      <c r="J6167" s="61">
        <f t="shared" si="60"/>
        <v>5859.16</v>
      </c>
    </row>
    <row r="6168" spans="1:10" x14ac:dyDescent="0.25">
      <c r="A6168" s="20">
        <v>45930</v>
      </c>
      <c r="B6168" s="3" t="s">
        <v>1321</v>
      </c>
      <c r="C6168" s="3" t="s">
        <v>541</v>
      </c>
      <c r="D6168" s="31">
        <v>0</v>
      </c>
      <c r="F6168" s="31">
        <v>0</v>
      </c>
      <c r="G6168" s="31">
        <v>0</v>
      </c>
      <c r="H6168" s="31">
        <v>0</v>
      </c>
      <c r="I6168" s="31">
        <v>-608.84</v>
      </c>
      <c r="J6168" s="61">
        <f t="shared" si="60"/>
        <v>-608.84</v>
      </c>
    </row>
    <row r="6169" spans="1:10" x14ac:dyDescent="0.25">
      <c r="A6169" s="20">
        <v>45930</v>
      </c>
      <c r="B6169" s="3" t="s">
        <v>1330</v>
      </c>
      <c r="C6169" s="3" t="s">
        <v>15</v>
      </c>
      <c r="D6169" s="31">
        <v>53935.27</v>
      </c>
      <c r="F6169" s="31">
        <v>57.77</v>
      </c>
      <c r="G6169" s="31">
        <v>465.41</v>
      </c>
      <c r="H6169" s="31">
        <v>0</v>
      </c>
      <c r="I6169" s="31">
        <v>231.5</v>
      </c>
      <c r="J6169" s="61">
        <f t="shared" si="60"/>
        <v>54689.95</v>
      </c>
    </row>
    <row r="6170" spans="1:10" x14ac:dyDescent="0.25">
      <c r="A6170" s="20">
        <v>45930</v>
      </c>
      <c r="B6170" s="3" t="s">
        <v>1337</v>
      </c>
      <c r="C6170" s="3" t="s">
        <v>89</v>
      </c>
      <c r="D6170" s="31">
        <v>218.63</v>
      </c>
      <c r="F6170" s="31">
        <v>0</v>
      </c>
      <c r="G6170" s="31">
        <v>0</v>
      </c>
      <c r="H6170" s="31">
        <v>0</v>
      </c>
      <c r="I6170" s="31">
        <v>0</v>
      </c>
      <c r="J6170" s="61">
        <f t="shared" si="60"/>
        <v>218.63</v>
      </c>
    </row>
    <row r="6171" spans="1:10" x14ac:dyDescent="0.25">
      <c r="A6171" s="20">
        <v>45930</v>
      </c>
      <c r="B6171" s="3" t="s">
        <v>1338</v>
      </c>
      <c r="C6171" s="3" t="s">
        <v>777</v>
      </c>
      <c r="D6171" s="31">
        <v>272</v>
      </c>
      <c r="F6171" s="31">
        <v>0</v>
      </c>
      <c r="G6171" s="31">
        <v>0</v>
      </c>
      <c r="H6171" s="31">
        <v>0</v>
      </c>
      <c r="I6171" s="31">
        <v>0</v>
      </c>
      <c r="J6171" s="61">
        <f t="shared" si="60"/>
        <v>272</v>
      </c>
    </row>
    <row r="6172" spans="1:10" x14ac:dyDescent="0.25">
      <c r="A6172" s="20">
        <v>45930</v>
      </c>
      <c r="B6172" s="3" t="s">
        <v>1346</v>
      </c>
      <c r="C6172" s="3" t="s">
        <v>385</v>
      </c>
      <c r="D6172" s="31">
        <v>0</v>
      </c>
      <c r="F6172" s="31">
        <v>-996</v>
      </c>
      <c r="G6172" s="31">
        <v>0</v>
      </c>
      <c r="H6172" s="31">
        <v>-188.56</v>
      </c>
      <c r="I6172" s="31">
        <v>0</v>
      </c>
      <c r="J6172" s="61">
        <f t="shared" si="60"/>
        <v>-1184.56</v>
      </c>
    </row>
    <row r="6173" spans="1:10" x14ac:dyDescent="0.25">
      <c r="A6173" s="20">
        <v>45930</v>
      </c>
      <c r="B6173" s="3" t="s">
        <v>1347</v>
      </c>
      <c r="C6173" s="3" t="s">
        <v>91</v>
      </c>
      <c r="D6173" s="31">
        <v>-66.95</v>
      </c>
      <c r="F6173" s="31">
        <v>0</v>
      </c>
      <c r="G6173" s="31">
        <v>0</v>
      </c>
      <c r="H6173" s="31">
        <v>0</v>
      </c>
      <c r="I6173" s="31">
        <v>0</v>
      </c>
      <c r="J6173" s="61">
        <f t="shared" si="60"/>
        <v>-66.95</v>
      </c>
    </row>
    <row r="6174" spans="1:10" x14ac:dyDescent="0.25">
      <c r="A6174" s="20">
        <v>45930</v>
      </c>
      <c r="B6174" s="3" t="s">
        <v>1350</v>
      </c>
      <c r="C6174" s="3" t="s">
        <v>893</v>
      </c>
      <c r="D6174" s="31">
        <v>0</v>
      </c>
      <c r="F6174" s="31">
        <v>0</v>
      </c>
      <c r="G6174" s="31">
        <v>-880</v>
      </c>
      <c r="H6174" s="31">
        <v>0</v>
      </c>
      <c r="I6174" s="31">
        <v>0</v>
      </c>
      <c r="J6174" s="61">
        <f t="shared" si="60"/>
        <v>-880</v>
      </c>
    </row>
    <row r="6175" spans="1:10" x14ac:dyDescent="0.25">
      <c r="A6175" s="20">
        <v>45930</v>
      </c>
      <c r="B6175" s="3" t="s">
        <v>1355</v>
      </c>
      <c r="C6175" s="3" t="s">
        <v>92</v>
      </c>
      <c r="D6175" s="31">
        <v>4032.9</v>
      </c>
      <c r="F6175" s="31">
        <v>0</v>
      </c>
      <c r="G6175" s="31">
        <v>0</v>
      </c>
      <c r="H6175" s="31">
        <v>0</v>
      </c>
      <c r="I6175" s="31">
        <v>0</v>
      </c>
      <c r="J6175" s="61">
        <f t="shared" si="60"/>
        <v>4032.9</v>
      </c>
    </row>
    <row r="6176" spans="1:10" x14ac:dyDescent="0.25">
      <c r="A6176" s="20">
        <v>45930</v>
      </c>
      <c r="B6176" s="3" t="s">
        <v>1362</v>
      </c>
      <c r="C6176" s="3" t="s">
        <v>94</v>
      </c>
      <c r="D6176" s="31">
        <v>30082.400000000001</v>
      </c>
      <c r="F6176" s="31">
        <v>0</v>
      </c>
      <c r="G6176" s="31">
        <v>0</v>
      </c>
      <c r="H6176" s="31">
        <v>0</v>
      </c>
      <c r="I6176" s="31">
        <v>0</v>
      </c>
      <c r="J6176" s="61">
        <f t="shared" si="60"/>
        <v>30082.400000000001</v>
      </c>
    </row>
    <row r="6177" spans="1:10" x14ac:dyDescent="0.25">
      <c r="A6177" s="20">
        <v>45930</v>
      </c>
      <c r="B6177" s="3" t="s">
        <v>1373</v>
      </c>
      <c r="C6177" s="3" t="s">
        <v>96</v>
      </c>
      <c r="D6177" s="31">
        <v>1560</v>
      </c>
      <c r="F6177" s="31">
        <v>0</v>
      </c>
      <c r="G6177" s="31">
        <v>0</v>
      </c>
      <c r="H6177" s="31">
        <v>0</v>
      </c>
      <c r="I6177" s="31">
        <v>0</v>
      </c>
      <c r="J6177" s="61">
        <f t="shared" si="60"/>
        <v>1560</v>
      </c>
    </row>
    <row r="6178" spans="1:10" x14ac:dyDescent="0.25">
      <c r="A6178" s="20">
        <v>45930</v>
      </c>
      <c r="B6178" s="3" t="s">
        <v>1380</v>
      </c>
      <c r="C6178" s="3" t="s">
        <v>97</v>
      </c>
      <c r="D6178" s="31">
        <v>0</v>
      </c>
      <c r="F6178" s="31">
        <v>0</v>
      </c>
      <c r="G6178" s="31">
        <v>-149.30000000000001</v>
      </c>
      <c r="H6178" s="31">
        <v>0</v>
      </c>
      <c r="I6178" s="31">
        <v>0</v>
      </c>
      <c r="J6178" s="61">
        <f t="shared" si="60"/>
        <v>-149.30000000000001</v>
      </c>
    </row>
    <row r="6179" spans="1:10" x14ac:dyDescent="0.25">
      <c r="A6179" s="20">
        <v>45930</v>
      </c>
      <c r="B6179" s="3" t="s">
        <v>1389</v>
      </c>
      <c r="C6179" s="3" t="s">
        <v>16</v>
      </c>
      <c r="D6179" s="31">
        <v>2716.58</v>
      </c>
      <c r="F6179" s="31">
        <v>739.2</v>
      </c>
      <c r="G6179" s="31">
        <v>4965.1000000000004</v>
      </c>
      <c r="H6179" s="31">
        <v>0</v>
      </c>
      <c r="I6179" s="31">
        <v>0</v>
      </c>
      <c r="J6179" s="61">
        <f t="shared" si="60"/>
        <v>8420.880000000001</v>
      </c>
    </row>
    <row r="6180" spans="1:10" x14ac:dyDescent="0.25">
      <c r="A6180" s="20">
        <v>45930</v>
      </c>
      <c r="B6180" s="3" t="s">
        <v>1392</v>
      </c>
      <c r="C6180" s="3" t="s">
        <v>100</v>
      </c>
      <c r="D6180" s="31">
        <v>18009.8</v>
      </c>
      <c r="F6180" s="31">
        <v>0</v>
      </c>
      <c r="G6180" s="31">
        <v>0</v>
      </c>
      <c r="H6180" s="31">
        <v>0</v>
      </c>
      <c r="I6180" s="31">
        <v>0</v>
      </c>
      <c r="J6180" s="61">
        <f t="shared" si="60"/>
        <v>18009.8</v>
      </c>
    </row>
    <row r="6181" spans="1:10" x14ac:dyDescent="0.25">
      <c r="A6181" s="20">
        <v>45930</v>
      </c>
      <c r="B6181" s="3" t="s">
        <v>1393</v>
      </c>
      <c r="C6181" s="3" t="s">
        <v>101</v>
      </c>
      <c r="D6181" s="31">
        <v>6946.58</v>
      </c>
      <c r="F6181" s="31">
        <v>0</v>
      </c>
      <c r="G6181" s="31">
        <v>0</v>
      </c>
      <c r="H6181" s="31">
        <v>0</v>
      </c>
      <c r="I6181" s="31">
        <v>-81.599999999999994</v>
      </c>
      <c r="J6181" s="61">
        <f t="shared" si="60"/>
        <v>6864.98</v>
      </c>
    </row>
    <row r="6182" spans="1:10" x14ac:dyDescent="0.25">
      <c r="A6182" s="20">
        <v>45930</v>
      </c>
      <c r="B6182" s="3" t="s">
        <v>1394</v>
      </c>
      <c r="C6182" s="3" t="s">
        <v>102</v>
      </c>
      <c r="D6182" s="31">
        <v>0</v>
      </c>
      <c r="F6182" s="31">
        <v>210</v>
      </c>
      <c r="G6182" s="31">
        <v>0</v>
      </c>
      <c r="H6182" s="31">
        <v>0</v>
      </c>
      <c r="I6182" s="31">
        <v>0</v>
      </c>
      <c r="J6182" s="61">
        <f t="shared" si="60"/>
        <v>210</v>
      </c>
    </row>
    <row r="6183" spans="1:10" x14ac:dyDescent="0.25">
      <c r="A6183" s="20">
        <v>45930</v>
      </c>
      <c r="B6183" s="3" t="s">
        <v>1401</v>
      </c>
      <c r="C6183" s="3" t="s">
        <v>1402</v>
      </c>
      <c r="D6183" s="31">
        <v>2479.96</v>
      </c>
      <c r="F6183" s="31">
        <v>0</v>
      </c>
      <c r="G6183" s="31">
        <v>0</v>
      </c>
      <c r="H6183" s="31">
        <v>0</v>
      </c>
      <c r="I6183" s="31">
        <v>0</v>
      </c>
      <c r="J6183" s="61">
        <f t="shared" si="60"/>
        <v>2479.96</v>
      </c>
    </row>
    <row r="6184" spans="1:10" x14ac:dyDescent="0.25">
      <c r="A6184" s="20">
        <v>45930</v>
      </c>
      <c r="B6184" s="3" t="s">
        <v>1410</v>
      </c>
      <c r="C6184" s="3" t="s">
        <v>105</v>
      </c>
      <c r="D6184" s="31">
        <v>56.89</v>
      </c>
      <c r="F6184" s="31">
        <v>0</v>
      </c>
      <c r="G6184" s="31">
        <v>0</v>
      </c>
      <c r="H6184" s="31">
        <v>6.51</v>
      </c>
      <c r="I6184" s="31">
        <v>-231</v>
      </c>
      <c r="J6184" s="61">
        <f t="shared" si="60"/>
        <v>-167.6</v>
      </c>
    </row>
    <row r="6185" spans="1:10" x14ac:dyDescent="0.25">
      <c r="A6185" s="20">
        <v>45930</v>
      </c>
      <c r="B6185" s="3" t="s">
        <v>1421</v>
      </c>
      <c r="C6185" s="3" t="s">
        <v>653</v>
      </c>
      <c r="D6185" s="31">
        <v>101468</v>
      </c>
      <c r="F6185" s="31">
        <v>0</v>
      </c>
      <c r="G6185" s="31">
        <v>0</v>
      </c>
      <c r="H6185" s="31">
        <v>0</v>
      </c>
      <c r="I6185" s="31">
        <v>0</v>
      </c>
      <c r="J6185" s="61">
        <f t="shared" si="60"/>
        <v>101468</v>
      </c>
    </row>
    <row r="6186" spans="1:10" x14ac:dyDescent="0.25">
      <c r="A6186" s="20">
        <v>45930</v>
      </c>
      <c r="B6186" s="3" t="s">
        <v>1424</v>
      </c>
      <c r="C6186" s="3" t="s">
        <v>108</v>
      </c>
      <c r="D6186" s="31">
        <v>0</v>
      </c>
      <c r="F6186" s="31">
        <v>0</v>
      </c>
      <c r="G6186" s="31">
        <v>102.77</v>
      </c>
      <c r="H6186" s="31">
        <v>0</v>
      </c>
      <c r="I6186" s="31">
        <v>0</v>
      </c>
      <c r="J6186" s="61">
        <f t="shared" si="60"/>
        <v>102.77</v>
      </c>
    </row>
    <row r="6187" spans="1:10" x14ac:dyDescent="0.25">
      <c r="A6187" s="20">
        <v>45930</v>
      </c>
      <c r="B6187" s="3" t="s">
        <v>1440</v>
      </c>
      <c r="C6187" s="3" t="s">
        <v>18</v>
      </c>
      <c r="D6187" s="31">
        <v>4295.3900000000003</v>
      </c>
      <c r="F6187" s="31">
        <v>0</v>
      </c>
      <c r="G6187" s="31">
        <v>0</v>
      </c>
      <c r="H6187" s="31">
        <v>0</v>
      </c>
      <c r="I6187" s="31">
        <v>0</v>
      </c>
      <c r="J6187" s="61">
        <f t="shared" si="60"/>
        <v>4295.3900000000003</v>
      </c>
    </row>
    <row r="6188" spans="1:10" x14ac:dyDescent="0.25">
      <c r="A6188" s="20">
        <v>45930</v>
      </c>
      <c r="B6188" s="3" t="s">
        <v>1465</v>
      </c>
      <c r="C6188" s="3" t="s">
        <v>114</v>
      </c>
      <c r="D6188" s="31">
        <v>646</v>
      </c>
      <c r="F6188" s="31">
        <v>0</v>
      </c>
      <c r="G6188" s="31">
        <v>0</v>
      </c>
      <c r="H6188" s="31">
        <v>0</v>
      </c>
      <c r="I6188" s="31">
        <v>0</v>
      </c>
      <c r="J6188" s="61">
        <f t="shared" si="60"/>
        <v>646</v>
      </c>
    </row>
    <row r="6189" spans="1:10" x14ac:dyDescent="0.25">
      <c r="A6189" s="20">
        <v>45930</v>
      </c>
      <c r="B6189" s="3" t="s">
        <v>1479</v>
      </c>
      <c r="C6189" s="3" t="s">
        <v>117</v>
      </c>
      <c r="D6189" s="31">
        <v>37556.800000000003</v>
      </c>
      <c r="F6189" s="31">
        <v>0</v>
      </c>
      <c r="G6189" s="31">
        <v>-4400.8</v>
      </c>
      <c r="H6189" s="31">
        <v>0</v>
      </c>
      <c r="I6189" s="31">
        <v>0</v>
      </c>
      <c r="J6189" s="61">
        <f t="shared" si="60"/>
        <v>33156</v>
      </c>
    </row>
    <row r="6190" spans="1:10" x14ac:dyDescent="0.25">
      <c r="A6190" s="20">
        <v>45930</v>
      </c>
      <c r="B6190" s="3" t="s">
        <v>1480</v>
      </c>
      <c r="C6190" s="3" t="s">
        <v>118</v>
      </c>
      <c r="D6190" s="31">
        <v>12226.29</v>
      </c>
      <c r="F6190" s="31">
        <v>0</v>
      </c>
      <c r="G6190" s="31">
        <v>0</v>
      </c>
      <c r="H6190" s="31">
        <v>-630</v>
      </c>
      <c r="I6190" s="31">
        <v>0</v>
      </c>
      <c r="J6190" s="61">
        <f t="shared" ref="J6190:J6253" si="61">SUM(D6190:I6190)</f>
        <v>11596.29</v>
      </c>
    </row>
    <row r="6191" spans="1:10" x14ac:dyDescent="0.25">
      <c r="A6191" s="20">
        <v>45930</v>
      </c>
      <c r="B6191" s="3" t="s">
        <v>1485</v>
      </c>
      <c r="C6191" s="3" t="s">
        <v>119</v>
      </c>
      <c r="D6191" s="31">
        <v>1393</v>
      </c>
      <c r="F6191" s="31">
        <v>834.6</v>
      </c>
      <c r="G6191" s="31">
        <v>0</v>
      </c>
      <c r="H6191" s="31">
        <v>0</v>
      </c>
      <c r="I6191" s="31">
        <v>0</v>
      </c>
      <c r="J6191" s="61">
        <f t="shared" si="61"/>
        <v>2227.6</v>
      </c>
    </row>
    <row r="6192" spans="1:10" x14ac:dyDescent="0.25">
      <c r="A6192" s="20">
        <v>45930</v>
      </c>
      <c r="B6192" s="3" t="s">
        <v>1486</v>
      </c>
      <c r="C6192" s="3" t="s">
        <v>120</v>
      </c>
      <c r="D6192" s="31">
        <v>160</v>
      </c>
      <c r="F6192" s="31">
        <v>0</v>
      </c>
      <c r="G6192" s="31">
        <v>0</v>
      </c>
      <c r="H6192" s="31">
        <v>0</v>
      </c>
      <c r="I6192" s="31">
        <v>0</v>
      </c>
      <c r="J6192" s="61">
        <f t="shared" si="61"/>
        <v>160</v>
      </c>
    </row>
    <row r="6193" spans="1:10" x14ac:dyDescent="0.25">
      <c r="A6193" s="20">
        <v>45930</v>
      </c>
      <c r="B6193" s="3" t="s">
        <v>1489</v>
      </c>
      <c r="C6193" s="3" t="s">
        <v>122</v>
      </c>
      <c r="D6193" s="31">
        <v>147353.01</v>
      </c>
      <c r="F6193" s="31">
        <v>0</v>
      </c>
      <c r="G6193" s="31">
        <v>0</v>
      </c>
      <c r="H6193" s="31">
        <v>0</v>
      </c>
      <c r="I6193" s="31">
        <v>0</v>
      </c>
      <c r="J6193" s="61">
        <f t="shared" si="61"/>
        <v>147353.01</v>
      </c>
    </row>
    <row r="6194" spans="1:10" x14ac:dyDescent="0.25">
      <c r="A6194" s="20">
        <v>45930</v>
      </c>
      <c r="B6194" s="3" t="s">
        <v>1490</v>
      </c>
      <c r="C6194" s="3" t="s">
        <v>390</v>
      </c>
      <c r="D6194" s="31">
        <v>0</v>
      </c>
      <c r="F6194" s="31">
        <v>0</v>
      </c>
      <c r="G6194" s="31">
        <v>982.62</v>
      </c>
      <c r="H6194" s="31">
        <v>0</v>
      </c>
      <c r="I6194" s="31">
        <v>0</v>
      </c>
      <c r="J6194" s="61">
        <f t="shared" si="61"/>
        <v>982.62</v>
      </c>
    </row>
    <row r="6195" spans="1:10" x14ac:dyDescent="0.25">
      <c r="A6195" s="20">
        <v>45930</v>
      </c>
      <c r="B6195" s="3" t="s">
        <v>1533</v>
      </c>
      <c r="C6195" s="3" t="s">
        <v>1534</v>
      </c>
      <c r="D6195" s="31">
        <v>-51</v>
      </c>
      <c r="F6195" s="31">
        <v>0</v>
      </c>
      <c r="G6195" s="31">
        <v>0</v>
      </c>
      <c r="H6195" s="31">
        <v>0</v>
      </c>
      <c r="I6195" s="31">
        <v>0</v>
      </c>
      <c r="J6195" s="61">
        <f t="shared" si="61"/>
        <v>-51</v>
      </c>
    </row>
    <row r="6196" spans="1:10" x14ac:dyDescent="0.25">
      <c r="A6196" s="20">
        <v>45930</v>
      </c>
      <c r="B6196" s="3" t="s">
        <v>1544</v>
      </c>
      <c r="C6196" s="3" t="s">
        <v>138</v>
      </c>
      <c r="D6196" s="31">
        <v>7374</v>
      </c>
      <c r="F6196" s="31">
        <v>0</v>
      </c>
      <c r="G6196" s="31">
        <v>0</v>
      </c>
      <c r="H6196" s="31">
        <v>0</v>
      </c>
      <c r="I6196" s="31">
        <v>0</v>
      </c>
      <c r="J6196" s="61">
        <f t="shared" si="61"/>
        <v>7374</v>
      </c>
    </row>
    <row r="6197" spans="1:10" x14ac:dyDescent="0.25">
      <c r="A6197" s="20">
        <v>45930</v>
      </c>
      <c r="B6197" s="3" t="s">
        <v>1547</v>
      </c>
      <c r="C6197" s="3" t="s">
        <v>139</v>
      </c>
      <c r="D6197" s="31">
        <v>1452</v>
      </c>
      <c r="F6197" s="31">
        <v>0</v>
      </c>
      <c r="G6197" s="31">
        <v>0</v>
      </c>
      <c r="H6197" s="31">
        <v>0</v>
      </c>
      <c r="I6197" s="31">
        <v>0</v>
      </c>
      <c r="J6197" s="61">
        <f t="shared" si="61"/>
        <v>1452</v>
      </c>
    </row>
    <row r="6198" spans="1:10" x14ac:dyDescent="0.25">
      <c r="A6198" s="20">
        <v>45930</v>
      </c>
      <c r="B6198" s="3" t="s">
        <v>1553</v>
      </c>
      <c r="C6198" s="3" t="s">
        <v>140</v>
      </c>
      <c r="D6198" s="31">
        <v>0</v>
      </c>
      <c r="F6198" s="31">
        <v>0</v>
      </c>
      <c r="G6198" s="31">
        <v>0</v>
      </c>
      <c r="H6198" s="31">
        <v>-784</v>
      </c>
      <c r="I6198" s="31">
        <v>0</v>
      </c>
      <c r="J6198" s="61">
        <f t="shared" si="61"/>
        <v>-784</v>
      </c>
    </row>
    <row r="6199" spans="1:10" x14ac:dyDescent="0.25">
      <c r="A6199" s="20">
        <v>45930</v>
      </c>
      <c r="B6199" s="3" t="s">
        <v>1571</v>
      </c>
      <c r="C6199" s="3" t="s">
        <v>145</v>
      </c>
      <c r="D6199" s="31">
        <v>12096.4</v>
      </c>
      <c r="F6199" s="31">
        <v>0</v>
      </c>
      <c r="G6199" s="31">
        <v>0</v>
      </c>
      <c r="H6199" s="31">
        <v>0</v>
      </c>
      <c r="I6199" s="31">
        <v>0</v>
      </c>
      <c r="J6199" s="61">
        <f t="shared" si="61"/>
        <v>12096.4</v>
      </c>
    </row>
    <row r="6200" spans="1:10" x14ac:dyDescent="0.25">
      <c r="A6200" s="20">
        <v>45930</v>
      </c>
      <c r="B6200" s="3" t="s">
        <v>1581</v>
      </c>
      <c r="C6200" s="3" t="s">
        <v>147</v>
      </c>
      <c r="D6200" s="31">
        <v>14580</v>
      </c>
      <c r="F6200" s="31">
        <v>0</v>
      </c>
      <c r="G6200" s="31">
        <v>0</v>
      </c>
      <c r="H6200" s="31">
        <v>0</v>
      </c>
      <c r="I6200" s="31">
        <v>0</v>
      </c>
      <c r="J6200" s="61">
        <f t="shared" si="61"/>
        <v>14580</v>
      </c>
    </row>
    <row r="6201" spans="1:10" x14ac:dyDescent="0.25">
      <c r="A6201" s="20">
        <v>45930</v>
      </c>
      <c r="B6201" s="3" t="s">
        <v>1592</v>
      </c>
      <c r="C6201" s="3" t="s">
        <v>660</v>
      </c>
      <c r="D6201" s="31">
        <v>7403.4</v>
      </c>
      <c r="F6201" s="31">
        <v>0</v>
      </c>
      <c r="G6201" s="31">
        <v>0</v>
      </c>
      <c r="H6201" s="31">
        <v>0</v>
      </c>
      <c r="I6201" s="31">
        <v>0</v>
      </c>
      <c r="J6201" s="61">
        <f t="shared" si="61"/>
        <v>7403.4</v>
      </c>
    </row>
    <row r="6202" spans="1:10" x14ac:dyDescent="0.25">
      <c r="A6202" s="20">
        <v>45930</v>
      </c>
      <c r="B6202" s="3" t="s">
        <v>1626</v>
      </c>
      <c r="C6202" s="3" t="s">
        <v>581</v>
      </c>
      <c r="D6202" s="31">
        <v>0</v>
      </c>
      <c r="F6202" s="31">
        <v>0</v>
      </c>
      <c r="G6202" s="31">
        <v>0</v>
      </c>
      <c r="H6202" s="31">
        <v>0</v>
      </c>
      <c r="I6202" s="31">
        <v>-16.100000000000001</v>
      </c>
      <c r="J6202" s="61">
        <f t="shared" si="61"/>
        <v>-16.100000000000001</v>
      </c>
    </row>
    <row r="6203" spans="1:10" x14ac:dyDescent="0.25">
      <c r="A6203" s="20">
        <v>45930</v>
      </c>
      <c r="B6203" s="3" t="s">
        <v>1627</v>
      </c>
      <c r="C6203" s="3" t="s">
        <v>907</v>
      </c>
      <c r="D6203" s="31">
        <v>-1104</v>
      </c>
      <c r="F6203" s="31">
        <v>0</v>
      </c>
      <c r="G6203" s="31">
        <v>0</v>
      </c>
      <c r="H6203" s="31">
        <v>0</v>
      </c>
      <c r="I6203" s="31">
        <v>0</v>
      </c>
      <c r="J6203" s="61">
        <f t="shared" si="61"/>
        <v>-1104</v>
      </c>
    </row>
    <row r="6204" spans="1:10" x14ac:dyDescent="0.25">
      <c r="A6204" s="20">
        <v>45930</v>
      </c>
      <c r="B6204" s="3" t="s">
        <v>1640</v>
      </c>
      <c r="C6204" s="3" t="s">
        <v>155</v>
      </c>
      <c r="D6204" s="31">
        <v>-2063</v>
      </c>
      <c r="F6204" s="31">
        <v>0</v>
      </c>
      <c r="G6204" s="31">
        <v>-23578.65</v>
      </c>
      <c r="H6204" s="31">
        <v>0</v>
      </c>
      <c r="I6204" s="31">
        <v>-21365.9</v>
      </c>
      <c r="J6204" s="61">
        <f t="shared" si="61"/>
        <v>-47007.55</v>
      </c>
    </row>
    <row r="6205" spans="1:10" x14ac:dyDescent="0.25">
      <c r="A6205" s="20">
        <v>45930</v>
      </c>
      <c r="B6205" s="3" t="s">
        <v>1643</v>
      </c>
      <c r="C6205" s="3" t="s">
        <v>156</v>
      </c>
      <c r="D6205" s="31">
        <v>15280</v>
      </c>
      <c r="F6205" s="31">
        <v>0</v>
      </c>
      <c r="G6205" s="31">
        <v>0</v>
      </c>
      <c r="H6205" s="31">
        <v>0</v>
      </c>
      <c r="I6205" s="31">
        <v>-297.89</v>
      </c>
      <c r="J6205" s="61">
        <f t="shared" si="61"/>
        <v>14982.11</v>
      </c>
    </row>
    <row r="6206" spans="1:10" x14ac:dyDescent="0.25">
      <c r="A6206" s="20">
        <v>45930</v>
      </c>
      <c r="B6206" s="3" t="s">
        <v>1657</v>
      </c>
      <c r="C6206" s="3" t="s">
        <v>159</v>
      </c>
      <c r="D6206" s="31">
        <v>0</v>
      </c>
      <c r="F6206" s="31">
        <v>0</v>
      </c>
      <c r="G6206" s="31">
        <v>0</v>
      </c>
      <c r="H6206" s="31">
        <v>0</v>
      </c>
      <c r="I6206" s="31">
        <v>-781.38</v>
      </c>
      <c r="J6206" s="61">
        <f t="shared" si="61"/>
        <v>-781.38</v>
      </c>
    </row>
    <row r="6207" spans="1:10" x14ac:dyDescent="0.25">
      <c r="A6207" s="20">
        <v>45930</v>
      </c>
      <c r="B6207" s="3" t="s">
        <v>1658</v>
      </c>
      <c r="C6207" s="3" t="s">
        <v>160</v>
      </c>
      <c r="D6207" s="31">
        <v>0</v>
      </c>
      <c r="F6207" s="31">
        <v>0</v>
      </c>
      <c r="G6207" s="31">
        <v>-101.64</v>
      </c>
      <c r="H6207" s="31">
        <v>0</v>
      </c>
      <c r="I6207" s="31">
        <v>0</v>
      </c>
      <c r="J6207" s="61">
        <f t="shared" si="61"/>
        <v>-101.64</v>
      </c>
    </row>
    <row r="6208" spans="1:10" x14ac:dyDescent="0.25">
      <c r="A6208" s="20">
        <v>45930</v>
      </c>
      <c r="B6208" s="3" t="s">
        <v>1659</v>
      </c>
      <c r="C6208" s="3" t="s">
        <v>161</v>
      </c>
      <c r="D6208" s="31">
        <v>97.37</v>
      </c>
      <c r="F6208" s="31">
        <v>0</v>
      </c>
      <c r="G6208" s="31">
        <v>0</v>
      </c>
      <c r="H6208" s="31">
        <v>0</v>
      </c>
      <c r="I6208" s="31">
        <v>0</v>
      </c>
      <c r="J6208" s="61">
        <f t="shared" si="61"/>
        <v>97.37</v>
      </c>
    </row>
    <row r="6209" spans="1:10" x14ac:dyDescent="0.25">
      <c r="A6209" s="20">
        <v>45930</v>
      </c>
      <c r="B6209" s="3" t="s">
        <v>1671</v>
      </c>
      <c r="C6209" s="3" t="s">
        <v>163</v>
      </c>
      <c r="D6209" s="31">
        <v>-88</v>
      </c>
      <c r="F6209" s="31">
        <v>0</v>
      </c>
      <c r="G6209" s="31">
        <v>0</v>
      </c>
      <c r="H6209" s="31">
        <v>0</v>
      </c>
      <c r="I6209" s="31">
        <v>0</v>
      </c>
      <c r="J6209" s="61">
        <f t="shared" si="61"/>
        <v>-88</v>
      </c>
    </row>
    <row r="6210" spans="1:10" x14ac:dyDescent="0.25">
      <c r="A6210" s="20">
        <v>45930</v>
      </c>
      <c r="B6210" s="3" t="s">
        <v>1677</v>
      </c>
      <c r="C6210" s="3" t="s">
        <v>164</v>
      </c>
      <c r="D6210" s="31">
        <v>55005.86</v>
      </c>
      <c r="F6210" s="31">
        <v>0</v>
      </c>
      <c r="G6210" s="31">
        <v>-74.2</v>
      </c>
      <c r="H6210" s="31">
        <v>-44.1</v>
      </c>
      <c r="I6210" s="31">
        <v>0</v>
      </c>
      <c r="J6210" s="61">
        <f t="shared" si="61"/>
        <v>54887.560000000005</v>
      </c>
    </row>
    <row r="6211" spans="1:10" x14ac:dyDescent="0.25">
      <c r="A6211" s="20">
        <v>45930</v>
      </c>
      <c r="B6211" s="3" t="s">
        <v>1688</v>
      </c>
      <c r="C6211" s="3" t="s">
        <v>617</v>
      </c>
      <c r="D6211" s="31">
        <v>0</v>
      </c>
      <c r="F6211" s="31">
        <v>0</v>
      </c>
      <c r="G6211" s="31">
        <v>0</v>
      </c>
      <c r="H6211" s="31">
        <v>0</v>
      </c>
      <c r="I6211" s="31">
        <v>-1500</v>
      </c>
      <c r="J6211" s="61">
        <f t="shared" si="61"/>
        <v>-1500</v>
      </c>
    </row>
    <row r="6212" spans="1:10" x14ac:dyDescent="0.25">
      <c r="A6212" s="20">
        <v>45930</v>
      </c>
      <c r="B6212" s="3" t="s">
        <v>1689</v>
      </c>
      <c r="C6212" s="3" t="s">
        <v>168</v>
      </c>
      <c r="D6212" s="31">
        <v>1840</v>
      </c>
      <c r="F6212" s="31">
        <v>0</v>
      </c>
      <c r="G6212" s="31">
        <v>0</v>
      </c>
      <c r="H6212" s="31">
        <v>0</v>
      </c>
      <c r="I6212" s="31">
        <v>0</v>
      </c>
      <c r="J6212" s="61">
        <f t="shared" si="61"/>
        <v>1840</v>
      </c>
    </row>
    <row r="6213" spans="1:10" x14ac:dyDescent="0.25">
      <c r="A6213" s="20">
        <v>45930</v>
      </c>
      <c r="B6213" s="3" t="s">
        <v>1694</v>
      </c>
      <c r="C6213" s="3" t="s">
        <v>169</v>
      </c>
      <c r="D6213" s="31">
        <v>8782.66</v>
      </c>
      <c r="F6213" s="31">
        <v>0</v>
      </c>
      <c r="G6213" s="31">
        <v>-524.5</v>
      </c>
      <c r="H6213" s="31">
        <v>0</v>
      </c>
      <c r="I6213" s="31">
        <v>0</v>
      </c>
      <c r="J6213" s="61">
        <f t="shared" si="61"/>
        <v>8258.16</v>
      </c>
    </row>
    <row r="6214" spans="1:10" x14ac:dyDescent="0.25">
      <c r="A6214" s="20">
        <v>45930</v>
      </c>
      <c r="B6214" s="3" t="s">
        <v>1704</v>
      </c>
      <c r="C6214" s="3" t="s">
        <v>173</v>
      </c>
      <c r="D6214" s="31">
        <v>0</v>
      </c>
      <c r="F6214" s="31">
        <v>0</v>
      </c>
      <c r="G6214" s="31">
        <v>-131.87</v>
      </c>
      <c r="H6214" s="31">
        <v>-138.6</v>
      </c>
      <c r="I6214" s="31">
        <v>0</v>
      </c>
      <c r="J6214" s="61">
        <f t="shared" si="61"/>
        <v>-270.47000000000003</v>
      </c>
    </row>
    <row r="6215" spans="1:10" x14ac:dyDescent="0.25">
      <c r="A6215" s="20">
        <v>45930</v>
      </c>
      <c r="B6215" s="3" t="s">
        <v>1709</v>
      </c>
      <c r="C6215" s="3" t="s">
        <v>175</v>
      </c>
      <c r="D6215" s="31">
        <v>2002</v>
      </c>
      <c r="F6215" s="31">
        <v>0</v>
      </c>
      <c r="G6215" s="31">
        <v>0</v>
      </c>
      <c r="H6215" s="31">
        <v>0</v>
      </c>
      <c r="I6215" s="31">
        <v>0</v>
      </c>
      <c r="J6215" s="61">
        <f t="shared" si="61"/>
        <v>2002</v>
      </c>
    </row>
    <row r="6216" spans="1:10" x14ac:dyDescent="0.25">
      <c r="A6216" s="20">
        <v>45930</v>
      </c>
      <c r="B6216" s="3" t="s">
        <v>1712</v>
      </c>
      <c r="C6216" s="3" t="s">
        <v>176</v>
      </c>
      <c r="D6216" s="31">
        <v>0</v>
      </c>
      <c r="F6216" s="31">
        <v>0</v>
      </c>
      <c r="G6216" s="31">
        <v>0</v>
      </c>
      <c r="H6216" s="31">
        <v>0</v>
      </c>
      <c r="I6216" s="31">
        <v>-31.9</v>
      </c>
      <c r="J6216" s="61">
        <f t="shared" si="61"/>
        <v>-31.9</v>
      </c>
    </row>
    <row r="6217" spans="1:10" x14ac:dyDescent="0.25">
      <c r="A6217" s="20">
        <v>45930</v>
      </c>
      <c r="B6217" s="3" t="s">
        <v>1715</v>
      </c>
      <c r="C6217" s="3" t="s">
        <v>177</v>
      </c>
      <c r="D6217" s="31">
        <v>-63.7</v>
      </c>
      <c r="F6217" s="31">
        <v>0</v>
      </c>
      <c r="G6217" s="31">
        <v>0</v>
      </c>
      <c r="H6217" s="31">
        <v>0</v>
      </c>
      <c r="I6217" s="31">
        <v>0</v>
      </c>
      <c r="J6217" s="61">
        <f t="shared" si="61"/>
        <v>-63.7</v>
      </c>
    </row>
    <row r="6218" spans="1:10" x14ac:dyDescent="0.25">
      <c r="A6218" s="20">
        <v>45930</v>
      </c>
      <c r="B6218" s="3" t="s">
        <v>1724</v>
      </c>
      <c r="C6218" s="3" t="s">
        <v>497</v>
      </c>
      <c r="D6218" s="31">
        <v>0</v>
      </c>
      <c r="F6218" s="31">
        <v>0</v>
      </c>
      <c r="G6218" s="31">
        <v>0</v>
      </c>
      <c r="H6218" s="31">
        <v>0</v>
      </c>
      <c r="I6218" s="31">
        <v>64.489999999999995</v>
      </c>
      <c r="J6218" s="61">
        <f t="shared" si="61"/>
        <v>64.489999999999995</v>
      </c>
    </row>
    <row r="6219" spans="1:10" x14ac:dyDescent="0.25">
      <c r="A6219" s="20">
        <v>45930</v>
      </c>
      <c r="B6219" s="3" t="s">
        <v>1726</v>
      </c>
      <c r="C6219" s="3" t="s">
        <v>179</v>
      </c>
      <c r="D6219" s="31">
        <v>16232.4</v>
      </c>
      <c r="F6219" s="31">
        <v>0</v>
      </c>
      <c r="G6219" s="31">
        <v>0</v>
      </c>
      <c r="H6219" s="31">
        <v>0</v>
      </c>
      <c r="I6219" s="31">
        <v>0</v>
      </c>
      <c r="J6219" s="61">
        <f t="shared" si="61"/>
        <v>16232.4</v>
      </c>
    </row>
    <row r="6220" spans="1:10" x14ac:dyDescent="0.25">
      <c r="A6220" s="20">
        <v>45930</v>
      </c>
      <c r="B6220" s="3" t="s">
        <v>1749</v>
      </c>
      <c r="C6220" s="3" t="s">
        <v>396</v>
      </c>
      <c r="D6220" s="31">
        <v>0</v>
      </c>
      <c r="F6220" s="31">
        <v>0</v>
      </c>
      <c r="G6220" s="31">
        <v>0</v>
      </c>
      <c r="H6220" s="31">
        <v>0</v>
      </c>
      <c r="I6220" s="31">
        <v>54</v>
      </c>
      <c r="J6220" s="61">
        <f t="shared" si="61"/>
        <v>54</v>
      </c>
    </row>
    <row r="6221" spans="1:10" x14ac:dyDescent="0.25">
      <c r="A6221" s="20">
        <v>45930</v>
      </c>
      <c r="B6221" s="3" t="s">
        <v>1769</v>
      </c>
      <c r="C6221" s="3" t="s">
        <v>185</v>
      </c>
      <c r="D6221" s="31">
        <v>0</v>
      </c>
      <c r="F6221" s="31">
        <v>0</v>
      </c>
      <c r="G6221" s="31">
        <v>0</v>
      </c>
      <c r="H6221" s="31">
        <v>0</v>
      </c>
      <c r="I6221" s="31">
        <v>-831.6</v>
      </c>
      <c r="J6221" s="61">
        <f t="shared" si="61"/>
        <v>-831.6</v>
      </c>
    </row>
    <row r="6222" spans="1:10" x14ac:dyDescent="0.25">
      <c r="A6222" s="20">
        <v>45930</v>
      </c>
      <c r="B6222" s="3" t="s">
        <v>1776</v>
      </c>
      <c r="C6222" s="3" t="s">
        <v>722</v>
      </c>
      <c r="D6222" s="31">
        <v>7216.5</v>
      </c>
      <c r="F6222" s="31">
        <v>0</v>
      </c>
      <c r="G6222" s="31">
        <v>0</v>
      </c>
      <c r="H6222" s="31">
        <v>0</v>
      </c>
      <c r="I6222" s="31">
        <v>0</v>
      </c>
      <c r="J6222" s="61">
        <f t="shared" si="61"/>
        <v>7216.5</v>
      </c>
    </row>
    <row r="6223" spans="1:10" x14ac:dyDescent="0.25">
      <c r="A6223" s="20">
        <v>45930</v>
      </c>
      <c r="B6223" s="3" t="s">
        <v>1778</v>
      </c>
      <c r="C6223" s="3" t="s">
        <v>188</v>
      </c>
      <c r="D6223" s="31">
        <v>1044</v>
      </c>
      <c r="F6223" s="31">
        <v>0</v>
      </c>
      <c r="G6223" s="31">
        <v>0</v>
      </c>
      <c r="H6223" s="31">
        <v>0</v>
      </c>
      <c r="I6223" s="31">
        <v>0</v>
      </c>
      <c r="J6223" s="61">
        <f t="shared" si="61"/>
        <v>1044</v>
      </c>
    </row>
    <row r="6224" spans="1:10" x14ac:dyDescent="0.25">
      <c r="A6224" s="20">
        <v>45930</v>
      </c>
      <c r="B6224" s="3" t="s">
        <v>1784</v>
      </c>
      <c r="C6224" s="3" t="s">
        <v>190</v>
      </c>
      <c r="D6224" s="31">
        <v>3816.82</v>
      </c>
      <c r="F6224" s="31">
        <v>0</v>
      </c>
      <c r="G6224" s="31">
        <v>0</v>
      </c>
      <c r="H6224" s="31">
        <v>0</v>
      </c>
      <c r="I6224" s="31">
        <v>0</v>
      </c>
      <c r="J6224" s="61">
        <f t="shared" si="61"/>
        <v>3816.82</v>
      </c>
    </row>
    <row r="6225" spans="1:10" x14ac:dyDescent="0.25">
      <c r="A6225" s="20">
        <v>45930</v>
      </c>
      <c r="B6225" s="3" t="s">
        <v>1785</v>
      </c>
      <c r="C6225" s="3" t="s">
        <v>398</v>
      </c>
      <c r="D6225" s="31">
        <v>0</v>
      </c>
      <c r="F6225" s="31">
        <v>0</v>
      </c>
      <c r="G6225" s="31">
        <v>0</v>
      </c>
      <c r="H6225" s="31">
        <v>0</v>
      </c>
      <c r="I6225" s="31">
        <v>-43.97</v>
      </c>
      <c r="J6225" s="61">
        <f t="shared" si="61"/>
        <v>-43.97</v>
      </c>
    </row>
    <row r="6226" spans="1:10" x14ac:dyDescent="0.25">
      <c r="A6226" s="20">
        <v>45930</v>
      </c>
      <c r="B6226" s="3" t="s">
        <v>1787</v>
      </c>
      <c r="C6226" s="3" t="s">
        <v>23</v>
      </c>
      <c r="D6226" s="31">
        <v>6238.4</v>
      </c>
      <c r="F6226" s="31">
        <v>0</v>
      </c>
      <c r="G6226" s="31">
        <v>0</v>
      </c>
      <c r="H6226" s="31">
        <v>0</v>
      </c>
      <c r="I6226" s="31">
        <v>0</v>
      </c>
      <c r="J6226" s="61">
        <f t="shared" si="61"/>
        <v>6238.4</v>
      </c>
    </row>
    <row r="6227" spans="1:10" x14ac:dyDescent="0.25">
      <c r="A6227" s="20">
        <v>45930</v>
      </c>
      <c r="B6227" s="3" t="s">
        <v>1792</v>
      </c>
      <c r="C6227" s="3" t="s">
        <v>192</v>
      </c>
      <c r="D6227" s="31">
        <v>54684.31</v>
      </c>
      <c r="F6227" s="31">
        <v>0</v>
      </c>
      <c r="G6227" s="31">
        <v>0</v>
      </c>
      <c r="H6227" s="31">
        <v>0</v>
      </c>
      <c r="I6227" s="31">
        <v>215.25</v>
      </c>
      <c r="J6227" s="61">
        <f t="shared" si="61"/>
        <v>54899.56</v>
      </c>
    </row>
    <row r="6228" spans="1:10" x14ac:dyDescent="0.25">
      <c r="A6228" s="20">
        <v>45930</v>
      </c>
      <c r="B6228" s="3" t="s">
        <v>1793</v>
      </c>
      <c r="C6228" s="3" t="s">
        <v>919</v>
      </c>
      <c r="D6228" s="31">
        <v>1986.05</v>
      </c>
      <c r="F6228" s="31">
        <v>0</v>
      </c>
      <c r="G6228" s="31">
        <v>0</v>
      </c>
      <c r="H6228" s="31">
        <v>0</v>
      </c>
      <c r="I6228" s="31">
        <v>0</v>
      </c>
      <c r="J6228" s="61">
        <f t="shared" si="61"/>
        <v>1986.05</v>
      </c>
    </row>
    <row r="6229" spans="1:10" x14ac:dyDescent="0.25">
      <c r="A6229" s="20">
        <v>45930</v>
      </c>
      <c r="B6229" s="3" t="s">
        <v>1794</v>
      </c>
      <c r="C6229" s="3" t="s">
        <v>193</v>
      </c>
      <c r="D6229" s="31">
        <v>14871.65</v>
      </c>
      <c r="F6229" s="31">
        <v>0</v>
      </c>
      <c r="G6229" s="31">
        <v>0</v>
      </c>
      <c r="H6229" s="31">
        <v>0</v>
      </c>
      <c r="I6229" s="31">
        <v>0</v>
      </c>
      <c r="J6229" s="61">
        <f t="shared" si="61"/>
        <v>14871.65</v>
      </c>
    </row>
    <row r="6230" spans="1:10" x14ac:dyDescent="0.25">
      <c r="A6230" s="20">
        <v>45930</v>
      </c>
      <c r="B6230" s="3" t="s">
        <v>1796</v>
      </c>
      <c r="C6230" s="3" t="s">
        <v>455</v>
      </c>
      <c r="D6230" s="31">
        <v>2097.5100000000002</v>
      </c>
      <c r="F6230" s="31">
        <v>0</v>
      </c>
      <c r="G6230" s="31">
        <v>0</v>
      </c>
      <c r="H6230" s="31">
        <v>0</v>
      </c>
      <c r="I6230" s="31">
        <v>0</v>
      </c>
      <c r="J6230" s="61">
        <f t="shared" si="61"/>
        <v>2097.5100000000002</v>
      </c>
    </row>
    <row r="6231" spans="1:10" x14ac:dyDescent="0.25">
      <c r="A6231" s="20">
        <v>45930</v>
      </c>
      <c r="B6231" s="3" t="s">
        <v>1806</v>
      </c>
      <c r="C6231" s="3" t="s">
        <v>194</v>
      </c>
      <c r="D6231" s="31">
        <v>0</v>
      </c>
      <c r="F6231" s="31">
        <v>0</v>
      </c>
      <c r="G6231" s="31">
        <v>0</v>
      </c>
      <c r="H6231" s="31">
        <v>0</v>
      </c>
      <c r="I6231" s="31">
        <v>-117.9</v>
      </c>
      <c r="J6231" s="61">
        <f t="shared" si="61"/>
        <v>-117.9</v>
      </c>
    </row>
    <row r="6232" spans="1:10" x14ac:dyDescent="0.25">
      <c r="A6232" s="20">
        <v>45930</v>
      </c>
      <c r="B6232" s="3" t="s">
        <v>1807</v>
      </c>
      <c r="C6232" s="3" t="s">
        <v>24</v>
      </c>
      <c r="D6232" s="31">
        <v>548</v>
      </c>
      <c r="F6232" s="31">
        <v>0</v>
      </c>
      <c r="G6232" s="31">
        <v>0</v>
      </c>
      <c r="H6232" s="31">
        <v>500.03</v>
      </c>
      <c r="I6232" s="31">
        <v>-142.84</v>
      </c>
      <c r="J6232" s="61">
        <f t="shared" si="61"/>
        <v>905.18999999999994</v>
      </c>
    </row>
    <row r="6233" spans="1:10" x14ac:dyDescent="0.25">
      <c r="A6233" s="20">
        <v>45930</v>
      </c>
      <c r="B6233" s="3" t="s">
        <v>1808</v>
      </c>
      <c r="C6233" s="3" t="s">
        <v>195</v>
      </c>
      <c r="D6233" s="31">
        <v>40976.800000000003</v>
      </c>
      <c r="F6233" s="31">
        <v>0</v>
      </c>
      <c r="G6233" s="31">
        <v>0</v>
      </c>
      <c r="H6233" s="31">
        <v>0</v>
      </c>
      <c r="I6233" s="31">
        <v>0</v>
      </c>
      <c r="J6233" s="61">
        <f t="shared" si="61"/>
        <v>40976.800000000003</v>
      </c>
    </row>
    <row r="6234" spans="1:10" x14ac:dyDescent="0.25">
      <c r="A6234" s="20">
        <v>45930</v>
      </c>
      <c r="B6234" s="3" t="s">
        <v>1828</v>
      </c>
      <c r="C6234" s="3" t="s">
        <v>876</v>
      </c>
      <c r="D6234" s="31">
        <v>0</v>
      </c>
      <c r="F6234" s="31">
        <v>0</v>
      </c>
      <c r="G6234" s="31">
        <v>-1112.8</v>
      </c>
      <c r="H6234" s="31">
        <v>0</v>
      </c>
      <c r="I6234" s="31">
        <v>0</v>
      </c>
      <c r="J6234" s="61">
        <f t="shared" si="61"/>
        <v>-1112.8</v>
      </c>
    </row>
    <row r="6235" spans="1:10" x14ac:dyDescent="0.25">
      <c r="A6235" s="20">
        <v>45930</v>
      </c>
      <c r="B6235" s="3" t="s">
        <v>1829</v>
      </c>
      <c r="C6235" s="3" t="s">
        <v>199</v>
      </c>
      <c r="D6235" s="31">
        <v>6025.5</v>
      </c>
      <c r="F6235" s="31">
        <v>0</v>
      </c>
      <c r="G6235" s="31">
        <v>0</v>
      </c>
      <c r="H6235" s="31">
        <v>0</v>
      </c>
      <c r="I6235" s="31">
        <v>0</v>
      </c>
      <c r="J6235" s="61">
        <f t="shared" si="61"/>
        <v>6025.5</v>
      </c>
    </row>
    <row r="6236" spans="1:10" x14ac:dyDescent="0.25">
      <c r="A6236" s="20">
        <v>45930</v>
      </c>
      <c r="B6236" s="3" t="s">
        <v>1833</v>
      </c>
      <c r="C6236" s="3" t="s">
        <v>25</v>
      </c>
      <c r="D6236" s="31">
        <v>16336.45</v>
      </c>
      <c r="F6236" s="31">
        <v>0</v>
      </c>
      <c r="G6236" s="31">
        <v>0</v>
      </c>
      <c r="H6236" s="31">
        <v>0</v>
      </c>
      <c r="I6236" s="31">
        <v>-303.5</v>
      </c>
      <c r="J6236" s="61">
        <f t="shared" si="61"/>
        <v>16032.95</v>
      </c>
    </row>
    <row r="6237" spans="1:10" x14ac:dyDescent="0.25">
      <c r="A6237" s="20">
        <v>45930</v>
      </c>
      <c r="B6237" s="3" t="s">
        <v>1837</v>
      </c>
      <c r="C6237" s="3" t="s">
        <v>201</v>
      </c>
      <c r="D6237" s="31">
        <v>530</v>
      </c>
      <c r="F6237" s="31">
        <v>0</v>
      </c>
      <c r="G6237" s="31">
        <v>0</v>
      </c>
      <c r="H6237" s="31">
        <v>0</v>
      </c>
      <c r="I6237" s="31">
        <v>0</v>
      </c>
      <c r="J6237" s="61">
        <f t="shared" si="61"/>
        <v>530</v>
      </c>
    </row>
    <row r="6238" spans="1:10" x14ac:dyDescent="0.25">
      <c r="A6238" s="20">
        <v>45930</v>
      </c>
      <c r="B6238" s="3" t="s">
        <v>1851</v>
      </c>
      <c r="C6238" s="3" t="s">
        <v>921</v>
      </c>
      <c r="D6238" s="31">
        <v>590.64</v>
      </c>
      <c r="F6238" s="31">
        <v>0</v>
      </c>
      <c r="G6238" s="31">
        <v>0</v>
      </c>
      <c r="H6238" s="31">
        <v>0</v>
      </c>
      <c r="I6238" s="31">
        <v>0</v>
      </c>
      <c r="J6238" s="61">
        <f t="shared" si="61"/>
        <v>590.64</v>
      </c>
    </row>
    <row r="6239" spans="1:10" x14ac:dyDescent="0.25">
      <c r="A6239" s="20">
        <v>45930</v>
      </c>
      <c r="B6239" s="3" t="s">
        <v>1860</v>
      </c>
      <c r="C6239" s="3" t="s">
        <v>202</v>
      </c>
      <c r="D6239" s="31">
        <v>215.6</v>
      </c>
      <c r="F6239" s="31">
        <v>-33.26</v>
      </c>
      <c r="G6239" s="31">
        <v>0</v>
      </c>
      <c r="H6239" s="31">
        <v>0</v>
      </c>
      <c r="I6239" s="31">
        <v>0</v>
      </c>
      <c r="J6239" s="61">
        <f t="shared" si="61"/>
        <v>182.34</v>
      </c>
    </row>
    <row r="6240" spans="1:10" x14ac:dyDescent="0.25">
      <c r="A6240" s="20">
        <v>45930</v>
      </c>
      <c r="B6240" s="3" t="s">
        <v>1872</v>
      </c>
      <c r="C6240" s="3" t="s">
        <v>27</v>
      </c>
      <c r="D6240" s="31">
        <v>2748.8</v>
      </c>
      <c r="F6240" s="31">
        <v>0</v>
      </c>
      <c r="G6240" s="31">
        <v>0</v>
      </c>
      <c r="H6240" s="31">
        <v>0</v>
      </c>
      <c r="I6240" s="31">
        <v>0</v>
      </c>
      <c r="J6240" s="61">
        <f t="shared" si="61"/>
        <v>2748.8</v>
      </c>
    </row>
    <row r="6241" spans="1:10" x14ac:dyDescent="0.25">
      <c r="A6241" s="20">
        <v>45930</v>
      </c>
      <c r="B6241" s="3" t="s">
        <v>1875</v>
      </c>
      <c r="C6241" s="3" t="s">
        <v>205</v>
      </c>
      <c r="D6241" s="31">
        <v>29236.02</v>
      </c>
      <c r="F6241" s="31">
        <v>5066.8900000000003</v>
      </c>
      <c r="G6241" s="31">
        <v>719.03</v>
      </c>
      <c r="H6241" s="31">
        <v>0</v>
      </c>
      <c r="I6241" s="31">
        <v>336.28</v>
      </c>
      <c r="J6241" s="61">
        <f t="shared" si="61"/>
        <v>35358.22</v>
      </c>
    </row>
    <row r="6242" spans="1:10" x14ac:dyDescent="0.25">
      <c r="A6242" s="20">
        <v>45930</v>
      </c>
      <c r="B6242" s="3" t="s">
        <v>1883</v>
      </c>
      <c r="C6242" s="3" t="s">
        <v>207</v>
      </c>
      <c r="D6242" s="31">
        <v>6840.41</v>
      </c>
      <c r="F6242" s="31">
        <v>0</v>
      </c>
      <c r="G6242" s="31">
        <v>0</v>
      </c>
      <c r="H6242" s="31">
        <v>0</v>
      </c>
      <c r="I6242" s="31">
        <v>0</v>
      </c>
      <c r="J6242" s="61">
        <f t="shared" si="61"/>
        <v>6840.41</v>
      </c>
    </row>
    <row r="6243" spans="1:10" x14ac:dyDescent="0.25">
      <c r="A6243" s="20">
        <v>45930</v>
      </c>
      <c r="B6243" s="3" t="s">
        <v>1924</v>
      </c>
      <c r="C6243" s="3" t="s">
        <v>28</v>
      </c>
      <c r="D6243" s="31">
        <v>-88.51</v>
      </c>
      <c r="F6243" s="31">
        <v>0</v>
      </c>
      <c r="G6243" s="31">
        <v>0</v>
      </c>
      <c r="H6243" s="31">
        <v>0</v>
      </c>
      <c r="I6243" s="31">
        <v>0</v>
      </c>
      <c r="J6243" s="61">
        <f t="shared" si="61"/>
        <v>-88.51</v>
      </c>
    </row>
    <row r="6244" spans="1:10" x14ac:dyDescent="0.25">
      <c r="A6244" s="20">
        <v>45930</v>
      </c>
      <c r="B6244" s="3" t="s">
        <v>1949</v>
      </c>
      <c r="C6244" s="3" t="s">
        <v>457</v>
      </c>
      <c r="D6244" s="31">
        <v>284.43</v>
      </c>
      <c r="F6244" s="31">
        <v>0</v>
      </c>
      <c r="G6244" s="31">
        <v>0</v>
      </c>
      <c r="H6244" s="31">
        <v>0</v>
      </c>
      <c r="I6244" s="31">
        <v>0</v>
      </c>
      <c r="J6244" s="61">
        <f t="shared" si="61"/>
        <v>284.43</v>
      </c>
    </row>
    <row r="6245" spans="1:10" x14ac:dyDescent="0.25">
      <c r="A6245" s="20">
        <v>45930</v>
      </c>
      <c r="B6245" s="3" t="s">
        <v>1950</v>
      </c>
      <c r="C6245" s="3" t="s">
        <v>219</v>
      </c>
      <c r="D6245" s="31">
        <v>0</v>
      </c>
      <c r="F6245" s="31">
        <v>0</v>
      </c>
      <c r="G6245" s="31">
        <v>0</v>
      </c>
      <c r="H6245" s="31">
        <v>-398.23</v>
      </c>
      <c r="I6245" s="31">
        <v>-23.66</v>
      </c>
      <c r="J6245" s="61">
        <f t="shared" si="61"/>
        <v>-421.89000000000004</v>
      </c>
    </row>
    <row r="6246" spans="1:10" x14ac:dyDescent="0.25">
      <c r="A6246" s="20">
        <v>45930</v>
      </c>
      <c r="B6246" s="3" t="s">
        <v>1960</v>
      </c>
      <c r="C6246" s="3" t="s">
        <v>502</v>
      </c>
      <c r="D6246" s="31">
        <v>0</v>
      </c>
      <c r="F6246" s="31">
        <v>0</v>
      </c>
      <c r="G6246" s="31">
        <v>0</v>
      </c>
      <c r="H6246" s="31">
        <v>0</v>
      </c>
      <c r="I6246" s="31">
        <v>-9.48</v>
      </c>
      <c r="J6246" s="61">
        <f t="shared" si="61"/>
        <v>-9.48</v>
      </c>
    </row>
    <row r="6247" spans="1:10" x14ac:dyDescent="0.25">
      <c r="A6247" s="20">
        <v>45930</v>
      </c>
      <c r="B6247" s="3" t="s">
        <v>1970</v>
      </c>
      <c r="C6247" s="3" t="s">
        <v>1971</v>
      </c>
      <c r="D6247" s="31">
        <v>-266.45</v>
      </c>
      <c r="F6247" s="31">
        <v>0</v>
      </c>
      <c r="G6247" s="31">
        <v>0</v>
      </c>
      <c r="H6247" s="31">
        <v>0</v>
      </c>
      <c r="I6247" s="31">
        <v>0</v>
      </c>
      <c r="J6247" s="61">
        <f t="shared" si="61"/>
        <v>-266.45</v>
      </c>
    </row>
    <row r="6248" spans="1:10" x14ac:dyDescent="0.25">
      <c r="A6248" s="20">
        <v>45930</v>
      </c>
      <c r="B6248" s="3" t="s">
        <v>1976</v>
      </c>
      <c r="C6248" s="3" t="s">
        <v>29</v>
      </c>
      <c r="D6248" s="31">
        <v>156624.6</v>
      </c>
      <c r="F6248" s="31">
        <v>8970.24</v>
      </c>
      <c r="G6248" s="31">
        <v>0</v>
      </c>
      <c r="H6248" s="31">
        <v>635</v>
      </c>
      <c r="I6248" s="31">
        <v>0</v>
      </c>
      <c r="J6248" s="61">
        <f t="shared" si="61"/>
        <v>166229.84</v>
      </c>
    </row>
    <row r="6249" spans="1:10" x14ac:dyDescent="0.25">
      <c r="A6249" s="20">
        <v>45930</v>
      </c>
      <c r="B6249" s="3" t="s">
        <v>1987</v>
      </c>
      <c r="C6249" s="3" t="s">
        <v>227</v>
      </c>
      <c r="D6249" s="31">
        <v>202.5</v>
      </c>
      <c r="F6249" s="31">
        <v>0</v>
      </c>
      <c r="G6249" s="31">
        <v>0</v>
      </c>
      <c r="H6249" s="31">
        <v>0</v>
      </c>
      <c r="I6249" s="31">
        <v>0</v>
      </c>
      <c r="J6249" s="61">
        <f t="shared" si="61"/>
        <v>202.5</v>
      </c>
    </row>
    <row r="6250" spans="1:10" x14ac:dyDescent="0.25">
      <c r="A6250" s="20">
        <v>45930</v>
      </c>
      <c r="B6250" s="3" t="s">
        <v>1988</v>
      </c>
      <c r="C6250" s="3" t="s">
        <v>864</v>
      </c>
      <c r="D6250" s="31">
        <v>-36.700000000000003</v>
      </c>
      <c r="F6250" s="31">
        <v>0</v>
      </c>
      <c r="G6250" s="31">
        <v>0</v>
      </c>
      <c r="H6250" s="31">
        <v>0</v>
      </c>
      <c r="I6250" s="31">
        <v>0</v>
      </c>
      <c r="J6250" s="61">
        <f t="shared" si="61"/>
        <v>-36.700000000000003</v>
      </c>
    </row>
    <row r="6251" spans="1:10" x14ac:dyDescent="0.25">
      <c r="A6251" s="20">
        <v>45930</v>
      </c>
      <c r="B6251" s="3" t="s">
        <v>2003</v>
      </c>
      <c r="C6251" s="3" t="s">
        <v>233</v>
      </c>
      <c r="D6251" s="31">
        <v>229.6</v>
      </c>
      <c r="F6251" s="31">
        <v>0</v>
      </c>
      <c r="G6251" s="31">
        <v>0</v>
      </c>
      <c r="H6251" s="31">
        <v>0</v>
      </c>
      <c r="I6251" s="31">
        <v>0</v>
      </c>
      <c r="J6251" s="61">
        <f t="shared" si="61"/>
        <v>229.6</v>
      </c>
    </row>
    <row r="6252" spans="1:10" x14ac:dyDescent="0.25">
      <c r="A6252" s="20">
        <v>45930</v>
      </c>
      <c r="B6252" s="3" t="s">
        <v>2006</v>
      </c>
      <c r="C6252" s="3" t="s">
        <v>624</v>
      </c>
      <c r="D6252" s="31">
        <v>53173</v>
      </c>
      <c r="F6252" s="31">
        <v>0</v>
      </c>
      <c r="G6252" s="31">
        <v>0</v>
      </c>
      <c r="H6252" s="31">
        <v>0</v>
      </c>
      <c r="I6252" s="31">
        <v>0</v>
      </c>
      <c r="J6252" s="61">
        <f t="shared" si="61"/>
        <v>53173</v>
      </c>
    </row>
    <row r="6253" spans="1:10" x14ac:dyDescent="0.25">
      <c r="A6253" s="20">
        <v>45930</v>
      </c>
      <c r="B6253" s="3" t="s">
        <v>2007</v>
      </c>
      <c r="C6253" s="3" t="s">
        <v>2008</v>
      </c>
      <c r="D6253" s="31">
        <v>0</v>
      </c>
      <c r="F6253" s="31">
        <v>-21.28</v>
      </c>
      <c r="G6253" s="31">
        <v>0</v>
      </c>
      <c r="H6253" s="31">
        <v>0</v>
      </c>
      <c r="I6253" s="31">
        <v>0</v>
      </c>
      <c r="J6253" s="61">
        <f t="shared" si="61"/>
        <v>-21.28</v>
      </c>
    </row>
    <row r="6254" spans="1:10" x14ac:dyDescent="0.25">
      <c r="A6254" s="20">
        <v>45930</v>
      </c>
      <c r="B6254" s="3" t="s">
        <v>2009</v>
      </c>
      <c r="C6254" s="3" t="s">
        <v>560</v>
      </c>
      <c r="D6254" s="31">
        <v>0</v>
      </c>
      <c r="F6254" s="31">
        <v>-12900</v>
      </c>
      <c r="G6254" s="31">
        <v>0</v>
      </c>
      <c r="H6254" s="31">
        <v>0</v>
      </c>
      <c r="I6254" s="31">
        <v>0</v>
      </c>
      <c r="J6254" s="61">
        <f t="shared" ref="J6254:J6317" si="62">SUM(D6254:I6254)</f>
        <v>-12900</v>
      </c>
    </row>
    <row r="6255" spans="1:10" x14ac:dyDescent="0.25">
      <c r="A6255" s="20">
        <v>45930</v>
      </c>
      <c r="B6255" s="3" t="s">
        <v>2020</v>
      </c>
      <c r="C6255" s="3" t="s">
        <v>463</v>
      </c>
      <c r="D6255" s="31">
        <v>2175</v>
      </c>
      <c r="F6255" s="31">
        <v>0</v>
      </c>
      <c r="G6255" s="31">
        <v>0</v>
      </c>
      <c r="H6255" s="31">
        <v>0</v>
      </c>
      <c r="I6255" s="31">
        <v>0</v>
      </c>
      <c r="J6255" s="61">
        <f t="shared" si="62"/>
        <v>2175</v>
      </c>
    </row>
    <row r="6256" spans="1:10" x14ac:dyDescent="0.25">
      <c r="A6256" s="20">
        <v>45930</v>
      </c>
      <c r="B6256" s="3" t="s">
        <v>2024</v>
      </c>
      <c r="C6256" s="3" t="s">
        <v>239</v>
      </c>
      <c r="D6256" s="31">
        <v>0</v>
      </c>
      <c r="F6256" s="31">
        <v>-59.15</v>
      </c>
      <c r="G6256" s="31">
        <v>0</v>
      </c>
      <c r="H6256" s="31">
        <v>0</v>
      </c>
      <c r="I6256" s="31">
        <v>0</v>
      </c>
      <c r="J6256" s="61">
        <f t="shared" si="62"/>
        <v>-59.15</v>
      </c>
    </row>
    <row r="6257" spans="1:10" x14ac:dyDescent="0.25">
      <c r="A6257" s="20">
        <v>45930</v>
      </c>
      <c r="B6257" s="3" t="s">
        <v>2029</v>
      </c>
      <c r="C6257" s="3" t="s">
        <v>241</v>
      </c>
      <c r="D6257" s="31">
        <v>371.29</v>
      </c>
      <c r="F6257" s="31">
        <v>0</v>
      </c>
      <c r="G6257" s="31">
        <v>0</v>
      </c>
      <c r="H6257" s="31">
        <v>0</v>
      </c>
      <c r="I6257" s="31">
        <v>0</v>
      </c>
      <c r="J6257" s="61">
        <f t="shared" si="62"/>
        <v>371.29</v>
      </c>
    </row>
    <row r="6258" spans="1:10" x14ac:dyDescent="0.25">
      <c r="A6258" s="20">
        <v>45930</v>
      </c>
      <c r="B6258" s="3" t="s">
        <v>2058</v>
      </c>
      <c r="C6258" s="3" t="s">
        <v>30</v>
      </c>
      <c r="D6258" s="31">
        <v>392440.7</v>
      </c>
      <c r="F6258" s="31">
        <v>10272.379999999999</v>
      </c>
      <c r="G6258" s="31">
        <v>0</v>
      </c>
      <c r="H6258" s="31">
        <v>0</v>
      </c>
      <c r="I6258" s="31">
        <v>0</v>
      </c>
      <c r="J6258" s="61">
        <f t="shared" si="62"/>
        <v>402713.08</v>
      </c>
    </row>
    <row r="6259" spans="1:10" x14ac:dyDescent="0.25">
      <c r="A6259" s="20">
        <v>45930</v>
      </c>
      <c r="B6259" s="3" t="s">
        <v>2060</v>
      </c>
      <c r="C6259" s="3" t="s">
        <v>244</v>
      </c>
      <c r="D6259" s="31">
        <v>34511.269999999997</v>
      </c>
      <c r="F6259" s="31">
        <v>0</v>
      </c>
      <c r="G6259" s="31">
        <v>0</v>
      </c>
      <c r="H6259" s="31">
        <v>0</v>
      </c>
      <c r="I6259" s="31">
        <v>0</v>
      </c>
      <c r="J6259" s="61">
        <f t="shared" si="62"/>
        <v>34511.269999999997</v>
      </c>
    </row>
    <row r="6260" spans="1:10" x14ac:dyDescent="0.25">
      <c r="A6260" s="20">
        <v>45930</v>
      </c>
      <c r="B6260" s="3" t="s">
        <v>2074</v>
      </c>
      <c r="C6260" s="3" t="s">
        <v>880</v>
      </c>
      <c r="D6260" s="31">
        <v>0</v>
      </c>
      <c r="F6260" s="31">
        <v>0</v>
      </c>
      <c r="G6260" s="31">
        <v>0</v>
      </c>
      <c r="H6260" s="31">
        <v>-1101.18</v>
      </c>
      <c r="I6260" s="31">
        <v>0</v>
      </c>
      <c r="J6260" s="61">
        <f t="shared" si="62"/>
        <v>-1101.18</v>
      </c>
    </row>
    <row r="6261" spans="1:10" x14ac:dyDescent="0.25">
      <c r="A6261" s="20">
        <v>45930</v>
      </c>
      <c r="B6261" s="3" t="s">
        <v>2076</v>
      </c>
      <c r="C6261" s="3" t="s">
        <v>247</v>
      </c>
      <c r="D6261" s="31">
        <v>0</v>
      </c>
      <c r="F6261" s="31">
        <v>0</v>
      </c>
      <c r="G6261" s="31">
        <v>-42.56</v>
      </c>
      <c r="H6261" s="31">
        <v>0</v>
      </c>
      <c r="I6261" s="31">
        <v>0</v>
      </c>
      <c r="J6261" s="61">
        <f t="shared" si="62"/>
        <v>-42.56</v>
      </c>
    </row>
    <row r="6262" spans="1:10" x14ac:dyDescent="0.25">
      <c r="A6262" s="20">
        <v>45930</v>
      </c>
      <c r="B6262" s="3" t="s">
        <v>2078</v>
      </c>
      <c r="C6262" s="3" t="s">
        <v>248</v>
      </c>
      <c r="D6262" s="31">
        <v>376.56</v>
      </c>
      <c r="F6262" s="31">
        <v>0</v>
      </c>
      <c r="G6262" s="31">
        <v>0</v>
      </c>
      <c r="H6262" s="31">
        <v>0</v>
      </c>
      <c r="I6262" s="31">
        <v>0</v>
      </c>
      <c r="J6262" s="61">
        <f t="shared" si="62"/>
        <v>376.56</v>
      </c>
    </row>
    <row r="6263" spans="1:10" x14ac:dyDescent="0.25">
      <c r="A6263" s="20">
        <v>45930</v>
      </c>
      <c r="B6263" s="3" t="s">
        <v>2081</v>
      </c>
      <c r="C6263" s="3" t="s">
        <v>465</v>
      </c>
      <c r="D6263" s="31">
        <v>20794</v>
      </c>
      <c r="F6263" s="31">
        <v>0</v>
      </c>
      <c r="G6263" s="31">
        <v>0</v>
      </c>
      <c r="H6263" s="31">
        <v>0</v>
      </c>
      <c r="I6263" s="31">
        <v>0</v>
      </c>
      <c r="J6263" s="61">
        <f t="shared" si="62"/>
        <v>20794</v>
      </c>
    </row>
    <row r="6264" spans="1:10" x14ac:dyDescent="0.25">
      <c r="A6264" s="20">
        <v>45930</v>
      </c>
      <c r="B6264" s="3" t="s">
        <v>2083</v>
      </c>
      <c r="C6264" s="3" t="s">
        <v>741</v>
      </c>
      <c r="D6264" s="31">
        <v>2430</v>
      </c>
      <c r="F6264" s="31">
        <v>0</v>
      </c>
      <c r="G6264" s="31">
        <v>0</v>
      </c>
      <c r="H6264" s="31">
        <v>0</v>
      </c>
      <c r="I6264" s="31">
        <v>0</v>
      </c>
      <c r="J6264" s="61">
        <f t="shared" si="62"/>
        <v>2430</v>
      </c>
    </row>
    <row r="6265" spans="1:10" x14ac:dyDescent="0.25">
      <c r="A6265" s="20">
        <v>45930</v>
      </c>
      <c r="B6265" s="3" t="s">
        <v>2097</v>
      </c>
      <c r="C6265" s="3" t="s">
        <v>407</v>
      </c>
      <c r="D6265" s="31">
        <v>8520</v>
      </c>
      <c r="F6265" s="31">
        <v>0</v>
      </c>
      <c r="G6265" s="31">
        <v>0</v>
      </c>
      <c r="H6265" s="31">
        <v>0</v>
      </c>
      <c r="I6265" s="31">
        <v>0</v>
      </c>
      <c r="J6265" s="61">
        <f t="shared" si="62"/>
        <v>8520</v>
      </c>
    </row>
    <row r="6266" spans="1:10" x14ac:dyDescent="0.25">
      <c r="A6266" s="20">
        <v>45930</v>
      </c>
      <c r="B6266" s="3" t="s">
        <v>2108</v>
      </c>
      <c r="C6266" s="3" t="s">
        <v>683</v>
      </c>
      <c r="D6266" s="31">
        <v>298320.58</v>
      </c>
      <c r="F6266" s="31">
        <v>0</v>
      </c>
      <c r="G6266" s="31">
        <v>0</v>
      </c>
      <c r="H6266" s="31">
        <v>0</v>
      </c>
      <c r="I6266" s="31">
        <v>0</v>
      </c>
      <c r="J6266" s="61">
        <f t="shared" si="62"/>
        <v>298320.58</v>
      </c>
    </row>
    <row r="6267" spans="1:10" x14ac:dyDescent="0.25">
      <c r="A6267" s="20">
        <v>45930</v>
      </c>
      <c r="B6267" s="3" t="s">
        <v>2109</v>
      </c>
      <c r="C6267" s="3" t="s">
        <v>252</v>
      </c>
      <c r="D6267" s="31">
        <v>0</v>
      </c>
      <c r="F6267" s="31">
        <v>156.16</v>
      </c>
      <c r="G6267" s="31">
        <v>-21.91</v>
      </c>
      <c r="H6267" s="31">
        <v>-103.32</v>
      </c>
      <c r="I6267" s="31">
        <v>0</v>
      </c>
      <c r="J6267" s="61">
        <f t="shared" si="62"/>
        <v>30.930000000000007</v>
      </c>
    </row>
    <row r="6268" spans="1:10" x14ac:dyDescent="0.25">
      <c r="A6268" s="20">
        <v>45930</v>
      </c>
      <c r="B6268" s="3" t="s">
        <v>2113</v>
      </c>
      <c r="C6268" s="3" t="s">
        <v>254</v>
      </c>
      <c r="D6268" s="31">
        <v>2712</v>
      </c>
      <c r="F6268" s="31">
        <v>0</v>
      </c>
      <c r="G6268" s="31">
        <v>0</v>
      </c>
      <c r="H6268" s="31">
        <v>0</v>
      </c>
      <c r="I6268" s="31">
        <v>0</v>
      </c>
      <c r="J6268" s="61">
        <f t="shared" si="62"/>
        <v>2712</v>
      </c>
    </row>
    <row r="6269" spans="1:10" x14ac:dyDescent="0.25">
      <c r="A6269" s="20">
        <v>45930</v>
      </c>
      <c r="B6269" s="3" t="s">
        <v>2118</v>
      </c>
      <c r="C6269" s="3" t="s">
        <v>684</v>
      </c>
      <c r="D6269" s="31">
        <v>0</v>
      </c>
      <c r="F6269" s="31">
        <v>0</v>
      </c>
      <c r="G6269" s="31">
        <v>0</v>
      </c>
      <c r="H6269" s="31">
        <v>0</v>
      </c>
      <c r="I6269" s="31">
        <v>-18.45</v>
      </c>
      <c r="J6269" s="61">
        <f t="shared" si="62"/>
        <v>-18.45</v>
      </c>
    </row>
    <row r="6270" spans="1:10" x14ac:dyDescent="0.25">
      <c r="A6270" s="20">
        <v>45930</v>
      </c>
      <c r="B6270" s="3" t="s">
        <v>2120</v>
      </c>
      <c r="C6270" s="3" t="s">
        <v>2121</v>
      </c>
      <c r="D6270" s="31">
        <v>180.99</v>
      </c>
      <c r="F6270" s="31">
        <v>0</v>
      </c>
      <c r="G6270" s="31">
        <v>0</v>
      </c>
      <c r="H6270" s="31">
        <v>0</v>
      </c>
      <c r="I6270" s="31">
        <v>0</v>
      </c>
      <c r="J6270" s="61">
        <f t="shared" si="62"/>
        <v>180.99</v>
      </c>
    </row>
    <row r="6271" spans="1:10" x14ac:dyDescent="0.25">
      <c r="A6271" s="20">
        <v>45930</v>
      </c>
      <c r="B6271" s="3" t="s">
        <v>2127</v>
      </c>
      <c r="C6271" s="3" t="s">
        <v>631</v>
      </c>
      <c r="D6271" s="31">
        <v>416.07</v>
      </c>
      <c r="F6271" s="31">
        <v>0</v>
      </c>
      <c r="G6271" s="31">
        <v>0</v>
      </c>
      <c r="H6271" s="31">
        <v>0</v>
      </c>
      <c r="I6271" s="31">
        <v>0</v>
      </c>
      <c r="J6271" s="61">
        <f t="shared" si="62"/>
        <v>416.07</v>
      </c>
    </row>
    <row r="6272" spans="1:10" x14ac:dyDescent="0.25">
      <c r="A6272" s="20">
        <v>45930</v>
      </c>
      <c r="B6272" s="3" t="s">
        <v>2162</v>
      </c>
      <c r="C6272" s="3" t="s">
        <v>32</v>
      </c>
      <c r="D6272" s="31">
        <v>3148.88</v>
      </c>
      <c r="F6272" s="31">
        <v>0</v>
      </c>
      <c r="G6272" s="31">
        <v>516.22</v>
      </c>
      <c r="H6272" s="31">
        <v>22.99</v>
      </c>
      <c r="I6272" s="31">
        <v>1327.9</v>
      </c>
      <c r="J6272" s="61">
        <f t="shared" si="62"/>
        <v>5015.99</v>
      </c>
    </row>
    <row r="6273" spans="1:10" x14ac:dyDescent="0.25">
      <c r="A6273" s="20">
        <v>45930</v>
      </c>
      <c r="B6273" s="3" t="s">
        <v>2166</v>
      </c>
      <c r="C6273" s="3" t="s">
        <v>468</v>
      </c>
      <c r="D6273" s="31">
        <v>0</v>
      </c>
      <c r="F6273" s="31">
        <v>792</v>
      </c>
      <c r="G6273" s="31">
        <v>0</v>
      </c>
      <c r="H6273" s="31">
        <v>0</v>
      </c>
      <c r="I6273" s="31">
        <v>0</v>
      </c>
      <c r="J6273" s="61">
        <f t="shared" si="62"/>
        <v>792</v>
      </c>
    </row>
    <row r="6274" spans="1:10" x14ac:dyDescent="0.25">
      <c r="A6274" s="20">
        <v>45930</v>
      </c>
      <c r="B6274" s="3" t="s">
        <v>2169</v>
      </c>
      <c r="C6274" s="3" t="s">
        <v>882</v>
      </c>
      <c r="D6274" s="31">
        <v>1360</v>
      </c>
      <c r="F6274" s="31">
        <v>0</v>
      </c>
      <c r="G6274" s="31">
        <v>0</v>
      </c>
      <c r="H6274" s="31">
        <v>0</v>
      </c>
      <c r="I6274" s="31">
        <v>0</v>
      </c>
      <c r="J6274" s="61">
        <f t="shared" si="62"/>
        <v>1360</v>
      </c>
    </row>
    <row r="6275" spans="1:10" x14ac:dyDescent="0.25">
      <c r="A6275" s="20">
        <v>45930</v>
      </c>
      <c r="B6275" s="3" t="s">
        <v>2170</v>
      </c>
      <c r="C6275" s="3" t="s">
        <v>2171</v>
      </c>
      <c r="D6275" s="31">
        <v>0</v>
      </c>
      <c r="F6275" s="31">
        <v>-10171.879999999999</v>
      </c>
      <c r="G6275" s="31">
        <v>0</v>
      </c>
      <c r="H6275" s="31">
        <v>0</v>
      </c>
      <c r="I6275" s="31">
        <v>0</v>
      </c>
      <c r="J6275" s="61">
        <f t="shared" si="62"/>
        <v>-10171.879999999999</v>
      </c>
    </row>
    <row r="6276" spans="1:10" x14ac:dyDescent="0.25">
      <c r="A6276" s="20">
        <v>45930</v>
      </c>
      <c r="B6276" s="3" t="s">
        <v>2174</v>
      </c>
      <c r="C6276" s="3" t="s">
        <v>599</v>
      </c>
      <c r="D6276" s="31">
        <v>784</v>
      </c>
      <c r="F6276" s="31">
        <v>0</v>
      </c>
      <c r="G6276" s="31">
        <v>0</v>
      </c>
      <c r="H6276" s="31">
        <v>0</v>
      </c>
      <c r="I6276" s="31">
        <v>0</v>
      </c>
      <c r="J6276" s="61">
        <f t="shared" si="62"/>
        <v>784</v>
      </c>
    </row>
    <row r="6277" spans="1:10" x14ac:dyDescent="0.25">
      <c r="A6277" s="20">
        <v>45930</v>
      </c>
      <c r="B6277" s="3" t="s">
        <v>2175</v>
      </c>
      <c r="C6277" s="3" t="s">
        <v>408</v>
      </c>
      <c r="D6277" s="31">
        <v>0</v>
      </c>
      <c r="F6277" s="31">
        <v>0</v>
      </c>
      <c r="G6277" s="31">
        <v>0</v>
      </c>
      <c r="H6277" s="31">
        <v>0</v>
      </c>
      <c r="I6277" s="31">
        <v>-196.34</v>
      </c>
      <c r="J6277" s="61">
        <f t="shared" si="62"/>
        <v>-196.34</v>
      </c>
    </row>
    <row r="6278" spans="1:10" x14ac:dyDescent="0.25">
      <c r="A6278" s="20">
        <v>45930</v>
      </c>
      <c r="B6278" s="3" t="s">
        <v>2182</v>
      </c>
      <c r="C6278" s="3" t="s">
        <v>514</v>
      </c>
      <c r="D6278" s="31">
        <v>0</v>
      </c>
      <c r="F6278" s="31">
        <v>0</v>
      </c>
      <c r="G6278" s="31">
        <v>-53.73</v>
      </c>
      <c r="H6278" s="31">
        <v>0</v>
      </c>
      <c r="I6278" s="31">
        <v>0</v>
      </c>
      <c r="J6278" s="61">
        <f t="shared" si="62"/>
        <v>-53.73</v>
      </c>
    </row>
    <row r="6279" spans="1:10" x14ac:dyDescent="0.25">
      <c r="A6279" s="20">
        <v>45930</v>
      </c>
      <c r="B6279" s="3" t="s">
        <v>2186</v>
      </c>
      <c r="C6279" s="3" t="s">
        <v>515</v>
      </c>
      <c r="D6279" s="31">
        <v>12181.03</v>
      </c>
      <c r="F6279" s="31">
        <v>0</v>
      </c>
      <c r="G6279" s="31">
        <v>0</v>
      </c>
      <c r="H6279" s="31">
        <v>0</v>
      </c>
      <c r="I6279" s="31">
        <v>0</v>
      </c>
      <c r="J6279" s="61">
        <f t="shared" si="62"/>
        <v>12181.03</v>
      </c>
    </row>
    <row r="6280" spans="1:10" x14ac:dyDescent="0.25">
      <c r="A6280" s="20">
        <v>45930</v>
      </c>
      <c r="B6280" s="3" t="s">
        <v>2191</v>
      </c>
      <c r="C6280" s="3" t="s">
        <v>2192</v>
      </c>
      <c r="D6280" s="31">
        <v>645.19000000000005</v>
      </c>
      <c r="F6280" s="31">
        <v>0</v>
      </c>
      <c r="G6280" s="31">
        <v>0</v>
      </c>
      <c r="H6280" s="31">
        <v>0</v>
      </c>
      <c r="I6280" s="31">
        <v>0</v>
      </c>
      <c r="J6280" s="61">
        <f t="shared" si="62"/>
        <v>645.19000000000005</v>
      </c>
    </row>
    <row r="6281" spans="1:10" x14ac:dyDescent="0.25">
      <c r="A6281" s="20">
        <v>45930</v>
      </c>
      <c r="B6281" s="3" t="s">
        <v>2194</v>
      </c>
      <c r="C6281" s="3" t="s">
        <v>263</v>
      </c>
      <c r="D6281" s="31">
        <v>17139.75</v>
      </c>
      <c r="F6281" s="31">
        <v>0</v>
      </c>
      <c r="G6281" s="31">
        <v>0</v>
      </c>
      <c r="H6281" s="31">
        <v>0</v>
      </c>
      <c r="I6281" s="31">
        <v>0</v>
      </c>
      <c r="J6281" s="61">
        <f t="shared" si="62"/>
        <v>17139.75</v>
      </c>
    </row>
    <row r="6282" spans="1:10" x14ac:dyDescent="0.25">
      <c r="A6282" s="20">
        <v>45930</v>
      </c>
      <c r="B6282" s="3" t="s">
        <v>2202</v>
      </c>
      <c r="C6282" s="3" t="s">
        <v>633</v>
      </c>
      <c r="D6282" s="31">
        <v>7338.06</v>
      </c>
      <c r="F6282" s="31">
        <v>0</v>
      </c>
      <c r="G6282" s="31">
        <v>0</v>
      </c>
      <c r="H6282" s="31">
        <v>0</v>
      </c>
      <c r="I6282" s="31">
        <v>0</v>
      </c>
      <c r="J6282" s="61">
        <f t="shared" si="62"/>
        <v>7338.06</v>
      </c>
    </row>
    <row r="6283" spans="1:10" x14ac:dyDescent="0.25">
      <c r="A6283" s="20">
        <v>45930</v>
      </c>
      <c r="B6283" s="3" t="s">
        <v>2203</v>
      </c>
      <c r="C6283" s="3" t="s">
        <v>266</v>
      </c>
      <c r="D6283" s="31">
        <v>-499.39</v>
      </c>
      <c r="F6283" s="31">
        <v>0</v>
      </c>
      <c r="G6283" s="31">
        <v>0</v>
      </c>
      <c r="H6283" s="31">
        <v>0</v>
      </c>
      <c r="I6283" s="31">
        <v>0</v>
      </c>
      <c r="J6283" s="61">
        <f t="shared" si="62"/>
        <v>-499.39</v>
      </c>
    </row>
    <row r="6284" spans="1:10" x14ac:dyDescent="0.25">
      <c r="A6284" s="20">
        <v>45930</v>
      </c>
      <c r="B6284" s="3" t="s">
        <v>2219</v>
      </c>
      <c r="C6284" s="3" t="s">
        <v>269</v>
      </c>
      <c r="D6284" s="31">
        <v>202.57</v>
      </c>
      <c r="F6284" s="31">
        <v>0</v>
      </c>
      <c r="G6284" s="31">
        <v>0</v>
      </c>
      <c r="H6284" s="31">
        <v>0</v>
      </c>
      <c r="I6284" s="31">
        <v>0</v>
      </c>
      <c r="J6284" s="61">
        <f t="shared" si="62"/>
        <v>202.57</v>
      </c>
    </row>
    <row r="6285" spans="1:10" x14ac:dyDescent="0.25">
      <c r="A6285" s="20">
        <v>45930</v>
      </c>
      <c r="B6285" s="3" t="s">
        <v>2220</v>
      </c>
      <c r="C6285" s="3" t="s">
        <v>33</v>
      </c>
      <c r="D6285" s="31">
        <v>3569.72</v>
      </c>
      <c r="F6285" s="31">
        <v>531.87</v>
      </c>
      <c r="G6285" s="31">
        <v>49.21</v>
      </c>
      <c r="H6285" s="31">
        <v>-110.5</v>
      </c>
      <c r="I6285" s="31">
        <v>321.2</v>
      </c>
      <c r="J6285" s="61">
        <f t="shared" si="62"/>
        <v>4361.5</v>
      </c>
    </row>
    <row r="6286" spans="1:10" x14ac:dyDescent="0.25">
      <c r="A6286" s="20">
        <v>45930</v>
      </c>
      <c r="B6286" s="3" t="s">
        <v>2223</v>
      </c>
      <c r="C6286" s="3" t="s">
        <v>270</v>
      </c>
      <c r="D6286" s="31">
        <v>5129.6499999999996</v>
      </c>
      <c r="F6286" s="31">
        <v>0</v>
      </c>
      <c r="G6286" s="31">
        <v>0</v>
      </c>
      <c r="H6286" s="31">
        <v>0</v>
      </c>
      <c r="I6286" s="31">
        <v>0</v>
      </c>
      <c r="J6286" s="61">
        <f t="shared" si="62"/>
        <v>5129.6499999999996</v>
      </c>
    </row>
    <row r="6287" spans="1:10" x14ac:dyDescent="0.25">
      <c r="A6287" s="20">
        <v>45930</v>
      </c>
      <c r="B6287" s="3" t="s">
        <v>2227</v>
      </c>
      <c r="C6287" s="3" t="s">
        <v>271</v>
      </c>
      <c r="D6287" s="31">
        <v>7098.28</v>
      </c>
      <c r="F6287" s="31">
        <v>0</v>
      </c>
      <c r="G6287" s="31">
        <v>0</v>
      </c>
      <c r="H6287" s="31">
        <v>0</v>
      </c>
      <c r="I6287" s="31">
        <v>-1172</v>
      </c>
      <c r="J6287" s="61">
        <f t="shared" si="62"/>
        <v>5926.28</v>
      </c>
    </row>
    <row r="6288" spans="1:10" x14ac:dyDescent="0.25">
      <c r="A6288" s="20">
        <v>45930</v>
      </c>
      <c r="B6288" s="3" t="s">
        <v>2238</v>
      </c>
      <c r="C6288" s="3" t="s">
        <v>272</v>
      </c>
      <c r="D6288" s="31">
        <v>16224.69</v>
      </c>
      <c r="F6288" s="31">
        <v>0</v>
      </c>
      <c r="G6288" s="31">
        <v>0</v>
      </c>
      <c r="H6288" s="31">
        <v>0</v>
      </c>
      <c r="I6288" s="31">
        <v>0</v>
      </c>
      <c r="J6288" s="61">
        <f t="shared" si="62"/>
        <v>16224.69</v>
      </c>
    </row>
    <row r="6289" spans="1:10" x14ac:dyDescent="0.25">
      <c r="A6289" s="20">
        <v>45930</v>
      </c>
      <c r="B6289" s="3" t="s">
        <v>2250</v>
      </c>
      <c r="C6289" s="3" t="s">
        <v>34</v>
      </c>
      <c r="D6289" s="31">
        <v>3093</v>
      </c>
      <c r="F6289" s="31">
        <v>0</v>
      </c>
      <c r="G6289" s="31">
        <v>0</v>
      </c>
      <c r="H6289" s="31">
        <v>0</v>
      </c>
      <c r="I6289" s="31">
        <v>0</v>
      </c>
      <c r="J6289" s="61">
        <f t="shared" si="62"/>
        <v>3093</v>
      </c>
    </row>
    <row r="6290" spans="1:10" x14ac:dyDescent="0.25">
      <c r="A6290" s="20">
        <v>45930</v>
      </c>
      <c r="B6290" s="3" t="s">
        <v>2254</v>
      </c>
      <c r="C6290" s="3" t="s">
        <v>278</v>
      </c>
      <c r="D6290" s="31">
        <v>17353.2</v>
      </c>
      <c r="F6290" s="31">
        <v>0</v>
      </c>
      <c r="G6290" s="31">
        <v>0</v>
      </c>
      <c r="H6290" s="31">
        <v>-1802.86</v>
      </c>
      <c r="I6290" s="31">
        <v>0</v>
      </c>
      <c r="J6290" s="61">
        <f t="shared" si="62"/>
        <v>15550.34</v>
      </c>
    </row>
    <row r="6291" spans="1:10" x14ac:dyDescent="0.25">
      <c r="A6291" s="20">
        <v>45930</v>
      </c>
      <c r="B6291" s="3" t="s">
        <v>2261</v>
      </c>
      <c r="C6291" s="3" t="s">
        <v>279</v>
      </c>
      <c r="D6291" s="31">
        <v>579.20000000000005</v>
      </c>
      <c r="F6291" s="31">
        <v>0</v>
      </c>
      <c r="G6291" s="31">
        <v>0</v>
      </c>
      <c r="H6291" s="31">
        <v>0</v>
      </c>
      <c r="I6291" s="31">
        <v>0</v>
      </c>
      <c r="J6291" s="61">
        <f t="shared" si="62"/>
        <v>579.20000000000005</v>
      </c>
    </row>
    <row r="6292" spans="1:10" x14ac:dyDescent="0.25">
      <c r="A6292" s="20">
        <v>45930</v>
      </c>
      <c r="B6292" s="3" t="s">
        <v>2265</v>
      </c>
      <c r="C6292" s="3" t="s">
        <v>566</v>
      </c>
      <c r="D6292" s="31">
        <v>0</v>
      </c>
      <c r="F6292" s="31">
        <v>0</v>
      </c>
      <c r="G6292" s="31">
        <v>0</v>
      </c>
      <c r="H6292" s="31">
        <v>0</v>
      </c>
      <c r="I6292" s="31">
        <v>-14.41</v>
      </c>
      <c r="J6292" s="61">
        <f t="shared" si="62"/>
        <v>-14.41</v>
      </c>
    </row>
    <row r="6293" spans="1:10" x14ac:dyDescent="0.25">
      <c r="A6293" s="20">
        <v>45930</v>
      </c>
      <c r="B6293" s="3" t="s">
        <v>2266</v>
      </c>
      <c r="C6293" s="3" t="s">
        <v>694</v>
      </c>
      <c r="D6293" s="31">
        <v>11939</v>
      </c>
      <c r="F6293" s="31">
        <v>0</v>
      </c>
      <c r="G6293" s="31">
        <v>0</v>
      </c>
      <c r="H6293" s="31">
        <v>0</v>
      </c>
      <c r="I6293" s="31">
        <v>0</v>
      </c>
      <c r="J6293" s="61">
        <f t="shared" si="62"/>
        <v>11939</v>
      </c>
    </row>
    <row r="6294" spans="1:10" x14ac:dyDescent="0.25">
      <c r="A6294" s="20">
        <v>45930</v>
      </c>
      <c r="B6294" s="3" t="s">
        <v>2269</v>
      </c>
      <c r="C6294" s="3" t="s">
        <v>2270</v>
      </c>
      <c r="D6294" s="31">
        <v>415.03</v>
      </c>
      <c r="F6294" s="31">
        <v>0</v>
      </c>
      <c r="G6294" s="31">
        <v>0</v>
      </c>
      <c r="H6294" s="31">
        <v>0</v>
      </c>
      <c r="I6294" s="31">
        <v>0</v>
      </c>
      <c r="J6294" s="61">
        <f t="shared" si="62"/>
        <v>415.03</v>
      </c>
    </row>
    <row r="6295" spans="1:10" x14ac:dyDescent="0.25">
      <c r="A6295" s="20">
        <v>45930</v>
      </c>
      <c r="B6295" s="3" t="s">
        <v>2304</v>
      </c>
      <c r="C6295" s="3" t="s">
        <v>416</v>
      </c>
      <c r="D6295" s="31">
        <v>1113.5</v>
      </c>
      <c r="F6295" s="31">
        <v>0</v>
      </c>
      <c r="G6295" s="31">
        <v>0</v>
      </c>
      <c r="H6295" s="31">
        <v>0</v>
      </c>
      <c r="I6295" s="31">
        <v>0</v>
      </c>
      <c r="J6295" s="61">
        <f t="shared" si="62"/>
        <v>1113.5</v>
      </c>
    </row>
    <row r="6296" spans="1:10" x14ac:dyDescent="0.25">
      <c r="A6296" s="20">
        <v>45930</v>
      </c>
      <c r="B6296" s="3" t="s">
        <v>2317</v>
      </c>
      <c r="C6296" s="3" t="s">
        <v>284</v>
      </c>
      <c r="D6296" s="31">
        <v>357184.38</v>
      </c>
      <c r="F6296" s="31">
        <v>0</v>
      </c>
      <c r="G6296" s="31">
        <v>0</v>
      </c>
      <c r="H6296" s="31">
        <v>0</v>
      </c>
      <c r="I6296" s="31">
        <v>0</v>
      </c>
      <c r="J6296" s="61">
        <f t="shared" si="62"/>
        <v>357184.38</v>
      </c>
    </row>
    <row r="6297" spans="1:10" x14ac:dyDescent="0.25">
      <c r="A6297" s="20">
        <v>45930</v>
      </c>
      <c r="B6297" s="3" t="s">
        <v>2318</v>
      </c>
      <c r="C6297" s="3" t="s">
        <v>285</v>
      </c>
      <c r="D6297" s="31">
        <v>7327.2</v>
      </c>
      <c r="F6297" s="31">
        <v>0</v>
      </c>
      <c r="G6297" s="31">
        <v>0</v>
      </c>
      <c r="H6297" s="31">
        <v>0</v>
      </c>
      <c r="I6297" s="31">
        <v>0</v>
      </c>
      <c r="J6297" s="61">
        <f t="shared" si="62"/>
        <v>7327.2</v>
      </c>
    </row>
    <row r="6298" spans="1:10" x14ac:dyDescent="0.25">
      <c r="A6298" s="20">
        <v>45930</v>
      </c>
      <c r="B6298" s="3" t="s">
        <v>2329</v>
      </c>
      <c r="C6298" s="3" t="s">
        <v>475</v>
      </c>
      <c r="D6298" s="31">
        <v>0</v>
      </c>
      <c r="F6298" s="31">
        <v>0</v>
      </c>
      <c r="G6298" s="31">
        <v>0</v>
      </c>
      <c r="H6298" s="31">
        <v>0</v>
      </c>
      <c r="I6298" s="31">
        <v>-299.55</v>
      </c>
      <c r="J6298" s="61">
        <f t="shared" si="62"/>
        <v>-299.55</v>
      </c>
    </row>
    <row r="6299" spans="1:10" x14ac:dyDescent="0.25">
      <c r="A6299" s="20">
        <v>45930</v>
      </c>
      <c r="B6299" s="3" t="s">
        <v>2352</v>
      </c>
      <c r="C6299" s="3" t="s">
        <v>293</v>
      </c>
      <c r="D6299" s="31">
        <v>4989</v>
      </c>
      <c r="F6299" s="31">
        <v>0</v>
      </c>
      <c r="G6299" s="31">
        <v>0</v>
      </c>
      <c r="H6299" s="31">
        <v>0</v>
      </c>
      <c r="I6299" s="31">
        <v>0</v>
      </c>
      <c r="J6299" s="61">
        <f t="shared" si="62"/>
        <v>4989</v>
      </c>
    </row>
    <row r="6300" spans="1:10" x14ac:dyDescent="0.25">
      <c r="A6300" s="20">
        <v>45930</v>
      </c>
      <c r="B6300" s="3" t="s">
        <v>2356</v>
      </c>
      <c r="C6300" s="3" t="s">
        <v>757</v>
      </c>
      <c r="D6300" s="31">
        <v>6033.7</v>
      </c>
      <c r="F6300" s="31">
        <v>0</v>
      </c>
      <c r="G6300" s="31">
        <v>0</v>
      </c>
      <c r="H6300" s="31">
        <v>0</v>
      </c>
      <c r="I6300" s="31">
        <v>0</v>
      </c>
      <c r="J6300" s="61">
        <f t="shared" si="62"/>
        <v>6033.7</v>
      </c>
    </row>
    <row r="6301" spans="1:10" x14ac:dyDescent="0.25">
      <c r="A6301" s="20">
        <v>45930</v>
      </c>
      <c r="B6301" s="3" t="s">
        <v>2360</v>
      </c>
      <c r="C6301" s="3" t="s">
        <v>759</v>
      </c>
      <c r="D6301" s="31">
        <v>3699.45</v>
      </c>
      <c r="F6301" s="31">
        <v>0</v>
      </c>
      <c r="G6301" s="31">
        <v>0</v>
      </c>
      <c r="H6301" s="31">
        <v>0</v>
      </c>
      <c r="I6301" s="31">
        <v>0</v>
      </c>
      <c r="J6301" s="61">
        <f t="shared" si="62"/>
        <v>3699.45</v>
      </c>
    </row>
    <row r="6302" spans="1:10" x14ac:dyDescent="0.25">
      <c r="A6302" s="20">
        <v>45930</v>
      </c>
      <c r="B6302" s="3" t="s">
        <v>2363</v>
      </c>
      <c r="C6302" s="3" t="s">
        <v>297</v>
      </c>
      <c r="D6302" s="31">
        <v>7155</v>
      </c>
      <c r="F6302" s="31">
        <v>0</v>
      </c>
      <c r="G6302" s="31">
        <v>0</v>
      </c>
      <c r="H6302" s="31">
        <v>0</v>
      </c>
      <c r="I6302" s="31">
        <v>0</v>
      </c>
      <c r="J6302" s="61">
        <f t="shared" si="62"/>
        <v>7155</v>
      </c>
    </row>
    <row r="6303" spans="1:10" x14ac:dyDescent="0.25">
      <c r="A6303" s="20">
        <v>45930</v>
      </c>
      <c r="B6303" s="3" t="s">
        <v>2366</v>
      </c>
      <c r="C6303" s="3" t="s">
        <v>2367</v>
      </c>
      <c r="D6303" s="31">
        <v>-3485</v>
      </c>
      <c r="F6303" s="31">
        <v>0</v>
      </c>
      <c r="G6303" s="31">
        <v>0</v>
      </c>
      <c r="H6303" s="31">
        <v>0</v>
      </c>
      <c r="I6303" s="31">
        <v>0</v>
      </c>
      <c r="J6303" s="61">
        <f t="shared" si="62"/>
        <v>-3485</v>
      </c>
    </row>
    <row r="6304" spans="1:10" x14ac:dyDescent="0.25">
      <c r="A6304" s="20">
        <v>45930</v>
      </c>
      <c r="B6304" s="3" t="s">
        <v>2370</v>
      </c>
      <c r="C6304" s="3" t="s">
        <v>298</v>
      </c>
      <c r="D6304" s="31">
        <v>8243.66</v>
      </c>
      <c r="F6304" s="31">
        <v>0</v>
      </c>
      <c r="G6304" s="31">
        <v>0</v>
      </c>
      <c r="H6304" s="31">
        <v>0</v>
      </c>
      <c r="I6304" s="31">
        <v>0</v>
      </c>
      <c r="J6304" s="61">
        <f t="shared" si="62"/>
        <v>8243.66</v>
      </c>
    </row>
    <row r="6305" spans="1:10" x14ac:dyDescent="0.25">
      <c r="A6305" s="20">
        <v>45930</v>
      </c>
      <c r="B6305" s="3" t="s">
        <v>2376</v>
      </c>
      <c r="C6305" s="3" t="s">
        <v>301</v>
      </c>
      <c r="D6305" s="31">
        <v>38469.050000000003</v>
      </c>
      <c r="F6305" s="31">
        <v>0</v>
      </c>
      <c r="G6305" s="31">
        <v>0</v>
      </c>
      <c r="H6305" s="31">
        <v>0</v>
      </c>
      <c r="I6305" s="31">
        <v>0</v>
      </c>
      <c r="J6305" s="61">
        <f t="shared" si="62"/>
        <v>38469.050000000003</v>
      </c>
    </row>
    <row r="6306" spans="1:10" x14ac:dyDescent="0.25">
      <c r="A6306" s="20">
        <v>45930</v>
      </c>
      <c r="B6306" s="3" t="s">
        <v>2389</v>
      </c>
      <c r="C6306" s="3" t="s">
        <v>571</v>
      </c>
      <c r="D6306" s="31">
        <v>33397.5</v>
      </c>
      <c r="F6306" s="31">
        <v>0</v>
      </c>
      <c r="G6306" s="31">
        <v>96.96</v>
      </c>
      <c r="H6306" s="31">
        <v>0</v>
      </c>
      <c r="I6306" s="31">
        <v>-19694.63</v>
      </c>
      <c r="J6306" s="61">
        <f t="shared" si="62"/>
        <v>13799.829999999998</v>
      </c>
    </row>
    <row r="6307" spans="1:10" x14ac:dyDescent="0.25">
      <c r="A6307" s="20">
        <v>45930</v>
      </c>
      <c r="B6307" s="3" t="s">
        <v>2390</v>
      </c>
      <c r="C6307" s="3" t="s">
        <v>303</v>
      </c>
      <c r="D6307" s="31">
        <v>0</v>
      </c>
      <c r="F6307" s="31">
        <v>0</v>
      </c>
      <c r="G6307" s="31">
        <v>0</v>
      </c>
      <c r="H6307" s="31">
        <v>1323</v>
      </c>
      <c r="I6307" s="31">
        <v>0</v>
      </c>
      <c r="J6307" s="61">
        <f t="shared" si="62"/>
        <v>1323</v>
      </c>
    </row>
    <row r="6308" spans="1:10" x14ac:dyDescent="0.25">
      <c r="A6308" s="20">
        <v>45930</v>
      </c>
      <c r="B6308" s="3" t="s">
        <v>2417</v>
      </c>
      <c r="C6308" s="3" t="s">
        <v>37</v>
      </c>
      <c r="D6308" s="31">
        <v>1379.91</v>
      </c>
      <c r="F6308" s="31">
        <v>528.37</v>
      </c>
      <c r="G6308" s="31">
        <v>0</v>
      </c>
      <c r="H6308" s="31">
        <v>5100.1400000000003</v>
      </c>
      <c r="I6308" s="31">
        <v>11671.68</v>
      </c>
      <c r="J6308" s="61">
        <f t="shared" si="62"/>
        <v>18680.099999999999</v>
      </c>
    </row>
    <row r="6309" spans="1:10" x14ac:dyDescent="0.25">
      <c r="A6309" s="20">
        <v>45930</v>
      </c>
      <c r="B6309" s="3" t="s">
        <v>2428</v>
      </c>
      <c r="C6309" s="3" t="s">
        <v>787</v>
      </c>
      <c r="D6309" s="31">
        <v>0</v>
      </c>
      <c r="F6309" s="31">
        <v>0</v>
      </c>
      <c r="G6309" s="31">
        <v>-13.23</v>
      </c>
      <c r="H6309" s="31">
        <v>0</v>
      </c>
      <c r="I6309" s="31">
        <v>0</v>
      </c>
      <c r="J6309" s="61">
        <f t="shared" si="62"/>
        <v>-13.23</v>
      </c>
    </row>
    <row r="6310" spans="1:10" x14ac:dyDescent="0.25">
      <c r="A6310" s="20">
        <v>45930</v>
      </c>
      <c r="B6310" s="3" t="s">
        <v>2435</v>
      </c>
      <c r="C6310" s="3" t="s">
        <v>46</v>
      </c>
      <c r="D6310" s="31">
        <v>204097.21</v>
      </c>
      <c r="F6310" s="31">
        <v>0</v>
      </c>
      <c r="G6310" s="31">
        <v>0</v>
      </c>
      <c r="H6310" s="31">
        <v>0</v>
      </c>
      <c r="I6310" s="31">
        <v>0</v>
      </c>
      <c r="J6310" s="61">
        <f t="shared" si="62"/>
        <v>204097.21</v>
      </c>
    </row>
    <row r="6311" spans="1:10" x14ac:dyDescent="0.25">
      <c r="A6311" s="20">
        <v>45930</v>
      </c>
      <c r="B6311" s="3" t="s">
        <v>2455</v>
      </c>
      <c r="C6311" s="3" t="s">
        <v>697</v>
      </c>
      <c r="D6311" s="31">
        <v>90</v>
      </c>
      <c r="F6311" s="31">
        <v>0</v>
      </c>
      <c r="G6311" s="31">
        <v>170.71</v>
      </c>
      <c r="H6311" s="31">
        <v>0</v>
      </c>
      <c r="I6311" s="31">
        <v>0</v>
      </c>
      <c r="J6311" s="61">
        <f t="shared" si="62"/>
        <v>260.71000000000004</v>
      </c>
    </row>
    <row r="6312" spans="1:10" x14ac:dyDescent="0.25">
      <c r="A6312" s="20">
        <v>45930</v>
      </c>
      <c r="B6312" s="3" t="s">
        <v>2490</v>
      </c>
      <c r="C6312" s="3" t="s">
        <v>49</v>
      </c>
      <c r="D6312" s="31">
        <v>303883.46999999997</v>
      </c>
      <c r="F6312" s="31">
        <v>10677.27</v>
      </c>
      <c r="G6312" s="31">
        <v>1776.5</v>
      </c>
      <c r="H6312" s="31">
        <v>79</v>
      </c>
      <c r="I6312" s="31">
        <v>13144</v>
      </c>
      <c r="J6312" s="61">
        <f t="shared" si="62"/>
        <v>329560.24</v>
      </c>
    </row>
    <row r="6313" spans="1:10" x14ac:dyDescent="0.25">
      <c r="A6313" s="20">
        <v>45930</v>
      </c>
      <c r="B6313" s="3" t="s">
        <v>2496</v>
      </c>
      <c r="C6313" s="3" t="s">
        <v>50</v>
      </c>
      <c r="D6313" s="31">
        <v>97026.87</v>
      </c>
      <c r="F6313" s="31">
        <v>1046.52</v>
      </c>
      <c r="G6313" s="31">
        <v>11675.56</v>
      </c>
      <c r="H6313" s="31">
        <v>-518.24</v>
      </c>
      <c r="I6313" s="31">
        <v>-77.7</v>
      </c>
      <c r="J6313" s="61">
        <f t="shared" si="62"/>
        <v>109153.01</v>
      </c>
    </row>
    <row r="6314" spans="1:10" x14ac:dyDescent="0.25">
      <c r="A6314" s="20">
        <v>45930</v>
      </c>
      <c r="B6314" s="3" t="s">
        <v>2505</v>
      </c>
      <c r="C6314" s="3" t="s">
        <v>318</v>
      </c>
      <c r="D6314" s="31">
        <v>520.63</v>
      </c>
      <c r="F6314" s="31">
        <v>0</v>
      </c>
      <c r="G6314" s="31">
        <v>0</v>
      </c>
      <c r="H6314" s="31">
        <v>0</v>
      </c>
      <c r="I6314" s="31">
        <v>0</v>
      </c>
      <c r="J6314" s="61">
        <f t="shared" si="62"/>
        <v>520.63</v>
      </c>
    </row>
    <row r="6315" spans="1:10" x14ac:dyDescent="0.25">
      <c r="A6315" s="20">
        <v>45930</v>
      </c>
      <c r="B6315" s="3" t="s">
        <v>2530</v>
      </c>
      <c r="C6315" s="3" t="s">
        <v>321</v>
      </c>
      <c r="D6315" s="31">
        <v>0</v>
      </c>
      <c r="F6315" s="31">
        <v>0</v>
      </c>
      <c r="G6315" s="31">
        <v>0</v>
      </c>
      <c r="H6315" s="31">
        <v>0</v>
      </c>
      <c r="I6315" s="31">
        <v>-47.94</v>
      </c>
      <c r="J6315" s="61">
        <f t="shared" si="62"/>
        <v>-47.94</v>
      </c>
    </row>
    <row r="6316" spans="1:10" x14ac:dyDescent="0.25">
      <c r="A6316" s="20">
        <v>45930</v>
      </c>
      <c r="B6316" s="3" t="s">
        <v>2533</v>
      </c>
      <c r="C6316" s="3" t="s">
        <v>322</v>
      </c>
      <c r="D6316" s="31">
        <v>0</v>
      </c>
      <c r="F6316" s="31">
        <v>0</v>
      </c>
      <c r="G6316" s="31">
        <v>0</v>
      </c>
      <c r="H6316" s="31">
        <v>0</v>
      </c>
      <c r="I6316" s="31">
        <v>-348.81</v>
      </c>
      <c r="J6316" s="61">
        <f t="shared" si="62"/>
        <v>-348.81</v>
      </c>
    </row>
    <row r="6317" spans="1:10" x14ac:dyDescent="0.25">
      <c r="A6317" s="20">
        <v>45930</v>
      </c>
      <c r="B6317" s="3" t="s">
        <v>2544</v>
      </c>
      <c r="C6317" s="3" t="s">
        <v>325</v>
      </c>
      <c r="D6317" s="31">
        <v>0</v>
      </c>
      <c r="F6317" s="31">
        <v>0</v>
      </c>
      <c r="G6317" s="31">
        <v>0</v>
      </c>
      <c r="H6317" s="31">
        <v>0</v>
      </c>
      <c r="I6317" s="31">
        <v>-421.28</v>
      </c>
      <c r="J6317" s="61">
        <f t="shared" si="62"/>
        <v>-421.28</v>
      </c>
    </row>
    <row r="6318" spans="1:10" x14ac:dyDescent="0.25">
      <c r="A6318" s="20">
        <v>45930</v>
      </c>
      <c r="B6318" s="3" t="s">
        <v>2548</v>
      </c>
      <c r="C6318" s="3" t="s">
        <v>524</v>
      </c>
      <c r="D6318" s="31">
        <v>11725</v>
      </c>
      <c r="F6318" s="31">
        <v>0</v>
      </c>
      <c r="G6318" s="31">
        <v>0</v>
      </c>
      <c r="H6318" s="31">
        <v>0</v>
      </c>
      <c r="I6318" s="31">
        <v>0</v>
      </c>
      <c r="J6318" s="61">
        <f t="shared" ref="J6318:J6366" si="63">SUM(D6318:I6318)</f>
        <v>11725</v>
      </c>
    </row>
    <row r="6319" spans="1:10" x14ac:dyDescent="0.25">
      <c r="A6319" s="20">
        <v>45930</v>
      </c>
      <c r="B6319" s="3" t="s">
        <v>2557</v>
      </c>
      <c r="C6319" s="3" t="s">
        <v>2558</v>
      </c>
      <c r="D6319" s="31">
        <v>2163.8200000000002</v>
      </c>
      <c r="F6319" s="31">
        <v>0</v>
      </c>
      <c r="G6319" s="31">
        <v>0</v>
      </c>
      <c r="H6319" s="31">
        <v>0</v>
      </c>
      <c r="I6319" s="31">
        <v>0</v>
      </c>
      <c r="J6319" s="61">
        <f t="shared" si="63"/>
        <v>2163.8200000000002</v>
      </c>
    </row>
    <row r="6320" spans="1:10" x14ac:dyDescent="0.25">
      <c r="A6320" s="20">
        <v>45930</v>
      </c>
      <c r="B6320" s="3" t="s">
        <v>2584</v>
      </c>
      <c r="C6320" s="3" t="s">
        <v>332</v>
      </c>
      <c r="D6320" s="31">
        <v>196827.34</v>
      </c>
      <c r="F6320" s="31">
        <v>-8200</v>
      </c>
      <c r="G6320" s="31">
        <v>0</v>
      </c>
      <c r="H6320" s="31">
        <v>0</v>
      </c>
      <c r="I6320" s="31">
        <v>0</v>
      </c>
      <c r="J6320" s="61">
        <f t="shared" si="63"/>
        <v>188627.34</v>
      </c>
    </row>
    <row r="6321" spans="1:10" x14ac:dyDescent="0.25">
      <c r="A6321" s="20">
        <v>45930</v>
      </c>
      <c r="B6321" s="3" t="s">
        <v>2589</v>
      </c>
      <c r="C6321" s="3" t="s">
        <v>428</v>
      </c>
      <c r="D6321" s="31">
        <v>15059.2</v>
      </c>
      <c r="F6321" s="31">
        <v>0</v>
      </c>
      <c r="G6321" s="31">
        <v>0</v>
      </c>
      <c r="H6321" s="31">
        <v>0</v>
      </c>
      <c r="I6321" s="31">
        <v>0</v>
      </c>
      <c r="J6321" s="61">
        <f t="shared" si="63"/>
        <v>15059.2</v>
      </c>
    </row>
    <row r="6322" spans="1:10" x14ac:dyDescent="0.25">
      <c r="A6322" s="20">
        <v>45930</v>
      </c>
      <c r="B6322" s="3" t="s">
        <v>2600</v>
      </c>
      <c r="C6322" s="3" t="s">
        <v>767</v>
      </c>
      <c r="D6322" s="31">
        <v>0</v>
      </c>
      <c r="F6322" s="31">
        <v>-354.65</v>
      </c>
      <c r="G6322" s="31">
        <v>0</v>
      </c>
      <c r="H6322" s="31">
        <v>-126.76</v>
      </c>
      <c r="I6322" s="31">
        <v>0</v>
      </c>
      <c r="J6322" s="61">
        <f t="shared" si="63"/>
        <v>-481.40999999999997</v>
      </c>
    </row>
    <row r="6323" spans="1:10" x14ac:dyDescent="0.25">
      <c r="A6323" s="20">
        <v>45930</v>
      </c>
      <c r="B6323" s="3" t="s">
        <v>2601</v>
      </c>
      <c r="C6323" s="3" t="s">
        <v>337</v>
      </c>
      <c r="D6323" s="31">
        <v>17452.8</v>
      </c>
      <c r="F6323" s="31">
        <v>0</v>
      </c>
      <c r="G6323" s="31">
        <v>0</v>
      </c>
      <c r="H6323" s="31">
        <v>0</v>
      </c>
      <c r="I6323" s="31">
        <v>0</v>
      </c>
      <c r="J6323" s="61">
        <f t="shared" si="63"/>
        <v>17452.8</v>
      </c>
    </row>
    <row r="6324" spans="1:10" x14ac:dyDescent="0.25">
      <c r="A6324" s="20">
        <v>45930</v>
      </c>
      <c r="B6324" s="3" t="s">
        <v>2616</v>
      </c>
      <c r="C6324" s="3" t="s">
        <v>592</v>
      </c>
      <c r="D6324" s="31">
        <v>0</v>
      </c>
      <c r="F6324" s="31">
        <v>0</v>
      </c>
      <c r="G6324" s="31">
        <v>0</v>
      </c>
      <c r="H6324" s="31">
        <v>0</v>
      </c>
      <c r="I6324" s="31">
        <v>-85.32</v>
      </c>
      <c r="J6324" s="61">
        <f t="shared" si="63"/>
        <v>-85.32</v>
      </c>
    </row>
    <row r="6325" spans="1:10" x14ac:dyDescent="0.25">
      <c r="A6325" s="20">
        <v>45930</v>
      </c>
      <c r="B6325" s="3" t="s">
        <v>2623</v>
      </c>
      <c r="C6325" s="3" t="s">
        <v>530</v>
      </c>
      <c r="D6325" s="31">
        <v>2995.07</v>
      </c>
      <c r="F6325" s="31">
        <v>0</v>
      </c>
      <c r="G6325" s="31">
        <v>0</v>
      </c>
      <c r="H6325" s="31">
        <v>0</v>
      </c>
      <c r="I6325" s="31">
        <v>0</v>
      </c>
      <c r="J6325" s="61">
        <f t="shared" si="63"/>
        <v>2995.07</v>
      </c>
    </row>
    <row r="6326" spans="1:10" x14ac:dyDescent="0.25">
      <c r="A6326" s="20">
        <v>45930</v>
      </c>
      <c r="B6326" s="3" t="s">
        <v>2631</v>
      </c>
      <c r="C6326" s="3" t="s">
        <v>342</v>
      </c>
      <c r="D6326" s="31">
        <v>10050.51</v>
      </c>
      <c r="F6326" s="31">
        <v>0</v>
      </c>
      <c r="G6326" s="31">
        <v>0</v>
      </c>
      <c r="H6326" s="31">
        <v>0</v>
      </c>
      <c r="I6326" s="31">
        <v>0</v>
      </c>
      <c r="J6326" s="61">
        <f t="shared" si="63"/>
        <v>10050.51</v>
      </c>
    </row>
    <row r="6327" spans="1:10" x14ac:dyDescent="0.25">
      <c r="A6327" s="20">
        <v>45930</v>
      </c>
      <c r="B6327" s="3" t="s">
        <v>2638</v>
      </c>
      <c r="C6327" s="3" t="s">
        <v>645</v>
      </c>
      <c r="D6327" s="31">
        <v>110979.6</v>
      </c>
      <c r="F6327" s="31">
        <v>0</v>
      </c>
      <c r="G6327" s="31">
        <v>0</v>
      </c>
      <c r="H6327" s="31">
        <v>0</v>
      </c>
      <c r="I6327" s="31">
        <v>0</v>
      </c>
      <c r="J6327" s="61">
        <f t="shared" si="63"/>
        <v>110979.6</v>
      </c>
    </row>
    <row r="6328" spans="1:10" x14ac:dyDescent="0.25">
      <c r="A6328" s="20">
        <v>45930</v>
      </c>
      <c r="B6328" s="3" t="s">
        <v>2648</v>
      </c>
      <c r="C6328" s="3" t="s">
        <v>345</v>
      </c>
      <c r="D6328" s="31">
        <v>23604.58</v>
      </c>
      <c r="F6328" s="31">
        <v>0</v>
      </c>
      <c r="G6328" s="31">
        <v>0</v>
      </c>
      <c r="H6328" s="31">
        <v>0</v>
      </c>
      <c r="I6328" s="31">
        <v>0</v>
      </c>
      <c r="J6328" s="61">
        <f t="shared" si="63"/>
        <v>23604.58</v>
      </c>
    </row>
    <row r="6329" spans="1:10" x14ac:dyDescent="0.25">
      <c r="A6329" s="20">
        <v>45930</v>
      </c>
      <c r="B6329" s="3" t="s">
        <v>2661</v>
      </c>
      <c r="C6329" s="3" t="s">
        <v>575</v>
      </c>
      <c r="D6329" s="31">
        <v>0</v>
      </c>
      <c r="F6329" s="31">
        <v>0</v>
      </c>
      <c r="G6329" s="31">
        <v>0</v>
      </c>
      <c r="H6329" s="31">
        <v>0</v>
      </c>
      <c r="I6329" s="31">
        <v>-536.64</v>
      </c>
      <c r="J6329" s="61">
        <f t="shared" si="63"/>
        <v>-536.64</v>
      </c>
    </row>
    <row r="6330" spans="1:10" x14ac:dyDescent="0.25">
      <c r="A6330" s="20">
        <v>45930</v>
      </c>
      <c r="B6330" s="3" t="s">
        <v>2685</v>
      </c>
      <c r="C6330" s="3" t="s">
        <v>481</v>
      </c>
      <c r="D6330" s="31">
        <v>475</v>
      </c>
      <c r="F6330" s="31">
        <v>0</v>
      </c>
      <c r="G6330" s="31">
        <v>0</v>
      </c>
      <c r="H6330" s="31">
        <v>0</v>
      </c>
      <c r="I6330" s="31">
        <v>0</v>
      </c>
      <c r="J6330" s="61">
        <f t="shared" si="63"/>
        <v>475</v>
      </c>
    </row>
    <row r="6331" spans="1:10" x14ac:dyDescent="0.25">
      <c r="A6331" s="20">
        <v>45930</v>
      </c>
      <c r="B6331" s="3" t="s">
        <v>2689</v>
      </c>
      <c r="C6331" s="3" t="s">
        <v>9</v>
      </c>
      <c r="D6331" s="31">
        <v>33109.9</v>
      </c>
      <c r="F6331" s="31">
        <v>188.4</v>
      </c>
      <c r="G6331" s="31">
        <v>3171.75</v>
      </c>
      <c r="H6331" s="31">
        <v>31.2</v>
      </c>
      <c r="I6331" s="31">
        <v>0</v>
      </c>
      <c r="J6331" s="61">
        <f t="shared" si="63"/>
        <v>36501.25</v>
      </c>
    </row>
    <row r="6332" spans="1:10" x14ac:dyDescent="0.25">
      <c r="A6332" s="20">
        <v>45930</v>
      </c>
      <c r="B6332" s="3" t="s">
        <v>2690</v>
      </c>
      <c r="C6332" s="3" t="s">
        <v>706</v>
      </c>
      <c r="D6332" s="31">
        <v>0</v>
      </c>
      <c r="F6332" s="31">
        <v>0</v>
      </c>
      <c r="G6332" s="31">
        <v>0</v>
      </c>
      <c r="H6332" s="31">
        <v>0</v>
      </c>
      <c r="I6332" s="31">
        <v>14911.15</v>
      </c>
      <c r="J6332" s="61">
        <f t="shared" si="63"/>
        <v>14911.15</v>
      </c>
    </row>
    <row r="6333" spans="1:10" x14ac:dyDescent="0.25">
      <c r="A6333" s="20">
        <v>45930</v>
      </c>
      <c r="B6333" s="3" t="s">
        <v>2691</v>
      </c>
      <c r="C6333" s="3" t="s">
        <v>54</v>
      </c>
      <c r="D6333" s="31">
        <v>6633</v>
      </c>
      <c r="F6333" s="31">
        <v>541.39</v>
      </c>
      <c r="G6333" s="31">
        <v>632.21</v>
      </c>
      <c r="H6333" s="31">
        <v>0</v>
      </c>
      <c r="I6333" s="31">
        <v>213.87</v>
      </c>
      <c r="J6333" s="61">
        <f t="shared" si="63"/>
        <v>8020.47</v>
      </c>
    </row>
    <row r="6334" spans="1:10" x14ac:dyDescent="0.25">
      <c r="A6334" s="20">
        <v>45930</v>
      </c>
      <c r="B6334" s="3" t="s">
        <v>2722</v>
      </c>
      <c r="C6334" s="3" t="s">
        <v>2723</v>
      </c>
      <c r="D6334" s="31">
        <v>22249.64</v>
      </c>
      <c r="F6334" s="31">
        <v>0</v>
      </c>
      <c r="G6334" s="31">
        <v>0</v>
      </c>
      <c r="H6334" s="31">
        <v>0</v>
      </c>
      <c r="I6334" s="31">
        <v>0</v>
      </c>
      <c r="J6334" s="61">
        <f t="shared" si="63"/>
        <v>22249.64</v>
      </c>
    </row>
    <row r="6335" spans="1:10" x14ac:dyDescent="0.25">
      <c r="A6335" s="20">
        <v>45930</v>
      </c>
      <c r="B6335" s="3" t="s">
        <v>2733</v>
      </c>
      <c r="C6335" s="3" t="s">
        <v>647</v>
      </c>
      <c r="D6335" s="31">
        <v>12667</v>
      </c>
      <c r="F6335" s="31">
        <v>0</v>
      </c>
      <c r="G6335" s="31">
        <v>0</v>
      </c>
      <c r="H6335" s="31">
        <v>0</v>
      </c>
      <c r="I6335" s="31">
        <v>0</v>
      </c>
      <c r="J6335" s="61">
        <f t="shared" si="63"/>
        <v>12667</v>
      </c>
    </row>
    <row r="6336" spans="1:10" x14ac:dyDescent="0.25">
      <c r="A6336" s="20">
        <v>45930</v>
      </c>
      <c r="B6336" s="3" t="s">
        <v>2734</v>
      </c>
      <c r="C6336" s="3" t="s">
        <v>532</v>
      </c>
      <c r="D6336" s="31">
        <v>13152</v>
      </c>
      <c r="F6336" s="31">
        <v>0</v>
      </c>
      <c r="G6336" s="31">
        <v>0</v>
      </c>
      <c r="H6336" s="31">
        <v>0</v>
      </c>
      <c r="I6336" s="31">
        <v>0</v>
      </c>
      <c r="J6336" s="61">
        <f t="shared" si="63"/>
        <v>13152</v>
      </c>
    </row>
    <row r="6337" spans="1:10" x14ac:dyDescent="0.25">
      <c r="A6337" s="20">
        <v>45930</v>
      </c>
      <c r="B6337" s="3" t="s">
        <v>2735</v>
      </c>
      <c r="C6337" s="3" t="s">
        <v>352</v>
      </c>
      <c r="D6337" s="31">
        <v>17365.93</v>
      </c>
      <c r="F6337" s="31">
        <v>0</v>
      </c>
      <c r="G6337" s="31">
        <v>0</v>
      </c>
      <c r="H6337" s="31">
        <v>0</v>
      </c>
      <c r="I6337" s="31">
        <v>0</v>
      </c>
      <c r="J6337" s="61">
        <f t="shared" si="63"/>
        <v>17365.93</v>
      </c>
    </row>
    <row r="6338" spans="1:10" x14ac:dyDescent="0.25">
      <c r="A6338" s="20">
        <v>45930</v>
      </c>
      <c r="B6338" s="3" t="s">
        <v>2750</v>
      </c>
      <c r="C6338" s="3" t="s">
        <v>357</v>
      </c>
      <c r="D6338" s="31">
        <v>6072.12</v>
      </c>
      <c r="F6338" s="31">
        <v>0</v>
      </c>
      <c r="G6338" s="31">
        <v>-419.53</v>
      </c>
      <c r="H6338" s="31">
        <v>0</v>
      </c>
      <c r="I6338" s="31">
        <v>0</v>
      </c>
      <c r="J6338" s="61">
        <f t="shared" si="63"/>
        <v>5652.59</v>
      </c>
    </row>
    <row r="6339" spans="1:10" x14ac:dyDescent="0.25">
      <c r="A6339" s="20">
        <v>45930</v>
      </c>
      <c r="B6339" s="3" t="s">
        <v>2776</v>
      </c>
      <c r="C6339" s="3" t="s">
        <v>432</v>
      </c>
      <c r="D6339" s="31">
        <v>168</v>
      </c>
      <c r="F6339" s="31">
        <v>0</v>
      </c>
      <c r="G6339" s="31">
        <v>0</v>
      </c>
      <c r="H6339" s="31">
        <v>-0.06</v>
      </c>
      <c r="I6339" s="31">
        <v>0</v>
      </c>
      <c r="J6339" s="61">
        <f t="shared" si="63"/>
        <v>167.94</v>
      </c>
    </row>
    <row r="6340" spans="1:10" x14ac:dyDescent="0.25">
      <c r="A6340" s="20">
        <v>45930</v>
      </c>
      <c r="B6340" s="3" t="s">
        <v>2782</v>
      </c>
      <c r="C6340" s="3" t="s">
        <v>363</v>
      </c>
      <c r="D6340" s="31">
        <v>1073.96</v>
      </c>
      <c r="F6340" s="31">
        <v>0</v>
      </c>
      <c r="G6340" s="31">
        <v>-134.4</v>
      </c>
      <c r="H6340" s="31">
        <v>0</v>
      </c>
      <c r="I6340" s="31">
        <v>0</v>
      </c>
      <c r="J6340" s="61">
        <f t="shared" si="63"/>
        <v>939.56000000000006</v>
      </c>
    </row>
    <row r="6341" spans="1:10" x14ac:dyDescent="0.25">
      <c r="A6341" s="20">
        <v>45930</v>
      </c>
      <c r="B6341" s="3" t="s">
        <v>2797</v>
      </c>
      <c r="C6341" s="3" t="s">
        <v>774</v>
      </c>
      <c r="D6341" s="31">
        <v>1521.43</v>
      </c>
      <c r="F6341" s="31">
        <v>0</v>
      </c>
      <c r="G6341" s="31">
        <v>0</v>
      </c>
      <c r="H6341" s="31">
        <v>0</v>
      </c>
      <c r="I6341" s="31">
        <v>0</v>
      </c>
      <c r="J6341" s="61">
        <f t="shared" si="63"/>
        <v>1521.43</v>
      </c>
    </row>
    <row r="6342" spans="1:10" x14ac:dyDescent="0.25">
      <c r="A6342" s="20">
        <v>45930</v>
      </c>
      <c r="B6342" s="3" t="s">
        <v>2802</v>
      </c>
      <c r="C6342" s="3" t="s">
        <v>365</v>
      </c>
      <c r="D6342" s="31">
        <v>41028.720000000001</v>
      </c>
      <c r="F6342" s="31">
        <v>-1129.83</v>
      </c>
      <c r="G6342" s="31">
        <v>1337.3</v>
      </c>
      <c r="H6342" s="31">
        <v>3478.15</v>
      </c>
      <c r="I6342" s="31">
        <v>315.14999999999998</v>
      </c>
      <c r="J6342" s="61">
        <f t="shared" si="63"/>
        <v>45029.490000000005</v>
      </c>
    </row>
    <row r="6343" spans="1:10" x14ac:dyDescent="0.25">
      <c r="A6343" s="20">
        <v>45930</v>
      </c>
      <c r="B6343" s="3" t="s">
        <v>2809</v>
      </c>
      <c r="C6343" s="3" t="s">
        <v>593</v>
      </c>
      <c r="D6343" s="31">
        <v>0</v>
      </c>
      <c r="F6343" s="31">
        <v>0</v>
      </c>
      <c r="G6343" s="31">
        <v>0</v>
      </c>
      <c r="H6343" s="31">
        <v>0</v>
      </c>
      <c r="I6343" s="31">
        <v>-100</v>
      </c>
      <c r="J6343" s="61">
        <f t="shared" si="63"/>
        <v>-100</v>
      </c>
    </row>
    <row r="6344" spans="1:10" x14ac:dyDescent="0.25">
      <c r="A6344" s="20">
        <v>45930</v>
      </c>
      <c r="B6344" s="3" t="s">
        <v>2810</v>
      </c>
      <c r="C6344" s="3" t="s">
        <v>366</v>
      </c>
      <c r="D6344" s="31">
        <v>0</v>
      </c>
      <c r="F6344" s="31">
        <v>0</v>
      </c>
      <c r="G6344" s="31">
        <v>0</v>
      </c>
      <c r="H6344" s="31">
        <v>502.82</v>
      </c>
      <c r="I6344" s="31">
        <v>0</v>
      </c>
      <c r="J6344" s="61">
        <f t="shared" si="63"/>
        <v>502.82</v>
      </c>
    </row>
    <row r="6345" spans="1:10" x14ac:dyDescent="0.25">
      <c r="A6345" s="20">
        <v>45930</v>
      </c>
      <c r="B6345" s="3" t="s">
        <v>2812</v>
      </c>
      <c r="C6345" s="3" t="s">
        <v>2813</v>
      </c>
      <c r="D6345" s="31">
        <v>-13</v>
      </c>
      <c r="F6345" s="31">
        <v>0</v>
      </c>
      <c r="G6345" s="31">
        <v>0</v>
      </c>
      <c r="H6345" s="31">
        <v>0</v>
      </c>
      <c r="I6345" s="31">
        <v>0</v>
      </c>
      <c r="J6345" s="61">
        <f t="shared" si="63"/>
        <v>-13</v>
      </c>
    </row>
    <row r="6346" spans="1:10" x14ac:dyDescent="0.25">
      <c r="A6346" s="20">
        <v>45930</v>
      </c>
      <c r="B6346" s="3" t="s">
        <v>2814</v>
      </c>
      <c r="C6346" s="3" t="s">
        <v>576</v>
      </c>
      <c r="D6346" s="31">
        <v>1310.32</v>
      </c>
      <c r="F6346" s="31">
        <v>0</v>
      </c>
      <c r="G6346" s="31">
        <v>0</v>
      </c>
      <c r="H6346" s="31">
        <v>0</v>
      </c>
      <c r="I6346" s="31">
        <v>0</v>
      </c>
      <c r="J6346" s="61">
        <f t="shared" si="63"/>
        <v>1310.32</v>
      </c>
    </row>
    <row r="6347" spans="1:10" x14ac:dyDescent="0.25">
      <c r="A6347" s="20">
        <v>45930</v>
      </c>
      <c r="B6347" s="3" t="s">
        <v>2817</v>
      </c>
      <c r="C6347" s="3" t="s">
        <v>974</v>
      </c>
      <c r="D6347" s="31">
        <v>0</v>
      </c>
      <c r="F6347" s="31">
        <v>-20.2</v>
      </c>
      <c r="G6347" s="31">
        <v>0</v>
      </c>
      <c r="H6347" s="31">
        <v>0</v>
      </c>
      <c r="I6347" s="31">
        <v>0</v>
      </c>
      <c r="J6347" s="61">
        <f t="shared" si="63"/>
        <v>-20.2</v>
      </c>
    </row>
    <row r="6348" spans="1:10" x14ac:dyDescent="0.25">
      <c r="A6348" s="20">
        <v>45930</v>
      </c>
      <c r="B6348" s="3" t="s">
        <v>2819</v>
      </c>
      <c r="C6348" s="3" t="s">
        <v>611</v>
      </c>
      <c r="D6348" s="31">
        <v>-197.81</v>
      </c>
      <c r="F6348" s="31">
        <v>0</v>
      </c>
      <c r="G6348" s="31">
        <v>0</v>
      </c>
      <c r="H6348" s="31">
        <v>0</v>
      </c>
      <c r="I6348" s="31">
        <v>0</v>
      </c>
      <c r="J6348" s="61">
        <f t="shared" si="63"/>
        <v>-197.81</v>
      </c>
    </row>
    <row r="6349" spans="1:10" x14ac:dyDescent="0.25">
      <c r="A6349" s="20">
        <v>45930</v>
      </c>
      <c r="B6349" s="3" t="s">
        <v>2820</v>
      </c>
      <c r="C6349" s="3" t="s">
        <v>2821</v>
      </c>
      <c r="D6349" s="31">
        <v>0</v>
      </c>
      <c r="F6349" s="31">
        <v>0</v>
      </c>
      <c r="G6349" s="31">
        <v>-447.3</v>
      </c>
      <c r="H6349" s="31">
        <v>0</v>
      </c>
      <c r="I6349" s="31">
        <v>0</v>
      </c>
      <c r="J6349" s="61">
        <f t="shared" si="63"/>
        <v>-447.3</v>
      </c>
    </row>
    <row r="6350" spans="1:10" x14ac:dyDescent="0.25">
      <c r="A6350" s="20">
        <v>45930</v>
      </c>
      <c r="B6350" s="3" t="s">
        <v>2832</v>
      </c>
      <c r="C6350" s="3" t="s">
        <v>536</v>
      </c>
      <c r="D6350" s="31">
        <v>91.91</v>
      </c>
      <c r="F6350" s="31">
        <v>0</v>
      </c>
      <c r="G6350" s="31">
        <v>0</v>
      </c>
      <c r="H6350" s="31">
        <v>0</v>
      </c>
      <c r="I6350" s="31">
        <v>0</v>
      </c>
      <c r="J6350" s="61">
        <f t="shared" si="63"/>
        <v>91.91</v>
      </c>
    </row>
    <row r="6351" spans="1:10" x14ac:dyDescent="0.25">
      <c r="A6351" s="20">
        <v>45930</v>
      </c>
      <c r="B6351" s="3" t="s">
        <v>2833</v>
      </c>
      <c r="C6351" s="3" t="s">
        <v>58</v>
      </c>
      <c r="D6351" s="31">
        <v>3110</v>
      </c>
      <c r="F6351" s="31">
        <v>0</v>
      </c>
      <c r="G6351" s="31">
        <v>0</v>
      </c>
      <c r="H6351" s="31">
        <v>0</v>
      </c>
      <c r="I6351" s="31">
        <v>0</v>
      </c>
      <c r="J6351" s="61">
        <f t="shared" si="63"/>
        <v>3110</v>
      </c>
    </row>
    <row r="6352" spans="1:10" x14ac:dyDescent="0.25">
      <c r="A6352" s="20">
        <v>45930</v>
      </c>
      <c r="B6352" s="3" t="s">
        <v>2884</v>
      </c>
      <c r="C6352" s="3" t="s">
        <v>2885</v>
      </c>
      <c r="D6352" s="31">
        <v>-16725</v>
      </c>
      <c r="F6352" s="31">
        <v>0</v>
      </c>
      <c r="G6352" s="31">
        <v>0</v>
      </c>
      <c r="H6352" s="31">
        <v>0</v>
      </c>
      <c r="I6352" s="31">
        <v>0</v>
      </c>
      <c r="J6352" s="61">
        <f t="shared" si="63"/>
        <v>-16725</v>
      </c>
    </row>
    <row r="6353" spans="1:10" x14ac:dyDescent="0.25">
      <c r="A6353" s="20">
        <v>45930</v>
      </c>
      <c r="B6353" s="3" t="s">
        <v>2898</v>
      </c>
      <c r="C6353" s="3" t="s">
        <v>2899</v>
      </c>
      <c r="D6353" s="31">
        <v>0</v>
      </c>
      <c r="F6353" s="31">
        <v>-723</v>
      </c>
      <c r="G6353" s="31">
        <v>0</v>
      </c>
      <c r="H6353" s="31">
        <v>0</v>
      </c>
      <c r="I6353" s="31">
        <v>0</v>
      </c>
      <c r="J6353" s="61">
        <f t="shared" si="63"/>
        <v>-723</v>
      </c>
    </row>
    <row r="6354" spans="1:10" x14ac:dyDescent="0.25">
      <c r="A6354" s="20">
        <v>45930</v>
      </c>
      <c r="B6354" s="3" t="s">
        <v>2918</v>
      </c>
      <c r="C6354" s="3" t="s">
        <v>2919</v>
      </c>
      <c r="D6354" s="31">
        <v>110</v>
      </c>
      <c r="F6354" s="31">
        <v>0</v>
      </c>
      <c r="G6354" s="31">
        <v>0</v>
      </c>
      <c r="H6354" s="31">
        <v>0</v>
      </c>
      <c r="I6354" s="31">
        <v>0</v>
      </c>
      <c r="J6354" s="61">
        <f t="shared" si="63"/>
        <v>110</v>
      </c>
    </row>
    <row r="6355" spans="1:10" x14ac:dyDescent="0.25">
      <c r="A6355" s="20">
        <v>45930</v>
      </c>
      <c r="B6355" s="3" t="s">
        <v>2938</v>
      </c>
      <c r="C6355" s="3" t="s">
        <v>791</v>
      </c>
      <c r="D6355" s="31">
        <v>0</v>
      </c>
      <c r="F6355" s="31">
        <v>0</v>
      </c>
      <c r="G6355" s="31">
        <v>0</v>
      </c>
      <c r="H6355" s="31">
        <v>-0.01</v>
      </c>
      <c r="I6355" s="31">
        <v>0</v>
      </c>
      <c r="J6355" s="61">
        <f t="shared" si="63"/>
        <v>-0.01</v>
      </c>
    </row>
    <row r="6356" spans="1:10" x14ac:dyDescent="0.25">
      <c r="A6356" s="20">
        <v>45930</v>
      </c>
      <c r="B6356" s="3" t="s">
        <v>2955</v>
      </c>
      <c r="C6356" s="3" t="s">
        <v>693</v>
      </c>
      <c r="D6356" s="31">
        <v>460</v>
      </c>
      <c r="F6356" s="31">
        <v>0</v>
      </c>
      <c r="G6356" s="31">
        <v>0</v>
      </c>
      <c r="H6356" s="31">
        <v>0</v>
      </c>
      <c r="I6356" s="31">
        <v>0</v>
      </c>
      <c r="J6356" s="61">
        <f t="shared" si="63"/>
        <v>460</v>
      </c>
    </row>
    <row r="6357" spans="1:10" x14ac:dyDescent="0.25">
      <c r="A6357" s="20">
        <v>45930</v>
      </c>
      <c r="B6357" s="3" t="s">
        <v>2958</v>
      </c>
      <c r="C6357" s="3" t="s">
        <v>561</v>
      </c>
      <c r="D6357" s="31">
        <v>1293.5999999999999</v>
      </c>
      <c r="F6357" s="31">
        <v>-2385.84</v>
      </c>
      <c r="G6357" s="31">
        <v>2514.08</v>
      </c>
      <c r="H6357" s="31">
        <v>0</v>
      </c>
      <c r="I6357" s="31">
        <v>0</v>
      </c>
      <c r="J6357" s="61">
        <f t="shared" si="63"/>
        <v>1421.8399999999997</v>
      </c>
    </row>
    <row r="6358" spans="1:10" x14ac:dyDescent="0.25">
      <c r="A6358" s="20">
        <v>45930</v>
      </c>
      <c r="B6358" s="3" t="s">
        <v>2959</v>
      </c>
      <c r="C6358" s="3" t="s">
        <v>668</v>
      </c>
      <c r="D6358" s="31">
        <v>480.51</v>
      </c>
      <c r="F6358" s="31">
        <v>0</v>
      </c>
      <c r="G6358" s="31">
        <v>0</v>
      </c>
      <c r="H6358" s="31">
        <v>0</v>
      </c>
      <c r="I6358" s="31">
        <v>-24.18</v>
      </c>
      <c r="J6358" s="61">
        <f t="shared" si="63"/>
        <v>456.33</v>
      </c>
    </row>
    <row r="6359" spans="1:10" x14ac:dyDescent="0.25">
      <c r="A6359" s="20">
        <v>45930</v>
      </c>
      <c r="B6359" s="3" t="s">
        <v>2960</v>
      </c>
      <c r="C6359" s="3" t="s">
        <v>538</v>
      </c>
      <c r="D6359" s="31">
        <v>4299</v>
      </c>
      <c r="F6359" s="31">
        <v>0</v>
      </c>
      <c r="G6359" s="31">
        <v>0</v>
      </c>
      <c r="H6359" s="31">
        <v>55.92</v>
      </c>
      <c r="I6359" s="31">
        <v>-370.57</v>
      </c>
      <c r="J6359" s="61">
        <f t="shared" si="63"/>
        <v>3984.35</v>
      </c>
    </row>
    <row r="6360" spans="1:10" x14ac:dyDescent="0.25">
      <c r="A6360" s="20">
        <v>45930</v>
      </c>
      <c r="B6360" s="3" t="s">
        <v>2963</v>
      </c>
      <c r="C6360" s="3" t="s">
        <v>565</v>
      </c>
      <c r="D6360" s="31">
        <v>51119.8</v>
      </c>
      <c r="F6360" s="31">
        <v>180</v>
      </c>
      <c r="G6360" s="31">
        <v>7495.78</v>
      </c>
      <c r="H6360" s="31">
        <v>0</v>
      </c>
      <c r="I6360" s="31">
        <v>-3804.52</v>
      </c>
      <c r="J6360" s="61">
        <f t="shared" si="63"/>
        <v>54991.060000000005</v>
      </c>
    </row>
    <row r="6361" spans="1:10" x14ac:dyDescent="0.25">
      <c r="A6361" s="20">
        <v>45930</v>
      </c>
      <c r="B6361" s="3" t="s">
        <v>2968</v>
      </c>
      <c r="C6361" s="3" t="s">
        <v>520</v>
      </c>
      <c r="D6361" s="31">
        <v>175.2</v>
      </c>
      <c r="F6361" s="31">
        <v>0</v>
      </c>
      <c r="G6361" s="31">
        <v>0</v>
      </c>
      <c r="H6361" s="31">
        <v>0</v>
      </c>
      <c r="I6361" s="31">
        <v>-252</v>
      </c>
      <c r="J6361" s="61">
        <f t="shared" si="63"/>
        <v>-76.800000000000011</v>
      </c>
    </row>
    <row r="6362" spans="1:10" x14ac:dyDescent="0.25">
      <c r="A6362" s="20">
        <v>45930</v>
      </c>
      <c r="B6362" s="3" t="s">
        <v>2976</v>
      </c>
      <c r="C6362" s="3" t="s">
        <v>792</v>
      </c>
      <c r="D6362" s="31">
        <v>366</v>
      </c>
      <c r="F6362" s="31">
        <v>0</v>
      </c>
      <c r="G6362" s="31">
        <v>0</v>
      </c>
      <c r="H6362" s="31">
        <v>0</v>
      </c>
      <c r="I6362" s="31">
        <v>0</v>
      </c>
      <c r="J6362" s="61">
        <f t="shared" si="63"/>
        <v>366</v>
      </c>
    </row>
    <row r="6363" spans="1:10" x14ac:dyDescent="0.25">
      <c r="A6363" s="20">
        <v>45930</v>
      </c>
      <c r="B6363" s="3" t="s">
        <v>3027</v>
      </c>
      <c r="C6363" s="3" t="s">
        <v>3028</v>
      </c>
      <c r="D6363" s="31">
        <v>48894</v>
      </c>
      <c r="F6363" s="31">
        <v>3459</v>
      </c>
      <c r="G6363" s="31">
        <v>0</v>
      </c>
      <c r="H6363" s="31">
        <v>0</v>
      </c>
      <c r="I6363" s="31">
        <v>0</v>
      </c>
      <c r="J6363" s="61">
        <f t="shared" si="63"/>
        <v>52353</v>
      </c>
    </row>
    <row r="6364" spans="1:10" x14ac:dyDescent="0.25">
      <c r="A6364" s="20">
        <v>45930</v>
      </c>
      <c r="B6364" s="3" t="s">
        <v>3035</v>
      </c>
      <c r="C6364" s="3" t="s">
        <v>3036</v>
      </c>
      <c r="D6364" s="31">
        <v>0</v>
      </c>
      <c r="F6364" s="31">
        <v>36373.199999999997</v>
      </c>
      <c r="G6364" s="31">
        <v>4284</v>
      </c>
      <c r="H6364" s="31">
        <v>0</v>
      </c>
      <c r="I6364" s="31">
        <v>0</v>
      </c>
      <c r="J6364" s="61">
        <f t="shared" si="63"/>
        <v>40657.199999999997</v>
      </c>
    </row>
    <row r="6365" spans="1:10" x14ac:dyDescent="0.25">
      <c r="A6365" s="20">
        <v>45930</v>
      </c>
      <c r="B6365" s="3" t="s">
        <v>3064</v>
      </c>
      <c r="C6365" s="3" t="s">
        <v>3065</v>
      </c>
      <c r="D6365" s="31">
        <v>240.01</v>
      </c>
      <c r="F6365" s="31">
        <v>0</v>
      </c>
      <c r="G6365" s="31">
        <v>0</v>
      </c>
      <c r="H6365" s="31">
        <v>0</v>
      </c>
      <c r="I6365" s="31">
        <v>0</v>
      </c>
      <c r="J6365" s="61">
        <f t="shared" si="63"/>
        <v>240.01</v>
      </c>
    </row>
    <row r="6366" spans="1:10" x14ac:dyDescent="0.25">
      <c r="A6366" s="20">
        <v>45930</v>
      </c>
      <c r="B6366" s="3" t="s">
        <v>12494</v>
      </c>
      <c r="C6366" s="3" t="s">
        <v>12495</v>
      </c>
      <c r="D6366" s="31">
        <v>-19.95</v>
      </c>
      <c r="F6366" s="31">
        <v>0</v>
      </c>
      <c r="G6366" s="31">
        <v>0</v>
      </c>
      <c r="H6366" s="31">
        <v>0</v>
      </c>
      <c r="I6366" s="31">
        <v>0</v>
      </c>
      <c r="J6366" s="61">
        <f t="shared" si="63"/>
        <v>-19.95</v>
      </c>
    </row>
  </sheetData>
  <autoFilter ref="A1:J6111" xr:uid="{4427F27E-FDD1-4168-B834-40D3E62BBD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C5DE-760B-4BFD-B5CA-E2F0772CA8C7}">
  <dimension ref="A1:BG38"/>
  <sheetViews>
    <sheetView tabSelected="1" workbookViewId="0">
      <selection activeCell="K41" sqref="K41"/>
    </sheetView>
  </sheetViews>
  <sheetFormatPr baseColWidth="10" defaultRowHeight="15" x14ac:dyDescent="0.25"/>
  <cols>
    <col min="10" max="11" width="20.140625" customWidth="1"/>
    <col min="12" max="12" width="29.7109375" bestFit="1" customWidth="1"/>
    <col min="13" max="13" width="26.5703125" customWidth="1"/>
    <col min="19" max="19" width="14.7109375" customWidth="1"/>
    <col min="22" max="56" width="0" hidden="1" customWidth="1"/>
  </cols>
  <sheetData>
    <row r="1" spans="1:59" x14ac:dyDescent="0.25">
      <c r="A1" t="s">
        <v>12391</v>
      </c>
      <c r="B1" t="s">
        <v>12392</v>
      </c>
      <c r="C1" t="s">
        <v>12393</v>
      </c>
      <c r="D1" t="s">
        <v>12394</v>
      </c>
      <c r="E1" t="s">
        <v>12395</v>
      </c>
      <c r="F1" t="s">
        <v>12396</v>
      </c>
      <c r="G1" t="s">
        <v>12397</v>
      </c>
      <c r="H1" t="s">
        <v>12398</v>
      </c>
      <c r="I1" t="s">
        <v>12399</v>
      </c>
      <c r="J1" t="s">
        <v>12400</v>
      </c>
      <c r="L1" t="s">
        <v>12401</v>
      </c>
      <c r="M1" t="s">
        <v>12402</v>
      </c>
      <c r="N1" t="s">
        <v>12403</v>
      </c>
      <c r="O1" t="s">
        <v>12404</v>
      </c>
      <c r="P1" t="s">
        <v>12405</v>
      </c>
      <c r="Q1" t="s">
        <v>12406</v>
      </c>
      <c r="R1" t="s">
        <v>12407</v>
      </c>
      <c r="S1" t="s">
        <v>12408</v>
      </c>
      <c r="T1" t="s">
        <v>12409</v>
      </c>
      <c r="U1" t="s">
        <v>12410</v>
      </c>
      <c r="V1" t="s">
        <v>12411</v>
      </c>
      <c r="W1" t="s">
        <v>12412</v>
      </c>
      <c r="X1" t="s">
        <v>12413</v>
      </c>
      <c r="Y1" t="s">
        <v>12414</v>
      </c>
      <c r="Z1" t="s">
        <v>12415</v>
      </c>
      <c r="AA1" t="s">
        <v>12416</v>
      </c>
      <c r="AB1" t="s">
        <v>12417</v>
      </c>
      <c r="AC1" t="s">
        <v>12418</v>
      </c>
      <c r="AD1" t="s">
        <v>12419</v>
      </c>
      <c r="AE1" t="s">
        <v>12420</v>
      </c>
      <c r="AF1" t="s">
        <v>12421</v>
      </c>
      <c r="AG1" t="s">
        <v>12422</v>
      </c>
      <c r="AH1" t="s">
        <v>12423</v>
      </c>
      <c r="AI1" t="s">
        <v>12424</v>
      </c>
      <c r="AJ1" t="s">
        <v>12425</v>
      </c>
      <c r="AK1" t="s">
        <v>12426</v>
      </c>
      <c r="AL1" t="s">
        <v>12427</v>
      </c>
      <c r="AM1" t="s">
        <v>12428</v>
      </c>
      <c r="AN1" t="s">
        <v>12394</v>
      </c>
      <c r="AO1" t="s">
        <v>12429</v>
      </c>
      <c r="AP1" t="s">
        <v>12430</v>
      </c>
      <c r="AQ1" t="s">
        <v>12431</v>
      </c>
      <c r="AR1" t="s">
        <v>12432</v>
      </c>
      <c r="AS1" t="s">
        <v>12433</v>
      </c>
      <c r="AT1" t="s">
        <v>12434</v>
      </c>
      <c r="AU1" t="s">
        <v>12435</v>
      </c>
      <c r="AV1" t="s">
        <v>12436</v>
      </c>
      <c r="AW1" t="s">
        <v>12437</v>
      </c>
      <c r="AX1" t="s">
        <v>12438</v>
      </c>
      <c r="AY1" t="s">
        <v>12439</v>
      </c>
      <c r="AZ1" t="s">
        <v>12440</v>
      </c>
      <c r="BA1" t="s">
        <v>12441</v>
      </c>
      <c r="BB1" t="s">
        <v>12442</v>
      </c>
      <c r="BC1" t="s">
        <v>12443</v>
      </c>
      <c r="BD1" t="s">
        <v>12443</v>
      </c>
      <c r="BE1" t="s">
        <v>12443</v>
      </c>
      <c r="BF1" t="s">
        <v>12484</v>
      </c>
      <c r="BG1" t="s">
        <v>12485</v>
      </c>
    </row>
    <row r="2" spans="1:59" x14ac:dyDescent="0.25">
      <c r="A2">
        <v>384</v>
      </c>
      <c r="B2">
        <v>13990002</v>
      </c>
      <c r="C2" t="s">
        <v>12444</v>
      </c>
      <c r="D2" s="20">
        <v>45532</v>
      </c>
      <c r="E2" t="s">
        <v>12445</v>
      </c>
      <c r="F2">
        <v>0</v>
      </c>
      <c r="G2" s="58">
        <v>157985.21</v>
      </c>
      <c r="H2">
        <v>1</v>
      </c>
      <c r="I2">
        <v>0</v>
      </c>
      <c r="J2" s="58">
        <v>157985.21</v>
      </c>
      <c r="K2" s="58">
        <f>J2-I2</f>
        <v>157985.21</v>
      </c>
      <c r="L2" s="58" t="s">
        <v>12446</v>
      </c>
      <c r="M2" s="58" t="s">
        <v>12447</v>
      </c>
      <c r="N2" t="s">
        <v>12448</v>
      </c>
      <c r="T2">
        <v>0</v>
      </c>
      <c r="U2">
        <v>0</v>
      </c>
      <c r="V2">
        <v>0</v>
      </c>
      <c r="X2" t="s">
        <v>12449</v>
      </c>
      <c r="Y2" t="s">
        <v>12445</v>
      </c>
      <c r="Z2">
        <v>2024</v>
      </c>
      <c r="AA2">
        <v>8</v>
      </c>
      <c r="AB2">
        <v>1</v>
      </c>
      <c r="AC2" t="s">
        <v>12449</v>
      </c>
      <c r="AD2" t="s">
        <v>12445</v>
      </c>
      <c r="AE2">
        <v>2024</v>
      </c>
      <c r="AF2">
        <v>8</v>
      </c>
      <c r="AG2">
        <v>1</v>
      </c>
      <c r="AI2">
        <v>0</v>
      </c>
      <c r="AK2" t="s">
        <v>12450</v>
      </c>
      <c r="AM2" t="s">
        <v>12451</v>
      </c>
    </row>
    <row r="3" spans="1:59" x14ac:dyDescent="0.25">
      <c r="A3">
        <v>5054</v>
      </c>
      <c r="B3">
        <v>13990002</v>
      </c>
      <c r="C3" t="s">
        <v>12444</v>
      </c>
      <c r="D3" s="20">
        <v>45535</v>
      </c>
      <c r="E3" t="s">
        <v>12445</v>
      </c>
      <c r="F3">
        <v>0</v>
      </c>
      <c r="G3">
        <v>766.69</v>
      </c>
      <c r="H3">
        <v>1</v>
      </c>
      <c r="I3">
        <v>0</v>
      </c>
      <c r="J3">
        <v>766.69</v>
      </c>
      <c r="K3" s="58">
        <f t="shared" ref="K3:K38" si="0">J3-I3</f>
        <v>766.69</v>
      </c>
      <c r="L3" s="58" t="s">
        <v>12452</v>
      </c>
      <c r="M3" s="58" t="s">
        <v>12447</v>
      </c>
      <c r="N3" t="s">
        <v>12453</v>
      </c>
      <c r="T3">
        <v>0</v>
      </c>
      <c r="U3">
        <v>0</v>
      </c>
      <c r="V3">
        <v>0</v>
      </c>
      <c r="X3" t="s">
        <v>12454</v>
      </c>
      <c r="Y3" t="s">
        <v>12445</v>
      </c>
      <c r="Z3">
        <v>2024</v>
      </c>
      <c r="AA3">
        <v>8</v>
      </c>
      <c r="AB3">
        <v>1</v>
      </c>
      <c r="AC3" t="s">
        <v>12454</v>
      </c>
      <c r="AD3" t="s">
        <v>12445</v>
      </c>
      <c r="AE3">
        <v>2024</v>
      </c>
      <c r="AF3">
        <v>8</v>
      </c>
      <c r="AG3">
        <v>1</v>
      </c>
      <c r="AI3">
        <v>0</v>
      </c>
      <c r="AK3" t="s">
        <v>12450</v>
      </c>
      <c r="AM3" t="s">
        <v>12451</v>
      </c>
    </row>
    <row r="4" spans="1:59" x14ac:dyDescent="0.25">
      <c r="A4">
        <v>25744</v>
      </c>
      <c r="B4">
        <v>13990002</v>
      </c>
      <c r="C4" t="s">
        <v>12444</v>
      </c>
      <c r="D4" s="20">
        <v>45573</v>
      </c>
      <c r="E4" t="s">
        <v>12445</v>
      </c>
      <c r="F4" s="58">
        <v>59358.879999999997</v>
      </c>
      <c r="G4">
        <v>0</v>
      </c>
      <c r="H4">
        <v>1</v>
      </c>
      <c r="I4" s="58">
        <v>59358.879999999997</v>
      </c>
      <c r="J4">
        <v>0</v>
      </c>
      <c r="K4" s="58">
        <f t="shared" si="0"/>
        <v>-59358.879999999997</v>
      </c>
      <c r="L4" s="58" t="s">
        <v>12455</v>
      </c>
      <c r="M4" s="58" t="s">
        <v>12447</v>
      </c>
      <c r="N4" t="s">
        <v>12453</v>
      </c>
      <c r="T4">
        <v>0</v>
      </c>
      <c r="U4">
        <v>0</v>
      </c>
      <c r="V4">
        <v>0</v>
      </c>
      <c r="X4" t="s">
        <v>12454</v>
      </c>
      <c r="Y4" t="s">
        <v>12445</v>
      </c>
      <c r="Z4">
        <v>2024</v>
      </c>
      <c r="AA4">
        <v>10</v>
      </c>
      <c r="AB4">
        <v>2</v>
      </c>
      <c r="AC4" t="s">
        <v>12454</v>
      </c>
      <c r="AD4" t="s">
        <v>12445</v>
      </c>
      <c r="AE4">
        <v>2024</v>
      </c>
      <c r="AF4">
        <v>10</v>
      </c>
      <c r="AG4">
        <v>2</v>
      </c>
      <c r="AI4">
        <v>0</v>
      </c>
      <c r="AK4" t="s">
        <v>12450</v>
      </c>
      <c r="AM4" t="s">
        <v>12451</v>
      </c>
    </row>
    <row r="5" spans="1:59" x14ac:dyDescent="0.25">
      <c r="A5">
        <v>47327</v>
      </c>
      <c r="B5">
        <v>13990002</v>
      </c>
      <c r="C5" t="s">
        <v>12444</v>
      </c>
      <c r="D5" s="20">
        <v>45596</v>
      </c>
      <c r="E5" t="s">
        <v>12445</v>
      </c>
      <c r="F5">
        <v>0</v>
      </c>
      <c r="G5" s="58">
        <v>24158.11</v>
      </c>
      <c r="H5">
        <v>1</v>
      </c>
      <c r="I5">
        <v>0</v>
      </c>
      <c r="J5" s="58">
        <v>24158.11</v>
      </c>
      <c r="K5" s="58">
        <f t="shared" si="0"/>
        <v>24158.11</v>
      </c>
      <c r="L5" s="58" t="s">
        <v>12456</v>
      </c>
      <c r="M5" s="58" t="s">
        <v>12447</v>
      </c>
      <c r="N5" t="s">
        <v>12453</v>
      </c>
      <c r="T5">
        <v>0</v>
      </c>
      <c r="U5">
        <v>0</v>
      </c>
      <c r="V5">
        <v>0</v>
      </c>
      <c r="X5" t="s">
        <v>12454</v>
      </c>
      <c r="Y5" t="s">
        <v>12445</v>
      </c>
      <c r="Z5">
        <v>2024</v>
      </c>
      <c r="AA5">
        <v>10</v>
      </c>
      <c r="AB5">
        <v>4</v>
      </c>
      <c r="AC5" t="s">
        <v>12454</v>
      </c>
      <c r="AD5" t="s">
        <v>12445</v>
      </c>
      <c r="AE5">
        <v>2024</v>
      </c>
      <c r="AF5">
        <v>10</v>
      </c>
      <c r="AG5">
        <v>4</v>
      </c>
      <c r="AI5">
        <v>0</v>
      </c>
      <c r="AK5" t="s">
        <v>12450</v>
      </c>
      <c r="AM5" t="s">
        <v>12451</v>
      </c>
    </row>
    <row r="6" spans="1:59" x14ac:dyDescent="0.25">
      <c r="A6">
        <v>47329</v>
      </c>
      <c r="B6">
        <v>13990002</v>
      </c>
      <c r="C6" t="s">
        <v>12444</v>
      </c>
      <c r="D6" s="20">
        <v>45596</v>
      </c>
      <c r="E6" t="s">
        <v>12445</v>
      </c>
      <c r="F6" s="58">
        <v>8670.6200000000008</v>
      </c>
      <c r="G6">
        <v>0</v>
      </c>
      <c r="H6">
        <v>1</v>
      </c>
      <c r="I6" s="58">
        <v>8670.6200000000008</v>
      </c>
      <c r="J6">
        <v>0</v>
      </c>
      <c r="K6" s="58">
        <f t="shared" si="0"/>
        <v>-8670.6200000000008</v>
      </c>
      <c r="L6" s="58" t="s">
        <v>12457</v>
      </c>
      <c r="M6" s="58" t="s">
        <v>12447</v>
      </c>
      <c r="N6" t="s">
        <v>12453</v>
      </c>
      <c r="T6">
        <v>0</v>
      </c>
      <c r="U6">
        <v>0</v>
      </c>
      <c r="V6">
        <v>0</v>
      </c>
      <c r="X6" t="s">
        <v>12454</v>
      </c>
      <c r="Y6" t="s">
        <v>12445</v>
      </c>
      <c r="Z6">
        <v>2024</v>
      </c>
      <c r="AA6">
        <v>10</v>
      </c>
      <c r="AB6">
        <v>4</v>
      </c>
      <c r="AC6" t="s">
        <v>12454</v>
      </c>
      <c r="AD6" t="s">
        <v>12445</v>
      </c>
      <c r="AE6">
        <v>2024</v>
      </c>
      <c r="AF6">
        <v>10</v>
      </c>
      <c r="AG6">
        <v>4</v>
      </c>
      <c r="AI6">
        <v>0</v>
      </c>
      <c r="AK6" t="s">
        <v>12450</v>
      </c>
      <c r="AM6" t="s">
        <v>12451</v>
      </c>
    </row>
    <row r="7" spans="1:59" x14ac:dyDescent="0.25">
      <c r="A7">
        <v>72792</v>
      </c>
      <c r="B7">
        <v>13990002</v>
      </c>
      <c r="C7" t="s">
        <v>12444</v>
      </c>
      <c r="D7" s="20">
        <v>45626</v>
      </c>
      <c r="E7" t="s">
        <v>12445</v>
      </c>
      <c r="F7" s="58">
        <v>6246.41</v>
      </c>
      <c r="G7">
        <v>0</v>
      </c>
      <c r="H7">
        <v>1</v>
      </c>
      <c r="I7" s="58">
        <v>6246.41</v>
      </c>
      <c r="J7">
        <v>0</v>
      </c>
      <c r="K7" s="58">
        <f t="shared" si="0"/>
        <v>-6246.41</v>
      </c>
      <c r="L7" s="58" t="s">
        <v>12458</v>
      </c>
      <c r="M7" s="58" t="s">
        <v>12447</v>
      </c>
      <c r="N7" t="s">
        <v>12453</v>
      </c>
      <c r="T7">
        <v>0</v>
      </c>
      <c r="U7">
        <v>0</v>
      </c>
      <c r="V7">
        <v>0</v>
      </c>
      <c r="X7" t="s">
        <v>12454</v>
      </c>
      <c r="Y7" t="s">
        <v>12445</v>
      </c>
      <c r="Z7">
        <v>2024</v>
      </c>
      <c r="AA7">
        <v>11</v>
      </c>
      <c r="AB7">
        <v>1</v>
      </c>
      <c r="AC7" t="s">
        <v>12454</v>
      </c>
      <c r="AD7" t="s">
        <v>12445</v>
      </c>
      <c r="AE7">
        <v>2024</v>
      </c>
      <c r="AF7">
        <v>11</v>
      </c>
      <c r="AG7">
        <v>1</v>
      </c>
      <c r="AI7">
        <v>0</v>
      </c>
      <c r="AK7" t="s">
        <v>12450</v>
      </c>
      <c r="AM7" t="s">
        <v>12451</v>
      </c>
    </row>
    <row r="8" spans="1:59" x14ac:dyDescent="0.25">
      <c r="A8">
        <v>93647</v>
      </c>
      <c r="B8">
        <v>13990002</v>
      </c>
      <c r="C8" t="s">
        <v>12444</v>
      </c>
      <c r="D8" s="20">
        <v>45657</v>
      </c>
      <c r="E8" t="s">
        <v>12445</v>
      </c>
      <c r="F8">
        <v>0</v>
      </c>
      <c r="G8" s="58">
        <v>22267.79</v>
      </c>
      <c r="H8">
        <v>1</v>
      </c>
      <c r="I8">
        <v>0</v>
      </c>
      <c r="J8" s="58">
        <v>22267.79</v>
      </c>
      <c r="K8" s="58">
        <f t="shared" si="0"/>
        <v>22267.79</v>
      </c>
      <c r="L8" s="58" t="s">
        <v>12459</v>
      </c>
      <c r="M8" s="58" t="s">
        <v>12447</v>
      </c>
      <c r="N8" t="s">
        <v>12453</v>
      </c>
      <c r="T8">
        <v>0</v>
      </c>
      <c r="U8">
        <v>0</v>
      </c>
      <c r="V8">
        <v>0</v>
      </c>
      <c r="X8" t="s">
        <v>12454</v>
      </c>
      <c r="Y8" t="s">
        <v>12445</v>
      </c>
      <c r="Z8">
        <v>2024</v>
      </c>
      <c r="AA8">
        <v>12</v>
      </c>
      <c r="AB8">
        <v>4</v>
      </c>
      <c r="AC8" t="s">
        <v>12454</v>
      </c>
      <c r="AD8" t="s">
        <v>12445</v>
      </c>
      <c r="AE8">
        <v>2024</v>
      </c>
      <c r="AF8">
        <v>12</v>
      </c>
      <c r="AG8">
        <v>4</v>
      </c>
      <c r="AI8">
        <v>0</v>
      </c>
      <c r="AK8" t="s">
        <v>12450</v>
      </c>
      <c r="AM8" t="s">
        <v>12451</v>
      </c>
    </row>
    <row r="9" spans="1:59" x14ac:dyDescent="0.25">
      <c r="A9">
        <v>122540</v>
      </c>
      <c r="B9">
        <v>13990002</v>
      </c>
      <c r="C9" t="s">
        <v>12444</v>
      </c>
      <c r="D9" s="20">
        <v>45688</v>
      </c>
      <c r="E9" t="s">
        <v>12445</v>
      </c>
      <c r="F9">
        <v>75.010000000000005</v>
      </c>
      <c r="G9">
        <v>0</v>
      </c>
      <c r="H9">
        <v>1</v>
      </c>
      <c r="I9">
        <v>75.010000000000005</v>
      </c>
      <c r="J9">
        <v>0</v>
      </c>
      <c r="K9" s="58">
        <f t="shared" si="0"/>
        <v>-75.010000000000005</v>
      </c>
      <c r="L9" s="58" t="s">
        <v>12460</v>
      </c>
      <c r="M9" s="58" t="s">
        <v>12447</v>
      </c>
      <c r="N9" t="s">
        <v>12453</v>
      </c>
      <c r="T9">
        <v>0</v>
      </c>
      <c r="U9">
        <v>0</v>
      </c>
      <c r="V9">
        <v>0</v>
      </c>
      <c r="X9" t="s">
        <v>12454</v>
      </c>
      <c r="Y9" t="s">
        <v>12445</v>
      </c>
      <c r="Z9">
        <v>2025</v>
      </c>
      <c r="AA9">
        <v>1</v>
      </c>
      <c r="AB9">
        <v>1</v>
      </c>
      <c r="AC9" t="s">
        <v>12454</v>
      </c>
      <c r="AD9" t="s">
        <v>12445</v>
      </c>
      <c r="AE9">
        <v>2025</v>
      </c>
      <c r="AF9">
        <v>1</v>
      </c>
      <c r="AG9">
        <v>1</v>
      </c>
      <c r="AI9">
        <v>0</v>
      </c>
      <c r="AK9" t="s">
        <v>12450</v>
      </c>
      <c r="AM9" t="s">
        <v>12451</v>
      </c>
      <c r="BF9" t="s">
        <v>12484</v>
      </c>
      <c r="BG9" s="20">
        <v>45808</v>
      </c>
    </row>
    <row r="10" spans="1:59" x14ac:dyDescent="0.25">
      <c r="A10">
        <v>140539</v>
      </c>
      <c r="B10">
        <v>13990002</v>
      </c>
      <c r="C10" t="s">
        <v>12444</v>
      </c>
      <c r="D10" s="20">
        <v>45657</v>
      </c>
      <c r="E10" t="s">
        <v>12445</v>
      </c>
      <c r="F10" s="58">
        <v>138828.43</v>
      </c>
      <c r="G10">
        <v>0</v>
      </c>
      <c r="H10">
        <v>1</v>
      </c>
      <c r="I10" s="58">
        <v>138828.43</v>
      </c>
      <c r="J10">
        <v>0</v>
      </c>
      <c r="K10" s="58">
        <f t="shared" si="0"/>
        <v>-138828.43</v>
      </c>
      <c r="L10" s="58" t="s">
        <v>12461</v>
      </c>
      <c r="M10" s="58" t="s">
        <v>12447</v>
      </c>
      <c r="N10" t="s">
        <v>12462</v>
      </c>
      <c r="T10">
        <v>0</v>
      </c>
      <c r="U10">
        <v>0</v>
      </c>
      <c r="V10">
        <v>0</v>
      </c>
      <c r="X10" t="s">
        <v>12463</v>
      </c>
      <c r="Y10" t="s">
        <v>12445</v>
      </c>
      <c r="Z10">
        <v>2024</v>
      </c>
      <c r="AA10">
        <v>12</v>
      </c>
      <c r="AB10">
        <v>68</v>
      </c>
      <c r="AC10" t="s">
        <v>12463</v>
      </c>
      <c r="AD10" t="s">
        <v>12445</v>
      </c>
      <c r="AE10">
        <v>2024</v>
      </c>
      <c r="AF10">
        <v>12</v>
      </c>
      <c r="AG10">
        <v>68</v>
      </c>
      <c r="AI10">
        <v>0</v>
      </c>
      <c r="AK10" t="s">
        <v>12450</v>
      </c>
      <c r="AM10" t="s">
        <v>12451</v>
      </c>
    </row>
    <row r="11" spans="1:59" x14ac:dyDescent="0.25">
      <c r="A11">
        <v>140637</v>
      </c>
      <c r="B11">
        <v>13990002</v>
      </c>
      <c r="C11" t="s">
        <v>12444</v>
      </c>
      <c r="D11" s="20">
        <v>45657</v>
      </c>
      <c r="E11" t="s">
        <v>12445</v>
      </c>
      <c r="F11">
        <v>0</v>
      </c>
      <c r="G11" s="58">
        <v>138828.43</v>
      </c>
      <c r="H11">
        <v>1</v>
      </c>
      <c r="I11">
        <v>0</v>
      </c>
      <c r="J11" s="58">
        <v>138828.43</v>
      </c>
      <c r="K11" s="58">
        <f t="shared" si="0"/>
        <v>138828.43</v>
      </c>
      <c r="L11" s="58" t="s">
        <v>12461</v>
      </c>
      <c r="M11" s="58" t="s">
        <v>12447</v>
      </c>
      <c r="N11" t="s">
        <v>12462</v>
      </c>
      <c r="T11">
        <v>0</v>
      </c>
      <c r="U11">
        <v>0</v>
      </c>
      <c r="V11">
        <v>0</v>
      </c>
      <c r="X11" t="s">
        <v>12463</v>
      </c>
      <c r="Y11" t="s">
        <v>12445</v>
      </c>
      <c r="Z11">
        <v>2024</v>
      </c>
      <c r="AA11">
        <v>12</v>
      </c>
      <c r="AB11">
        <v>69</v>
      </c>
      <c r="AC11" t="s">
        <v>12463</v>
      </c>
      <c r="AD11" t="s">
        <v>12445</v>
      </c>
      <c r="AE11">
        <v>2024</v>
      </c>
      <c r="AF11">
        <v>12</v>
      </c>
      <c r="AG11">
        <v>69</v>
      </c>
      <c r="AI11">
        <v>0</v>
      </c>
      <c r="AK11" t="s">
        <v>12450</v>
      </c>
      <c r="AM11" t="s">
        <v>12451</v>
      </c>
    </row>
    <row r="12" spans="1:59" x14ac:dyDescent="0.25">
      <c r="A12">
        <v>140639</v>
      </c>
      <c r="B12">
        <v>13990002</v>
      </c>
      <c r="C12" t="s">
        <v>12444</v>
      </c>
      <c r="D12" s="20">
        <v>45657</v>
      </c>
      <c r="E12" t="s">
        <v>12445</v>
      </c>
      <c r="F12">
        <v>0</v>
      </c>
      <c r="G12" s="58">
        <v>7926.54</v>
      </c>
      <c r="H12">
        <v>1</v>
      </c>
      <c r="I12">
        <v>0</v>
      </c>
      <c r="J12" s="58">
        <v>7926.54</v>
      </c>
      <c r="K12" s="58">
        <f t="shared" si="0"/>
        <v>7926.54</v>
      </c>
      <c r="L12" s="58" t="s">
        <v>12461</v>
      </c>
      <c r="M12" s="58" t="s">
        <v>12447</v>
      </c>
      <c r="N12" t="s">
        <v>12462</v>
      </c>
      <c r="T12">
        <v>0</v>
      </c>
      <c r="U12">
        <v>0</v>
      </c>
      <c r="V12">
        <v>0</v>
      </c>
      <c r="X12" t="s">
        <v>12463</v>
      </c>
      <c r="Y12" t="s">
        <v>12445</v>
      </c>
      <c r="Z12">
        <v>2024</v>
      </c>
      <c r="AA12">
        <v>12</v>
      </c>
      <c r="AB12">
        <v>70</v>
      </c>
      <c r="AC12" t="s">
        <v>12463</v>
      </c>
      <c r="AD12" t="s">
        <v>12445</v>
      </c>
      <c r="AE12">
        <v>2024</v>
      </c>
      <c r="AF12">
        <v>12</v>
      </c>
      <c r="AG12">
        <v>70</v>
      </c>
      <c r="AI12">
        <v>0</v>
      </c>
      <c r="AK12" t="s">
        <v>12450</v>
      </c>
      <c r="AM12" t="s">
        <v>12451</v>
      </c>
    </row>
    <row r="13" spans="1:59" x14ac:dyDescent="0.25">
      <c r="A13">
        <v>140641</v>
      </c>
      <c r="B13">
        <v>13990002</v>
      </c>
      <c r="C13" t="s">
        <v>12444</v>
      </c>
      <c r="D13" s="20">
        <v>45688</v>
      </c>
      <c r="E13" t="s">
        <v>12445</v>
      </c>
      <c r="F13" s="58">
        <v>2897.36</v>
      </c>
      <c r="G13">
        <v>0</v>
      </c>
      <c r="H13">
        <v>1</v>
      </c>
      <c r="I13" s="58">
        <v>2897.36</v>
      </c>
      <c r="J13">
        <v>0</v>
      </c>
      <c r="K13" s="58">
        <f t="shared" si="0"/>
        <v>-2897.36</v>
      </c>
      <c r="L13" s="58" t="s">
        <v>12464</v>
      </c>
      <c r="M13" s="58" t="s">
        <v>12447</v>
      </c>
      <c r="N13" t="s">
        <v>12462</v>
      </c>
      <c r="T13">
        <v>0</v>
      </c>
      <c r="U13">
        <v>0</v>
      </c>
      <c r="V13">
        <v>0</v>
      </c>
      <c r="X13" t="s">
        <v>12463</v>
      </c>
      <c r="Y13" t="s">
        <v>12445</v>
      </c>
      <c r="Z13">
        <v>2025</v>
      </c>
      <c r="AA13">
        <v>1</v>
      </c>
      <c r="AB13">
        <v>49</v>
      </c>
      <c r="AC13" t="s">
        <v>12463</v>
      </c>
      <c r="AD13" t="s">
        <v>12445</v>
      </c>
      <c r="AE13">
        <v>2025</v>
      </c>
      <c r="AF13">
        <v>1</v>
      </c>
      <c r="AG13">
        <v>49</v>
      </c>
      <c r="AI13">
        <v>0</v>
      </c>
      <c r="AK13" t="s">
        <v>12450</v>
      </c>
      <c r="AM13" t="s">
        <v>12451</v>
      </c>
    </row>
    <row r="14" spans="1:59" x14ac:dyDescent="0.25">
      <c r="A14">
        <v>156971</v>
      </c>
      <c r="B14">
        <v>13990002</v>
      </c>
      <c r="C14" t="s">
        <v>12444</v>
      </c>
      <c r="D14" s="20">
        <v>45716</v>
      </c>
      <c r="E14" t="s">
        <v>12445</v>
      </c>
      <c r="F14">
        <v>0</v>
      </c>
      <c r="G14" s="58">
        <v>2184.79</v>
      </c>
      <c r="H14">
        <v>1</v>
      </c>
      <c r="I14">
        <v>0</v>
      </c>
      <c r="J14" s="58">
        <v>2184.79</v>
      </c>
      <c r="K14" s="58">
        <f t="shared" si="0"/>
        <v>2184.79</v>
      </c>
      <c r="L14" s="58" t="s">
        <v>12465</v>
      </c>
      <c r="M14" s="58" t="s">
        <v>12447</v>
      </c>
      <c r="N14" t="s">
        <v>12453</v>
      </c>
      <c r="T14">
        <v>0</v>
      </c>
      <c r="U14">
        <v>0</v>
      </c>
      <c r="V14">
        <v>0</v>
      </c>
      <c r="X14" t="s">
        <v>12454</v>
      </c>
      <c r="Y14" t="s">
        <v>12445</v>
      </c>
      <c r="Z14">
        <v>2025</v>
      </c>
      <c r="AA14">
        <v>2</v>
      </c>
      <c r="AB14">
        <v>1</v>
      </c>
      <c r="AC14" t="s">
        <v>12454</v>
      </c>
      <c r="AD14" t="s">
        <v>12445</v>
      </c>
      <c r="AE14">
        <v>2025</v>
      </c>
      <c r="AF14">
        <v>2</v>
      </c>
      <c r="AG14">
        <v>1</v>
      </c>
      <c r="AI14">
        <v>0</v>
      </c>
      <c r="AK14" t="s">
        <v>12450</v>
      </c>
      <c r="AM14" t="s">
        <v>12451</v>
      </c>
    </row>
    <row r="15" spans="1:59" x14ac:dyDescent="0.25">
      <c r="A15">
        <v>156974</v>
      </c>
      <c r="B15">
        <v>13990002</v>
      </c>
      <c r="C15" t="s">
        <v>12444</v>
      </c>
      <c r="D15" s="20">
        <v>45716</v>
      </c>
      <c r="E15" t="s">
        <v>12445</v>
      </c>
      <c r="F15">
        <v>0</v>
      </c>
      <c r="G15">
        <v>75.099999999999994</v>
      </c>
      <c r="H15">
        <v>1</v>
      </c>
      <c r="I15">
        <v>0</v>
      </c>
      <c r="J15">
        <v>75.099999999999994</v>
      </c>
      <c r="K15" s="58">
        <f t="shared" si="0"/>
        <v>75.099999999999994</v>
      </c>
      <c r="L15" s="58" t="s">
        <v>12466</v>
      </c>
      <c r="M15" s="58" t="s">
        <v>12447</v>
      </c>
      <c r="N15" t="s">
        <v>12453</v>
      </c>
      <c r="T15">
        <v>0</v>
      </c>
      <c r="U15">
        <v>0</v>
      </c>
      <c r="V15">
        <v>0</v>
      </c>
      <c r="X15" t="s">
        <v>12454</v>
      </c>
      <c r="Y15" t="s">
        <v>12445</v>
      </c>
      <c r="Z15">
        <v>2025</v>
      </c>
      <c r="AA15">
        <v>2</v>
      </c>
      <c r="AB15">
        <v>1</v>
      </c>
      <c r="AC15" t="s">
        <v>12454</v>
      </c>
      <c r="AD15" t="s">
        <v>12445</v>
      </c>
      <c r="AE15">
        <v>2025</v>
      </c>
      <c r="AF15">
        <v>2</v>
      </c>
      <c r="AG15">
        <v>1</v>
      </c>
      <c r="AI15">
        <v>0</v>
      </c>
      <c r="AK15" t="s">
        <v>12450</v>
      </c>
      <c r="AM15" t="s">
        <v>12451</v>
      </c>
      <c r="BF15" t="s">
        <v>12484</v>
      </c>
      <c r="BG15" s="20">
        <v>45808</v>
      </c>
    </row>
    <row r="16" spans="1:59" x14ac:dyDescent="0.25">
      <c r="A16">
        <v>173295</v>
      </c>
      <c r="B16">
        <v>13990002</v>
      </c>
      <c r="C16" t="s">
        <v>12444</v>
      </c>
      <c r="D16" s="20">
        <v>45736</v>
      </c>
      <c r="E16" t="s">
        <v>12445</v>
      </c>
      <c r="F16">
        <v>120.02</v>
      </c>
      <c r="G16">
        <v>0</v>
      </c>
      <c r="H16">
        <v>1</v>
      </c>
      <c r="I16">
        <v>120.02</v>
      </c>
      <c r="J16">
        <v>0</v>
      </c>
      <c r="K16" s="58">
        <f t="shared" si="0"/>
        <v>-120.02</v>
      </c>
      <c r="L16" s="58" t="s">
        <v>12467</v>
      </c>
      <c r="M16" s="58" t="s">
        <v>12447</v>
      </c>
      <c r="N16" t="s">
        <v>12468</v>
      </c>
      <c r="R16" t="s">
        <v>1400</v>
      </c>
      <c r="T16">
        <v>0</v>
      </c>
      <c r="U16">
        <v>0</v>
      </c>
      <c r="V16">
        <v>0</v>
      </c>
      <c r="X16" t="s">
        <v>12469</v>
      </c>
      <c r="Y16" t="s">
        <v>12445</v>
      </c>
      <c r="Z16">
        <v>2025</v>
      </c>
      <c r="AA16">
        <v>3</v>
      </c>
      <c r="AB16">
        <v>1</v>
      </c>
      <c r="AC16" t="s">
        <v>12469</v>
      </c>
      <c r="AD16" t="s">
        <v>12445</v>
      </c>
      <c r="AE16">
        <v>2025</v>
      </c>
      <c r="AF16">
        <v>3</v>
      </c>
      <c r="AG16">
        <v>1</v>
      </c>
      <c r="AI16">
        <v>0</v>
      </c>
      <c r="AK16" t="s">
        <v>12450</v>
      </c>
      <c r="AM16" t="s">
        <v>12451</v>
      </c>
      <c r="BF16" t="s">
        <v>12484</v>
      </c>
      <c r="BG16" s="20">
        <v>45808</v>
      </c>
    </row>
    <row r="17" spans="1:39" x14ac:dyDescent="0.25">
      <c r="A17">
        <v>187698</v>
      </c>
      <c r="B17">
        <v>13990002</v>
      </c>
      <c r="C17" t="s">
        <v>12444</v>
      </c>
      <c r="D17" s="20">
        <v>45747</v>
      </c>
      <c r="E17" t="s">
        <v>12445</v>
      </c>
      <c r="F17">
        <v>0</v>
      </c>
      <c r="G17" s="58">
        <v>6303.2</v>
      </c>
      <c r="H17">
        <v>1</v>
      </c>
      <c r="I17">
        <v>0</v>
      </c>
      <c r="J17" s="58">
        <v>6303.2</v>
      </c>
      <c r="K17" s="58">
        <f t="shared" si="0"/>
        <v>6303.2</v>
      </c>
      <c r="L17" s="58" t="s">
        <v>12470</v>
      </c>
      <c r="M17" s="58" t="s">
        <v>12447</v>
      </c>
      <c r="N17" t="s">
        <v>12453</v>
      </c>
      <c r="R17" t="s">
        <v>1121</v>
      </c>
      <c r="T17">
        <v>0</v>
      </c>
      <c r="U17">
        <v>0</v>
      </c>
      <c r="V17">
        <v>0</v>
      </c>
      <c r="X17" t="s">
        <v>12454</v>
      </c>
      <c r="Y17" t="s">
        <v>12445</v>
      </c>
      <c r="Z17">
        <v>2025</v>
      </c>
      <c r="AA17">
        <v>3</v>
      </c>
      <c r="AB17">
        <v>1</v>
      </c>
      <c r="AC17" t="s">
        <v>12454</v>
      </c>
      <c r="AD17" t="s">
        <v>12445</v>
      </c>
      <c r="AE17">
        <v>2025</v>
      </c>
      <c r="AF17">
        <v>3</v>
      </c>
      <c r="AG17">
        <v>1</v>
      </c>
      <c r="AI17">
        <v>0</v>
      </c>
      <c r="AK17" t="s">
        <v>12450</v>
      </c>
      <c r="AM17" t="s">
        <v>12451</v>
      </c>
    </row>
    <row r="18" spans="1:39" x14ac:dyDescent="0.25">
      <c r="A18">
        <v>222428</v>
      </c>
      <c r="B18">
        <v>13990002</v>
      </c>
      <c r="C18" t="s">
        <v>12444</v>
      </c>
      <c r="D18" s="20">
        <v>45777</v>
      </c>
      <c r="E18" t="s">
        <v>12445</v>
      </c>
      <c r="F18">
        <v>0</v>
      </c>
      <c r="G18" s="58">
        <v>9258.66</v>
      </c>
      <c r="H18">
        <v>1</v>
      </c>
      <c r="I18">
        <v>0</v>
      </c>
      <c r="J18" s="58">
        <v>9258.66</v>
      </c>
      <c r="K18" s="58">
        <f t="shared" si="0"/>
        <v>9258.66</v>
      </c>
      <c r="L18" s="58" t="s">
        <v>12471</v>
      </c>
      <c r="M18" s="58" t="s">
        <v>12447</v>
      </c>
      <c r="N18" t="s">
        <v>12453</v>
      </c>
      <c r="R18" t="s">
        <v>1121</v>
      </c>
      <c r="T18">
        <v>0</v>
      </c>
      <c r="U18">
        <v>0</v>
      </c>
      <c r="V18">
        <v>0</v>
      </c>
      <c r="X18" t="s">
        <v>12454</v>
      </c>
      <c r="Y18" t="s">
        <v>12445</v>
      </c>
      <c r="Z18">
        <v>2025</v>
      </c>
      <c r="AA18">
        <v>4</v>
      </c>
      <c r="AB18">
        <v>1</v>
      </c>
      <c r="AC18" t="s">
        <v>12454</v>
      </c>
      <c r="AD18" t="s">
        <v>12445</v>
      </c>
      <c r="AE18">
        <v>2025</v>
      </c>
      <c r="AF18">
        <v>4</v>
      </c>
      <c r="AG18">
        <v>1</v>
      </c>
      <c r="AI18">
        <v>0</v>
      </c>
      <c r="AK18" t="s">
        <v>12450</v>
      </c>
      <c r="AM18" t="s">
        <v>12451</v>
      </c>
    </row>
    <row r="19" spans="1:39" x14ac:dyDescent="0.25">
      <c r="A19">
        <v>227971</v>
      </c>
      <c r="B19">
        <v>13990002</v>
      </c>
      <c r="C19" t="s">
        <v>12444</v>
      </c>
      <c r="D19" s="20">
        <v>45790</v>
      </c>
      <c r="E19" t="s">
        <v>12445</v>
      </c>
      <c r="F19" s="58">
        <v>9360</v>
      </c>
      <c r="G19">
        <v>0</v>
      </c>
      <c r="H19">
        <v>1</v>
      </c>
      <c r="I19" s="58">
        <v>9360</v>
      </c>
      <c r="J19">
        <v>0</v>
      </c>
      <c r="K19" s="58">
        <f t="shared" si="0"/>
        <v>-9360</v>
      </c>
      <c r="L19" s="58" t="s">
        <v>12472</v>
      </c>
      <c r="M19" s="58" t="s">
        <v>12447</v>
      </c>
      <c r="N19" t="s">
        <v>12473</v>
      </c>
      <c r="O19" t="s">
        <v>12445</v>
      </c>
      <c r="R19" t="s">
        <v>1976</v>
      </c>
      <c r="S19" t="s">
        <v>29</v>
      </c>
      <c r="T19" t="s">
        <v>12474</v>
      </c>
      <c r="U19">
        <v>0</v>
      </c>
      <c r="V19">
        <v>123</v>
      </c>
      <c r="X19" t="s">
        <v>12475</v>
      </c>
      <c r="Y19" t="s">
        <v>12445</v>
      </c>
      <c r="Z19">
        <v>2025</v>
      </c>
      <c r="AA19">
        <v>5</v>
      </c>
      <c r="AB19">
        <v>692</v>
      </c>
      <c r="AC19" t="s">
        <v>12475</v>
      </c>
      <c r="AD19" t="s">
        <v>12445</v>
      </c>
      <c r="AE19">
        <v>2025</v>
      </c>
      <c r="AF19">
        <v>5</v>
      </c>
      <c r="AG19">
        <v>692</v>
      </c>
      <c r="AI19">
        <v>123</v>
      </c>
      <c r="AJ19" s="20">
        <v>45790</v>
      </c>
      <c r="AK19" s="20" t="s">
        <v>12450</v>
      </c>
      <c r="AL19" s="20">
        <v>686</v>
      </c>
      <c r="AM19" t="s">
        <v>12451</v>
      </c>
    </row>
    <row r="20" spans="1:39" x14ac:dyDescent="0.25">
      <c r="A20">
        <v>246946</v>
      </c>
      <c r="B20">
        <v>13990002</v>
      </c>
      <c r="C20" t="s">
        <v>12444</v>
      </c>
      <c r="D20" s="20">
        <v>45808</v>
      </c>
      <c r="E20" t="s">
        <v>12445</v>
      </c>
      <c r="F20">
        <v>450</v>
      </c>
      <c r="G20">
        <v>0</v>
      </c>
      <c r="H20">
        <v>1</v>
      </c>
      <c r="I20">
        <v>450</v>
      </c>
      <c r="J20">
        <v>0</v>
      </c>
      <c r="K20" s="58">
        <f t="shared" si="0"/>
        <v>-450</v>
      </c>
      <c r="L20" s="58" t="s">
        <v>12476</v>
      </c>
      <c r="M20" s="58" t="s">
        <v>12447</v>
      </c>
      <c r="N20" t="s">
        <v>12473</v>
      </c>
      <c r="O20" t="s">
        <v>12445</v>
      </c>
      <c r="R20" t="s">
        <v>1165</v>
      </c>
      <c r="S20" t="s">
        <v>11</v>
      </c>
      <c r="T20" t="s">
        <v>12477</v>
      </c>
      <c r="U20">
        <v>0</v>
      </c>
      <c r="V20">
        <v>53125</v>
      </c>
      <c r="X20" t="s">
        <v>12475</v>
      </c>
      <c r="Y20" t="s">
        <v>12445</v>
      </c>
      <c r="Z20">
        <v>2025</v>
      </c>
      <c r="AA20">
        <v>5</v>
      </c>
      <c r="AB20">
        <v>2016</v>
      </c>
      <c r="AC20" t="s">
        <v>12475</v>
      </c>
      <c r="AD20" t="s">
        <v>12445</v>
      </c>
      <c r="AE20">
        <v>2025</v>
      </c>
      <c r="AF20">
        <v>5</v>
      </c>
      <c r="AG20">
        <v>2016</v>
      </c>
      <c r="AI20">
        <v>53125</v>
      </c>
      <c r="AJ20" s="20">
        <v>45808</v>
      </c>
      <c r="AK20" s="20" t="s">
        <v>12450</v>
      </c>
      <c r="AL20" s="20">
        <v>686</v>
      </c>
      <c r="AM20" t="s">
        <v>12451</v>
      </c>
    </row>
    <row r="21" spans="1:39" x14ac:dyDescent="0.25">
      <c r="A21">
        <v>246948</v>
      </c>
      <c r="B21">
        <v>13990002</v>
      </c>
      <c r="C21" t="s">
        <v>12444</v>
      </c>
      <c r="D21" s="20">
        <v>45808</v>
      </c>
      <c r="E21" t="s">
        <v>12445</v>
      </c>
      <c r="F21">
        <v>300</v>
      </c>
      <c r="G21">
        <v>0</v>
      </c>
      <c r="H21">
        <v>1</v>
      </c>
      <c r="I21">
        <v>300</v>
      </c>
      <c r="J21">
        <v>0</v>
      </c>
      <c r="K21" s="58">
        <f t="shared" si="0"/>
        <v>-300</v>
      </c>
      <c r="L21" s="58" t="s">
        <v>12476</v>
      </c>
      <c r="M21" s="58" t="s">
        <v>12447</v>
      </c>
      <c r="N21" t="s">
        <v>12473</v>
      </c>
      <c r="O21" t="s">
        <v>12445</v>
      </c>
      <c r="R21" t="s">
        <v>2689</v>
      </c>
      <c r="S21" t="s">
        <v>9</v>
      </c>
      <c r="T21" t="s">
        <v>12478</v>
      </c>
      <c r="U21">
        <v>0</v>
      </c>
      <c r="V21">
        <v>53125</v>
      </c>
      <c r="X21" t="s">
        <v>12475</v>
      </c>
      <c r="Y21" t="s">
        <v>12445</v>
      </c>
      <c r="Z21">
        <v>2025</v>
      </c>
      <c r="AA21">
        <v>5</v>
      </c>
      <c r="AB21">
        <v>2017</v>
      </c>
      <c r="AC21" t="s">
        <v>12475</v>
      </c>
      <c r="AD21" t="s">
        <v>12445</v>
      </c>
      <c r="AE21">
        <v>2025</v>
      </c>
      <c r="AF21">
        <v>5</v>
      </c>
      <c r="AG21">
        <v>2017</v>
      </c>
      <c r="AI21">
        <v>53125</v>
      </c>
      <c r="AJ21" s="20">
        <v>45808</v>
      </c>
      <c r="AK21" s="20" t="s">
        <v>12450</v>
      </c>
      <c r="AL21" s="20">
        <v>686</v>
      </c>
      <c r="AM21" t="s">
        <v>12451</v>
      </c>
    </row>
    <row r="22" spans="1:39" x14ac:dyDescent="0.25">
      <c r="A22">
        <v>246950</v>
      </c>
      <c r="B22">
        <v>13990002</v>
      </c>
      <c r="C22" t="s">
        <v>12444</v>
      </c>
      <c r="D22" s="20">
        <v>45808</v>
      </c>
      <c r="E22" t="s">
        <v>12445</v>
      </c>
      <c r="F22">
        <v>325</v>
      </c>
      <c r="G22">
        <v>0</v>
      </c>
      <c r="H22">
        <v>1</v>
      </c>
      <c r="I22">
        <v>325</v>
      </c>
      <c r="J22">
        <v>0</v>
      </c>
      <c r="K22" s="58">
        <f t="shared" si="0"/>
        <v>-325</v>
      </c>
      <c r="L22" s="58" t="s">
        <v>12476</v>
      </c>
      <c r="M22" s="58" t="s">
        <v>12447</v>
      </c>
      <c r="N22" t="s">
        <v>12473</v>
      </c>
      <c r="O22" t="s">
        <v>12445</v>
      </c>
      <c r="R22" t="s">
        <v>2488</v>
      </c>
      <c r="S22" t="s">
        <v>2489</v>
      </c>
      <c r="T22" t="s">
        <v>12479</v>
      </c>
      <c r="U22">
        <v>0</v>
      </c>
      <c r="V22">
        <v>53125</v>
      </c>
      <c r="X22" t="s">
        <v>12475</v>
      </c>
      <c r="Y22" t="s">
        <v>12445</v>
      </c>
      <c r="Z22">
        <v>2025</v>
      </c>
      <c r="AA22">
        <v>5</v>
      </c>
      <c r="AB22">
        <v>2018</v>
      </c>
      <c r="AC22" t="s">
        <v>12475</v>
      </c>
      <c r="AD22" t="s">
        <v>12445</v>
      </c>
      <c r="AE22">
        <v>2025</v>
      </c>
      <c r="AF22">
        <v>5</v>
      </c>
      <c r="AG22">
        <v>2018</v>
      </c>
      <c r="AI22">
        <v>53125</v>
      </c>
      <c r="AJ22" s="20">
        <v>45808</v>
      </c>
      <c r="AK22" s="20" t="s">
        <v>12450</v>
      </c>
      <c r="AL22" s="20">
        <v>686</v>
      </c>
      <c r="AM22" t="s">
        <v>12451</v>
      </c>
    </row>
    <row r="23" spans="1:39" x14ac:dyDescent="0.25">
      <c r="A23">
        <v>246953</v>
      </c>
      <c r="B23">
        <v>13990002</v>
      </c>
      <c r="C23" t="s">
        <v>12444</v>
      </c>
      <c r="D23" s="20">
        <v>45808</v>
      </c>
      <c r="E23" t="s">
        <v>12445</v>
      </c>
      <c r="F23">
        <v>15.54</v>
      </c>
      <c r="G23">
        <v>0</v>
      </c>
      <c r="H23">
        <v>1</v>
      </c>
      <c r="I23">
        <v>15.54</v>
      </c>
      <c r="J23">
        <v>0</v>
      </c>
      <c r="K23" s="58">
        <f t="shared" si="0"/>
        <v>-15.54</v>
      </c>
      <c r="L23" s="58" t="s">
        <v>12476</v>
      </c>
      <c r="M23" s="58" t="s">
        <v>12447</v>
      </c>
      <c r="N23" t="s">
        <v>12473</v>
      </c>
      <c r="O23" t="s">
        <v>12445</v>
      </c>
      <c r="R23" t="s">
        <v>2496</v>
      </c>
      <c r="S23" t="s">
        <v>50</v>
      </c>
      <c r="T23" t="s">
        <v>12480</v>
      </c>
      <c r="U23">
        <v>0</v>
      </c>
      <c r="V23">
        <v>53125</v>
      </c>
      <c r="X23" t="s">
        <v>12475</v>
      </c>
      <c r="Y23" t="s">
        <v>12445</v>
      </c>
      <c r="Z23">
        <v>2025</v>
      </c>
      <c r="AA23">
        <v>5</v>
      </c>
      <c r="AB23">
        <v>2019</v>
      </c>
      <c r="AC23" t="s">
        <v>12475</v>
      </c>
      <c r="AD23" t="s">
        <v>12445</v>
      </c>
      <c r="AE23">
        <v>2025</v>
      </c>
      <c r="AF23">
        <v>5</v>
      </c>
      <c r="AG23">
        <v>2019</v>
      </c>
      <c r="AI23">
        <v>53125</v>
      </c>
      <c r="AJ23" s="20">
        <v>45808</v>
      </c>
      <c r="AK23" s="20" t="s">
        <v>12450</v>
      </c>
      <c r="AL23" s="20">
        <v>686</v>
      </c>
      <c r="AM23" t="s">
        <v>12451</v>
      </c>
    </row>
    <row r="24" spans="1:39" x14ac:dyDescent="0.25">
      <c r="A24">
        <v>246956</v>
      </c>
      <c r="B24">
        <v>13990002</v>
      </c>
      <c r="C24" t="s">
        <v>12444</v>
      </c>
      <c r="D24" s="20">
        <v>45808</v>
      </c>
      <c r="E24" t="s">
        <v>12445</v>
      </c>
      <c r="F24">
        <v>31.08</v>
      </c>
      <c r="G24">
        <v>0</v>
      </c>
      <c r="H24">
        <v>1</v>
      </c>
      <c r="I24">
        <v>31.08</v>
      </c>
      <c r="J24">
        <v>0</v>
      </c>
      <c r="K24" s="58">
        <f t="shared" si="0"/>
        <v>-31.08</v>
      </c>
      <c r="L24" s="58" t="s">
        <v>12476</v>
      </c>
      <c r="M24" s="58" t="s">
        <v>12447</v>
      </c>
      <c r="N24" t="s">
        <v>12473</v>
      </c>
      <c r="O24" t="s">
        <v>12445</v>
      </c>
      <c r="R24" t="s">
        <v>2496</v>
      </c>
      <c r="S24" t="s">
        <v>50</v>
      </c>
      <c r="T24" t="s">
        <v>12481</v>
      </c>
      <c r="U24">
        <v>0</v>
      </c>
      <c r="V24">
        <v>53125</v>
      </c>
      <c r="X24" t="s">
        <v>12475</v>
      </c>
      <c r="Y24" t="s">
        <v>12445</v>
      </c>
      <c r="Z24">
        <v>2025</v>
      </c>
      <c r="AA24">
        <v>5</v>
      </c>
      <c r="AB24">
        <v>2019</v>
      </c>
      <c r="AC24" t="s">
        <v>12475</v>
      </c>
      <c r="AD24" t="s">
        <v>12445</v>
      </c>
      <c r="AE24">
        <v>2025</v>
      </c>
      <c r="AF24">
        <v>5</v>
      </c>
      <c r="AG24">
        <v>2019</v>
      </c>
      <c r="AI24">
        <v>53125</v>
      </c>
      <c r="AJ24" s="20">
        <v>45808</v>
      </c>
      <c r="AK24" s="20" t="s">
        <v>12450</v>
      </c>
      <c r="AL24" s="20">
        <v>686</v>
      </c>
      <c r="AM24" t="s">
        <v>12451</v>
      </c>
    </row>
    <row r="25" spans="1:39" x14ac:dyDescent="0.25">
      <c r="A25">
        <v>246959</v>
      </c>
      <c r="B25">
        <v>13990002</v>
      </c>
      <c r="C25" t="s">
        <v>12444</v>
      </c>
      <c r="D25" s="20">
        <v>45808</v>
      </c>
      <c r="E25" t="s">
        <v>12445</v>
      </c>
      <c r="F25">
        <v>31.08</v>
      </c>
      <c r="G25">
        <v>0</v>
      </c>
      <c r="H25">
        <v>1</v>
      </c>
      <c r="I25">
        <v>31.08</v>
      </c>
      <c r="J25">
        <v>0</v>
      </c>
      <c r="K25" s="58">
        <f t="shared" si="0"/>
        <v>-31.08</v>
      </c>
      <c r="L25" s="58" t="s">
        <v>12476</v>
      </c>
      <c r="M25" s="58" t="s">
        <v>12447</v>
      </c>
      <c r="N25" t="s">
        <v>12473</v>
      </c>
      <c r="O25" t="s">
        <v>12445</v>
      </c>
      <c r="R25" t="s">
        <v>2496</v>
      </c>
      <c r="S25" t="s">
        <v>50</v>
      </c>
      <c r="T25" t="s">
        <v>12482</v>
      </c>
      <c r="U25">
        <v>0</v>
      </c>
      <c r="V25">
        <v>53125</v>
      </c>
      <c r="X25" t="s">
        <v>12475</v>
      </c>
      <c r="Y25" t="s">
        <v>12445</v>
      </c>
      <c r="Z25">
        <v>2025</v>
      </c>
      <c r="AA25">
        <v>5</v>
      </c>
      <c r="AB25">
        <v>2019</v>
      </c>
      <c r="AC25" t="s">
        <v>12475</v>
      </c>
      <c r="AD25" t="s">
        <v>12445</v>
      </c>
      <c r="AE25">
        <v>2025</v>
      </c>
      <c r="AF25">
        <v>5</v>
      </c>
      <c r="AG25">
        <v>2019</v>
      </c>
      <c r="AI25">
        <v>53125</v>
      </c>
      <c r="AJ25" s="20">
        <v>45808</v>
      </c>
      <c r="AK25" s="20" t="s">
        <v>12450</v>
      </c>
      <c r="AL25" s="20">
        <v>686</v>
      </c>
      <c r="AM25" t="s">
        <v>12451</v>
      </c>
    </row>
    <row r="26" spans="1:39" x14ac:dyDescent="0.25">
      <c r="A26">
        <v>247820</v>
      </c>
      <c r="B26">
        <v>13990002</v>
      </c>
      <c r="C26" t="s">
        <v>12444</v>
      </c>
      <c r="D26" s="20">
        <v>45808</v>
      </c>
      <c r="E26" t="s">
        <v>12445</v>
      </c>
      <c r="F26">
        <v>0</v>
      </c>
      <c r="G26" s="58">
        <v>10057.219999999999</v>
      </c>
      <c r="H26">
        <v>1</v>
      </c>
      <c r="I26">
        <v>0</v>
      </c>
      <c r="J26" s="58">
        <v>10057.219999999999</v>
      </c>
      <c r="K26" s="58">
        <f t="shared" si="0"/>
        <v>10057.219999999999</v>
      </c>
      <c r="L26" s="58" t="s">
        <v>12483</v>
      </c>
      <c r="M26" s="58" t="s">
        <v>12447</v>
      </c>
      <c r="N26" t="s">
        <v>12453</v>
      </c>
      <c r="R26" t="s">
        <v>1121</v>
      </c>
      <c r="T26">
        <v>0</v>
      </c>
      <c r="U26">
        <v>0</v>
      </c>
      <c r="V26">
        <v>0</v>
      </c>
      <c r="X26" t="s">
        <v>12454</v>
      </c>
      <c r="Y26" t="s">
        <v>12445</v>
      </c>
      <c r="Z26">
        <v>2025</v>
      </c>
      <c r="AA26">
        <v>5</v>
      </c>
      <c r="AB26">
        <v>1</v>
      </c>
      <c r="AC26" t="s">
        <v>12454</v>
      </c>
      <c r="AD26" t="s">
        <v>12445</v>
      </c>
      <c r="AE26">
        <v>2025</v>
      </c>
      <c r="AF26">
        <v>5</v>
      </c>
      <c r="AG26">
        <v>1</v>
      </c>
      <c r="AI26">
        <v>0</v>
      </c>
      <c r="AK26" t="s">
        <v>12450</v>
      </c>
      <c r="AM26" t="s">
        <v>12451</v>
      </c>
    </row>
    <row r="27" spans="1:39" x14ac:dyDescent="0.25">
      <c r="A27">
        <v>265139</v>
      </c>
      <c r="B27">
        <v>13990002</v>
      </c>
      <c r="C27" t="s">
        <v>12444</v>
      </c>
      <c r="D27" s="20">
        <v>45838</v>
      </c>
      <c r="E27" t="s">
        <v>12445</v>
      </c>
      <c r="F27">
        <v>0</v>
      </c>
      <c r="G27" s="58">
        <v>9146.56</v>
      </c>
      <c r="H27">
        <v>1</v>
      </c>
      <c r="I27">
        <v>0</v>
      </c>
      <c r="J27" s="58">
        <v>9146.56</v>
      </c>
      <c r="K27" s="58">
        <f t="shared" si="0"/>
        <v>9146.56</v>
      </c>
      <c r="L27" s="58" t="s">
        <v>12486</v>
      </c>
      <c r="M27" t="s">
        <v>12447</v>
      </c>
      <c r="N27" t="s">
        <v>12453</v>
      </c>
      <c r="R27" t="s">
        <v>1121</v>
      </c>
      <c r="T27">
        <v>0</v>
      </c>
      <c r="U27">
        <v>0</v>
      </c>
      <c r="V27">
        <v>0</v>
      </c>
      <c r="X27" t="s">
        <v>12454</v>
      </c>
      <c r="Y27" t="s">
        <v>12445</v>
      </c>
      <c r="Z27">
        <v>2025</v>
      </c>
      <c r="AA27">
        <v>6</v>
      </c>
      <c r="AB27">
        <v>1</v>
      </c>
      <c r="AC27" t="s">
        <v>12454</v>
      </c>
      <c r="AD27" t="s">
        <v>12445</v>
      </c>
      <c r="AE27">
        <v>2025</v>
      </c>
      <c r="AF27">
        <v>6</v>
      </c>
      <c r="AG27">
        <v>1</v>
      </c>
      <c r="AI27">
        <v>0</v>
      </c>
      <c r="AK27" t="s">
        <v>12450</v>
      </c>
      <c r="AM27" t="s">
        <v>12451</v>
      </c>
    </row>
    <row r="28" spans="1:39" x14ac:dyDescent="0.25">
      <c r="A28">
        <v>272514</v>
      </c>
      <c r="B28">
        <v>13990002</v>
      </c>
      <c r="C28" t="s">
        <v>12444</v>
      </c>
      <c r="D28" s="20">
        <v>45852</v>
      </c>
      <c r="E28" t="s">
        <v>12445</v>
      </c>
      <c r="F28" s="58">
        <v>3488</v>
      </c>
      <c r="G28">
        <v>0</v>
      </c>
      <c r="H28">
        <v>1</v>
      </c>
      <c r="I28" s="58">
        <v>3488</v>
      </c>
      <c r="J28">
        <v>0</v>
      </c>
      <c r="K28" s="58">
        <f t="shared" si="0"/>
        <v>-3488</v>
      </c>
      <c r="L28" s="58" t="s">
        <v>12487</v>
      </c>
      <c r="M28" t="s">
        <v>12447</v>
      </c>
      <c r="N28" t="s">
        <v>12473</v>
      </c>
      <c r="O28" t="s">
        <v>12445</v>
      </c>
      <c r="R28" t="s">
        <v>1976</v>
      </c>
      <c r="S28" t="s">
        <v>29</v>
      </c>
      <c r="T28" t="s">
        <v>12488</v>
      </c>
      <c r="U28">
        <v>0</v>
      </c>
      <c r="V28">
        <v>71425</v>
      </c>
      <c r="X28" t="s">
        <v>12475</v>
      </c>
      <c r="Y28" t="s">
        <v>12445</v>
      </c>
      <c r="Z28">
        <v>2025</v>
      </c>
      <c r="AA28">
        <v>7</v>
      </c>
      <c r="AB28">
        <v>533</v>
      </c>
      <c r="AC28" t="s">
        <v>12475</v>
      </c>
      <c r="AD28" t="s">
        <v>12445</v>
      </c>
      <c r="AE28">
        <v>2025</v>
      </c>
      <c r="AF28">
        <v>7</v>
      </c>
      <c r="AG28">
        <v>533</v>
      </c>
      <c r="AI28">
        <v>71425</v>
      </c>
      <c r="AJ28" s="20">
        <v>45852</v>
      </c>
      <c r="AK28" s="20" t="s">
        <v>12450</v>
      </c>
      <c r="AL28">
        <v>686</v>
      </c>
      <c r="AM28" t="s">
        <v>12451</v>
      </c>
    </row>
    <row r="29" spans="1:39" x14ac:dyDescent="0.25">
      <c r="A29">
        <v>288655</v>
      </c>
      <c r="B29">
        <v>13990002</v>
      </c>
      <c r="C29" t="s">
        <v>12444</v>
      </c>
      <c r="D29" s="20">
        <v>45869</v>
      </c>
      <c r="E29" t="s">
        <v>12445</v>
      </c>
      <c r="F29">
        <v>0</v>
      </c>
      <c r="G29" s="58">
        <v>10894.39</v>
      </c>
      <c r="H29">
        <v>1</v>
      </c>
      <c r="I29">
        <v>0</v>
      </c>
      <c r="J29" s="58">
        <v>10894.39</v>
      </c>
      <c r="K29" s="58">
        <f t="shared" si="0"/>
        <v>10894.39</v>
      </c>
      <c r="L29" t="s">
        <v>12496</v>
      </c>
      <c r="M29" t="s">
        <v>12447</v>
      </c>
      <c r="N29" t="s">
        <v>12453</v>
      </c>
      <c r="R29" t="s">
        <v>1121</v>
      </c>
      <c r="T29">
        <v>0</v>
      </c>
      <c r="U29">
        <v>0</v>
      </c>
      <c r="V29">
        <v>0</v>
      </c>
      <c r="X29" t="s">
        <v>12454</v>
      </c>
      <c r="Y29" t="s">
        <v>12445</v>
      </c>
      <c r="Z29">
        <v>2025</v>
      </c>
      <c r="AA29">
        <v>7</v>
      </c>
      <c r="AB29">
        <v>1</v>
      </c>
      <c r="AC29" t="s">
        <v>12454</v>
      </c>
      <c r="AD29" t="s">
        <v>12445</v>
      </c>
      <c r="AE29">
        <v>2025</v>
      </c>
      <c r="AF29">
        <v>7</v>
      </c>
      <c r="AG29">
        <v>1</v>
      </c>
      <c r="AI29">
        <v>0</v>
      </c>
      <c r="AK29" t="s">
        <v>12450</v>
      </c>
      <c r="AM29" t="s">
        <v>12451</v>
      </c>
    </row>
    <row r="30" spans="1:39" x14ac:dyDescent="0.25">
      <c r="A30">
        <v>319962</v>
      </c>
      <c r="B30">
        <v>13990002</v>
      </c>
      <c r="C30" t="s">
        <v>12444</v>
      </c>
      <c r="D30" s="20">
        <v>45900</v>
      </c>
      <c r="E30" t="s">
        <v>12445</v>
      </c>
      <c r="F30" s="58">
        <v>8309.19</v>
      </c>
      <c r="G30">
        <v>0</v>
      </c>
      <c r="H30">
        <v>1</v>
      </c>
      <c r="I30" s="58">
        <v>8309.19</v>
      </c>
      <c r="J30">
        <v>0</v>
      </c>
      <c r="K30" s="58">
        <f t="shared" si="0"/>
        <v>-8309.19</v>
      </c>
      <c r="L30" t="s">
        <v>12497</v>
      </c>
      <c r="M30" t="s">
        <v>12447</v>
      </c>
      <c r="N30" t="s">
        <v>12453</v>
      </c>
      <c r="R30" t="s">
        <v>1121</v>
      </c>
      <c r="T30">
        <v>0</v>
      </c>
      <c r="U30">
        <v>0</v>
      </c>
      <c r="V30">
        <v>0</v>
      </c>
      <c r="X30" t="s">
        <v>12454</v>
      </c>
      <c r="Y30" t="s">
        <v>12445</v>
      </c>
      <c r="Z30">
        <v>2025</v>
      </c>
      <c r="AA30">
        <v>8</v>
      </c>
      <c r="AB30">
        <v>1</v>
      </c>
      <c r="AC30" t="s">
        <v>12454</v>
      </c>
      <c r="AD30" t="s">
        <v>12445</v>
      </c>
      <c r="AE30">
        <v>2025</v>
      </c>
      <c r="AF30">
        <v>8</v>
      </c>
      <c r="AG30">
        <v>1</v>
      </c>
      <c r="AI30">
        <v>0</v>
      </c>
      <c r="AK30" t="s">
        <v>12450</v>
      </c>
      <c r="AM30" t="s">
        <v>12451</v>
      </c>
    </row>
    <row r="31" spans="1:39" x14ac:dyDescent="0.25">
      <c r="A31">
        <v>320027</v>
      </c>
      <c r="B31">
        <v>13990002</v>
      </c>
      <c r="C31" t="s">
        <v>12444</v>
      </c>
      <c r="D31" s="20">
        <v>45900</v>
      </c>
      <c r="E31" t="s">
        <v>12445</v>
      </c>
      <c r="F31">
        <v>0</v>
      </c>
      <c r="G31" s="58">
        <v>1363.27</v>
      </c>
      <c r="H31">
        <v>1</v>
      </c>
      <c r="I31">
        <v>0</v>
      </c>
      <c r="J31" s="58">
        <v>1363.27</v>
      </c>
      <c r="K31" s="58">
        <f t="shared" si="0"/>
        <v>1363.27</v>
      </c>
      <c r="L31" t="s">
        <v>12498</v>
      </c>
      <c r="M31" t="s">
        <v>12447</v>
      </c>
      <c r="N31" t="s">
        <v>12453</v>
      </c>
      <c r="R31" t="s">
        <v>1121</v>
      </c>
      <c r="T31">
        <v>0</v>
      </c>
      <c r="U31">
        <v>0</v>
      </c>
      <c r="V31">
        <v>0</v>
      </c>
      <c r="X31" t="s">
        <v>12454</v>
      </c>
      <c r="Y31" t="s">
        <v>12445</v>
      </c>
      <c r="Z31">
        <v>2025</v>
      </c>
      <c r="AA31">
        <v>8</v>
      </c>
      <c r="AB31">
        <v>2</v>
      </c>
      <c r="AC31" t="s">
        <v>12454</v>
      </c>
      <c r="AD31" t="s">
        <v>12445</v>
      </c>
      <c r="AE31">
        <v>2025</v>
      </c>
      <c r="AF31">
        <v>8</v>
      </c>
      <c r="AG31">
        <v>2</v>
      </c>
      <c r="AI31">
        <v>0</v>
      </c>
      <c r="AK31" t="s">
        <v>12450</v>
      </c>
      <c r="AM31" t="s">
        <v>12451</v>
      </c>
    </row>
    <row r="32" spans="1:39" x14ac:dyDescent="0.25">
      <c r="A32">
        <v>340554</v>
      </c>
      <c r="B32">
        <v>13990002</v>
      </c>
      <c r="C32" t="s">
        <v>12444</v>
      </c>
      <c r="D32" s="20">
        <v>45929</v>
      </c>
      <c r="E32" t="s">
        <v>12445</v>
      </c>
      <c r="F32">
        <v>500</v>
      </c>
      <c r="G32">
        <v>0</v>
      </c>
      <c r="H32">
        <v>1</v>
      </c>
      <c r="I32">
        <v>500</v>
      </c>
      <c r="J32">
        <v>0</v>
      </c>
      <c r="K32" s="58">
        <f t="shared" si="0"/>
        <v>-500</v>
      </c>
      <c r="L32" t="s">
        <v>12499</v>
      </c>
      <c r="M32" t="s">
        <v>12447</v>
      </c>
      <c r="N32" t="s">
        <v>12473</v>
      </c>
      <c r="O32" t="s">
        <v>12445</v>
      </c>
      <c r="R32" t="s">
        <v>1976</v>
      </c>
      <c r="S32" t="s">
        <v>29</v>
      </c>
      <c r="T32" t="s">
        <v>12500</v>
      </c>
      <c r="U32">
        <v>0</v>
      </c>
      <c r="V32">
        <v>1234</v>
      </c>
      <c r="X32" t="s">
        <v>12475</v>
      </c>
      <c r="Y32" t="s">
        <v>12445</v>
      </c>
      <c r="Z32">
        <v>2025</v>
      </c>
      <c r="AA32">
        <v>9</v>
      </c>
      <c r="AB32">
        <v>1598</v>
      </c>
      <c r="AC32" t="s">
        <v>12475</v>
      </c>
      <c r="AD32" t="s">
        <v>12445</v>
      </c>
      <c r="AE32">
        <v>2025</v>
      </c>
      <c r="AF32">
        <v>9</v>
      </c>
      <c r="AG32">
        <v>1598</v>
      </c>
      <c r="AI32">
        <v>1234</v>
      </c>
      <c r="AJ32" s="20">
        <v>45929</v>
      </c>
      <c r="AK32" t="s">
        <v>12450</v>
      </c>
      <c r="AL32">
        <v>686</v>
      </c>
      <c r="AM32" t="s">
        <v>12489</v>
      </c>
    </row>
    <row r="33" spans="1:39" x14ac:dyDescent="0.25">
      <c r="A33">
        <v>340556</v>
      </c>
      <c r="B33">
        <v>13990002</v>
      </c>
      <c r="C33" t="s">
        <v>12444</v>
      </c>
      <c r="D33" s="20">
        <v>45929</v>
      </c>
      <c r="E33" t="s">
        <v>12445</v>
      </c>
      <c r="F33" s="58">
        <v>1408.12</v>
      </c>
      <c r="G33">
        <v>0</v>
      </c>
      <c r="H33">
        <v>1</v>
      </c>
      <c r="I33" s="58">
        <v>1408.12</v>
      </c>
      <c r="J33">
        <v>0</v>
      </c>
      <c r="K33" s="58">
        <f t="shared" si="0"/>
        <v>-1408.12</v>
      </c>
      <c r="L33" t="s">
        <v>12499</v>
      </c>
      <c r="M33" t="s">
        <v>12447</v>
      </c>
      <c r="N33" t="s">
        <v>12473</v>
      </c>
      <c r="O33" t="s">
        <v>12445</v>
      </c>
      <c r="R33" t="s">
        <v>2048</v>
      </c>
      <c r="S33" t="s">
        <v>2049</v>
      </c>
      <c r="T33" t="s">
        <v>12501</v>
      </c>
      <c r="U33">
        <v>0</v>
      </c>
      <c r="V33">
        <v>1234</v>
      </c>
      <c r="X33" t="s">
        <v>12475</v>
      </c>
      <c r="Y33" t="s">
        <v>12445</v>
      </c>
      <c r="Z33">
        <v>2025</v>
      </c>
      <c r="AA33">
        <v>9</v>
      </c>
      <c r="AB33">
        <v>1599</v>
      </c>
      <c r="AC33" t="s">
        <v>12475</v>
      </c>
      <c r="AD33" t="s">
        <v>12445</v>
      </c>
      <c r="AE33">
        <v>2025</v>
      </c>
      <c r="AF33">
        <v>9</v>
      </c>
      <c r="AG33">
        <v>1599</v>
      </c>
      <c r="AI33">
        <v>1234</v>
      </c>
      <c r="AJ33" s="20">
        <v>45929</v>
      </c>
      <c r="AK33" t="s">
        <v>12450</v>
      </c>
      <c r="AL33">
        <v>686</v>
      </c>
      <c r="AM33" t="s">
        <v>12489</v>
      </c>
    </row>
    <row r="34" spans="1:39" x14ac:dyDescent="0.25">
      <c r="A34">
        <v>340558</v>
      </c>
      <c r="B34">
        <v>13990002</v>
      </c>
      <c r="C34" t="s">
        <v>12444</v>
      </c>
      <c r="D34" s="20">
        <v>45929</v>
      </c>
      <c r="E34" t="s">
        <v>12445</v>
      </c>
      <c r="F34">
        <v>649.29999999999995</v>
      </c>
      <c r="G34">
        <v>0</v>
      </c>
      <c r="H34">
        <v>1</v>
      </c>
      <c r="I34">
        <v>649.29999999999995</v>
      </c>
      <c r="J34">
        <v>0</v>
      </c>
      <c r="K34" s="58">
        <f t="shared" si="0"/>
        <v>-649.29999999999995</v>
      </c>
      <c r="L34" t="s">
        <v>12499</v>
      </c>
      <c r="M34" t="s">
        <v>12447</v>
      </c>
      <c r="N34" t="s">
        <v>12473</v>
      </c>
      <c r="O34" t="s">
        <v>12445</v>
      </c>
      <c r="R34" t="s">
        <v>2488</v>
      </c>
      <c r="S34" t="s">
        <v>2489</v>
      </c>
      <c r="T34" t="s">
        <v>12502</v>
      </c>
      <c r="U34">
        <v>0</v>
      </c>
      <c r="V34">
        <v>1234</v>
      </c>
      <c r="X34" t="s">
        <v>12475</v>
      </c>
      <c r="Y34" t="s">
        <v>12445</v>
      </c>
      <c r="Z34">
        <v>2025</v>
      </c>
      <c r="AA34">
        <v>9</v>
      </c>
      <c r="AB34">
        <v>1600</v>
      </c>
      <c r="AC34" t="s">
        <v>12475</v>
      </c>
      <c r="AD34" t="s">
        <v>12445</v>
      </c>
      <c r="AE34">
        <v>2025</v>
      </c>
      <c r="AF34">
        <v>9</v>
      </c>
      <c r="AG34">
        <v>1600</v>
      </c>
      <c r="AI34">
        <v>1234</v>
      </c>
      <c r="AJ34" s="20">
        <v>45929</v>
      </c>
      <c r="AK34" t="s">
        <v>12450</v>
      </c>
      <c r="AL34">
        <v>686</v>
      </c>
      <c r="AM34" t="s">
        <v>12489</v>
      </c>
    </row>
    <row r="35" spans="1:39" x14ac:dyDescent="0.25">
      <c r="A35">
        <v>340560</v>
      </c>
      <c r="B35">
        <v>13990002</v>
      </c>
      <c r="C35" t="s">
        <v>12444</v>
      </c>
      <c r="D35" s="20">
        <v>45929</v>
      </c>
      <c r="E35" t="s">
        <v>12445</v>
      </c>
      <c r="F35" s="58">
        <v>1988.1</v>
      </c>
      <c r="G35">
        <v>0</v>
      </c>
      <c r="H35">
        <v>1</v>
      </c>
      <c r="I35" s="58">
        <v>1988.1</v>
      </c>
      <c r="J35">
        <v>0</v>
      </c>
      <c r="K35" s="58">
        <f t="shared" si="0"/>
        <v>-1988.1</v>
      </c>
      <c r="L35" t="s">
        <v>12499</v>
      </c>
      <c r="M35" t="s">
        <v>12447</v>
      </c>
      <c r="N35" t="s">
        <v>12473</v>
      </c>
      <c r="O35" t="s">
        <v>12445</v>
      </c>
      <c r="R35" t="s">
        <v>2476</v>
      </c>
      <c r="S35" t="s">
        <v>2477</v>
      </c>
      <c r="T35" t="s">
        <v>12503</v>
      </c>
      <c r="U35">
        <v>0</v>
      </c>
      <c r="V35">
        <v>1234</v>
      </c>
      <c r="X35" t="s">
        <v>12475</v>
      </c>
      <c r="Y35" t="s">
        <v>12445</v>
      </c>
      <c r="Z35">
        <v>2025</v>
      </c>
      <c r="AA35">
        <v>9</v>
      </c>
      <c r="AB35">
        <v>1600</v>
      </c>
      <c r="AC35" t="s">
        <v>12475</v>
      </c>
      <c r="AD35" t="s">
        <v>12445</v>
      </c>
      <c r="AE35">
        <v>2025</v>
      </c>
      <c r="AF35">
        <v>9</v>
      </c>
      <c r="AG35">
        <v>1600</v>
      </c>
      <c r="AI35">
        <v>1234</v>
      </c>
      <c r="AJ35" s="20">
        <v>45929</v>
      </c>
      <c r="AK35" t="s">
        <v>12450</v>
      </c>
      <c r="AL35">
        <v>686</v>
      </c>
      <c r="AM35" t="s">
        <v>12489</v>
      </c>
    </row>
    <row r="36" spans="1:39" x14ac:dyDescent="0.25">
      <c r="A36">
        <v>340562</v>
      </c>
      <c r="B36">
        <v>13990002</v>
      </c>
      <c r="C36" t="s">
        <v>12444</v>
      </c>
      <c r="D36" s="20">
        <v>45929</v>
      </c>
      <c r="E36" t="s">
        <v>12445</v>
      </c>
      <c r="F36" s="58">
        <v>1647.24</v>
      </c>
      <c r="G36">
        <v>0</v>
      </c>
      <c r="H36">
        <v>1</v>
      </c>
      <c r="I36" s="58">
        <v>1647.24</v>
      </c>
      <c r="J36">
        <v>0</v>
      </c>
      <c r="K36" s="58">
        <f t="shared" si="0"/>
        <v>-1647.24</v>
      </c>
      <c r="L36" t="s">
        <v>12499</v>
      </c>
      <c r="M36" t="s">
        <v>12447</v>
      </c>
      <c r="N36" t="s">
        <v>12473</v>
      </c>
      <c r="O36" t="s">
        <v>12445</v>
      </c>
      <c r="R36" t="s">
        <v>2496</v>
      </c>
      <c r="S36" t="s">
        <v>50</v>
      </c>
      <c r="T36" t="s">
        <v>12504</v>
      </c>
      <c r="U36">
        <v>0</v>
      </c>
      <c r="V36">
        <v>1234</v>
      </c>
      <c r="X36" t="s">
        <v>12475</v>
      </c>
      <c r="Y36" t="s">
        <v>12445</v>
      </c>
      <c r="Z36">
        <v>2025</v>
      </c>
      <c r="AA36">
        <v>9</v>
      </c>
      <c r="AB36">
        <v>1601</v>
      </c>
      <c r="AC36" t="s">
        <v>12475</v>
      </c>
      <c r="AD36" t="s">
        <v>12445</v>
      </c>
      <c r="AE36">
        <v>2025</v>
      </c>
      <c r="AF36">
        <v>9</v>
      </c>
      <c r="AG36">
        <v>1601</v>
      </c>
      <c r="AI36">
        <v>1234</v>
      </c>
      <c r="AJ36" s="20">
        <v>45929</v>
      </c>
      <c r="AK36" t="s">
        <v>12450</v>
      </c>
      <c r="AL36">
        <v>686</v>
      </c>
      <c r="AM36" t="s">
        <v>12489</v>
      </c>
    </row>
    <row r="37" spans="1:39" x14ac:dyDescent="0.25">
      <c r="A37">
        <v>340564</v>
      </c>
      <c r="B37">
        <v>13990002</v>
      </c>
      <c r="C37" t="s">
        <v>12444</v>
      </c>
      <c r="D37" s="20">
        <v>45929</v>
      </c>
      <c r="E37" t="s">
        <v>12445</v>
      </c>
      <c r="F37">
        <v>264</v>
      </c>
      <c r="G37">
        <v>0</v>
      </c>
      <c r="H37">
        <v>1</v>
      </c>
      <c r="I37">
        <v>264</v>
      </c>
      <c r="J37">
        <v>0</v>
      </c>
      <c r="K37" s="58">
        <f t="shared" si="0"/>
        <v>-264</v>
      </c>
      <c r="L37" t="s">
        <v>12499</v>
      </c>
      <c r="M37" t="s">
        <v>12447</v>
      </c>
      <c r="N37" t="s">
        <v>12473</v>
      </c>
      <c r="O37" t="s">
        <v>12445</v>
      </c>
      <c r="R37" t="s">
        <v>2496</v>
      </c>
      <c r="S37" t="s">
        <v>50</v>
      </c>
      <c r="T37" t="s">
        <v>12505</v>
      </c>
      <c r="U37">
        <v>0</v>
      </c>
      <c r="V37">
        <v>1234</v>
      </c>
      <c r="X37" t="s">
        <v>12475</v>
      </c>
      <c r="Y37" t="s">
        <v>12445</v>
      </c>
      <c r="Z37">
        <v>2025</v>
      </c>
      <c r="AA37">
        <v>9</v>
      </c>
      <c r="AB37">
        <v>1601</v>
      </c>
      <c r="AC37" t="s">
        <v>12475</v>
      </c>
      <c r="AD37" t="s">
        <v>12445</v>
      </c>
      <c r="AE37">
        <v>2025</v>
      </c>
      <c r="AF37">
        <v>9</v>
      </c>
      <c r="AG37">
        <v>1601</v>
      </c>
      <c r="AI37">
        <v>1234</v>
      </c>
      <c r="AJ37" s="20">
        <v>45929</v>
      </c>
      <c r="AK37" t="s">
        <v>12450</v>
      </c>
      <c r="AL37">
        <v>686</v>
      </c>
      <c r="AM37" t="s">
        <v>12489</v>
      </c>
    </row>
    <row r="38" spans="1:39" x14ac:dyDescent="0.25">
      <c r="A38">
        <v>340566</v>
      </c>
      <c r="B38">
        <v>13990002</v>
      </c>
      <c r="C38" t="s">
        <v>12444</v>
      </c>
      <c r="D38" s="20">
        <v>45929</v>
      </c>
      <c r="E38" t="s">
        <v>12445</v>
      </c>
      <c r="F38">
        <v>500</v>
      </c>
      <c r="G38">
        <v>0</v>
      </c>
      <c r="H38">
        <v>1</v>
      </c>
      <c r="I38">
        <v>500</v>
      </c>
      <c r="J38">
        <v>0</v>
      </c>
      <c r="K38" s="58">
        <f t="shared" si="0"/>
        <v>-500</v>
      </c>
      <c r="L38" t="s">
        <v>12499</v>
      </c>
      <c r="M38" t="s">
        <v>12447</v>
      </c>
      <c r="N38" t="s">
        <v>12473</v>
      </c>
      <c r="O38" t="s">
        <v>12445</v>
      </c>
      <c r="R38" t="s">
        <v>2480</v>
      </c>
      <c r="S38" t="s">
        <v>2481</v>
      </c>
      <c r="T38" t="s">
        <v>12506</v>
      </c>
      <c r="U38">
        <v>0</v>
      </c>
      <c r="V38">
        <v>1234</v>
      </c>
      <c r="X38" t="s">
        <v>12475</v>
      </c>
      <c r="Y38" t="s">
        <v>12445</v>
      </c>
      <c r="Z38">
        <v>2025</v>
      </c>
      <c r="AA38">
        <v>9</v>
      </c>
      <c r="AB38">
        <v>1602</v>
      </c>
      <c r="AC38" t="s">
        <v>12475</v>
      </c>
      <c r="AD38" t="s">
        <v>12445</v>
      </c>
      <c r="AE38">
        <v>2025</v>
      </c>
      <c r="AF38">
        <v>9</v>
      </c>
      <c r="AG38">
        <v>1602</v>
      </c>
      <c r="AI38">
        <v>1234</v>
      </c>
      <c r="AJ38" s="20">
        <v>45929</v>
      </c>
      <c r="AK38" t="s">
        <v>12450</v>
      </c>
      <c r="AL38">
        <v>686</v>
      </c>
      <c r="AM38" t="s">
        <v>12489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D367-3B9E-490E-9FF5-E1971D0F5353}">
  <dimension ref="B1:G51"/>
  <sheetViews>
    <sheetView topLeftCell="A5" workbookViewId="0">
      <selection activeCell="E38" sqref="E38"/>
    </sheetView>
  </sheetViews>
  <sheetFormatPr baseColWidth="10" defaultColWidth="11.42578125" defaultRowHeight="15" x14ac:dyDescent="0.25"/>
  <cols>
    <col min="1" max="1" width="4.5703125" customWidth="1"/>
    <col min="2" max="2" width="40" customWidth="1"/>
    <col min="3" max="3" width="20.7109375" customWidth="1"/>
    <col min="4" max="4" width="21.7109375" customWidth="1"/>
    <col min="5" max="5" width="15.140625" bestFit="1" customWidth="1"/>
    <col min="6" max="6" width="18.140625" customWidth="1"/>
    <col min="7" max="7" width="16" customWidth="1"/>
  </cols>
  <sheetData>
    <row r="1" spans="2:7" ht="15.75" thickBot="1" x14ac:dyDescent="0.3"/>
    <row r="2" spans="2:7" x14ac:dyDescent="0.25">
      <c r="B2" s="78" t="s">
        <v>839</v>
      </c>
      <c r="C2" s="79"/>
      <c r="D2" s="79"/>
      <c r="E2" s="79"/>
      <c r="F2" s="79"/>
      <c r="G2" s="80"/>
    </row>
    <row r="3" spans="2:7" x14ac:dyDescent="0.25">
      <c r="B3" s="27" t="s">
        <v>840</v>
      </c>
      <c r="C3" s="28" t="s">
        <v>841</v>
      </c>
      <c r="D3" s="28" t="s">
        <v>842</v>
      </c>
      <c r="E3" s="28" t="s">
        <v>843</v>
      </c>
      <c r="F3" s="28" t="s">
        <v>844</v>
      </c>
      <c r="G3" s="29" t="s">
        <v>845</v>
      </c>
    </row>
    <row r="4" spans="2:7" x14ac:dyDescent="0.25">
      <c r="B4" s="30" t="s">
        <v>846</v>
      </c>
      <c r="C4" s="31">
        <v>26067416.320000008</v>
      </c>
      <c r="D4" s="31" t="s">
        <v>12507</v>
      </c>
      <c r="E4" s="31">
        <v>26102871.360000007</v>
      </c>
      <c r="F4" s="31">
        <v>26088645.070000008</v>
      </c>
      <c r="G4" s="32">
        <v>35455.039999991655</v>
      </c>
    </row>
    <row r="5" spans="2:7" x14ac:dyDescent="0.25">
      <c r="B5" s="30" t="s">
        <v>847</v>
      </c>
      <c r="C5" s="31">
        <v>35455.039999991655</v>
      </c>
      <c r="D5" s="31">
        <v>35455.039999991655</v>
      </c>
      <c r="E5" s="31">
        <v>35455.039999991655</v>
      </c>
      <c r="F5" s="31">
        <v>35455.039999991655</v>
      </c>
      <c r="G5" s="32">
        <v>35455.039999991655</v>
      </c>
    </row>
    <row r="6" spans="2:7" x14ac:dyDescent="0.25">
      <c r="B6" s="30" t="s">
        <v>848</v>
      </c>
      <c r="C6" s="33">
        <v>9.1510617921635438E-4</v>
      </c>
      <c r="D6" s="33">
        <v>9.4944625316221174E-4</v>
      </c>
      <c r="E6" s="33">
        <v>1.5688806608428376E-3</v>
      </c>
      <c r="F6" s="34">
        <v>1</v>
      </c>
      <c r="G6" s="35">
        <v>1</v>
      </c>
    </row>
    <row r="7" spans="2:7" ht="15.75" thickBot="1" x14ac:dyDescent="0.3">
      <c r="B7" s="36" t="s">
        <v>849</v>
      </c>
      <c r="C7" s="37">
        <f>C6*3.5%</f>
        <v>3.2028716272572408E-5</v>
      </c>
      <c r="D7" s="37">
        <f t="shared" ref="D7:E7" si="0">D6*3.5%</f>
        <v>3.3230618860677417E-5</v>
      </c>
      <c r="E7" s="37">
        <f t="shared" si="0"/>
        <v>5.4910823129499322E-5</v>
      </c>
      <c r="F7" s="38">
        <v>0</v>
      </c>
      <c r="G7" s="39">
        <v>0</v>
      </c>
    </row>
    <row r="8" spans="2:7" ht="15.75" thickBot="1" x14ac:dyDescent="0.3">
      <c r="B8" s="40" t="s">
        <v>850</v>
      </c>
      <c r="C8" s="41">
        <f>C6+C7</f>
        <v>9.471348954889268E-4</v>
      </c>
      <c r="D8" s="41">
        <f t="shared" ref="D8:G8" si="1">D6+D7</f>
        <v>9.8267687202288926E-4</v>
      </c>
      <c r="E8" s="41">
        <f t="shared" si="1"/>
        <v>1.6237914839723369E-3</v>
      </c>
      <c r="F8" s="42">
        <f t="shared" si="1"/>
        <v>1</v>
      </c>
      <c r="G8" s="43">
        <f t="shared" si="1"/>
        <v>1</v>
      </c>
    </row>
    <row r="9" spans="2:7" ht="15.75" thickBot="1" x14ac:dyDescent="0.3"/>
    <row r="10" spans="2:7" x14ac:dyDescent="0.25">
      <c r="B10" s="78" t="s">
        <v>851</v>
      </c>
      <c r="C10" s="79"/>
      <c r="D10" s="79"/>
      <c r="E10" s="79"/>
      <c r="F10" s="79"/>
      <c r="G10" s="80"/>
    </row>
    <row r="11" spans="2:7" x14ac:dyDescent="0.25">
      <c r="B11" s="27" t="s">
        <v>840</v>
      </c>
      <c r="C11" s="28" t="s">
        <v>841</v>
      </c>
      <c r="D11" s="28" t="s">
        <v>842</v>
      </c>
      <c r="E11" s="28" t="s">
        <v>843</v>
      </c>
      <c r="F11" s="28" t="s">
        <v>844</v>
      </c>
      <c r="G11" s="29" t="s">
        <v>845</v>
      </c>
    </row>
    <row r="12" spans="2:7" x14ac:dyDescent="0.25">
      <c r="B12" s="44" t="s">
        <v>846</v>
      </c>
      <c r="C12" s="45">
        <v>122928689.20999981</v>
      </c>
      <c r="D12" s="45">
        <v>28281881.70999983</v>
      </c>
      <c r="E12" s="45">
        <v>9292427.8699998297</v>
      </c>
      <c r="F12" s="45">
        <v>1408461.5499998294</v>
      </c>
      <c r="G12" s="46">
        <v>250074.19999982929</v>
      </c>
    </row>
    <row r="13" spans="2:7" x14ac:dyDescent="0.25">
      <c r="B13" s="44" t="s">
        <v>847</v>
      </c>
      <c r="C13" s="45">
        <v>250074.19999982929</v>
      </c>
      <c r="D13" s="45">
        <v>250074.19999982929</v>
      </c>
      <c r="E13" s="45">
        <v>250074.19999982929</v>
      </c>
      <c r="F13" s="45">
        <v>250074.19999982929</v>
      </c>
      <c r="G13" s="46">
        <v>250074.19999982929</v>
      </c>
    </row>
    <row r="14" spans="2:7" x14ac:dyDescent="0.25">
      <c r="B14" s="44" t="s">
        <v>848</v>
      </c>
      <c r="C14" s="47">
        <v>2.0343029898628956E-3</v>
      </c>
      <c r="D14" s="47">
        <v>8.8422051461805231E-3</v>
      </c>
      <c r="E14" s="47">
        <v>2.6911610560592263E-2</v>
      </c>
      <c r="F14" s="47">
        <v>0.17755131476600094</v>
      </c>
      <c r="G14" s="48">
        <v>1</v>
      </c>
    </row>
    <row r="15" spans="2:7" ht="15.75" thickBot="1" x14ac:dyDescent="0.3">
      <c r="B15" s="36" t="s">
        <v>849</v>
      </c>
      <c r="C15" s="37">
        <f>C14*3.5%</f>
        <v>7.1200604645201349E-5</v>
      </c>
      <c r="D15" s="37">
        <f t="shared" ref="D15:E15" si="2">D14*3.5%</f>
        <v>3.0947718011631835E-4</v>
      </c>
      <c r="E15" s="37">
        <f t="shared" si="2"/>
        <v>9.4190636962072926E-4</v>
      </c>
      <c r="F15" s="49">
        <f>F14*3.5%</f>
        <v>6.2142960168100336E-3</v>
      </c>
      <c r="G15" s="39">
        <v>0</v>
      </c>
    </row>
    <row r="16" spans="2:7" ht="15.75" thickBot="1" x14ac:dyDescent="0.3">
      <c r="B16" s="40" t="s">
        <v>850</v>
      </c>
      <c r="C16" s="41">
        <f>C14+C15</f>
        <v>2.1055035945080972E-3</v>
      </c>
      <c r="D16" s="41">
        <f t="shared" ref="D16:G16" si="3">D14+D15</f>
        <v>9.1516823262968415E-3</v>
      </c>
      <c r="E16" s="50">
        <f t="shared" si="3"/>
        <v>2.7853516930212992E-2</v>
      </c>
      <c r="F16" s="51">
        <f t="shared" si="3"/>
        <v>0.18376561078281098</v>
      </c>
      <c r="G16" s="43">
        <f t="shared" si="3"/>
        <v>1</v>
      </c>
    </row>
    <row r="19" spans="2:2" ht="15.75" thickBot="1" x14ac:dyDescent="0.3"/>
    <row r="20" spans="2:2" ht="15.75" thickBot="1" x14ac:dyDescent="0.3">
      <c r="B20" s="23" t="s">
        <v>852</v>
      </c>
    </row>
    <row r="21" spans="2:2" x14ac:dyDescent="0.25">
      <c r="B21" s="24" t="s">
        <v>11</v>
      </c>
    </row>
    <row r="22" spans="2:2" x14ac:dyDescent="0.25">
      <c r="B22" s="25" t="s">
        <v>16</v>
      </c>
    </row>
    <row r="23" spans="2:2" x14ac:dyDescent="0.25">
      <c r="B23" s="25" t="s">
        <v>29</v>
      </c>
    </row>
    <row r="24" spans="2:2" x14ac:dyDescent="0.25">
      <c r="B24" s="25" t="s">
        <v>30</v>
      </c>
    </row>
    <row r="25" spans="2:2" x14ac:dyDescent="0.25">
      <c r="B25" s="25" t="s">
        <v>853</v>
      </c>
    </row>
    <row r="26" spans="2:2" x14ac:dyDescent="0.25">
      <c r="B26" s="25" t="s">
        <v>854</v>
      </c>
    </row>
    <row r="27" spans="2:2" x14ac:dyDescent="0.25">
      <c r="B27" s="25" t="s">
        <v>49</v>
      </c>
    </row>
    <row r="28" spans="2:2" x14ac:dyDescent="0.25">
      <c r="B28" s="25" t="s">
        <v>50</v>
      </c>
    </row>
    <row r="29" spans="2:2" x14ac:dyDescent="0.25">
      <c r="B29" s="25" t="s">
        <v>855</v>
      </c>
    </row>
    <row r="30" spans="2:2" x14ac:dyDescent="0.25">
      <c r="B30" s="25" t="s">
        <v>9</v>
      </c>
    </row>
    <row r="31" spans="2:2" ht="15.75" thickBot="1" x14ac:dyDescent="0.3">
      <c r="B31" s="26" t="s">
        <v>365</v>
      </c>
    </row>
    <row r="33" spans="2:2" ht="15.75" thickBot="1" x14ac:dyDescent="0.3"/>
    <row r="34" spans="2:2" ht="15.75" thickBot="1" x14ac:dyDescent="0.3">
      <c r="B34" s="52" t="s">
        <v>856</v>
      </c>
    </row>
    <row r="35" spans="2:2" x14ac:dyDescent="0.25">
      <c r="B35" s="53" t="s">
        <v>134</v>
      </c>
    </row>
    <row r="36" spans="2:2" x14ac:dyDescent="0.25">
      <c r="B36" s="54" t="s">
        <v>133</v>
      </c>
    </row>
    <row r="37" spans="2:2" x14ac:dyDescent="0.25">
      <c r="B37" s="54" t="s">
        <v>132</v>
      </c>
    </row>
    <row r="38" spans="2:2" x14ac:dyDescent="0.25">
      <c r="B38" s="54" t="s">
        <v>131</v>
      </c>
    </row>
    <row r="39" spans="2:2" x14ac:dyDescent="0.25">
      <c r="B39" s="54" t="s">
        <v>658</v>
      </c>
    </row>
    <row r="40" spans="2:2" x14ac:dyDescent="0.25">
      <c r="B40" s="54" t="s">
        <v>130</v>
      </c>
    </row>
    <row r="41" spans="2:2" x14ac:dyDescent="0.25">
      <c r="B41" s="54" t="s">
        <v>136</v>
      </c>
    </row>
    <row r="42" spans="2:2" x14ac:dyDescent="0.25">
      <c r="B42" s="54" t="s">
        <v>659</v>
      </c>
    </row>
    <row r="43" spans="2:2" x14ac:dyDescent="0.25">
      <c r="B43" s="54" t="s">
        <v>135</v>
      </c>
    </row>
    <row r="44" spans="2:2" x14ac:dyDescent="0.25">
      <c r="B44" s="54" t="s">
        <v>224</v>
      </c>
    </row>
    <row r="45" spans="2:2" x14ac:dyDescent="0.25">
      <c r="B45" s="54" t="s">
        <v>225</v>
      </c>
    </row>
    <row r="46" spans="2:2" x14ac:dyDescent="0.25">
      <c r="B46" s="54" t="s">
        <v>314</v>
      </c>
    </row>
    <row r="47" spans="2:2" x14ac:dyDescent="0.25">
      <c r="B47" s="54" t="s">
        <v>151</v>
      </c>
    </row>
    <row r="48" spans="2:2" x14ac:dyDescent="0.25">
      <c r="B48" s="54" t="s">
        <v>154</v>
      </c>
    </row>
    <row r="49" spans="2:2" x14ac:dyDescent="0.25">
      <c r="B49" s="54" t="s">
        <v>563</v>
      </c>
    </row>
    <row r="50" spans="2:2" x14ac:dyDescent="0.25">
      <c r="B50" s="54" t="s">
        <v>143</v>
      </c>
    </row>
    <row r="51" spans="2:2" ht="15.75" thickBot="1" x14ac:dyDescent="0.3">
      <c r="B51" s="55" t="s">
        <v>70</v>
      </c>
    </row>
  </sheetData>
  <mergeCells count="2">
    <mergeCell ref="B2:G2"/>
    <mergeCell ref="B10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DF8E-7B5B-482F-BC9C-DF07AB3130C1}">
  <dimension ref="A1:C6191"/>
  <sheetViews>
    <sheetView topLeftCell="A67" workbookViewId="0">
      <selection activeCell="B107" sqref="B107"/>
    </sheetView>
  </sheetViews>
  <sheetFormatPr baseColWidth="10" defaultRowHeight="15" x14ac:dyDescent="0.25"/>
  <cols>
    <col min="1" max="1" width="11.7109375" customWidth="1"/>
    <col min="2" max="2" width="62.42578125" bestFit="1" customWidth="1"/>
    <col min="3" max="3" width="13.5703125" bestFit="1" customWidth="1"/>
  </cols>
  <sheetData>
    <row r="1" spans="1:3" x14ac:dyDescent="0.25">
      <c r="A1" t="s">
        <v>1</v>
      </c>
      <c r="B1" t="s">
        <v>12388</v>
      </c>
      <c r="C1" t="s">
        <v>12386</v>
      </c>
    </row>
    <row r="2" spans="1:3" x14ac:dyDescent="0.25">
      <c r="A2">
        <v>1</v>
      </c>
      <c r="B2" t="s">
        <v>975</v>
      </c>
    </row>
    <row r="3" spans="1:3" x14ac:dyDescent="0.25">
      <c r="A3" t="s">
        <v>976</v>
      </c>
      <c r="B3" t="s">
        <v>64</v>
      </c>
    </row>
    <row r="4" spans="1:3" x14ac:dyDescent="0.25">
      <c r="A4" t="s">
        <v>977</v>
      </c>
      <c r="B4" t="s">
        <v>87</v>
      </c>
    </row>
    <row r="5" spans="1:3" x14ac:dyDescent="0.25">
      <c r="A5" t="s">
        <v>978</v>
      </c>
      <c r="B5" t="s">
        <v>441</v>
      </c>
    </row>
    <row r="6" spans="1:3" x14ac:dyDescent="0.25">
      <c r="A6" t="s">
        <v>979</v>
      </c>
      <c r="B6" t="s">
        <v>651</v>
      </c>
    </row>
    <row r="7" spans="1:3" x14ac:dyDescent="0.25">
      <c r="A7" t="s">
        <v>980</v>
      </c>
      <c r="B7" t="s">
        <v>90</v>
      </c>
    </row>
    <row r="8" spans="1:3" x14ac:dyDescent="0.25">
      <c r="A8" t="s">
        <v>981</v>
      </c>
      <c r="B8" t="s">
        <v>17</v>
      </c>
    </row>
    <row r="9" spans="1:3" x14ac:dyDescent="0.25">
      <c r="A9" t="s">
        <v>982</v>
      </c>
      <c r="B9" t="s">
        <v>107</v>
      </c>
    </row>
    <row r="10" spans="1:3" x14ac:dyDescent="0.25">
      <c r="A10" t="s">
        <v>983</v>
      </c>
      <c r="B10" t="s">
        <v>115</v>
      </c>
    </row>
    <row r="11" spans="1:3" x14ac:dyDescent="0.25">
      <c r="A11" t="s">
        <v>984</v>
      </c>
      <c r="B11" t="s">
        <v>116</v>
      </c>
    </row>
    <row r="12" spans="1:3" x14ac:dyDescent="0.25">
      <c r="A12" t="s">
        <v>985</v>
      </c>
      <c r="B12" t="s">
        <v>986</v>
      </c>
    </row>
    <row r="13" spans="1:3" x14ac:dyDescent="0.25">
      <c r="A13" t="s">
        <v>987</v>
      </c>
      <c r="B13" t="s">
        <v>121</v>
      </c>
    </row>
    <row r="14" spans="1:3" x14ac:dyDescent="0.25">
      <c r="A14" t="s">
        <v>988</v>
      </c>
      <c r="B14" t="s">
        <v>989</v>
      </c>
    </row>
    <row r="15" spans="1:3" x14ac:dyDescent="0.25">
      <c r="A15" t="s">
        <v>990</v>
      </c>
      <c r="B15" t="s">
        <v>493</v>
      </c>
    </row>
    <row r="16" spans="1:3" x14ac:dyDescent="0.25">
      <c r="A16" t="s">
        <v>991</v>
      </c>
      <c r="B16" t="s">
        <v>141</v>
      </c>
    </row>
    <row r="17" spans="1:2" x14ac:dyDescent="0.25">
      <c r="A17" t="s">
        <v>992</v>
      </c>
      <c r="B17" t="s">
        <v>993</v>
      </c>
    </row>
    <row r="18" spans="1:2" x14ac:dyDescent="0.25">
      <c r="A18" t="s">
        <v>994</v>
      </c>
      <c r="B18" t="s">
        <v>995</v>
      </c>
    </row>
    <row r="19" spans="1:2" x14ac:dyDescent="0.25">
      <c r="A19" t="s">
        <v>996</v>
      </c>
      <c r="B19" t="s">
        <v>997</v>
      </c>
    </row>
    <row r="20" spans="1:2" x14ac:dyDescent="0.25">
      <c r="A20" t="s">
        <v>998</v>
      </c>
      <c r="B20" t="s">
        <v>21</v>
      </c>
    </row>
    <row r="21" spans="1:2" x14ac:dyDescent="0.25">
      <c r="A21" t="s">
        <v>999</v>
      </c>
      <c r="B21" t="s">
        <v>172</v>
      </c>
    </row>
    <row r="22" spans="1:2" x14ac:dyDescent="0.25">
      <c r="A22" t="s">
        <v>1000</v>
      </c>
      <c r="B22" t="s">
        <v>174</v>
      </c>
    </row>
    <row r="23" spans="1:2" x14ac:dyDescent="0.25">
      <c r="A23" t="s">
        <v>1001</v>
      </c>
      <c r="B23" t="s">
        <v>180</v>
      </c>
    </row>
    <row r="24" spans="1:2" x14ac:dyDescent="0.25">
      <c r="A24" t="s">
        <v>1002</v>
      </c>
      <c r="B24" t="s">
        <v>397</v>
      </c>
    </row>
    <row r="25" spans="1:2" x14ac:dyDescent="0.25">
      <c r="A25" t="s">
        <v>1003</v>
      </c>
      <c r="B25" t="s">
        <v>554</v>
      </c>
    </row>
    <row r="26" spans="1:2" x14ac:dyDescent="0.25">
      <c r="A26" t="s">
        <v>1004</v>
      </c>
      <c r="B26" t="s">
        <v>1005</v>
      </c>
    </row>
    <row r="27" spans="1:2" x14ac:dyDescent="0.25">
      <c r="A27" t="s">
        <v>1006</v>
      </c>
      <c r="B27" t="s">
        <v>26</v>
      </c>
    </row>
    <row r="28" spans="1:2" x14ac:dyDescent="0.25">
      <c r="A28" t="s">
        <v>1007</v>
      </c>
      <c r="B28" t="s">
        <v>1008</v>
      </c>
    </row>
    <row r="29" spans="1:2" x14ac:dyDescent="0.25">
      <c r="A29" t="s">
        <v>1009</v>
      </c>
      <c r="B29" t="s">
        <v>667</v>
      </c>
    </row>
    <row r="30" spans="1:2" x14ac:dyDescent="0.25">
      <c r="A30" t="s">
        <v>1010</v>
      </c>
      <c r="B30" t="s">
        <v>208</v>
      </c>
    </row>
    <row r="31" spans="1:2" x14ac:dyDescent="0.25">
      <c r="A31" t="s">
        <v>1011</v>
      </c>
      <c r="B31" t="s">
        <v>1012</v>
      </c>
    </row>
    <row r="32" spans="1:2" x14ac:dyDescent="0.25">
      <c r="A32" t="s">
        <v>1013</v>
      </c>
      <c r="B32" t="s">
        <v>210</v>
      </c>
    </row>
    <row r="33" spans="1:2" x14ac:dyDescent="0.25">
      <c r="A33" t="s">
        <v>1014</v>
      </c>
      <c r="B33" t="s">
        <v>460</v>
      </c>
    </row>
    <row r="34" spans="1:2" x14ac:dyDescent="0.25">
      <c r="A34" t="s">
        <v>1015</v>
      </c>
      <c r="B34" t="s">
        <v>461</v>
      </c>
    </row>
    <row r="35" spans="1:2" x14ac:dyDescent="0.25">
      <c r="A35" t="s">
        <v>1016</v>
      </c>
      <c r="B35" t="s">
        <v>1017</v>
      </c>
    </row>
    <row r="36" spans="1:2" x14ac:dyDescent="0.25">
      <c r="A36" t="s">
        <v>1018</v>
      </c>
      <c r="B36" t="s">
        <v>1019</v>
      </c>
    </row>
    <row r="37" spans="1:2" x14ac:dyDescent="0.25">
      <c r="A37" t="s">
        <v>1020</v>
      </c>
      <c r="B37" t="s">
        <v>31</v>
      </c>
    </row>
    <row r="38" spans="1:2" x14ac:dyDescent="0.25">
      <c r="A38" t="s">
        <v>1021</v>
      </c>
      <c r="B38" t="s">
        <v>256</v>
      </c>
    </row>
    <row r="39" spans="1:2" x14ac:dyDescent="0.25">
      <c r="A39" t="s">
        <v>1022</v>
      </c>
      <c r="B39" t="s">
        <v>687</v>
      </c>
    </row>
    <row r="40" spans="1:2" x14ac:dyDescent="0.25">
      <c r="A40" t="s">
        <v>1023</v>
      </c>
      <c r="B40" t="s">
        <v>264</v>
      </c>
    </row>
    <row r="41" spans="1:2" x14ac:dyDescent="0.25">
      <c r="A41" t="s">
        <v>1024</v>
      </c>
      <c r="B41" t="s">
        <v>265</v>
      </c>
    </row>
    <row r="42" spans="1:2" x14ac:dyDescent="0.25">
      <c r="A42" t="s">
        <v>1025</v>
      </c>
      <c r="B42" t="s">
        <v>1026</v>
      </c>
    </row>
    <row r="43" spans="1:2" x14ac:dyDescent="0.25">
      <c r="A43" t="s">
        <v>1027</v>
      </c>
      <c r="B43" t="s">
        <v>1028</v>
      </c>
    </row>
    <row r="44" spans="1:2" x14ac:dyDescent="0.25">
      <c r="A44" t="s">
        <v>1029</v>
      </c>
      <c r="B44" t="s">
        <v>1030</v>
      </c>
    </row>
    <row r="45" spans="1:2" x14ac:dyDescent="0.25">
      <c r="A45" t="s">
        <v>1031</v>
      </c>
      <c r="B45" t="s">
        <v>280</v>
      </c>
    </row>
    <row r="46" spans="1:2" x14ac:dyDescent="0.25">
      <c r="A46" t="s">
        <v>1032</v>
      </c>
      <c r="B46" t="s">
        <v>35</v>
      </c>
    </row>
    <row r="47" spans="1:2" x14ac:dyDescent="0.25">
      <c r="A47" t="s">
        <v>1033</v>
      </c>
      <c r="B47" t="s">
        <v>472</v>
      </c>
    </row>
    <row r="48" spans="1:2" x14ac:dyDescent="0.25">
      <c r="A48" t="s">
        <v>1034</v>
      </c>
      <c r="B48" t="s">
        <v>283</v>
      </c>
    </row>
    <row r="49" spans="1:2" x14ac:dyDescent="0.25">
      <c r="A49" t="s">
        <v>1035</v>
      </c>
      <c r="B49" t="s">
        <v>1036</v>
      </c>
    </row>
    <row r="50" spans="1:2" x14ac:dyDescent="0.25">
      <c r="A50" t="s">
        <v>1037</v>
      </c>
      <c r="B50" t="s">
        <v>567</v>
      </c>
    </row>
    <row r="51" spans="1:2" x14ac:dyDescent="0.25">
      <c r="A51" t="s">
        <v>1038</v>
      </c>
      <c r="B51" t="s">
        <v>289</v>
      </c>
    </row>
    <row r="52" spans="1:2" x14ac:dyDescent="0.25">
      <c r="A52" t="s">
        <v>1039</v>
      </c>
      <c r="B52" t="s">
        <v>291</v>
      </c>
    </row>
    <row r="53" spans="1:2" x14ac:dyDescent="0.25">
      <c r="A53" t="s">
        <v>1040</v>
      </c>
      <c r="B53" t="s">
        <v>299</v>
      </c>
    </row>
    <row r="54" spans="1:2" x14ac:dyDescent="0.25">
      <c r="A54" t="s">
        <v>1041</v>
      </c>
      <c r="B54" t="s">
        <v>639</v>
      </c>
    </row>
    <row r="55" spans="1:2" x14ac:dyDescent="0.25">
      <c r="A55" t="s">
        <v>1042</v>
      </c>
      <c r="B55" t="s">
        <v>302</v>
      </c>
    </row>
    <row r="56" spans="1:2" x14ac:dyDescent="0.25">
      <c r="A56" t="s">
        <v>1043</v>
      </c>
      <c r="B56" t="s">
        <v>36</v>
      </c>
    </row>
    <row r="57" spans="1:2" x14ac:dyDescent="0.25">
      <c r="A57" t="s">
        <v>1044</v>
      </c>
      <c r="B57" t="s">
        <v>1045</v>
      </c>
    </row>
    <row r="58" spans="1:2" x14ac:dyDescent="0.25">
      <c r="A58" t="s">
        <v>1046</v>
      </c>
      <c r="B58" t="s">
        <v>590</v>
      </c>
    </row>
    <row r="59" spans="1:2" x14ac:dyDescent="0.25">
      <c r="A59" t="s">
        <v>1047</v>
      </c>
      <c r="B59" t="s">
        <v>1048</v>
      </c>
    </row>
    <row r="60" spans="1:2" x14ac:dyDescent="0.25">
      <c r="A60" t="s">
        <v>1049</v>
      </c>
      <c r="B60" t="s">
        <v>1050</v>
      </c>
    </row>
    <row r="61" spans="1:2" x14ac:dyDescent="0.25">
      <c r="A61" t="s">
        <v>1051</v>
      </c>
      <c r="B61" t="s">
        <v>51</v>
      </c>
    </row>
    <row r="62" spans="1:2" x14ac:dyDescent="0.25">
      <c r="A62" t="s">
        <v>1052</v>
      </c>
      <c r="B62" t="s">
        <v>422</v>
      </c>
    </row>
    <row r="63" spans="1:2" x14ac:dyDescent="0.25">
      <c r="A63" t="s">
        <v>1053</v>
      </c>
      <c r="B63" t="s">
        <v>1054</v>
      </c>
    </row>
    <row r="64" spans="1:2" x14ac:dyDescent="0.25">
      <c r="A64" t="s">
        <v>1055</v>
      </c>
      <c r="B64" t="s">
        <v>1056</v>
      </c>
    </row>
    <row r="65" spans="1:3" x14ac:dyDescent="0.25">
      <c r="A65" t="s">
        <v>1057</v>
      </c>
      <c r="B65" t="s">
        <v>1058</v>
      </c>
    </row>
    <row r="66" spans="1:3" x14ac:dyDescent="0.25">
      <c r="A66" t="s">
        <v>1059</v>
      </c>
      <c r="B66" t="s">
        <v>1060</v>
      </c>
    </row>
    <row r="67" spans="1:3" x14ac:dyDescent="0.25">
      <c r="A67" t="s">
        <v>1061</v>
      </c>
      <c r="B67" t="s">
        <v>327</v>
      </c>
    </row>
    <row r="68" spans="1:3" x14ac:dyDescent="0.25">
      <c r="A68" t="s">
        <v>1062</v>
      </c>
      <c r="B68" t="s">
        <v>330</v>
      </c>
    </row>
    <row r="69" spans="1:3" x14ac:dyDescent="0.25">
      <c r="A69" t="s">
        <v>1063</v>
      </c>
      <c r="B69" t="s">
        <v>775</v>
      </c>
    </row>
    <row r="70" spans="1:3" x14ac:dyDescent="0.25">
      <c r="A70" t="s">
        <v>1064</v>
      </c>
      <c r="B70" t="s">
        <v>529</v>
      </c>
    </row>
    <row r="71" spans="1:3" x14ac:dyDescent="0.25">
      <c r="A71" t="s">
        <v>1065</v>
      </c>
      <c r="B71" t="s">
        <v>340</v>
      </c>
    </row>
    <row r="72" spans="1:3" x14ac:dyDescent="0.25">
      <c r="A72" t="s">
        <v>1066</v>
      </c>
      <c r="B72" t="s">
        <v>1067</v>
      </c>
      <c r="C72" t="s">
        <v>1095</v>
      </c>
    </row>
    <row r="73" spans="1:3" x14ac:dyDescent="0.25">
      <c r="A73" t="s">
        <v>1068</v>
      </c>
      <c r="B73" t="s">
        <v>341</v>
      </c>
    </row>
    <row r="74" spans="1:3" x14ac:dyDescent="0.25">
      <c r="A74" t="s">
        <v>1069</v>
      </c>
      <c r="B74" t="s">
        <v>1070</v>
      </c>
    </row>
    <row r="75" spans="1:3" x14ac:dyDescent="0.25">
      <c r="A75" t="s">
        <v>1071</v>
      </c>
      <c r="B75" t="s">
        <v>349</v>
      </c>
    </row>
    <row r="76" spans="1:3" x14ac:dyDescent="0.25">
      <c r="A76" t="s">
        <v>1072</v>
      </c>
      <c r="B76" t="s">
        <v>350</v>
      </c>
    </row>
    <row r="77" spans="1:3" x14ac:dyDescent="0.25">
      <c r="A77" t="s">
        <v>1073</v>
      </c>
      <c r="B77" t="s">
        <v>1074</v>
      </c>
    </row>
    <row r="78" spans="1:3" x14ac:dyDescent="0.25">
      <c r="A78" t="s">
        <v>1075</v>
      </c>
      <c r="B78" t="s">
        <v>1076</v>
      </c>
    </row>
    <row r="79" spans="1:3" x14ac:dyDescent="0.25">
      <c r="A79" t="s">
        <v>1077</v>
      </c>
      <c r="B79" t="s">
        <v>353</v>
      </c>
    </row>
    <row r="80" spans="1:3" x14ac:dyDescent="0.25">
      <c r="A80" t="s">
        <v>1078</v>
      </c>
      <c r="B80" t="s">
        <v>55</v>
      </c>
    </row>
    <row r="81" spans="1:3" x14ac:dyDescent="0.25">
      <c r="A81" t="s">
        <v>1079</v>
      </c>
      <c r="B81" t="s">
        <v>1080</v>
      </c>
    </row>
    <row r="82" spans="1:3" x14ac:dyDescent="0.25">
      <c r="A82" t="s">
        <v>1081</v>
      </c>
      <c r="B82" t="s">
        <v>533</v>
      </c>
    </row>
    <row r="83" spans="1:3" x14ac:dyDescent="0.25">
      <c r="A83" t="s">
        <v>1082</v>
      </c>
      <c r="B83" t="s">
        <v>431</v>
      </c>
    </row>
    <row r="84" spans="1:3" x14ac:dyDescent="0.25">
      <c r="A84" t="s">
        <v>1083</v>
      </c>
      <c r="B84" t="s">
        <v>362</v>
      </c>
    </row>
    <row r="85" spans="1:3" x14ac:dyDescent="0.25">
      <c r="A85" t="s">
        <v>1084</v>
      </c>
      <c r="B85" t="s">
        <v>433</v>
      </c>
    </row>
    <row r="86" spans="1:3" x14ac:dyDescent="0.25">
      <c r="A86" t="s">
        <v>1085</v>
      </c>
      <c r="B86" t="s">
        <v>535</v>
      </c>
    </row>
    <row r="87" spans="1:3" x14ac:dyDescent="0.25">
      <c r="A87" t="s">
        <v>1086</v>
      </c>
      <c r="B87" t="s">
        <v>1087</v>
      </c>
      <c r="C87" t="s">
        <v>2802</v>
      </c>
    </row>
    <row r="88" spans="1:3" x14ac:dyDescent="0.25">
      <c r="A88" t="s">
        <v>1088</v>
      </c>
      <c r="B88" t="s">
        <v>1089</v>
      </c>
    </row>
    <row r="89" spans="1:3" x14ac:dyDescent="0.25">
      <c r="A89" t="s">
        <v>1090</v>
      </c>
      <c r="B89" t="s">
        <v>1091</v>
      </c>
    </row>
    <row r="90" spans="1:3" x14ac:dyDescent="0.25">
      <c r="A90" t="s">
        <v>1092</v>
      </c>
      <c r="B90" t="s">
        <v>369</v>
      </c>
    </row>
    <row r="91" spans="1:3" x14ac:dyDescent="0.25">
      <c r="A91" t="s">
        <v>1093</v>
      </c>
      <c r="B91" t="s">
        <v>1094</v>
      </c>
      <c r="C91" t="s">
        <v>980</v>
      </c>
    </row>
    <row r="92" spans="1:3" x14ac:dyDescent="0.25">
      <c r="A92" t="s">
        <v>1095</v>
      </c>
      <c r="B92" t="s">
        <v>574</v>
      </c>
    </row>
    <row r="93" spans="1:3" x14ac:dyDescent="0.25">
      <c r="A93" t="s">
        <v>1096</v>
      </c>
      <c r="B93" t="s">
        <v>586</v>
      </c>
    </row>
    <row r="94" spans="1:3" x14ac:dyDescent="0.25">
      <c r="A94" t="s">
        <v>1097</v>
      </c>
      <c r="B94" t="s">
        <v>555</v>
      </c>
    </row>
    <row r="95" spans="1:3" x14ac:dyDescent="0.25">
      <c r="A95" t="s">
        <v>1098</v>
      </c>
      <c r="B95" t="s">
        <v>1099</v>
      </c>
    </row>
    <row r="96" spans="1:3" x14ac:dyDescent="0.25">
      <c r="A96" t="s">
        <v>1100</v>
      </c>
      <c r="B96" t="s">
        <v>1101</v>
      </c>
    </row>
    <row r="97" spans="1:2" x14ac:dyDescent="0.25">
      <c r="A97" t="s">
        <v>1102</v>
      </c>
      <c r="B97" t="s">
        <v>1103</v>
      </c>
    </row>
    <row r="98" spans="1:2" x14ac:dyDescent="0.25">
      <c r="A98" t="s">
        <v>1104</v>
      </c>
      <c r="B98" t="s">
        <v>1105</v>
      </c>
    </row>
    <row r="99" spans="1:2" x14ac:dyDescent="0.25">
      <c r="A99" t="s">
        <v>1106</v>
      </c>
      <c r="B99" t="s">
        <v>1107</v>
      </c>
    </row>
    <row r="100" spans="1:2" x14ac:dyDescent="0.25">
      <c r="A100" t="s">
        <v>1108</v>
      </c>
      <c r="B100" t="s">
        <v>1109</v>
      </c>
    </row>
    <row r="101" spans="1:2" x14ac:dyDescent="0.25">
      <c r="A101" t="s">
        <v>1110</v>
      </c>
      <c r="B101" t="s">
        <v>1111</v>
      </c>
    </row>
    <row r="102" spans="1:2" x14ac:dyDescent="0.25">
      <c r="A102" t="s">
        <v>1112</v>
      </c>
      <c r="B102" t="s">
        <v>143</v>
      </c>
    </row>
    <row r="103" spans="1:2" x14ac:dyDescent="0.25">
      <c r="A103" t="s">
        <v>1113</v>
      </c>
      <c r="B103" t="s">
        <v>134</v>
      </c>
    </row>
    <row r="104" spans="1:2" x14ac:dyDescent="0.25">
      <c r="A104" t="s">
        <v>1114</v>
      </c>
      <c r="B104" t="s">
        <v>133</v>
      </c>
    </row>
    <row r="105" spans="1:2" x14ac:dyDescent="0.25">
      <c r="A105" t="s">
        <v>1115</v>
      </c>
      <c r="B105" t="s">
        <v>132</v>
      </c>
    </row>
    <row r="106" spans="1:2" x14ac:dyDescent="0.25">
      <c r="A106" t="s">
        <v>1116</v>
      </c>
      <c r="B106" t="s">
        <v>131</v>
      </c>
    </row>
    <row r="107" spans="1:2" x14ac:dyDescent="0.25">
      <c r="A107" t="s">
        <v>1117</v>
      </c>
      <c r="B107" t="s">
        <v>658</v>
      </c>
    </row>
    <row r="108" spans="1:2" x14ac:dyDescent="0.25">
      <c r="A108" t="s">
        <v>1118</v>
      </c>
      <c r="B108" t="s">
        <v>130</v>
      </c>
    </row>
    <row r="109" spans="1:2" x14ac:dyDescent="0.25">
      <c r="A109" t="s">
        <v>1119</v>
      </c>
      <c r="B109" t="s">
        <v>1120</v>
      </c>
    </row>
    <row r="110" spans="1:2" x14ac:dyDescent="0.25">
      <c r="A110" t="s">
        <v>1121</v>
      </c>
      <c r="B110" t="s">
        <v>136</v>
      </c>
    </row>
    <row r="111" spans="1:2" x14ac:dyDescent="0.25">
      <c r="A111" t="s">
        <v>1122</v>
      </c>
      <c r="B111" t="s">
        <v>1123</v>
      </c>
    </row>
    <row r="112" spans="1:2" x14ac:dyDescent="0.25">
      <c r="A112" t="s">
        <v>1124</v>
      </c>
      <c r="B112" t="s">
        <v>1125</v>
      </c>
    </row>
    <row r="113" spans="1:3" x14ac:dyDescent="0.25">
      <c r="A113" t="s">
        <v>1126</v>
      </c>
      <c r="B113" t="s">
        <v>1127</v>
      </c>
    </row>
    <row r="114" spans="1:3" x14ac:dyDescent="0.25">
      <c r="A114" t="s">
        <v>1128</v>
      </c>
      <c r="B114" t="s">
        <v>659</v>
      </c>
    </row>
    <row r="115" spans="1:3" x14ac:dyDescent="0.25">
      <c r="A115" t="s">
        <v>1129</v>
      </c>
      <c r="B115" t="s">
        <v>135</v>
      </c>
    </row>
    <row r="116" spans="1:3" x14ac:dyDescent="0.25">
      <c r="A116" t="s">
        <v>1130</v>
      </c>
      <c r="B116" t="s">
        <v>1131</v>
      </c>
    </row>
    <row r="117" spans="1:3" x14ac:dyDescent="0.25">
      <c r="A117" t="s">
        <v>1132</v>
      </c>
      <c r="B117" t="s">
        <v>10</v>
      </c>
    </row>
    <row r="118" spans="1:3" x14ac:dyDescent="0.25">
      <c r="A118" t="s">
        <v>1133</v>
      </c>
      <c r="B118" t="s">
        <v>1134</v>
      </c>
      <c r="C118" t="s">
        <v>1132</v>
      </c>
    </row>
    <row r="119" spans="1:3" x14ac:dyDescent="0.25">
      <c r="A119" t="s">
        <v>1135</v>
      </c>
      <c r="B119" t="s">
        <v>1136</v>
      </c>
    </row>
    <row r="120" spans="1:3" x14ac:dyDescent="0.25">
      <c r="A120" t="s">
        <v>1137</v>
      </c>
      <c r="B120" t="s">
        <v>435</v>
      </c>
    </row>
    <row r="121" spans="1:3" x14ac:dyDescent="0.25">
      <c r="A121" t="s">
        <v>1138</v>
      </c>
      <c r="B121" t="s">
        <v>1139</v>
      </c>
    </row>
    <row r="122" spans="1:3" x14ac:dyDescent="0.25">
      <c r="A122" t="s">
        <v>1140</v>
      </c>
      <c r="B122" t="s">
        <v>59</v>
      </c>
    </row>
    <row r="123" spans="1:3" x14ac:dyDescent="0.25">
      <c r="A123" t="s">
        <v>1141</v>
      </c>
      <c r="B123" t="s">
        <v>1142</v>
      </c>
    </row>
    <row r="124" spans="1:3" x14ac:dyDescent="0.25">
      <c r="A124" t="s">
        <v>1143</v>
      </c>
      <c r="B124" t="s">
        <v>1144</v>
      </c>
    </row>
    <row r="125" spans="1:3" x14ac:dyDescent="0.25">
      <c r="A125" t="s">
        <v>1145</v>
      </c>
      <c r="B125" t="s">
        <v>1146</v>
      </c>
    </row>
    <row r="126" spans="1:3" x14ac:dyDescent="0.25">
      <c r="A126" t="s">
        <v>1147</v>
      </c>
      <c r="B126" t="s">
        <v>1148</v>
      </c>
    </row>
    <row r="127" spans="1:3" x14ac:dyDescent="0.25">
      <c r="A127" t="s">
        <v>1149</v>
      </c>
      <c r="B127" t="s">
        <v>1150</v>
      </c>
    </row>
    <row r="128" spans="1:3" x14ac:dyDescent="0.25">
      <c r="A128" t="s">
        <v>1151</v>
      </c>
      <c r="B128" t="s">
        <v>1152</v>
      </c>
    </row>
    <row r="129" spans="1:3" x14ac:dyDescent="0.25">
      <c r="A129" t="s">
        <v>1153</v>
      </c>
      <c r="B129" t="s">
        <v>61</v>
      </c>
    </row>
    <row r="130" spans="1:3" x14ac:dyDescent="0.25">
      <c r="A130" t="s">
        <v>1154</v>
      </c>
      <c r="B130" t="s">
        <v>1155</v>
      </c>
    </row>
    <row r="131" spans="1:3" x14ac:dyDescent="0.25">
      <c r="A131" t="s">
        <v>1156</v>
      </c>
      <c r="B131" t="s">
        <v>62</v>
      </c>
    </row>
    <row r="132" spans="1:3" x14ac:dyDescent="0.25">
      <c r="A132" t="s">
        <v>1157</v>
      </c>
      <c r="B132" t="s">
        <v>1158</v>
      </c>
    </row>
    <row r="133" spans="1:3" x14ac:dyDescent="0.25">
      <c r="A133" t="s">
        <v>1159</v>
      </c>
      <c r="B133" t="s">
        <v>1160</v>
      </c>
    </row>
    <row r="134" spans="1:3" x14ac:dyDescent="0.25">
      <c r="A134" t="s">
        <v>1161</v>
      </c>
      <c r="B134" t="s">
        <v>1162</v>
      </c>
    </row>
    <row r="135" spans="1:3" x14ac:dyDescent="0.25">
      <c r="A135" t="s">
        <v>1163</v>
      </c>
      <c r="B135" t="s">
        <v>375</v>
      </c>
    </row>
    <row r="136" spans="1:3" x14ac:dyDescent="0.25">
      <c r="A136" t="s">
        <v>1164</v>
      </c>
      <c r="B136" t="s">
        <v>63</v>
      </c>
    </row>
    <row r="137" spans="1:3" x14ac:dyDescent="0.25">
      <c r="A137" t="s">
        <v>1165</v>
      </c>
      <c r="B137" t="s">
        <v>11</v>
      </c>
    </row>
    <row r="138" spans="1:3" x14ac:dyDescent="0.25">
      <c r="A138" t="s">
        <v>1166</v>
      </c>
      <c r="B138" t="s">
        <v>1167</v>
      </c>
      <c r="C138" t="s">
        <v>1165</v>
      </c>
    </row>
    <row r="139" spans="1:3" x14ac:dyDescent="0.25">
      <c r="A139" t="s">
        <v>1168</v>
      </c>
      <c r="B139" t="s">
        <v>1169</v>
      </c>
      <c r="C139" t="s">
        <v>1165</v>
      </c>
    </row>
    <row r="140" spans="1:3" x14ac:dyDescent="0.25">
      <c r="A140" t="s">
        <v>1170</v>
      </c>
      <c r="B140" t="s">
        <v>1171</v>
      </c>
      <c r="C140" t="s">
        <v>1165</v>
      </c>
    </row>
    <row r="141" spans="1:3" x14ac:dyDescent="0.25">
      <c r="A141" t="s">
        <v>1172</v>
      </c>
      <c r="B141" t="s">
        <v>1173</v>
      </c>
      <c r="C141" t="s">
        <v>1165</v>
      </c>
    </row>
    <row r="142" spans="1:3" x14ac:dyDescent="0.25">
      <c r="A142" t="s">
        <v>1174</v>
      </c>
      <c r="B142" t="s">
        <v>1175</v>
      </c>
    </row>
    <row r="143" spans="1:3" x14ac:dyDescent="0.25">
      <c r="A143" t="s">
        <v>1176</v>
      </c>
      <c r="B143" t="s">
        <v>1177</v>
      </c>
    </row>
    <row r="144" spans="1:3" x14ac:dyDescent="0.25">
      <c r="A144" t="s">
        <v>1178</v>
      </c>
      <c r="B144" t="s">
        <v>12</v>
      </c>
    </row>
    <row r="145" spans="1:3" x14ac:dyDescent="0.25">
      <c r="A145" t="s">
        <v>1179</v>
      </c>
      <c r="B145" t="s">
        <v>1180</v>
      </c>
      <c r="C145" t="s">
        <v>1178</v>
      </c>
    </row>
    <row r="146" spans="1:3" x14ac:dyDescent="0.25">
      <c r="A146" t="s">
        <v>1181</v>
      </c>
      <c r="B146" t="s">
        <v>1182</v>
      </c>
      <c r="C146" t="s">
        <v>1178</v>
      </c>
    </row>
    <row r="147" spans="1:3" x14ac:dyDescent="0.25">
      <c r="A147" t="s">
        <v>1183</v>
      </c>
      <c r="B147" t="s">
        <v>1184</v>
      </c>
      <c r="C147" t="s">
        <v>1178</v>
      </c>
    </row>
    <row r="148" spans="1:3" x14ac:dyDescent="0.25">
      <c r="A148" t="s">
        <v>1185</v>
      </c>
      <c r="B148" t="s">
        <v>1186</v>
      </c>
      <c r="C148" t="s">
        <v>1178</v>
      </c>
    </row>
    <row r="149" spans="1:3" x14ac:dyDescent="0.25">
      <c r="A149" t="s">
        <v>1187</v>
      </c>
      <c r="B149" t="s">
        <v>1188</v>
      </c>
      <c r="C149" t="s">
        <v>1178</v>
      </c>
    </row>
    <row r="150" spans="1:3" x14ac:dyDescent="0.25">
      <c r="A150" t="s">
        <v>1189</v>
      </c>
      <c r="B150" t="s">
        <v>1190</v>
      </c>
      <c r="C150" t="s">
        <v>1178</v>
      </c>
    </row>
    <row r="151" spans="1:3" x14ac:dyDescent="0.25">
      <c r="A151" t="s">
        <v>1191</v>
      </c>
      <c r="B151" t="s">
        <v>1192</v>
      </c>
      <c r="C151" t="s">
        <v>1178</v>
      </c>
    </row>
    <row r="152" spans="1:3" x14ac:dyDescent="0.25">
      <c r="A152" t="s">
        <v>1193</v>
      </c>
      <c r="B152" t="s">
        <v>1194</v>
      </c>
      <c r="C152" t="s">
        <v>1178</v>
      </c>
    </row>
    <row r="153" spans="1:3" x14ac:dyDescent="0.25">
      <c r="A153" t="s">
        <v>1195</v>
      </c>
      <c r="B153" t="s">
        <v>1196</v>
      </c>
      <c r="C153" t="s">
        <v>1178</v>
      </c>
    </row>
    <row r="154" spans="1:3" x14ac:dyDescent="0.25">
      <c r="A154" t="s">
        <v>1197</v>
      </c>
      <c r="B154" t="s">
        <v>1198</v>
      </c>
      <c r="C154" t="s">
        <v>1178</v>
      </c>
    </row>
    <row r="155" spans="1:3" x14ac:dyDescent="0.25">
      <c r="A155" t="s">
        <v>1199</v>
      </c>
      <c r="B155" t="s">
        <v>1200</v>
      </c>
      <c r="C155" t="s">
        <v>1178</v>
      </c>
    </row>
    <row r="156" spans="1:3" x14ac:dyDescent="0.25">
      <c r="A156" t="s">
        <v>1201</v>
      </c>
      <c r="B156" t="s">
        <v>1202</v>
      </c>
      <c r="C156" t="s">
        <v>1178</v>
      </c>
    </row>
    <row r="157" spans="1:3" x14ac:dyDescent="0.25">
      <c r="A157" t="s">
        <v>1203</v>
      </c>
      <c r="B157" t="s">
        <v>1204</v>
      </c>
      <c r="C157" t="s">
        <v>1178</v>
      </c>
    </row>
    <row r="158" spans="1:3" x14ac:dyDescent="0.25">
      <c r="A158" t="s">
        <v>1205</v>
      </c>
      <c r="B158" t="s">
        <v>1206</v>
      </c>
      <c r="C158" t="s">
        <v>1178</v>
      </c>
    </row>
    <row r="159" spans="1:3" x14ac:dyDescent="0.25">
      <c r="A159" t="s">
        <v>1207</v>
      </c>
      <c r="B159" t="s">
        <v>1208</v>
      </c>
      <c r="C159" t="s">
        <v>1178</v>
      </c>
    </row>
    <row r="160" spans="1:3" x14ac:dyDescent="0.25">
      <c r="A160" t="s">
        <v>1209</v>
      </c>
      <c r="B160" t="s">
        <v>1210</v>
      </c>
      <c r="C160" t="s">
        <v>1178</v>
      </c>
    </row>
    <row r="161" spans="1:3" x14ac:dyDescent="0.25">
      <c r="A161" t="s">
        <v>1211</v>
      </c>
      <c r="B161" t="s">
        <v>1212</v>
      </c>
      <c r="C161" t="s">
        <v>1178</v>
      </c>
    </row>
    <row r="162" spans="1:3" x14ac:dyDescent="0.25">
      <c r="A162" t="s">
        <v>1213</v>
      </c>
      <c r="B162" t="s">
        <v>1214</v>
      </c>
      <c r="C162" t="s">
        <v>1178</v>
      </c>
    </row>
    <row r="163" spans="1:3" x14ac:dyDescent="0.25">
      <c r="A163" t="s">
        <v>1215</v>
      </c>
      <c r="B163" t="s">
        <v>1216</v>
      </c>
      <c r="C163" t="s">
        <v>1178</v>
      </c>
    </row>
    <row r="164" spans="1:3" x14ac:dyDescent="0.25">
      <c r="A164" t="s">
        <v>1217</v>
      </c>
      <c r="B164" t="s">
        <v>1218</v>
      </c>
      <c r="C164" t="s">
        <v>1178</v>
      </c>
    </row>
    <row r="165" spans="1:3" x14ac:dyDescent="0.25">
      <c r="A165" t="s">
        <v>1219</v>
      </c>
      <c r="B165" t="s">
        <v>1220</v>
      </c>
      <c r="C165" t="s">
        <v>1178</v>
      </c>
    </row>
    <row r="166" spans="1:3" x14ac:dyDescent="0.25">
      <c r="A166" t="s">
        <v>1221</v>
      </c>
      <c r="B166" t="s">
        <v>1222</v>
      </c>
      <c r="C166" t="s">
        <v>1178</v>
      </c>
    </row>
    <row r="167" spans="1:3" x14ac:dyDescent="0.25">
      <c r="A167" t="s">
        <v>1223</v>
      </c>
      <c r="B167" t="s">
        <v>1224</v>
      </c>
      <c r="C167" t="s">
        <v>1178</v>
      </c>
    </row>
    <row r="168" spans="1:3" x14ac:dyDescent="0.25">
      <c r="A168" t="s">
        <v>1225</v>
      </c>
      <c r="B168" t="s">
        <v>1226</v>
      </c>
      <c r="C168" t="s">
        <v>1178</v>
      </c>
    </row>
    <row r="169" spans="1:3" x14ac:dyDescent="0.25">
      <c r="A169" t="s">
        <v>1227</v>
      </c>
      <c r="B169" t="s">
        <v>1228</v>
      </c>
      <c r="C169" t="s">
        <v>1178</v>
      </c>
    </row>
    <row r="170" spans="1:3" x14ac:dyDescent="0.25">
      <c r="A170" t="s">
        <v>1229</v>
      </c>
      <c r="B170" t="s">
        <v>1230</v>
      </c>
      <c r="C170" t="s">
        <v>1178</v>
      </c>
    </row>
    <row r="171" spans="1:3" x14ac:dyDescent="0.25">
      <c r="A171" t="s">
        <v>1231</v>
      </c>
      <c r="B171" t="s">
        <v>1232</v>
      </c>
      <c r="C171" t="s">
        <v>1178</v>
      </c>
    </row>
    <row r="172" spans="1:3" x14ac:dyDescent="0.25">
      <c r="A172" t="s">
        <v>1233</v>
      </c>
      <c r="B172" t="s">
        <v>1234</v>
      </c>
      <c r="C172" t="s">
        <v>1178</v>
      </c>
    </row>
    <row r="173" spans="1:3" x14ac:dyDescent="0.25">
      <c r="A173" t="s">
        <v>1235</v>
      </c>
      <c r="B173" t="s">
        <v>376</v>
      </c>
    </row>
    <row r="174" spans="1:3" x14ac:dyDescent="0.25">
      <c r="A174" t="s">
        <v>1236</v>
      </c>
      <c r="B174" t="s">
        <v>377</v>
      </c>
    </row>
    <row r="175" spans="1:3" x14ac:dyDescent="0.25">
      <c r="A175" t="s">
        <v>1237</v>
      </c>
      <c r="B175" t="s">
        <v>65</v>
      </c>
    </row>
    <row r="176" spans="1:3" x14ac:dyDescent="0.25">
      <c r="A176" t="s">
        <v>1238</v>
      </c>
      <c r="B176" t="s">
        <v>66</v>
      </c>
    </row>
    <row r="177" spans="1:2" x14ac:dyDescent="0.25">
      <c r="A177" t="s">
        <v>1239</v>
      </c>
      <c r="B177" t="s">
        <v>67</v>
      </c>
    </row>
    <row r="178" spans="1:2" x14ac:dyDescent="0.25">
      <c r="A178" t="s">
        <v>1240</v>
      </c>
      <c r="B178" t="s">
        <v>1241</v>
      </c>
    </row>
    <row r="179" spans="1:2" x14ac:dyDescent="0.25">
      <c r="A179" t="s">
        <v>1242</v>
      </c>
      <c r="B179" t="s">
        <v>1243</v>
      </c>
    </row>
    <row r="180" spans="1:2" x14ac:dyDescent="0.25">
      <c r="A180" t="s">
        <v>1244</v>
      </c>
      <c r="B180" t="s">
        <v>1245</v>
      </c>
    </row>
    <row r="181" spans="1:2" x14ac:dyDescent="0.25">
      <c r="A181" t="s">
        <v>1246</v>
      </c>
      <c r="B181" t="s">
        <v>68</v>
      </c>
    </row>
    <row r="182" spans="1:2" x14ac:dyDescent="0.25">
      <c r="A182" t="s">
        <v>1247</v>
      </c>
      <c r="B182" t="s">
        <v>69</v>
      </c>
    </row>
    <row r="183" spans="1:2" x14ac:dyDescent="0.25">
      <c r="A183" t="s">
        <v>1248</v>
      </c>
      <c r="B183" t="s">
        <v>1249</v>
      </c>
    </row>
    <row r="184" spans="1:2" x14ac:dyDescent="0.25">
      <c r="A184" t="s">
        <v>1250</v>
      </c>
      <c r="B184" t="s">
        <v>1251</v>
      </c>
    </row>
    <row r="185" spans="1:2" x14ac:dyDescent="0.25">
      <c r="A185" t="s">
        <v>1252</v>
      </c>
      <c r="B185" t="s">
        <v>1253</v>
      </c>
    </row>
    <row r="186" spans="1:2" x14ac:dyDescent="0.25">
      <c r="A186" t="s">
        <v>1254</v>
      </c>
      <c r="B186" t="s">
        <v>71</v>
      </c>
    </row>
    <row r="187" spans="1:2" x14ac:dyDescent="0.25">
      <c r="A187" t="s">
        <v>1255</v>
      </c>
      <c r="B187" t="s">
        <v>1256</v>
      </c>
    </row>
    <row r="188" spans="1:2" x14ac:dyDescent="0.25">
      <c r="A188" t="s">
        <v>1257</v>
      </c>
      <c r="B188" t="s">
        <v>776</v>
      </c>
    </row>
    <row r="189" spans="1:2" x14ac:dyDescent="0.25">
      <c r="A189" t="s">
        <v>1258</v>
      </c>
      <c r="B189" t="s">
        <v>76</v>
      </c>
    </row>
    <row r="190" spans="1:2" x14ac:dyDescent="0.25">
      <c r="A190" t="s">
        <v>1259</v>
      </c>
      <c r="B190" t="s">
        <v>1260</v>
      </c>
    </row>
    <row r="191" spans="1:2" x14ac:dyDescent="0.25">
      <c r="A191" t="s">
        <v>1261</v>
      </c>
      <c r="B191" t="s">
        <v>577</v>
      </c>
    </row>
    <row r="192" spans="1:2" x14ac:dyDescent="0.25">
      <c r="A192" t="s">
        <v>1262</v>
      </c>
      <c r="B192" t="s">
        <v>1263</v>
      </c>
    </row>
    <row r="193" spans="1:2" x14ac:dyDescent="0.25">
      <c r="A193" t="s">
        <v>1264</v>
      </c>
      <c r="B193" t="s">
        <v>612</v>
      </c>
    </row>
    <row r="194" spans="1:2" x14ac:dyDescent="0.25">
      <c r="A194" t="s">
        <v>1265</v>
      </c>
      <c r="B194" t="s">
        <v>381</v>
      </c>
    </row>
    <row r="195" spans="1:2" x14ac:dyDescent="0.25">
      <c r="A195" t="s">
        <v>1266</v>
      </c>
      <c r="B195" t="s">
        <v>78</v>
      </c>
    </row>
    <row r="196" spans="1:2" x14ac:dyDescent="0.25">
      <c r="A196" t="s">
        <v>1267</v>
      </c>
      <c r="B196" t="s">
        <v>890</v>
      </c>
    </row>
    <row r="197" spans="1:2" x14ac:dyDescent="0.25">
      <c r="A197" t="s">
        <v>1268</v>
      </c>
      <c r="B197" t="s">
        <v>1269</v>
      </c>
    </row>
    <row r="198" spans="1:2" x14ac:dyDescent="0.25">
      <c r="A198" t="s">
        <v>1270</v>
      </c>
      <c r="B198" t="s">
        <v>13</v>
      </c>
    </row>
    <row r="199" spans="1:2" x14ac:dyDescent="0.25">
      <c r="A199" t="s">
        <v>1271</v>
      </c>
      <c r="B199" t="s">
        <v>79</v>
      </c>
    </row>
    <row r="200" spans="1:2" x14ac:dyDescent="0.25">
      <c r="A200" t="s">
        <v>1272</v>
      </c>
      <c r="B200" t="s">
        <v>80</v>
      </c>
    </row>
    <row r="201" spans="1:2" x14ac:dyDescent="0.25">
      <c r="A201" t="s">
        <v>1273</v>
      </c>
      <c r="B201" t="s">
        <v>1274</v>
      </c>
    </row>
    <row r="202" spans="1:2" x14ac:dyDescent="0.25">
      <c r="A202" t="s">
        <v>1275</v>
      </c>
      <c r="B202" t="s">
        <v>1276</v>
      </c>
    </row>
    <row r="203" spans="1:2" x14ac:dyDescent="0.25">
      <c r="A203" t="s">
        <v>1277</v>
      </c>
      <c r="B203" t="s">
        <v>1278</v>
      </c>
    </row>
    <row r="204" spans="1:2" x14ac:dyDescent="0.25">
      <c r="A204" t="s">
        <v>1279</v>
      </c>
      <c r="B204" t="s">
        <v>1280</v>
      </c>
    </row>
    <row r="205" spans="1:2" x14ac:dyDescent="0.25">
      <c r="A205" t="s">
        <v>1281</v>
      </c>
      <c r="B205" t="s">
        <v>82</v>
      </c>
    </row>
    <row r="206" spans="1:2" x14ac:dyDescent="0.25">
      <c r="A206" t="s">
        <v>1282</v>
      </c>
      <c r="B206" t="s">
        <v>1283</v>
      </c>
    </row>
    <row r="207" spans="1:2" x14ac:dyDescent="0.25">
      <c r="A207" t="s">
        <v>1284</v>
      </c>
      <c r="B207" t="s">
        <v>83</v>
      </c>
    </row>
    <row r="208" spans="1:2" x14ac:dyDescent="0.25">
      <c r="A208" t="s">
        <v>1285</v>
      </c>
      <c r="B208" t="s">
        <v>1286</v>
      </c>
    </row>
    <row r="209" spans="1:2" x14ac:dyDescent="0.25">
      <c r="A209" t="s">
        <v>1287</v>
      </c>
      <c r="B209" t="s">
        <v>1288</v>
      </c>
    </row>
    <row r="210" spans="1:2" x14ac:dyDescent="0.25">
      <c r="A210" t="s">
        <v>1289</v>
      </c>
      <c r="B210" t="s">
        <v>1290</v>
      </c>
    </row>
    <row r="211" spans="1:2" x14ac:dyDescent="0.25">
      <c r="A211" t="s">
        <v>1291</v>
      </c>
      <c r="B211" t="s">
        <v>84</v>
      </c>
    </row>
    <row r="212" spans="1:2" x14ac:dyDescent="0.25">
      <c r="A212" t="s">
        <v>1292</v>
      </c>
      <c r="B212" t="s">
        <v>85</v>
      </c>
    </row>
    <row r="213" spans="1:2" x14ac:dyDescent="0.25">
      <c r="A213" t="s">
        <v>1293</v>
      </c>
      <c r="B213" t="s">
        <v>1294</v>
      </c>
    </row>
    <row r="214" spans="1:2" x14ac:dyDescent="0.25">
      <c r="A214" t="s">
        <v>1295</v>
      </c>
      <c r="B214" t="s">
        <v>1296</v>
      </c>
    </row>
    <row r="215" spans="1:2" x14ac:dyDescent="0.25">
      <c r="A215" t="s">
        <v>1297</v>
      </c>
      <c r="B215" t="s">
        <v>1298</v>
      </c>
    </row>
    <row r="216" spans="1:2" x14ac:dyDescent="0.25">
      <c r="A216" t="s">
        <v>1299</v>
      </c>
      <c r="B216" t="s">
        <v>1300</v>
      </c>
    </row>
    <row r="217" spans="1:2" x14ac:dyDescent="0.25">
      <c r="A217" t="s">
        <v>1301</v>
      </c>
      <c r="B217" t="s">
        <v>14</v>
      </c>
    </row>
    <row r="218" spans="1:2" x14ac:dyDescent="0.25">
      <c r="A218" t="s">
        <v>1302</v>
      </c>
      <c r="B218" t="s">
        <v>1303</v>
      </c>
    </row>
    <row r="219" spans="1:2" x14ac:dyDescent="0.25">
      <c r="A219" t="s">
        <v>1304</v>
      </c>
      <c r="B219" t="s">
        <v>86</v>
      </c>
    </row>
    <row r="220" spans="1:2" x14ac:dyDescent="0.25">
      <c r="A220" t="s">
        <v>1305</v>
      </c>
      <c r="B220" t="s">
        <v>1306</v>
      </c>
    </row>
    <row r="221" spans="1:2" x14ac:dyDescent="0.25">
      <c r="A221" t="s">
        <v>1307</v>
      </c>
      <c r="B221" t="s">
        <v>1308</v>
      </c>
    </row>
    <row r="222" spans="1:2" x14ac:dyDescent="0.25">
      <c r="A222" t="s">
        <v>1309</v>
      </c>
      <c r="B222" t="s">
        <v>1310</v>
      </c>
    </row>
    <row r="223" spans="1:2" x14ac:dyDescent="0.25">
      <c r="A223" t="s">
        <v>1311</v>
      </c>
      <c r="B223" t="s">
        <v>1312</v>
      </c>
    </row>
    <row r="224" spans="1:2" x14ac:dyDescent="0.25">
      <c r="A224" t="s">
        <v>1313</v>
      </c>
      <c r="B224" t="s">
        <v>1314</v>
      </c>
    </row>
    <row r="225" spans="1:2" x14ac:dyDescent="0.25">
      <c r="A225" t="s">
        <v>1315</v>
      </c>
      <c r="B225" t="s">
        <v>1316</v>
      </c>
    </row>
    <row r="226" spans="1:2" x14ac:dyDescent="0.25">
      <c r="A226" t="s">
        <v>1317</v>
      </c>
      <c r="B226" t="s">
        <v>1318</v>
      </c>
    </row>
    <row r="227" spans="1:2" x14ac:dyDescent="0.25">
      <c r="A227" t="s">
        <v>1319</v>
      </c>
      <c r="B227" t="s">
        <v>1320</v>
      </c>
    </row>
    <row r="228" spans="1:2" x14ac:dyDescent="0.25">
      <c r="A228" t="s">
        <v>1321</v>
      </c>
      <c r="B228" t="s">
        <v>541</v>
      </c>
    </row>
    <row r="229" spans="1:2" x14ac:dyDescent="0.25">
      <c r="A229" t="s">
        <v>1322</v>
      </c>
      <c r="B229" t="s">
        <v>1323</v>
      </c>
    </row>
    <row r="230" spans="1:2" x14ac:dyDescent="0.25">
      <c r="A230" t="s">
        <v>1324</v>
      </c>
      <c r="B230" t="s">
        <v>382</v>
      </c>
    </row>
    <row r="231" spans="1:2" x14ac:dyDescent="0.25">
      <c r="A231" t="s">
        <v>1325</v>
      </c>
      <c r="B231" t="s">
        <v>1326</v>
      </c>
    </row>
    <row r="232" spans="1:2" x14ac:dyDescent="0.25">
      <c r="A232" t="s">
        <v>1327</v>
      </c>
      <c r="B232" t="s">
        <v>440</v>
      </c>
    </row>
    <row r="233" spans="1:2" x14ac:dyDescent="0.25">
      <c r="A233" t="s">
        <v>1328</v>
      </c>
      <c r="B233" t="s">
        <v>1329</v>
      </c>
    </row>
    <row r="234" spans="1:2" x14ac:dyDescent="0.25">
      <c r="A234" t="s">
        <v>1330</v>
      </c>
      <c r="B234" t="s">
        <v>15</v>
      </c>
    </row>
    <row r="235" spans="1:2" x14ac:dyDescent="0.25">
      <c r="A235" t="s">
        <v>1331</v>
      </c>
      <c r="B235" t="s">
        <v>1332</v>
      </c>
    </row>
    <row r="236" spans="1:2" x14ac:dyDescent="0.25">
      <c r="A236" t="s">
        <v>1333</v>
      </c>
      <c r="B236" t="s">
        <v>1334</v>
      </c>
    </row>
    <row r="237" spans="1:2" x14ac:dyDescent="0.25">
      <c r="A237" t="s">
        <v>1335</v>
      </c>
      <c r="B237" t="s">
        <v>1336</v>
      </c>
    </row>
    <row r="238" spans="1:2" x14ac:dyDescent="0.25">
      <c r="A238" t="s">
        <v>1337</v>
      </c>
      <c r="B238" t="s">
        <v>89</v>
      </c>
    </row>
    <row r="239" spans="1:2" x14ac:dyDescent="0.25">
      <c r="A239" t="s">
        <v>1338</v>
      </c>
      <c r="B239" t="s">
        <v>777</v>
      </c>
    </row>
    <row r="240" spans="1:2" x14ac:dyDescent="0.25">
      <c r="A240" t="s">
        <v>1339</v>
      </c>
      <c r="B240" t="s">
        <v>1340</v>
      </c>
    </row>
    <row r="241" spans="1:2" x14ac:dyDescent="0.25">
      <c r="A241" t="s">
        <v>1341</v>
      </c>
      <c r="B241" t="s">
        <v>1342</v>
      </c>
    </row>
    <row r="242" spans="1:2" x14ac:dyDescent="0.25">
      <c r="A242" t="s">
        <v>1343</v>
      </c>
      <c r="B242" t="s">
        <v>384</v>
      </c>
    </row>
    <row r="243" spans="1:2" x14ac:dyDescent="0.25">
      <c r="A243" t="s">
        <v>1344</v>
      </c>
      <c r="B243" t="s">
        <v>1345</v>
      </c>
    </row>
    <row r="244" spans="1:2" x14ac:dyDescent="0.25">
      <c r="A244" t="s">
        <v>1346</v>
      </c>
      <c r="B244" t="s">
        <v>385</v>
      </c>
    </row>
    <row r="245" spans="1:2" x14ac:dyDescent="0.25">
      <c r="A245" t="s">
        <v>1347</v>
      </c>
      <c r="B245" t="s">
        <v>91</v>
      </c>
    </row>
    <row r="246" spans="1:2" x14ac:dyDescent="0.25">
      <c r="A246" t="s">
        <v>1348</v>
      </c>
      <c r="B246" t="s">
        <v>1349</v>
      </c>
    </row>
    <row r="247" spans="1:2" x14ac:dyDescent="0.25">
      <c r="A247" t="s">
        <v>1350</v>
      </c>
      <c r="B247" t="s">
        <v>893</v>
      </c>
    </row>
    <row r="248" spans="1:2" x14ac:dyDescent="0.25">
      <c r="A248" t="s">
        <v>1351</v>
      </c>
      <c r="B248" t="s">
        <v>1352</v>
      </c>
    </row>
    <row r="249" spans="1:2" x14ac:dyDescent="0.25">
      <c r="A249" t="s">
        <v>1353</v>
      </c>
      <c r="B249" t="s">
        <v>1354</v>
      </c>
    </row>
    <row r="250" spans="1:2" x14ac:dyDescent="0.25">
      <c r="A250" t="s">
        <v>1355</v>
      </c>
      <c r="B250" t="s">
        <v>92</v>
      </c>
    </row>
    <row r="251" spans="1:2" x14ac:dyDescent="0.25">
      <c r="A251" t="s">
        <v>1356</v>
      </c>
      <c r="B251" t="s">
        <v>1357</v>
      </c>
    </row>
    <row r="252" spans="1:2" x14ac:dyDescent="0.25">
      <c r="A252" t="s">
        <v>1358</v>
      </c>
      <c r="B252" t="s">
        <v>1359</v>
      </c>
    </row>
    <row r="253" spans="1:2" x14ac:dyDescent="0.25">
      <c r="A253" t="s">
        <v>1360</v>
      </c>
      <c r="B253" t="s">
        <v>93</v>
      </c>
    </row>
    <row r="254" spans="1:2" x14ac:dyDescent="0.25">
      <c r="A254" t="s">
        <v>1361</v>
      </c>
      <c r="B254" t="s">
        <v>894</v>
      </c>
    </row>
    <row r="255" spans="1:2" x14ac:dyDescent="0.25">
      <c r="A255" t="s">
        <v>1362</v>
      </c>
      <c r="B255" t="s">
        <v>94</v>
      </c>
    </row>
    <row r="256" spans="1:2" x14ac:dyDescent="0.25">
      <c r="A256" t="s">
        <v>1363</v>
      </c>
      <c r="B256" t="s">
        <v>1364</v>
      </c>
    </row>
    <row r="257" spans="1:3" x14ac:dyDescent="0.25">
      <c r="A257" t="s">
        <v>1365</v>
      </c>
      <c r="B257" t="s">
        <v>1366</v>
      </c>
    </row>
    <row r="258" spans="1:3" x14ac:dyDescent="0.25">
      <c r="A258" t="s">
        <v>1367</v>
      </c>
      <c r="B258" t="s">
        <v>1368</v>
      </c>
    </row>
    <row r="259" spans="1:3" x14ac:dyDescent="0.25">
      <c r="A259" t="s">
        <v>1369</v>
      </c>
      <c r="B259" t="s">
        <v>1370</v>
      </c>
    </row>
    <row r="260" spans="1:3" x14ac:dyDescent="0.25">
      <c r="A260" t="s">
        <v>1371</v>
      </c>
      <c r="B260" t="s">
        <v>1372</v>
      </c>
    </row>
    <row r="261" spans="1:3" x14ac:dyDescent="0.25">
      <c r="A261" t="s">
        <v>1373</v>
      </c>
      <c r="B261" t="s">
        <v>96</v>
      </c>
    </row>
    <row r="262" spans="1:3" x14ac:dyDescent="0.25">
      <c r="A262" t="s">
        <v>1374</v>
      </c>
      <c r="B262" t="s">
        <v>1375</v>
      </c>
    </row>
    <row r="263" spans="1:3" x14ac:dyDescent="0.25">
      <c r="A263" t="s">
        <v>1376</v>
      </c>
      <c r="B263" t="s">
        <v>1377</v>
      </c>
    </row>
    <row r="264" spans="1:3" x14ac:dyDescent="0.25">
      <c r="A264" t="s">
        <v>1378</v>
      </c>
      <c r="B264" t="s">
        <v>1379</v>
      </c>
    </row>
    <row r="265" spans="1:3" x14ac:dyDescent="0.25">
      <c r="A265" t="s">
        <v>1380</v>
      </c>
      <c r="B265" t="s">
        <v>97</v>
      </c>
    </row>
    <row r="266" spans="1:3" x14ac:dyDescent="0.25">
      <c r="A266" t="s">
        <v>1381</v>
      </c>
      <c r="B266" t="s">
        <v>1382</v>
      </c>
    </row>
    <row r="267" spans="1:3" x14ac:dyDescent="0.25">
      <c r="A267" t="s">
        <v>1383</v>
      </c>
      <c r="B267" t="s">
        <v>713</v>
      </c>
    </row>
    <row r="268" spans="1:3" x14ac:dyDescent="0.25">
      <c r="A268" t="s">
        <v>1384</v>
      </c>
      <c r="B268" t="s">
        <v>99</v>
      </c>
    </row>
    <row r="269" spans="1:3" x14ac:dyDescent="0.25">
      <c r="A269" t="s">
        <v>1385</v>
      </c>
      <c r="B269" t="s">
        <v>1386</v>
      </c>
    </row>
    <row r="270" spans="1:3" x14ac:dyDescent="0.25">
      <c r="A270" t="s">
        <v>1387</v>
      </c>
      <c r="B270" t="s">
        <v>1388</v>
      </c>
      <c r="C270" t="s">
        <v>1389</v>
      </c>
    </row>
    <row r="271" spans="1:3" x14ac:dyDescent="0.25">
      <c r="A271" t="s">
        <v>1389</v>
      </c>
      <c r="B271" t="s">
        <v>16</v>
      </c>
    </row>
    <row r="272" spans="1:3" x14ac:dyDescent="0.25">
      <c r="A272" t="s">
        <v>1390</v>
      </c>
      <c r="B272" t="s">
        <v>1391</v>
      </c>
    </row>
    <row r="273" spans="1:2" x14ac:dyDescent="0.25">
      <c r="A273" t="s">
        <v>1392</v>
      </c>
      <c r="B273" t="s">
        <v>100</v>
      </c>
    </row>
    <row r="274" spans="1:2" x14ac:dyDescent="0.25">
      <c r="A274" t="s">
        <v>1393</v>
      </c>
      <c r="B274" t="s">
        <v>101</v>
      </c>
    </row>
    <row r="275" spans="1:2" x14ac:dyDescent="0.25">
      <c r="A275" t="s">
        <v>1394</v>
      </c>
      <c r="B275" t="s">
        <v>102</v>
      </c>
    </row>
    <row r="276" spans="1:2" x14ac:dyDescent="0.25">
      <c r="A276" t="s">
        <v>1395</v>
      </c>
      <c r="B276" t="s">
        <v>1396</v>
      </c>
    </row>
    <row r="277" spans="1:2" x14ac:dyDescent="0.25">
      <c r="A277" t="s">
        <v>1397</v>
      </c>
      <c r="B277" t="s">
        <v>103</v>
      </c>
    </row>
    <row r="278" spans="1:2" x14ac:dyDescent="0.25">
      <c r="A278" t="s">
        <v>1398</v>
      </c>
      <c r="B278" t="s">
        <v>1399</v>
      </c>
    </row>
    <row r="279" spans="1:2" x14ac:dyDescent="0.25">
      <c r="A279" t="s">
        <v>1400</v>
      </c>
      <c r="B279" t="s">
        <v>488</v>
      </c>
    </row>
    <row r="280" spans="1:2" x14ac:dyDescent="0.25">
      <c r="A280" t="s">
        <v>1401</v>
      </c>
      <c r="B280" t="s">
        <v>1402</v>
      </c>
    </row>
    <row r="281" spans="1:2" x14ac:dyDescent="0.25">
      <c r="A281" t="s">
        <v>1403</v>
      </c>
      <c r="B281" t="s">
        <v>388</v>
      </c>
    </row>
    <row r="282" spans="1:2" x14ac:dyDescent="0.25">
      <c r="A282" t="s">
        <v>1404</v>
      </c>
      <c r="B282" t="s">
        <v>1405</v>
      </c>
    </row>
    <row r="283" spans="1:2" x14ac:dyDescent="0.25">
      <c r="A283" t="s">
        <v>1406</v>
      </c>
      <c r="B283" t="s">
        <v>1407</v>
      </c>
    </row>
    <row r="284" spans="1:2" x14ac:dyDescent="0.25">
      <c r="A284" t="s">
        <v>1408</v>
      </c>
      <c r="B284" t="s">
        <v>1409</v>
      </c>
    </row>
    <row r="285" spans="1:2" x14ac:dyDescent="0.25">
      <c r="A285" t="s">
        <v>1410</v>
      </c>
      <c r="B285" t="s">
        <v>105</v>
      </c>
    </row>
    <row r="286" spans="1:2" x14ac:dyDescent="0.25">
      <c r="A286" t="s">
        <v>1411</v>
      </c>
      <c r="B286" t="s">
        <v>1412</v>
      </c>
    </row>
    <row r="287" spans="1:2" x14ac:dyDescent="0.25">
      <c r="A287" t="s">
        <v>1413</v>
      </c>
      <c r="B287" t="s">
        <v>1414</v>
      </c>
    </row>
    <row r="288" spans="1:2" x14ac:dyDescent="0.25">
      <c r="A288" t="s">
        <v>1415</v>
      </c>
      <c r="B288" t="s">
        <v>1416</v>
      </c>
    </row>
    <row r="289" spans="1:2" x14ac:dyDescent="0.25">
      <c r="A289" t="s">
        <v>1417</v>
      </c>
      <c r="B289" t="s">
        <v>1418</v>
      </c>
    </row>
    <row r="290" spans="1:2" x14ac:dyDescent="0.25">
      <c r="A290" t="s">
        <v>1419</v>
      </c>
      <c r="B290" t="s">
        <v>1420</v>
      </c>
    </row>
    <row r="291" spans="1:2" x14ac:dyDescent="0.25">
      <c r="A291" t="s">
        <v>1421</v>
      </c>
      <c r="B291" t="s">
        <v>653</v>
      </c>
    </row>
    <row r="292" spans="1:2" x14ac:dyDescent="0.25">
      <c r="A292" t="s">
        <v>1422</v>
      </c>
      <c r="B292" t="s">
        <v>1423</v>
      </c>
    </row>
    <row r="293" spans="1:2" x14ac:dyDescent="0.25">
      <c r="A293" t="s">
        <v>1424</v>
      </c>
      <c r="B293" t="s">
        <v>108</v>
      </c>
    </row>
    <row r="294" spans="1:2" x14ac:dyDescent="0.25">
      <c r="A294" t="s">
        <v>1425</v>
      </c>
      <c r="B294" t="s">
        <v>595</v>
      </c>
    </row>
    <row r="295" spans="1:2" x14ac:dyDescent="0.25">
      <c r="A295" t="s">
        <v>1426</v>
      </c>
      <c r="B295" t="s">
        <v>1427</v>
      </c>
    </row>
    <row r="296" spans="1:2" x14ac:dyDescent="0.25">
      <c r="A296" t="s">
        <v>1428</v>
      </c>
      <c r="B296" t="s">
        <v>1429</v>
      </c>
    </row>
    <row r="297" spans="1:2" x14ac:dyDescent="0.25">
      <c r="A297" t="s">
        <v>1430</v>
      </c>
      <c r="B297" t="s">
        <v>1431</v>
      </c>
    </row>
    <row r="298" spans="1:2" x14ac:dyDescent="0.25">
      <c r="A298" t="s">
        <v>1432</v>
      </c>
      <c r="B298" t="s">
        <v>1433</v>
      </c>
    </row>
    <row r="299" spans="1:2" x14ac:dyDescent="0.25">
      <c r="A299" t="s">
        <v>1434</v>
      </c>
      <c r="B299" t="s">
        <v>1435</v>
      </c>
    </row>
    <row r="300" spans="1:2" x14ac:dyDescent="0.25">
      <c r="A300" t="s">
        <v>1436</v>
      </c>
      <c r="B300" t="s">
        <v>1437</v>
      </c>
    </row>
    <row r="301" spans="1:2" x14ac:dyDescent="0.25">
      <c r="A301" t="s">
        <v>1438</v>
      </c>
      <c r="B301" t="s">
        <v>1439</v>
      </c>
    </row>
    <row r="302" spans="1:2" x14ac:dyDescent="0.25">
      <c r="A302" t="s">
        <v>1440</v>
      </c>
      <c r="B302" t="s">
        <v>18</v>
      </c>
    </row>
    <row r="303" spans="1:2" x14ac:dyDescent="0.25">
      <c r="A303" t="s">
        <v>1441</v>
      </c>
      <c r="B303" t="s">
        <v>1442</v>
      </c>
    </row>
    <row r="304" spans="1:2" x14ac:dyDescent="0.25">
      <c r="A304" t="s">
        <v>1443</v>
      </c>
      <c r="B304" t="s">
        <v>1444</v>
      </c>
    </row>
    <row r="305" spans="1:2" x14ac:dyDescent="0.25">
      <c r="A305" t="s">
        <v>1445</v>
      </c>
      <c r="B305" t="s">
        <v>1446</v>
      </c>
    </row>
    <row r="306" spans="1:2" x14ac:dyDescent="0.25">
      <c r="A306" t="s">
        <v>1447</v>
      </c>
      <c r="B306" t="s">
        <v>110</v>
      </c>
    </row>
    <row r="307" spans="1:2" x14ac:dyDescent="0.25">
      <c r="A307" t="s">
        <v>1448</v>
      </c>
      <c r="B307" t="s">
        <v>112</v>
      </c>
    </row>
    <row r="308" spans="1:2" x14ac:dyDescent="0.25">
      <c r="A308" t="s">
        <v>1449</v>
      </c>
      <c r="B308" t="s">
        <v>1450</v>
      </c>
    </row>
    <row r="309" spans="1:2" x14ac:dyDescent="0.25">
      <c r="A309" t="s">
        <v>1451</v>
      </c>
      <c r="B309" t="s">
        <v>1452</v>
      </c>
    </row>
    <row r="310" spans="1:2" x14ac:dyDescent="0.25">
      <c r="A310" t="s">
        <v>1453</v>
      </c>
      <c r="B310" t="s">
        <v>614</v>
      </c>
    </row>
    <row r="311" spans="1:2" x14ac:dyDescent="0.25">
      <c r="A311" t="s">
        <v>1454</v>
      </c>
      <c r="B311" t="s">
        <v>1455</v>
      </c>
    </row>
    <row r="312" spans="1:2" x14ac:dyDescent="0.25">
      <c r="A312" t="s">
        <v>1456</v>
      </c>
      <c r="B312" t="s">
        <v>543</v>
      </c>
    </row>
    <row r="313" spans="1:2" x14ac:dyDescent="0.25">
      <c r="A313" t="s">
        <v>1457</v>
      </c>
      <c r="B313" t="s">
        <v>113</v>
      </c>
    </row>
    <row r="314" spans="1:2" x14ac:dyDescent="0.25">
      <c r="A314" t="s">
        <v>1458</v>
      </c>
      <c r="B314" t="s">
        <v>1459</v>
      </c>
    </row>
    <row r="315" spans="1:2" x14ac:dyDescent="0.25">
      <c r="A315" t="s">
        <v>1460</v>
      </c>
      <c r="B315" t="s">
        <v>716</v>
      </c>
    </row>
    <row r="316" spans="1:2" x14ac:dyDescent="0.25">
      <c r="A316" t="s">
        <v>1461</v>
      </c>
      <c r="B316" t="s">
        <v>1462</v>
      </c>
    </row>
    <row r="317" spans="1:2" x14ac:dyDescent="0.25">
      <c r="A317" t="s">
        <v>1463</v>
      </c>
      <c r="B317" t="s">
        <v>1464</v>
      </c>
    </row>
    <row r="318" spans="1:2" x14ac:dyDescent="0.25">
      <c r="A318" t="s">
        <v>1465</v>
      </c>
      <c r="B318" t="s">
        <v>114</v>
      </c>
    </row>
    <row r="319" spans="1:2" x14ac:dyDescent="0.25">
      <c r="A319" t="s">
        <v>1466</v>
      </c>
      <c r="B319" t="s">
        <v>1467</v>
      </c>
    </row>
    <row r="320" spans="1:2" x14ac:dyDescent="0.25">
      <c r="A320" t="s">
        <v>1468</v>
      </c>
      <c r="B320" t="s">
        <v>1469</v>
      </c>
    </row>
    <row r="321" spans="1:2" x14ac:dyDescent="0.25">
      <c r="A321" t="s">
        <v>1470</v>
      </c>
      <c r="B321" t="s">
        <v>1471</v>
      </c>
    </row>
    <row r="322" spans="1:2" x14ac:dyDescent="0.25">
      <c r="A322" t="s">
        <v>1472</v>
      </c>
      <c r="B322" t="s">
        <v>1473</v>
      </c>
    </row>
    <row r="323" spans="1:2" x14ac:dyDescent="0.25">
      <c r="A323" t="s">
        <v>1474</v>
      </c>
      <c r="B323" t="s">
        <v>19</v>
      </c>
    </row>
    <row r="324" spans="1:2" x14ac:dyDescent="0.25">
      <c r="A324" t="s">
        <v>1475</v>
      </c>
      <c r="B324" t="s">
        <v>1476</v>
      </c>
    </row>
    <row r="325" spans="1:2" x14ac:dyDescent="0.25">
      <c r="A325" t="s">
        <v>1477</v>
      </c>
      <c r="B325" t="s">
        <v>1478</v>
      </c>
    </row>
    <row r="326" spans="1:2" x14ac:dyDescent="0.25">
      <c r="A326" t="s">
        <v>1479</v>
      </c>
      <c r="B326" t="s">
        <v>117</v>
      </c>
    </row>
    <row r="327" spans="1:2" x14ac:dyDescent="0.25">
      <c r="A327" t="s">
        <v>1480</v>
      </c>
      <c r="B327" t="s">
        <v>118</v>
      </c>
    </row>
    <row r="328" spans="1:2" x14ac:dyDescent="0.25">
      <c r="A328" t="s">
        <v>1481</v>
      </c>
      <c r="B328" t="s">
        <v>1482</v>
      </c>
    </row>
    <row r="329" spans="1:2" x14ac:dyDescent="0.25">
      <c r="A329" t="s">
        <v>1483</v>
      </c>
      <c r="B329" t="s">
        <v>1484</v>
      </c>
    </row>
    <row r="330" spans="1:2" x14ac:dyDescent="0.25">
      <c r="A330" t="s">
        <v>1485</v>
      </c>
      <c r="B330" t="s">
        <v>119</v>
      </c>
    </row>
    <row r="331" spans="1:2" x14ac:dyDescent="0.25">
      <c r="A331" t="s">
        <v>1486</v>
      </c>
      <c r="B331" t="s">
        <v>120</v>
      </c>
    </row>
    <row r="332" spans="1:2" x14ac:dyDescent="0.25">
      <c r="A332" t="s">
        <v>1487</v>
      </c>
      <c r="B332" t="s">
        <v>1488</v>
      </c>
    </row>
    <row r="333" spans="1:2" x14ac:dyDescent="0.25">
      <c r="A333" t="s">
        <v>1489</v>
      </c>
      <c r="B333" t="s">
        <v>122</v>
      </c>
    </row>
    <row r="334" spans="1:2" x14ac:dyDescent="0.25">
      <c r="A334" t="s">
        <v>1490</v>
      </c>
      <c r="B334" t="s">
        <v>390</v>
      </c>
    </row>
    <row r="335" spans="1:2" x14ac:dyDescent="0.25">
      <c r="A335" t="s">
        <v>1491</v>
      </c>
      <c r="B335" t="s">
        <v>1492</v>
      </c>
    </row>
    <row r="336" spans="1:2" x14ac:dyDescent="0.25">
      <c r="A336" t="s">
        <v>1493</v>
      </c>
      <c r="B336" t="s">
        <v>124</v>
      </c>
    </row>
    <row r="337" spans="1:2" x14ac:dyDescent="0.25">
      <c r="A337" t="s">
        <v>1494</v>
      </c>
      <c r="B337" t="s">
        <v>1495</v>
      </c>
    </row>
    <row r="338" spans="1:2" x14ac:dyDescent="0.25">
      <c r="A338" t="s">
        <v>1496</v>
      </c>
      <c r="B338" t="s">
        <v>1497</v>
      </c>
    </row>
    <row r="339" spans="1:2" x14ac:dyDescent="0.25">
      <c r="A339" t="s">
        <v>1498</v>
      </c>
      <c r="B339" t="s">
        <v>1499</v>
      </c>
    </row>
    <row r="340" spans="1:2" x14ac:dyDescent="0.25">
      <c r="A340" t="s">
        <v>1500</v>
      </c>
      <c r="B340" t="s">
        <v>1501</v>
      </c>
    </row>
    <row r="341" spans="1:2" x14ac:dyDescent="0.25">
      <c r="A341" t="s">
        <v>1502</v>
      </c>
      <c r="B341" t="s">
        <v>125</v>
      </c>
    </row>
    <row r="342" spans="1:2" x14ac:dyDescent="0.25">
      <c r="A342" t="s">
        <v>1503</v>
      </c>
      <c r="B342" t="s">
        <v>1504</v>
      </c>
    </row>
    <row r="343" spans="1:2" x14ac:dyDescent="0.25">
      <c r="A343" t="s">
        <v>1505</v>
      </c>
      <c r="B343" t="s">
        <v>127</v>
      </c>
    </row>
    <row r="344" spans="1:2" x14ac:dyDescent="0.25">
      <c r="A344" t="s">
        <v>1506</v>
      </c>
      <c r="B344" t="s">
        <v>1507</v>
      </c>
    </row>
    <row r="345" spans="1:2" x14ac:dyDescent="0.25">
      <c r="A345" t="s">
        <v>1508</v>
      </c>
      <c r="B345" t="s">
        <v>1509</v>
      </c>
    </row>
    <row r="346" spans="1:2" x14ac:dyDescent="0.25">
      <c r="A346" t="s">
        <v>1510</v>
      </c>
      <c r="B346" t="s">
        <v>544</v>
      </c>
    </row>
    <row r="347" spans="1:2" x14ac:dyDescent="0.25">
      <c r="A347" t="s">
        <v>1511</v>
      </c>
      <c r="B347" t="s">
        <v>1512</v>
      </c>
    </row>
    <row r="348" spans="1:2" x14ac:dyDescent="0.25">
      <c r="A348" t="s">
        <v>1513</v>
      </c>
      <c r="B348" t="s">
        <v>128</v>
      </c>
    </row>
    <row r="349" spans="1:2" x14ac:dyDescent="0.25">
      <c r="A349" t="s">
        <v>1514</v>
      </c>
      <c r="B349" t="s">
        <v>1515</v>
      </c>
    </row>
    <row r="350" spans="1:2" x14ac:dyDescent="0.25">
      <c r="A350" t="s">
        <v>1516</v>
      </c>
      <c r="B350" t="s">
        <v>1517</v>
      </c>
    </row>
    <row r="351" spans="1:2" x14ac:dyDescent="0.25">
      <c r="A351" t="s">
        <v>1518</v>
      </c>
      <c r="B351" t="s">
        <v>1519</v>
      </c>
    </row>
    <row r="352" spans="1:2" x14ac:dyDescent="0.25">
      <c r="A352" t="s">
        <v>1520</v>
      </c>
      <c r="B352" t="s">
        <v>1521</v>
      </c>
    </row>
    <row r="353" spans="1:2" x14ac:dyDescent="0.25">
      <c r="A353" t="s">
        <v>1522</v>
      </c>
      <c r="B353" t="s">
        <v>1523</v>
      </c>
    </row>
    <row r="354" spans="1:2" x14ac:dyDescent="0.25">
      <c r="A354" t="s">
        <v>1524</v>
      </c>
      <c r="B354" t="s">
        <v>545</v>
      </c>
    </row>
    <row r="355" spans="1:2" x14ac:dyDescent="0.25">
      <c r="A355" t="s">
        <v>1525</v>
      </c>
      <c r="B355" t="s">
        <v>1526</v>
      </c>
    </row>
    <row r="356" spans="1:2" x14ac:dyDescent="0.25">
      <c r="A356" t="s">
        <v>1527</v>
      </c>
      <c r="B356" t="s">
        <v>1528</v>
      </c>
    </row>
    <row r="357" spans="1:2" x14ac:dyDescent="0.25">
      <c r="A357" t="s">
        <v>1529</v>
      </c>
      <c r="B357" t="s">
        <v>1530</v>
      </c>
    </row>
    <row r="358" spans="1:2" x14ac:dyDescent="0.25">
      <c r="A358" t="s">
        <v>1531</v>
      </c>
      <c r="B358" t="s">
        <v>1532</v>
      </c>
    </row>
    <row r="359" spans="1:2" x14ac:dyDescent="0.25">
      <c r="A359" t="s">
        <v>1533</v>
      </c>
      <c r="B359" t="s">
        <v>1534</v>
      </c>
    </row>
    <row r="360" spans="1:2" x14ac:dyDescent="0.25">
      <c r="A360" t="s">
        <v>1535</v>
      </c>
      <c r="B360" t="s">
        <v>1536</v>
      </c>
    </row>
    <row r="361" spans="1:2" x14ac:dyDescent="0.25">
      <c r="A361" t="s">
        <v>1537</v>
      </c>
      <c r="B361" t="s">
        <v>137</v>
      </c>
    </row>
    <row r="362" spans="1:2" x14ac:dyDescent="0.25">
      <c r="A362" t="s">
        <v>1538</v>
      </c>
      <c r="B362" t="s">
        <v>1539</v>
      </c>
    </row>
    <row r="363" spans="1:2" x14ac:dyDescent="0.25">
      <c r="A363" t="s">
        <v>1540</v>
      </c>
      <c r="B363" t="s">
        <v>1541</v>
      </c>
    </row>
    <row r="364" spans="1:2" x14ac:dyDescent="0.25">
      <c r="A364" t="s">
        <v>1542</v>
      </c>
      <c r="B364" t="s">
        <v>1543</v>
      </c>
    </row>
    <row r="365" spans="1:2" x14ac:dyDescent="0.25">
      <c r="A365" t="s">
        <v>1544</v>
      </c>
      <c r="B365" t="s">
        <v>138</v>
      </c>
    </row>
    <row r="366" spans="1:2" x14ac:dyDescent="0.25">
      <c r="A366" t="s">
        <v>1545</v>
      </c>
      <c r="B366" t="s">
        <v>1546</v>
      </c>
    </row>
    <row r="367" spans="1:2" x14ac:dyDescent="0.25">
      <c r="A367" t="s">
        <v>1547</v>
      </c>
      <c r="B367" t="s">
        <v>139</v>
      </c>
    </row>
    <row r="368" spans="1:2" x14ac:dyDescent="0.25">
      <c r="A368" t="s">
        <v>1548</v>
      </c>
      <c r="B368" t="s">
        <v>1549</v>
      </c>
    </row>
    <row r="369" spans="1:2" x14ac:dyDescent="0.25">
      <c r="A369" t="s">
        <v>1550</v>
      </c>
      <c r="B369" t="s">
        <v>549</v>
      </c>
    </row>
    <row r="370" spans="1:2" x14ac:dyDescent="0.25">
      <c r="A370" t="s">
        <v>1551</v>
      </c>
      <c r="B370" t="s">
        <v>1552</v>
      </c>
    </row>
    <row r="371" spans="1:2" x14ac:dyDescent="0.25">
      <c r="A371" t="s">
        <v>1553</v>
      </c>
      <c r="B371" t="s">
        <v>140</v>
      </c>
    </row>
    <row r="372" spans="1:2" x14ac:dyDescent="0.25">
      <c r="A372" t="s">
        <v>1554</v>
      </c>
      <c r="B372" t="s">
        <v>1555</v>
      </c>
    </row>
    <row r="373" spans="1:2" x14ac:dyDescent="0.25">
      <c r="A373" t="s">
        <v>1556</v>
      </c>
      <c r="B373" t="s">
        <v>142</v>
      </c>
    </row>
    <row r="374" spans="1:2" x14ac:dyDescent="0.25">
      <c r="A374" t="s">
        <v>1557</v>
      </c>
      <c r="B374" t="s">
        <v>1558</v>
      </c>
    </row>
    <row r="375" spans="1:2" x14ac:dyDescent="0.25">
      <c r="A375" t="s">
        <v>1559</v>
      </c>
      <c r="B375" t="s">
        <v>1560</v>
      </c>
    </row>
    <row r="376" spans="1:2" x14ac:dyDescent="0.25">
      <c r="A376" t="s">
        <v>1561</v>
      </c>
      <c r="B376" t="s">
        <v>1562</v>
      </c>
    </row>
    <row r="377" spans="1:2" x14ac:dyDescent="0.25">
      <c r="A377" t="s">
        <v>1563</v>
      </c>
      <c r="B377" t="s">
        <v>1564</v>
      </c>
    </row>
    <row r="378" spans="1:2" x14ac:dyDescent="0.25">
      <c r="A378" t="s">
        <v>1565</v>
      </c>
      <c r="B378" t="s">
        <v>1566</v>
      </c>
    </row>
    <row r="379" spans="1:2" x14ac:dyDescent="0.25">
      <c r="A379" t="s">
        <v>1567</v>
      </c>
      <c r="B379" t="s">
        <v>1568</v>
      </c>
    </row>
    <row r="380" spans="1:2" x14ac:dyDescent="0.25">
      <c r="A380" t="s">
        <v>1569</v>
      </c>
      <c r="B380" t="s">
        <v>1570</v>
      </c>
    </row>
    <row r="381" spans="1:2" x14ac:dyDescent="0.25">
      <c r="A381" t="s">
        <v>1571</v>
      </c>
      <c r="B381" t="s">
        <v>145</v>
      </c>
    </row>
    <row r="382" spans="1:2" x14ac:dyDescent="0.25">
      <c r="A382" t="s">
        <v>1572</v>
      </c>
      <c r="B382" t="s">
        <v>1573</v>
      </c>
    </row>
    <row r="383" spans="1:2" x14ac:dyDescent="0.25">
      <c r="A383" t="s">
        <v>1574</v>
      </c>
      <c r="B383" t="s">
        <v>1575</v>
      </c>
    </row>
    <row r="384" spans="1:2" x14ac:dyDescent="0.25">
      <c r="A384" t="s">
        <v>1576</v>
      </c>
      <c r="B384" t="s">
        <v>146</v>
      </c>
    </row>
    <row r="385" spans="1:2" x14ac:dyDescent="0.25">
      <c r="A385" t="s">
        <v>1577</v>
      </c>
      <c r="B385" t="s">
        <v>1578</v>
      </c>
    </row>
    <row r="386" spans="1:2" x14ac:dyDescent="0.25">
      <c r="A386" t="s">
        <v>1579</v>
      </c>
      <c r="B386" t="s">
        <v>1580</v>
      </c>
    </row>
    <row r="387" spans="1:2" x14ac:dyDescent="0.25">
      <c r="A387" t="s">
        <v>1581</v>
      </c>
      <c r="B387" t="s">
        <v>147</v>
      </c>
    </row>
    <row r="388" spans="1:2" x14ac:dyDescent="0.25">
      <c r="A388" t="s">
        <v>1582</v>
      </c>
      <c r="B388" t="s">
        <v>1583</v>
      </c>
    </row>
    <row r="389" spans="1:2" x14ac:dyDescent="0.25">
      <c r="A389" t="s">
        <v>1584</v>
      </c>
      <c r="B389" t="s">
        <v>1585</v>
      </c>
    </row>
    <row r="390" spans="1:2" x14ac:dyDescent="0.25">
      <c r="A390" t="s">
        <v>1586</v>
      </c>
      <c r="B390" t="s">
        <v>148</v>
      </c>
    </row>
    <row r="391" spans="1:2" x14ac:dyDescent="0.25">
      <c r="A391" t="s">
        <v>1587</v>
      </c>
      <c r="B391" t="s">
        <v>1588</v>
      </c>
    </row>
    <row r="392" spans="1:2" x14ac:dyDescent="0.25">
      <c r="A392" t="s">
        <v>1589</v>
      </c>
      <c r="B392" t="s">
        <v>1590</v>
      </c>
    </row>
    <row r="393" spans="1:2" x14ac:dyDescent="0.25">
      <c r="A393" t="s">
        <v>1591</v>
      </c>
      <c r="B393" t="s">
        <v>778</v>
      </c>
    </row>
    <row r="394" spans="1:2" x14ac:dyDescent="0.25">
      <c r="A394" t="s">
        <v>1592</v>
      </c>
      <c r="B394" t="s">
        <v>660</v>
      </c>
    </row>
    <row r="395" spans="1:2" x14ac:dyDescent="0.25">
      <c r="A395" t="s">
        <v>1593</v>
      </c>
      <c r="B395" t="s">
        <v>149</v>
      </c>
    </row>
    <row r="396" spans="1:2" x14ac:dyDescent="0.25">
      <c r="A396" t="s">
        <v>1594</v>
      </c>
      <c r="B396" t="s">
        <v>1595</v>
      </c>
    </row>
    <row r="397" spans="1:2" x14ac:dyDescent="0.25">
      <c r="A397" t="s">
        <v>1596</v>
      </c>
      <c r="B397" t="s">
        <v>1597</v>
      </c>
    </row>
    <row r="398" spans="1:2" x14ac:dyDescent="0.25">
      <c r="A398" t="s">
        <v>1598</v>
      </c>
      <c r="B398" t="s">
        <v>1599</v>
      </c>
    </row>
    <row r="399" spans="1:2" x14ac:dyDescent="0.25">
      <c r="A399" t="s">
        <v>1600</v>
      </c>
      <c r="B399" t="s">
        <v>150</v>
      </c>
    </row>
    <row r="400" spans="1:2" x14ac:dyDescent="0.25">
      <c r="A400" t="s">
        <v>1601</v>
      </c>
      <c r="B400" t="s">
        <v>1602</v>
      </c>
    </row>
    <row r="401" spans="1:3" x14ac:dyDescent="0.25">
      <c r="A401" t="s">
        <v>1603</v>
      </c>
      <c r="B401" t="s">
        <v>151</v>
      </c>
    </row>
    <row r="402" spans="1:3" x14ac:dyDescent="0.25">
      <c r="A402" t="s">
        <v>1604</v>
      </c>
      <c r="B402" t="s">
        <v>153</v>
      </c>
      <c r="C402" t="s">
        <v>2960</v>
      </c>
    </row>
    <row r="403" spans="1:3" x14ac:dyDescent="0.25">
      <c r="A403" t="s">
        <v>1605</v>
      </c>
      <c r="B403" t="s">
        <v>446</v>
      </c>
      <c r="C403" t="s">
        <v>2960</v>
      </c>
    </row>
    <row r="404" spans="1:3" x14ac:dyDescent="0.25">
      <c r="A404" t="s">
        <v>1606</v>
      </c>
      <c r="B404" t="s">
        <v>1607</v>
      </c>
      <c r="C404" t="s">
        <v>2960</v>
      </c>
    </row>
    <row r="405" spans="1:3" x14ac:dyDescent="0.25">
      <c r="A405" t="s">
        <v>1608</v>
      </c>
      <c r="B405" t="s">
        <v>448</v>
      </c>
      <c r="C405" t="s">
        <v>2960</v>
      </c>
    </row>
    <row r="406" spans="1:3" x14ac:dyDescent="0.25">
      <c r="A406" t="s">
        <v>1609</v>
      </c>
      <c r="B406" t="s">
        <v>494</v>
      </c>
      <c r="C406" t="s">
        <v>2960</v>
      </c>
    </row>
    <row r="407" spans="1:3" x14ac:dyDescent="0.25">
      <c r="A407" t="s">
        <v>1610</v>
      </c>
      <c r="B407" t="s">
        <v>451</v>
      </c>
      <c r="C407" t="s">
        <v>2960</v>
      </c>
    </row>
    <row r="408" spans="1:3" x14ac:dyDescent="0.25">
      <c r="A408" t="s">
        <v>1611</v>
      </c>
      <c r="B408" t="s">
        <v>444</v>
      </c>
      <c r="C408" t="s">
        <v>2960</v>
      </c>
    </row>
    <row r="409" spans="1:3" x14ac:dyDescent="0.25">
      <c r="A409" t="s">
        <v>1612</v>
      </c>
      <c r="B409" t="s">
        <v>445</v>
      </c>
      <c r="C409" t="s">
        <v>2960</v>
      </c>
    </row>
    <row r="410" spans="1:3" x14ac:dyDescent="0.25">
      <c r="A410" t="s">
        <v>1613</v>
      </c>
      <c r="B410" t="s">
        <v>1614</v>
      </c>
      <c r="C410" t="s">
        <v>2960</v>
      </c>
    </row>
    <row r="411" spans="1:3" x14ac:dyDescent="0.25">
      <c r="A411" t="s">
        <v>1615</v>
      </c>
      <c r="B411" t="s">
        <v>450</v>
      </c>
      <c r="C411" t="s">
        <v>2960</v>
      </c>
    </row>
    <row r="412" spans="1:3" x14ac:dyDescent="0.25">
      <c r="A412" t="s">
        <v>1616</v>
      </c>
      <c r="B412" t="s">
        <v>152</v>
      </c>
      <c r="C412" t="s">
        <v>2960</v>
      </c>
    </row>
    <row r="413" spans="1:3" x14ac:dyDescent="0.25">
      <c r="A413" t="s">
        <v>1617</v>
      </c>
      <c r="B413" t="s">
        <v>449</v>
      </c>
      <c r="C413" t="s">
        <v>2960</v>
      </c>
    </row>
    <row r="414" spans="1:3" x14ac:dyDescent="0.25">
      <c r="A414" t="s">
        <v>1618</v>
      </c>
      <c r="B414" t="s">
        <v>447</v>
      </c>
      <c r="C414" t="s">
        <v>2960</v>
      </c>
    </row>
    <row r="415" spans="1:3" x14ac:dyDescent="0.25">
      <c r="A415" t="s">
        <v>1619</v>
      </c>
      <c r="B415" t="s">
        <v>453</v>
      </c>
      <c r="C415" t="s">
        <v>2960</v>
      </c>
    </row>
    <row r="416" spans="1:3" x14ac:dyDescent="0.25">
      <c r="A416" t="s">
        <v>1620</v>
      </c>
      <c r="B416" t="s">
        <v>452</v>
      </c>
      <c r="C416" t="s">
        <v>2960</v>
      </c>
    </row>
    <row r="417" spans="1:2" x14ac:dyDescent="0.25">
      <c r="A417" t="s">
        <v>1621</v>
      </c>
      <c r="B417" t="s">
        <v>154</v>
      </c>
    </row>
    <row r="418" spans="1:2" x14ac:dyDescent="0.25">
      <c r="A418" t="s">
        <v>1622</v>
      </c>
      <c r="B418" t="s">
        <v>1623</v>
      </c>
    </row>
    <row r="419" spans="1:2" x14ac:dyDescent="0.25">
      <c r="A419" t="s">
        <v>1624</v>
      </c>
      <c r="B419" t="s">
        <v>1625</v>
      </c>
    </row>
    <row r="420" spans="1:2" x14ac:dyDescent="0.25">
      <c r="A420" t="s">
        <v>1626</v>
      </c>
      <c r="B420" t="s">
        <v>581</v>
      </c>
    </row>
    <row r="421" spans="1:2" x14ac:dyDescent="0.25">
      <c r="A421" t="s">
        <v>1627</v>
      </c>
      <c r="B421" t="s">
        <v>907</v>
      </c>
    </row>
    <row r="422" spans="1:2" x14ac:dyDescent="0.25">
      <c r="A422" t="s">
        <v>1628</v>
      </c>
      <c r="B422" t="s">
        <v>1629</v>
      </c>
    </row>
    <row r="423" spans="1:2" x14ac:dyDescent="0.25">
      <c r="A423" t="s">
        <v>1630</v>
      </c>
      <c r="B423" t="s">
        <v>1631</v>
      </c>
    </row>
    <row r="424" spans="1:2" x14ac:dyDescent="0.25">
      <c r="A424" t="s">
        <v>1632</v>
      </c>
      <c r="B424" t="s">
        <v>1633</v>
      </c>
    </row>
    <row r="425" spans="1:2" x14ac:dyDescent="0.25">
      <c r="A425" t="s">
        <v>1634</v>
      </c>
      <c r="B425" t="s">
        <v>1635</v>
      </c>
    </row>
    <row r="426" spans="1:2" x14ac:dyDescent="0.25">
      <c r="A426" t="s">
        <v>1636</v>
      </c>
      <c r="B426" t="s">
        <v>1637</v>
      </c>
    </row>
    <row r="427" spans="1:2" x14ac:dyDescent="0.25">
      <c r="A427" t="s">
        <v>1638</v>
      </c>
      <c r="B427" t="s">
        <v>1639</v>
      </c>
    </row>
    <row r="428" spans="1:2" x14ac:dyDescent="0.25">
      <c r="A428" t="s">
        <v>1640</v>
      </c>
      <c r="B428" t="s">
        <v>155</v>
      </c>
    </row>
    <row r="429" spans="1:2" x14ac:dyDescent="0.25">
      <c r="A429" t="s">
        <v>1641</v>
      </c>
      <c r="B429" t="s">
        <v>1642</v>
      </c>
    </row>
    <row r="430" spans="1:2" x14ac:dyDescent="0.25">
      <c r="A430" t="s">
        <v>1643</v>
      </c>
      <c r="B430" t="s">
        <v>156</v>
      </c>
    </row>
    <row r="431" spans="1:2" x14ac:dyDescent="0.25">
      <c r="A431" t="s">
        <v>1644</v>
      </c>
      <c r="B431" t="s">
        <v>616</v>
      </c>
    </row>
    <row r="432" spans="1:2" x14ac:dyDescent="0.25">
      <c r="A432" t="s">
        <v>1645</v>
      </c>
      <c r="B432" t="s">
        <v>1646</v>
      </c>
    </row>
    <row r="433" spans="1:2" x14ac:dyDescent="0.25">
      <c r="A433" t="s">
        <v>1647</v>
      </c>
      <c r="B433" t="s">
        <v>1648</v>
      </c>
    </row>
    <row r="434" spans="1:2" x14ac:dyDescent="0.25">
      <c r="A434" t="s">
        <v>1649</v>
      </c>
      <c r="B434" t="s">
        <v>157</v>
      </c>
    </row>
    <row r="435" spans="1:2" x14ac:dyDescent="0.25">
      <c r="A435" t="s">
        <v>1650</v>
      </c>
      <c r="B435" t="s">
        <v>1651</v>
      </c>
    </row>
    <row r="436" spans="1:2" x14ac:dyDescent="0.25">
      <c r="A436" t="s">
        <v>1652</v>
      </c>
      <c r="B436" t="s">
        <v>158</v>
      </c>
    </row>
    <row r="437" spans="1:2" x14ac:dyDescent="0.25">
      <c r="A437" t="s">
        <v>1653</v>
      </c>
      <c r="B437" t="s">
        <v>1654</v>
      </c>
    </row>
    <row r="438" spans="1:2" x14ac:dyDescent="0.25">
      <c r="A438" t="s">
        <v>1655</v>
      </c>
      <c r="B438" t="s">
        <v>1656</v>
      </c>
    </row>
    <row r="439" spans="1:2" x14ac:dyDescent="0.25">
      <c r="A439" t="s">
        <v>1657</v>
      </c>
      <c r="B439" t="s">
        <v>159</v>
      </c>
    </row>
    <row r="440" spans="1:2" x14ac:dyDescent="0.25">
      <c r="A440" t="s">
        <v>1658</v>
      </c>
      <c r="B440" t="s">
        <v>160</v>
      </c>
    </row>
    <row r="441" spans="1:2" x14ac:dyDescent="0.25">
      <c r="A441" t="s">
        <v>1659</v>
      </c>
      <c r="B441" t="s">
        <v>161</v>
      </c>
    </row>
    <row r="442" spans="1:2" x14ac:dyDescent="0.25">
      <c r="A442" t="s">
        <v>1660</v>
      </c>
      <c r="B442" t="s">
        <v>162</v>
      </c>
    </row>
    <row r="443" spans="1:2" x14ac:dyDescent="0.25">
      <c r="A443" t="s">
        <v>1661</v>
      </c>
      <c r="B443" t="s">
        <v>496</v>
      </c>
    </row>
    <row r="444" spans="1:2" x14ac:dyDescent="0.25">
      <c r="A444" t="s">
        <v>1662</v>
      </c>
      <c r="B444" t="s">
        <v>1663</v>
      </c>
    </row>
    <row r="445" spans="1:2" x14ac:dyDescent="0.25">
      <c r="A445" t="s">
        <v>1664</v>
      </c>
      <c r="B445" t="s">
        <v>912</v>
      </c>
    </row>
    <row r="446" spans="1:2" x14ac:dyDescent="0.25">
      <c r="A446" t="s">
        <v>1665</v>
      </c>
      <c r="B446" t="s">
        <v>1666</v>
      </c>
    </row>
    <row r="447" spans="1:2" x14ac:dyDescent="0.25">
      <c r="A447" t="s">
        <v>1667</v>
      </c>
      <c r="B447" t="s">
        <v>1668</v>
      </c>
    </row>
    <row r="448" spans="1:2" x14ac:dyDescent="0.25">
      <c r="A448" t="s">
        <v>1669</v>
      </c>
      <c r="B448" t="s">
        <v>1670</v>
      </c>
    </row>
    <row r="449" spans="1:3" x14ac:dyDescent="0.25">
      <c r="A449" t="s">
        <v>1671</v>
      </c>
      <c r="B449" t="s">
        <v>163</v>
      </c>
    </row>
    <row r="450" spans="1:3" x14ac:dyDescent="0.25">
      <c r="A450" t="s">
        <v>1672</v>
      </c>
      <c r="B450" t="s">
        <v>1673</v>
      </c>
    </row>
    <row r="451" spans="1:3" x14ac:dyDescent="0.25">
      <c r="A451" t="s">
        <v>1674</v>
      </c>
      <c r="B451" t="s">
        <v>1675</v>
      </c>
    </row>
    <row r="452" spans="1:3" x14ac:dyDescent="0.25">
      <c r="A452" t="s">
        <v>1676</v>
      </c>
      <c r="B452" t="s">
        <v>874</v>
      </c>
    </row>
    <row r="453" spans="1:3" x14ac:dyDescent="0.25">
      <c r="A453" t="s">
        <v>1677</v>
      </c>
      <c r="B453" t="s">
        <v>164</v>
      </c>
    </row>
    <row r="454" spans="1:3" x14ac:dyDescent="0.25">
      <c r="A454" t="s">
        <v>1678</v>
      </c>
      <c r="B454" t="s">
        <v>165</v>
      </c>
      <c r="C454" t="s">
        <v>2964</v>
      </c>
    </row>
    <row r="455" spans="1:3" x14ac:dyDescent="0.25">
      <c r="A455" t="s">
        <v>1679</v>
      </c>
      <c r="B455" t="s">
        <v>394</v>
      </c>
      <c r="C455" t="s">
        <v>2964</v>
      </c>
    </row>
    <row r="456" spans="1:3" x14ac:dyDescent="0.25">
      <c r="A456" t="s">
        <v>1680</v>
      </c>
      <c r="B456" t="s">
        <v>1681</v>
      </c>
    </row>
    <row r="457" spans="1:3" x14ac:dyDescent="0.25">
      <c r="A457" t="s">
        <v>1682</v>
      </c>
      <c r="B457" t="s">
        <v>395</v>
      </c>
    </row>
    <row r="458" spans="1:3" x14ac:dyDescent="0.25">
      <c r="A458" t="s">
        <v>1683</v>
      </c>
      <c r="B458" t="s">
        <v>1684</v>
      </c>
    </row>
    <row r="459" spans="1:3" x14ac:dyDescent="0.25">
      <c r="A459" t="s">
        <v>1685</v>
      </c>
      <c r="B459" t="s">
        <v>167</v>
      </c>
    </row>
    <row r="460" spans="1:3" x14ac:dyDescent="0.25">
      <c r="A460" t="s">
        <v>1686</v>
      </c>
      <c r="B460" t="s">
        <v>1687</v>
      </c>
    </row>
    <row r="461" spans="1:3" x14ac:dyDescent="0.25">
      <c r="A461" t="s">
        <v>1688</v>
      </c>
      <c r="B461" t="s">
        <v>617</v>
      </c>
    </row>
    <row r="462" spans="1:3" x14ac:dyDescent="0.25">
      <c r="A462" t="s">
        <v>1689</v>
      </c>
      <c r="B462" t="s">
        <v>168</v>
      </c>
    </row>
    <row r="463" spans="1:3" x14ac:dyDescent="0.25">
      <c r="A463" t="s">
        <v>1690</v>
      </c>
      <c r="B463" t="s">
        <v>1691</v>
      </c>
    </row>
    <row r="464" spans="1:3" x14ac:dyDescent="0.25">
      <c r="A464" t="s">
        <v>1692</v>
      </c>
      <c r="B464" t="s">
        <v>1693</v>
      </c>
    </row>
    <row r="465" spans="1:2" x14ac:dyDescent="0.25">
      <c r="A465" t="s">
        <v>1694</v>
      </c>
      <c r="B465" t="s">
        <v>169</v>
      </c>
    </row>
    <row r="466" spans="1:2" x14ac:dyDescent="0.25">
      <c r="A466" t="s">
        <v>1695</v>
      </c>
      <c r="B466" t="s">
        <v>170</v>
      </c>
    </row>
    <row r="467" spans="1:2" x14ac:dyDescent="0.25">
      <c r="A467" t="s">
        <v>1696</v>
      </c>
      <c r="B467" t="s">
        <v>1697</v>
      </c>
    </row>
    <row r="468" spans="1:2" x14ac:dyDescent="0.25">
      <c r="A468" t="s">
        <v>1698</v>
      </c>
      <c r="B468" t="s">
        <v>875</v>
      </c>
    </row>
    <row r="469" spans="1:2" x14ac:dyDescent="0.25">
      <c r="A469" t="s">
        <v>1699</v>
      </c>
      <c r="B469" t="s">
        <v>1700</v>
      </c>
    </row>
    <row r="470" spans="1:2" x14ac:dyDescent="0.25">
      <c r="A470" t="s">
        <v>1701</v>
      </c>
      <c r="B470" t="s">
        <v>171</v>
      </c>
    </row>
    <row r="471" spans="1:2" x14ac:dyDescent="0.25">
      <c r="A471" t="s">
        <v>1702</v>
      </c>
      <c r="B471" t="s">
        <v>1703</v>
      </c>
    </row>
    <row r="472" spans="1:2" x14ac:dyDescent="0.25">
      <c r="A472" t="s">
        <v>1704</v>
      </c>
      <c r="B472" t="s">
        <v>173</v>
      </c>
    </row>
    <row r="473" spans="1:2" x14ac:dyDescent="0.25">
      <c r="A473" t="s">
        <v>1705</v>
      </c>
      <c r="B473" t="s">
        <v>1706</v>
      </c>
    </row>
    <row r="474" spans="1:2" x14ac:dyDescent="0.25">
      <c r="A474" t="s">
        <v>1707</v>
      </c>
      <c r="B474" t="s">
        <v>1708</v>
      </c>
    </row>
    <row r="475" spans="1:2" x14ac:dyDescent="0.25">
      <c r="A475" t="s">
        <v>1709</v>
      </c>
      <c r="B475" t="s">
        <v>175</v>
      </c>
    </row>
    <row r="476" spans="1:2" x14ac:dyDescent="0.25">
      <c r="A476" t="s">
        <v>1710</v>
      </c>
      <c r="B476" t="s">
        <v>1711</v>
      </c>
    </row>
    <row r="477" spans="1:2" x14ac:dyDescent="0.25">
      <c r="A477" t="s">
        <v>1712</v>
      </c>
      <c r="B477" t="s">
        <v>176</v>
      </c>
    </row>
    <row r="478" spans="1:2" x14ac:dyDescent="0.25">
      <c r="A478" t="s">
        <v>1713</v>
      </c>
      <c r="B478" t="s">
        <v>1714</v>
      </c>
    </row>
    <row r="479" spans="1:2" x14ac:dyDescent="0.25">
      <c r="A479" t="s">
        <v>1715</v>
      </c>
      <c r="B479" t="s">
        <v>177</v>
      </c>
    </row>
    <row r="480" spans="1:2" x14ac:dyDescent="0.25">
      <c r="A480" t="s">
        <v>1716</v>
      </c>
      <c r="B480" t="s">
        <v>1717</v>
      </c>
    </row>
    <row r="481" spans="1:2" x14ac:dyDescent="0.25">
      <c r="A481" t="s">
        <v>1718</v>
      </c>
      <c r="B481" t="s">
        <v>1719</v>
      </c>
    </row>
    <row r="482" spans="1:2" x14ac:dyDescent="0.25">
      <c r="A482" t="s">
        <v>1720</v>
      </c>
      <c r="B482" t="s">
        <v>1721</v>
      </c>
    </row>
    <row r="483" spans="1:2" x14ac:dyDescent="0.25">
      <c r="A483" t="s">
        <v>1722</v>
      </c>
      <c r="B483" t="s">
        <v>1723</v>
      </c>
    </row>
    <row r="484" spans="1:2" x14ac:dyDescent="0.25">
      <c r="A484" t="s">
        <v>1724</v>
      </c>
      <c r="B484" t="s">
        <v>497</v>
      </c>
    </row>
    <row r="485" spans="1:2" x14ac:dyDescent="0.25">
      <c r="A485" t="s">
        <v>1725</v>
      </c>
      <c r="B485" t="s">
        <v>178</v>
      </c>
    </row>
    <row r="486" spans="1:2" x14ac:dyDescent="0.25">
      <c r="A486" t="s">
        <v>1726</v>
      </c>
      <c r="B486" t="s">
        <v>179</v>
      </c>
    </row>
    <row r="487" spans="1:2" x14ac:dyDescent="0.25">
      <c r="A487" t="s">
        <v>1727</v>
      </c>
      <c r="B487" t="s">
        <v>1728</v>
      </c>
    </row>
    <row r="488" spans="1:2" x14ac:dyDescent="0.25">
      <c r="A488" t="s">
        <v>1729</v>
      </c>
      <c r="B488" t="s">
        <v>181</v>
      </c>
    </row>
    <row r="489" spans="1:2" x14ac:dyDescent="0.25">
      <c r="A489" t="s">
        <v>1730</v>
      </c>
      <c r="B489" t="s">
        <v>1731</v>
      </c>
    </row>
    <row r="490" spans="1:2" x14ac:dyDescent="0.25">
      <c r="A490" t="s">
        <v>1732</v>
      </c>
      <c r="B490" t="s">
        <v>1733</v>
      </c>
    </row>
    <row r="491" spans="1:2" x14ac:dyDescent="0.25">
      <c r="A491" t="s">
        <v>1734</v>
      </c>
      <c r="B491" t="s">
        <v>1735</v>
      </c>
    </row>
    <row r="492" spans="1:2" x14ac:dyDescent="0.25">
      <c r="A492" t="s">
        <v>1736</v>
      </c>
      <c r="B492" t="s">
        <v>1737</v>
      </c>
    </row>
    <row r="493" spans="1:2" x14ac:dyDescent="0.25">
      <c r="A493" t="s">
        <v>1738</v>
      </c>
      <c r="B493" t="s">
        <v>1739</v>
      </c>
    </row>
    <row r="494" spans="1:2" x14ac:dyDescent="0.25">
      <c r="A494" t="s">
        <v>1740</v>
      </c>
      <c r="B494" t="s">
        <v>1741</v>
      </c>
    </row>
    <row r="495" spans="1:2" x14ac:dyDescent="0.25">
      <c r="A495" t="s">
        <v>1742</v>
      </c>
      <c r="B495" t="s">
        <v>1743</v>
      </c>
    </row>
    <row r="496" spans="1:2" x14ac:dyDescent="0.25">
      <c r="A496" t="s">
        <v>1744</v>
      </c>
      <c r="B496" t="s">
        <v>182</v>
      </c>
    </row>
    <row r="497" spans="1:2" x14ac:dyDescent="0.25">
      <c r="A497" t="s">
        <v>1745</v>
      </c>
      <c r="B497" t="s">
        <v>1746</v>
      </c>
    </row>
    <row r="498" spans="1:2" x14ac:dyDescent="0.25">
      <c r="A498" t="s">
        <v>1747</v>
      </c>
      <c r="B498" t="s">
        <v>1748</v>
      </c>
    </row>
    <row r="499" spans="1:2" x14ac:dyDescent="0.25">
      <c r="A499" t="s">
        <v>1749</v>
      </c>
      <c r="B499" t="s">
        <v>396</v>
      </c>
    </row>
    <row r="500" spans="1:2" x14ac:dyDescent="0.25">
      <c r="A500" t="s">
        <v>1750</v>
      </c>
      <c r="B500" t="s">
        <v>1751</v>
      </c>
    </row>
    <row r="501" spans="1:2" x14ac:dyDescent="0.25">
      <c r="A501" t="s">
        <v>1752</v>
      </c>
      <c r="B501" t="s">
        <v>1753</v>
      </c>
    </row>
    <row r="502" spans="1:2" x14ac:dyDescent="0.25">
      <c r="A502" t="s">
        <v>1754</v>
      </c>
      <c r="B502" t="s">
        <v>183</v>
      </c>
    </row>
    <row r="503" spans="1:2" x14ac:dyDescent="0.25">
      <c r="A503" t="s">
        <v>1755</v>
      </c>
      <c r="B503" t="s">
        <v>1756</v>
      </c>
    </row>
    <row r="504" spans="1:2" x14ac:dyDescent="0.25">
      <c r="A504" t="s">
        <v>1757</v>
      </c>
      <c r="B504" t="s">
        <v>1758</v>
      </c>
    </row>
    <row r="505" spans="1:2" x14ac:dyDescent="0.25">
      <c r="A505" t="s">
        <v>1759</v>
      </c>
      <c r="B505" t="s">
        <v>22</v>
      </c>
    </row>
    <row r="506" spans="1:2" x14ac:dyDescent="0.25">
      <c r="A506" t="s">
        <v>1760</v>
      </c>
      <c r="B506" t="s">
        <v>1761</v>
      </c>
    </row>
    <row r="507" spans="1:2" x14ac:dyDescent="0.25">
      <c r="A507" t="s">
        <v>1762</v>
      </c>
      <c r="B507" t="s">
        <v>1763</v>
      </c>
    </row>
    <row r="508" spans="1:2" x14ac:dyDescent="0.25">
      <c r="A508" t="s">
        <v>1764</v>
      </c>
      <c r="B508" t="s">
        <v>184</v>
      </c>
    </row>
    <row r="509" spans="1:2" x14ac:dyDescent="0.25">
      <c r="A509" t="s">
        <v>1765</v>
      </c>
      <c r="B509" t="s">
        <v>498</v>
      </c>
    </row>
    <row r="510" spans="1:2" x14ac:dyDescent="0.25">
      <c r="A510" t="s">
        <v>1766</v>
      </c>
      <c r="B510" t="s">
        <v>914</v>
      </c>
    </row>
    <row r="511" spans="1:2" x14ac:dyDescent="0.25">
      <c r="A511" t="s">
        <v>1767</v>
      </c>
      <c r="B511" t="s">
        <v>1768</v>
      </c>
    </row>
    <row r="512" spans="1:2" x14ac:dyDescent="0.25">
      <c r="A512" t="s">
        <v>1769</v>
      </c>
      <c r="B512" t="s">
        <v>185</v>
      </c>
    </row>
    <row r="513" spans="1:2" x14ac:dyDescent="0.25">
      <c r="A513" t="s">
        <v>1770</v>
      </c>
      <c r="B513" t="s">
        <v>499</v>
      </c>
    </row>
    <row r="514" spans="1:2" x14ac:dyDescent="0.25">
      <c r="A514" t="s">
        <v>1771</v>
      </c>
      <c r="B514" t="s">
        <v>1772</v>
      </c>
    </row>
    <row r="515" spans="1:2" x14ac:dyDescent="0.25">
      <c r="A515" t="s">
        <v>1773</v>
      </c>
      <c r="B515" t="s">
        <v>1774</v>
      </c>
    </row>
    <row r="516" spans="1:2" x14ac:dyDescent="0.25">
      <c r="A516" t="s">
        <v>1775</v>
      </c>
      <c r="B516" t="s">
        <v>618</v>
      </c>
    </row>
    <row r="517" spans="1:2" x14ac:dyDescent="0.25">
      <c r="A517" t="s">
        <v>1776</v>
      </c>
      <c r="B517" t="s">
        <v>722</v>
      </c>
    </row>
    <row r="518" spans="1:2" x14ac:dyDescent="0.25">
      <c r="A518" t="s">
        <v>1777</v>
      </c>
      <c r="B518" t="s">
        <v>915</v>
      </c>
    </row>
    <row r="519" spans="1:2" x14ac:dyDescent="0.25">
      <c r="A519" t="s">
        <v>1778</v>
      </c>
      <c r="B519" t="s">
        <v>188</v>
      </c>
    </row>
    <row r="520" spans="1:2" x14ac:dyDescent="0.25">
      <c r="A520" t="s">
        <v>1779</v>
      </c>
      <c r="B520" t="s">
        <v>1780</v>
      </c>
    </row>
    <row r="521" spans="1:2" x14ac:dyDescent="0.25">
      <c r="A521" t="s">
        <v>1781</v>
      </c>
      <c r="B521" t="s">
        <v>1782</v>
      </c>
    </row>
    <row r="522" spans="1:2" x14ac:dyDescent="0.25">
      <c r="A522" t="s">
        <v>1783</v>
      </c>
      <c r="B522" t="s">
        <v>189</v>
      </c>
    </row>
    <row r="523" spans="1:2" x14ac:dyDescent="0.25">
      <c r="A523" t="s">
        <v>1784</v>
      </c>
      <c r="B523" t="s">
        <v>190</v>
      </c>
    </row>
    <row r="524" spans="1:2" x14ac:dyDescent="0.25">
      <c r="A524" t="s">
        <v>1785</v>
      </c>
      <c r="B524" t="s">
        <v>398</v>
      </c>
    </row>
    <row r="525" spans="1:2" x14ac:dyDescent="0.25">
      <c r="A525" t="s">
        <v>1786</v>
      </c>
      <c r="B525" t="s">
        <v>917</v>
      </c>
    </row>
    <row r="526" spans="1:2" x14ac:dyDescent="0.25">
      <c r="A526" t="s">
        <v>1787</v>
      </c>
      <c r="B526" t="s">
        <v>23</v>
      </c>
    </row>
    <row r="527" spans="1:2" x14ac:dyDescent="0.25">
      <c r="A527" t="s">
        <v>1788</v>
      </c>
      <c r="B527" t="s">
        <v>191</v>
      </c>
    </row>
    <row r="528" spans="1:2" x14ac:dyDescent="0.25">
      <c r="A528" t="s">
        <v>1789</v>
      </c>
      <c r="B528" t="s">
        <v>723</v>
      </c>
    </row>
    <row r="529" spans="1:2" x14ac:dyDescent="0.25">
      <c r="A529" t="s">
        <v>1790</v>
      </c>
      <c r="B529" t="s">
        <v>1791</v>
      </c>
    </row>
    <row r="530" spans="1:2" x14ac:dyDescent="0.25">
      <c r="A530" t="s">
        <v>1792</v>
      </c>
      <c r="B530" t="s">
        <v>192</v>
      </c>
    </row>
    <row r="531" spans="1:2" x14ac:dyDescent="0.25">
      <c r="A531" t="s">
        <v>1793</v>
      </c>
      <c r="B531" t="s">
        <v>919</v>
      </c>
    </row>
    <row r="532" spans="1:2" x14ac:dyDescent="0.25">
      <c r="A532" t="s">
        <v>1794</v>
      </c>
      <c r="B532" t="s">
        <v>193</v>
      </c>
    </row>
    <row r="533" spans="1:2" x14ac:dyDescent="0.25">
      <c r="A533" t="s">
        <v>1795</v>
      </c>
      <c r="B533" t="s">
        <v>664</v>
      </c>
    </row>
    <row r="534" spans="1:2" x14ac:dyDescent="0.25">
      <c r="A534" t="s">
        <v>1796</v>
      </c>
      <c r="B534" t="s">
        <v>455</v>
      </c>
    </row>
    <row r="535" spans="1:2" x14ac:dyDescent="0.25">
      <c r="A535" t="s">
        <v>1797</v>
      </c>
      <c r="B535" t="s">
        <v>1798</v>
      </c>
    </row>
    <row r="536" spans="1:2" x14ac:dyDescent="0.25">
      <c r="A536" t="s">
        <v>1799</v>
      </c>
      <c r="B536" t="s">
        <v>1800</v>
      </c>
    </row>
    <row r="537" spans="1:2" x14ac:dyDescent="0.25">
      <c r="A537" t="s">
        <v>1801</v>
      </c>
      <c r="B537" t="s">
        <v>779</v>
      </c>
    </row>
    <row r="538" spans="1:2" x14ac:dyDescent="0.25">
      <c r="A538" t="s">
        <v>1802</v>
      </c>
      <c r="B538" t="s">
        <v>1803</v>
      </c>
    </row>
    <row r="539" spans="1:2" x14ac:dyDescent="0.25">
      <c r="A539" t="s">
        <v>1804</v>
      </c>
      <c r="B539" t="s">
        <v>1805</v>
      </c>
    </row>
    <row r="540" spans="1:2" x14ac:dyDescent="0.25">
      <c r="A540" t="s">
        <v>1806</v>
      </c>
      <c r="B540" t="s">
        <v>194</v>
      </c>
    </row>
    <row r="541" spans="1:2" x14ac:dyDescent="0.25">
      <c r="A541" t="s">
        <v>1807</v>
      </c>
      <c r="B541" t="s">
        <v>24</v>
      </c>
    </row>
    <row r="542" spans="1:2" x14ac:dyDescent="0.25">
      <c r="A542" t="s">
        <v>1808</v>
      </c>
      <c r="B542" t="s">
        <v>195</v>
      </c>
    </row>
    <row r="543" spans="1:2" x14ac:dyDescent="0.25">
      <c r="A543" t="s">
        <v>1809</v>
      </c>
      <c r="B543" t="s">
        <v>1810</v>
      </c>
    </row>
    <row r="544" spans="1:2" x14ac:dyDescent="0.25">
      <c r="A544" t="s">
        <v>1811</v>
      </c>
      <c r="B544" t="s">
        <v>1812</v>
      </c>
    </row>
    <row r="545" spans="1:2" x14ac:dyDescent="0.25">
      <c r="A545" t="s">
        <v>1813</v>
      </c>
      <c r="B545" t="s">
        <v>1814</v>
      </c>
    </row>
    <row r="546" spans="1:2" x14ac:dyDescent="0.25">
      <c r="A546" t="s">
        <v>1815</v>
      </c>
      <c r="B546" t="s">
        <v>1816</v>
      </c>
    </row>
    <row r="547" spans="1:2" x14ac:dyDescent="0.25">
      <c r="A547" t="s">
        <v>1817</v>
      </c>
      <c r="B547" t="s">
        <v>196</v>
      </c>
    </row>
    <row r="548" spans="1:2" x14ac:dyDescent="0.25">
      <c r="A548" t="s">
        <v>1818</v>
      </c>
      <c r="B548" t="s">
        <v>197</v>
      </c>
    </row>
    <row r="549" spans="1:2" x14ac:dyDescent="0.25">
      <c r="A549" t="s">
        <v>1819</v>
      </c>
      <c r="B549" t="s">
        <v>198</v>
      </c>
    </row>
    <row r="550" spans="1:2" x14ac:dyDescent="0.25">
      <c r="A550" t="s">
        <v>1820</v>
      </c>
      <c r="B550" t="s">
        <v>1821</v>
      </c>
    </row>
    <row r="551" spans="1:2" x14ac:dyDescent="0.25">
      <c r="A551" t="s">
        <v>1822</v>
      </c>
      <c r="B551" t="s">
        <v>1823</v>
      </c>
    </row>
    <row r="552" spans="1:2" x14ac:dyDescent="0.25">
      <c r="A552" t="s">
        <v>1824</v>
      </c>
      <c r="B552" t="s">
        <v>1825</v>
      </c>
    </row>
    <row r="553" spans="1:2" x14ac:dyDescent="0.25">
      <c r="A553" t="s">
        <v>1826</v>
      </c>
      <c r="B553" t="s">
        <v>1827</v>
      </c>
    </row>
    <row r="554" spans="1:2" x14ac:dyDescent="0.25">
      <c r="A554" t="s">
        <v>1828</v>
      </c>
      <c r="B554" t="s">
        <v>876</v>
      </c>
    </row>
    <row r="555" spans="1:2" x14ac:dyDescent="0.25">
      <c r="A555" t="s">
        <v>1829</v>
      </c>
      <c r="B555" t="s">
        <v>199</v>
      </c>
    </row>
    <row r="556" spans="1:2" x14ac:dyDescent="0.25">
      <c r="A556" t="s">
        <v>1830</v>
      </c>
      <c r="B556" t="s">
        <v>1831</v>
      </c>
    </row>
    <row r="557" spans="1:2" x14ac:dyDescent="0.25">
      <c r="A557" t="s">
        <v>1832</v>
      </c>
      <c r="B557" t="s">
        <v>399</v>
      </c>
    </row>
    <row r="558" spans="1:2" x14ac:dyDescent="0.25">
      <c r="A558" t="s">
        <v>1833</v>
      </c>
      <c r="B558" t="s">
        <v>25</v>
      </c>
    </row>
    <row r="559" spans="1:2" x14ac:dyDescent="0.25">
      <c r="A559" t="s">
        <v>1834</v>
      </c>
      <c r="B559" t="s">
        <v>200</v>
      </c>
    </row>
    <row r="560" spans="1:2" x14ac:dyDescent="0.25">
      <c r="A560" t="s">
        <v>1835</v>
      </c>
      <c r="B560" t="s">
        <v>1836</v>
      </c>
    </row>
    <row r="561" spans="1:2" x14ac:dyDescent="0.25">
      <c r="A561" t="s">
        <v>1837</v>
      </c>
      <c r="B561" t="s">
        <v>201</v>
      </c>
    </row>
    <row r="562" spans="1:2" x14ac:dyDescent="0.25">
      <c r="A562" t="s">
        <v>1838</v>
      </c>
      <c r="B562" t="s">
        <v>1839</v>
      </c>
    </row>
    <row r="563" spans="1:2" x14ac:dyDescent="0.25">
      <c r="A563" t="s">
        <v>1840</v>
      </c>
      <c r="B563" t="s">
        <v>1841</v>
      </c>
    </row>
    <row r="564" spans="1:2" x14ac:dyDescent="0.25">
      <c r="A564" t="s">
        <v>1842</v>
      </c>
      <c r="B564" t="s">
        <v>1843</v>
      </c>
    </row>
    <row r="565" spans="1:2" x14ac:dyDescent="0.25">
      <c r="A565" t="s">
        <v>1844</v>
      </c>
      <c r="B565" t="s">
        <v>400</v>
      </c>
    </row>
    <row r="566" spans="1:2" x14ac:dyDescent="0.25">
      <c r="A566" t="s">
        <v>1845</v>
      </c>
      <c r="B566" t="s">
        <v>1846</v>
      </c>
    </row>
    <row r="567" spans="1:2" x14ac:dyDescent="0.25">
      <c r="A567" t="s">
        <v>1847</v>
      </c>
      <c r="B567" t="s">
        <v>456</v>
      </c>
    </row>
    <row r="568" spans="1:2" x14ac:dyDescent="0.25">
      <c r="A568" t="s">
        <v>1848</v>
      </c>
      <c r="B568" t="s">
        <v>1849</v>
      </c>
    </row>
    <row r="569" spans="1:2" x14ac:dyDescent="0.25">
      <c r="A569" t="s">
        <v>1850</v>
      </c>
      <c r="B569" t="s">
        <v>725</v>
      </c>
    </row>
    <row r="570" spans="1:2" x14ac:dyDescent="0.25">
      <c r="A570" t="s">
        <v>1851</v>
      </c>
      <c r="B570" t="s">
        <v>921</v>
      </c>
    </row>
    <row r="571" spans="1:2" x14ac:dyDescent="0.25">
      <c r="A571" t="s">
        <v>1852</v>
      </c>
      <c r="B571" t="s">
        <v>1853</v>
      </c>
    </row>
    <row r="572" spans="1:2" x14ac:dyDescent="0.25">
      <c r="A572" t="s">
        <v>1854</v>
      </c>
      <c r="B572" t="s">
        <v>1855</v>
      </c>
    </row>
    <row r="573" spans="1:2" x14ac:dyDescent="0.25">
      <c r="A573" t="s">
        <v>1856</v>
      </c>
      <c r="B573" t="s">
        <v>1857</v>
      </c>
    </row>
    <row r="574" spans="1:2" x14ac:dyDescent="0.25">
      <c r="A574" t="s">
        <v>1858</v>
      </c>
      <c r="B574" t="s">
        <v>1859</v>
      </c>
    </row>
    <row r="575" spans="1:2" x14ac:dyDescent="0.25">
      <c r="A575" t="s">
        <v>1860</v>
      </c>
      <c r="B575" t="s">
        <v>202</v>
      </c>
    </row>
    <row r="576" spans="1:2" x14ac:dyDescent="0.25">
      <c r="A576" t="s">
        <v>1861</v>
      </c>
      <c r="B576" t="s">
        <v>1862</v>
      </c>
    </row>
    <row r="577" spans="1:2" x14ac:dyDescent="0.25">
      <c r="A577" t="s">
        <v>1863</v>
      </c>
      <c r="B577" t="s">
        <v>1864</v>
      </c>
    </row>
    <row r="578" spans="1:2" x14ac:dyDescent="0.25">
      <c r="A578" t="s">
        <v>1865</v>
      </c>
      <c r="B578" t="s">
        <v>1866</v>
      </c>
    </row>
    <row r="579" spans="1:2" x14ac:dyDescent="0.25">
      <c r="A579" t="s">
        <v>1867</v>
      </c>
      <c r="B579" t="s">
        <v>1868</v>
      </c>
    </row>
    <row r="580" spans="1:2" x14ac:dyDescent="0.25">
      <c r="A580" t="s">
        <v>1869</v>
      </c>
      <c r="B580" t="s">
        <v>727</v>
      </c>
    </row>
    <row r="581" spans="1:2" x14ac:dyDescent="0.25">
      <c r="A581" t="s">
        <v>1870</v>
      </c>
      <c r="B581" t="s">
        <v>204</v>
      </c>
    </row>
    <row r="582" spans="1:2" x14ac:dyDescent="0.25">
      <c r="A582" t="s">
        <v>1871</v>
      </c>
      <c r="B582" t="s">
        <v>923</v>
      </c>
    </row>
    <row r="583" spans="1:2" x14ac:dyDescent="0.25">
      <c r="A583" t="s">
        <v>1872</v>
      </c>
      <c r="B583" t="s">
        <v>27</v>
      </c>
    </row>
    <row r="584" spans="1:2" x14ac:dyDescent="0.25">
      <c r="A584" t="s">
        <v>1873</v>
      </c>
      <c r="B584" t="s">
        <v>1874</v>
      </c>
    </row>
    <row r="585" spans="1:2" x14ac:dyDescent="0.25">
      <c r="A585" t="s">
        <v>1875</v>
      </c>
      <c r="B585" t="s">
        <v>205</v>
      </c>
    </row>
    <row r="586" spans="1:2" x14ac:dyDescent="0.25">
      <c r="A586" t="s">
        <v>1876</v>
      </c>
      <c r="B586" t="s">
        <v>1877</v>
      </c>
    </row>
    <row r="587" spans="1:2" x14ac:dyDescent="0.25">
      <c r="A587" t="s">
        <v>1878</v>
      </c>
      <c r="B587" t="s">
        <v>206</v>
      </c>
    </row>
    <row r="588" spans="1:2" x14ac:dyDescent="0.25">
      <c r="A588" t="s">
        <v>1879</v>
      </c>
      <c r="B588" t="s">
        <v>1880</v>
      </c>
    </row>
    <row r="589" spans="1:2" x14ac:dyDescent="0.25">
      <c r="A589" t="s">
        <v>1881</v>
      </c>
      <c r="B589" t="s">
        <v>1882</v>
      </c>
    </row>
    <row r="590" spans="1:2" x14ac:dyDescent="0.25">
      <c r="A590" t="s">
        <v>1883</v>
      </c>
      <c r="B590" t="s">
        <v>207</v>
      </c>
    </row>
    <row r="591" spans="1:2" x14ac:dyDescent="0.25">
      <c r="A591" t="s">
        <v>1884</v>
      </c>
      <c r="B591" t="s">
        <v>1885</v>
      </c>
    </row>
    <row r="592" spans="1:2" x14ac:dyDescent="0.25">
      <c r="A592" t="s">
        <v>1886</v>
      </c>
      <c r="B592" t="s">
        <v>1887</v>
      </c>
    </row>
    <row r="593" spans="1:3" x14ac:dyDescent="0.25">
      <c r="A593" t="s">
        <v>1888</v>
      </c>
      <c r="B593" t="s">
        <v>1889</v>
      </c>
    </row>
    <row r="594" spans="1:3" x14ac:dyDescent="0.25">
      <c r="A594" t="s">
        <v>1890</v>
      </c>
      <c r="B594" t="s">
        <v>728</v>
      </c>
    </row>
    <row r="595" spans="1:3" x14ac:dyDescent="0.25">
      <c r="A595" t="s">
        <v>1891</v>
      </c>
      <c r="B595" t="s">
        <v>209</v>
      </c>
    </row>
    <row r="596" spans="1:3" x14ac:dyDescent="0.25">
      <c r="A596" t="s">
        <v>1892</v>
      </c>
      <c r="B596" t="s">
        <v>1893</v>
      </c>
    </row>
    <row r="597" spans="1:3" x14ac:dyDescent="0.25">
      <c r="A597" t="s">
        <v>1894</v>
      </c>
      <c r="B597" t="s">
        <v>1895</v>
      </c>
    </row>
    <row r="598" spans="1:3" x14ac:dyDescent="0.25">
      <c r="A598" t="s">
        <v>1896</v>
      </c>
      <c r="B598" t="s">
        <v>1897</v>
      </c>
    </row>
    <row r="599" spans="1:3" x14ac:dyDescent="0.25">
      <c r="A599" t="s">
        <v>1898</v>
      </c>
      <c r="B599" t="s">
        <v>1899</v>
      </c>
    </row>
    <row r="600" spans="1:3" x14ac:dyDescent="0.25">
      <c r="A600" t="s">
        <v>1900</v>
      </c>
      <c r="B600" t="s">
        <v>1901</v>
      </c>
    </row>
    <row r="601" spans="1:3" x14ac:dyDescent="0.25">
      <c r="A601" t="s">
        <v>1902</v>
      </c>
      <c r="B601" t="s">
        <v>1903</v>
      </c>
    </row>
    <row r="602" spans="1:3" x14ac:dyDescent="0.25">
      <c r="A602" t="s">
        <v>1904</v>
      </c>
      <c r="B602" t="s">
        <v>1905</v>
      </c>
    </row>
    <row r="603" spans="1:3" x14ac:dyDescent="0.25">
      <c r="A603" t="s">
        <v>1906</v>
      </c>
      <c r="B603" t="s">
        <v>1907</v>
      </c>
    </row>
    <row r="604" spans="1:3" x14ac:dyDescent="0.25">
      <c r="A604" t="s">
        <v>1908</v>
      </c>
      <c r="B604" t="s">
        <v>1909</v>
      </c>
    </row>
    <row r="605" spans="1:3" x14ac:dyDescent="0.25">
      <c r="A605" t="s">
        <v>1910</v>
      </c>
      <c r="B605" t="s">
        <v>1911</v>
      </c>
    </row>
    <row r="606" spans="1:3" x14ac:dyDescent="0.25">
      <c r="A606" t="s">
        <v>1912</v>
      </c>
      <c r="B606" t="s">
        <v>213</v>
      </c>
      <c r="C606" t="s">
        <v>2959</v>
      </c>
    </row>
    <row r="607" spans="1:3" x14ac:dyDescent="0.25">
      <c r="A607" t="s">
        <v>1913</v>
      </c>
      <c r="B607" t="s">
        <v>1914</v>
      </c>
      <c r="C607" t="s">
        <v>2959</v>
      </c>
    </row>
    <row r="608" spans="1:3" x14ac:dyDescent="0.25">
      <c r="A608" t="s">
        <v>1915</v>
      </c>
      <c r="B608" t="s">
        <v>401</v>
      </c>
      <c r="C608" t="s">
        <v>2959</v>
      </c>
    </row>
    <row r="609" spans="1:3" x14ac:dyDescent="0.25">
      <c r="A609" t="s">
        <v>1916</v>
      </c>
      <c r="B609" t="s">
        <v>211</v>
      </c>
      <c r="C609" t="s">
        <v>2959</v>
      </c>
    </row>
    <row r="610" spans="1:3" x14ac:dyDescent="0.25">
      <c r="A610" t="s">
        <v>1917</v>
      </c>
      <c r="B610" t="s">
        <v>1918</v>
      </c>
      <c r="C610" t="s">
        <v>2959</v>
      </c>
    </row>
    <row r="611" spans="1:3" x14ac:dyDescent="0.25">
      <c r="A611" t="s">
        <v>1919</v>
      </c>
      <c r="B611" t="s">
        <v>1920</v>
      </c>
      <c r="C611" t="s">
        <v>2959</v>
      </c>
    </row>
    <row r="612" spans="1:3" x14ac:dyDescent="0.25">
      <c r="A612" t="s">
        <v>1921</v>
      </c>
      <c r="B612" t="s">
        <v>212</v>
      </c>
      <c r="C612" t="s">
        <v>2959</v>
      </c>
    </row>
    <row r="613" spans="1:3" x14ac:dyDescent="0.25">
      <c r="A613" t="s">
        <v>1922</v>
      </c>
      <c r="B613" t="s">
        <v>1923</v>
      </c>
    </row>
    <row r="614" spans="1:3" x14ac:dyDescent="0.25">
      <c r="A614" t="s">
        <v>1924</v>
      </c>
      <c r="B614" t="s">
        <v>28</v>
      </c>
    </row>
    <row r="615" spans="1:3" x14ac:dyDescent="0.25">
      <c r="A615" t="s">
        <v>1925</v>
      </c>
      <c r="B615" t="s">
        <v>1926</v>
      </c>
    </row>
    <row r="616" spans="1:3" x14ac:dyDescent="0.25">
      <c r="A616" t="s">
        <v>1927</v>
      </c>
      <c r="B616" t="s">
        <v>539</v>
      </c>
    </row>
    <row r="617" spans="1:3" x14ac:dyDescent="0.25">
      <c r="A617" t="s">
        <v>1928</v>
      </c>
      <c r="B617" t="s">
        <v>1929</v>
      </c>
      <c r="C617" t="s">
        <v>1927</v>
      </c>
    </row>
    <row r="618" spans="1:3" x14ac:dyDescent="0.25">
      <c r="A618" t="s">
        <v>1930</v>
      </c>
      <c r="B618" t="s">
        <v>215</v>
      </c>
      <c r="C618" t="s">
        <v>1927</v>
      </c>
    </row>
    <row r="619" spans="1:3" x14ac:dyDescent="0.25">
      <c r="A619" t="s">
        <v>1931</v>
      </c>
      <c r="B619" t="s">
        <v>214</v>
      </c>
    </row>
    <row r="620" spans="1:3" x14ac:dyDescent="0.25">
      <c r="A620" t="s">
        <v>1932</v>
      </c>
      <c r="B620" t="s">
        <v>669</v>
      </c>
    </row>
    <row r="621" spans="1:3" x14ac:dyDescent="0.25">
      <c r="A621" t="s">
        <v>1933</v>
      </c>
      <c r="B621" t="s">
        <v>216</v>
      </c>
    </row>
    <row r="622" spans="1:3" x14ac:dyDescent="0.25">
      <c r="A622" t="s">
        <v>1934</v>
      </c>
      <c r="B622" t="s">
        <v>1935</v>
      </c>
    </row>
    <row r="623" spans="1:3" x14ac:dyDescent="0.25">
      <c r="A623" t="s">
        <v>1936</v>
      </c>
      <c r="B623" t="s">
        <v>1937</v>
      </c>
    </row>
    <row r="624" spans="1:3" x14ac:dyDescent="0.25">
      <c r="A624" t="s">
        <v>1938</v>
      </c>
      <c r="B624" t="s">
        <v>217</v>
      </c>
    </row>
    <row r="625" spans="1:2" x14ac:dyDescent="0.25">
      <c r="A625" t="s">
        <v>1939</v>
      </c>
      <c r="B625" t="s">
        <v>1940</v>
      </c>
    </row>
    <row r="626" spans="1:2" x14ac:dyDescent="0.25">
      <c r="A626" t="s">
        <v>1941</v>
      </c>
      <c r="B626" t="s">
        <v>1942</v>
      </c>
    </row>
    <row r="627" spans="1:2" x14ac:dyDescent="0.25">
      <c r="A627" t="s">
        <v>1943</v>
      </c>
      <c r="B627" t="s">
        <v>1944</v>
      </c>
    </row>
    <row r="628" spans="1:2" x14ac:dyDescent="0.25">
      <c r="A628" t="s">
        <v>1945</v>
      </c>
      <c r="B628" t="s">
        <v>780</v>
      </c>
    </row>
    <row r="629" spans="1:2" x14ac:dyDescent="0.25">
      <c r="A629" t="s">
        <v>1946</v>
      </c>
      <c r="B629" t="s">
        <v>501</v>
      </c>
    </row>
    <row r="630" spans="1:2" x14ac:dyDescent="0.25">
      <c r="A630" t="s">
        <v>1947</v>
      </c>
      <c r="B630" t="s">
        <v>1948</v>
      </c>
    </row>
    <row r="631" spans="1:2" x14ac:dyDescent="0.25">
      <c r="A631" t="s">
        <v>1949</v>
      </c>
      <c r="B631" t="s">
        <v>457</v>
      </c>
    </row>
    <row r="632" spans="1:2" x14ac:dyDescent="0.25">
      <c r="A632" t="s">
        <v>1950</v>
      </c>
      <c r="B632" t="s">
        <v>219</v>
      </c>
    </row>
    <row r="633" spans="1:2" x14ac:dyDescent="0.25">
      <c r="A633" t="s">
        <v>1951</v>
      </c>
      <c r="B633" t="s">
        <v>221</v>
      </c>
    </row>
    <row r="634" spans="1:2" x14ac:dyDescent="0.25">
      <c r="A634" t="s">
        <v>1952</v>
      </c>
      <c r="B634" t="s">
        <v>1953</v>
      </c>
    </row>
    <row r="635" spans="1:2" x14ac:dyDescent="0.25">
      <c r="A635" t="s">
        <v>1954</v>
      </c>
      <c r="B635" t="s">
        <v>670</v>
      </c>
    </row>
    <row r="636" spans="1:2" x14ac:dyDescent="0.25">
      <c r="A636" t="s">
        <v>1955</v>
      </c>
      <c r="B636" t="s">
        <v>458</v>
      </c>
    </row>
    <row r="637" spans="1:2" x14ac:dyDescent="0.25">
      <c r="A637" t="s">
        <v>1956</v>
      </c>
      <c r="B637" t="s">
        <v>1957</v>
      </c>
    </row>
    <row r="638" spans="1:2" x14ac:dyDescent="0.25">
      <c r="A638" t="s">
        <v>1958</v>
      </c>
      <c r="B638" t="s">
        <v>1959</v>
      </c>
    </row>
    <row r="639" spans="1:2" x14ac:dyDescent="0.25">
      <c r="A639" t="s">
        <v>1960</v>
      </c>
      <c r="B639" t="s">
        <v>502</v>
      </c>
    </row>
    <row r="640" spans="1:2" x14ac:dyDescent="0.25">
      <c r="A640" t="s">
        <v>1961</v>
      </c>
      <c r="B640" t="s">
        <v>222</v>
      </c>
    </row>
    <row r="641" spans="1:2" x14ac:dyDescent="0.25">
      <c r="A641" t="s">
        <v>1962</v>
      </c>
      <c r="B641" t="s">
        <v>1963</v>
      </c>
    </row>
    <row r="642" spans="1:2" x14ac:dyDescent="0.25">
      <c r="A642" t="s">
        <v>1964</v>
      </c>
      <c r="B642" t="s">
        <v>1965</v>
      </c>
    </row>
    <row r="643" spans="1:2" x14ac:dyDescent="0.25">
      <c r="A643" t="s">
        <v>1966</v>
      </c>
      <c r="B643" t="s">
        <v>1967</v>
      </c>
    </row>
    <row r="644" spans="1:2" x14ac:dyDescent="0.25">
      <c r="A644" t="s">
        <v>1968</v>
      </c>
      <c r="B644" t="s">
        <v>1969</v>
      </c>
    </row>
    <row r="645" spans="1:2" x14ac:dyDescent="0.25">
      <c r="A645" t="s">
        <v>1970</v>
      </c>
      <c r="B645" t="s">
        <v>1971</v>
      </c>
    </row>
    <row r="646" spans="1:2" x14ac:dyDescent="0.25">
      <c r="A646" t="s">
        <v>1972</v>
      </c>
      <c r="B646" t="s">
        <v>1973</v>
      </c>
    </row>
    <row r="647" spans="1:2" x14ac:dyDescent="0.25">
      <c r="A647" t="s">
        <v>1974</v>
      </c>
      <c r="B647" t="s">
        <v>224</v>
      </c>
    </row>
    <row r="648" spans="1:2" x14ac:dyDescent="0.25">
      <c r="A648" t="s">
        <v>1975</v>
      </c>
      <c r="B648" t="s">
        <v>225</v>
      </c>
    </row>
    <row r="649" spans="1:2" x14ac:dyDescent="0.25">
      <c r="A649" t="s">
        <v>1976</v>
      </c>
      <c r="B649" t="s">
        <v>29</v>
      </c>
    </row>
    <row r="650" spans="1:2" x14ac:dyDescent="0.25">
      <c r="A650" t="s">
        <v>1977</v>
      </c>
      <c r="B650" t="s">
        <v>1978</v>
      </c>
    </row>
    <row r="651" spans="1:2" x14ac:dyDescent="0.25">
      <c r="A651" t="s">
        <v>1979</v>
      </c>
      <c r="B651" t="s">
        <v>1980</v>
      </c>
    </row>
    <row r="652" spans="1:2" x14ac:dyDescent="0.25">
      <c r="A652" t="s">
        <v>1981</v>
      </c>
      <c r="B652" t="s">
        <v>1982</v>
      </c>
    </row>
    <row r="653" spans="1:2" x14ac:dyDescent="0.25">
      <c r="A653" t="s">
        <v>1983</v>
      </c>
      <c r="B653" t="s">
        <v>1984</v>
      </c>
    </row>
    <row r="654" spans="1:2" x14ac:dyDescent="0.25">
      <c r="A654" t="s">
        <v>1985</v>
      </c>
      <c r="B654" t="s">
        <v>673</v>
      </c>
    </row>
    <row r="655" spans="1:2" x14ac:dyDescent="0.25">
      <c r="A655" t="s">
        <v>1986</v>
      </c>
      <c r="B655" t="s">
        <v>226</v>
      </c>
    </row>
    <row r="656" spans="1:2" x14ac:dyDescent="0.25">
      <c r="A656" t="s">
        <v>1987</v>
      </c>
      <c r="B656" t="s">
        <v>227</v>
      </c>
    </row>
    <row r="657" spans="1:2" x14ac:dyDescent="0.25">
      <c r="A657" t="s">
        <v>1988</v>
      </c>
      <c r="B657" t="s">
        <v>864</v>
      </c>
    </row>
    <row r="658" spans="1:2" x14ac:dyDescent="0.25">
      <c r="A658" t="s">
        <v>1989</v>
      </c>
      <c r="B658" t="s">
        <v>228</v>
      </c>
    </row>
    <row r="659" spans="1:2" x14ac:dyDescent="0.25">
      <c r="A659" t="s">
        <v>1990</v>
      </c>
      <c r="B659" t="s">
        <v>229</v>
      </c>
    </row>
    <row r="660" spans="1:2" x14ac:dyDescent="0.25">
      <c r="A660" t="s">
        <v>1991</v>
      </c>
      <c r="B660" t="s">
        <v>1992</v>
      </c>
    </row>
    <row r="661" spans="1:2" x14ac:dyDescent="0.25">
      <c r="A661" t="s">
        <v>1993</v>
      </c>
      <c r="B661" t="s">
        <v>405</v>
      </c>
    </row>
    <row r="662" spans="1:2" x14ac:dyDescent="0.25">
      <c r="A662" t="s">
        <v>1994</v>
      </c>
      <c r="B662" t="s">
        <v>1995</v>
      </c>
    </row>
    <row r="663" spans="1:2" x14ac:dyDescent="0.25">
      <c r="A663" t="s">
        <v>1996</v>
      </c>
      <c r="B663" t="s">
        <v>622</v>
      </c>
    </row>
    <row r="664" spans="1:2" x14ac:dyDescent="0.25">
      <c r="A664" t="s">
        <v>1997</v>
      </c>
      <c r="B664" t="s">
        <v>1998</v>
      </c>
    </row>
    <row r="665" spans="1:2" x14ac:dyDescent="0.25">
      <c r="A665" t="s">
        <v>1999</v>
      </c>
      <c r="B665" t="s">
        <v>676</v>
      </c>
    </row>
    <row r="666" spans="1:2" x14ac:dyDescent="0.25">
      <c r="A666" t="s">
        <v>2000</v>
      </c>
      <c r="B666" t="s">
        <v>231</v>
      </c>
    </row>
    <row r="667" spans="1:2" x14ac:dyDescent="0.25">
      <c r="A667" t="s">
        <v>2001</v>
      </c>
      <c r="B667" t="s">
        <v>2002</v>
      </c>
    </row>
    <row r="668" spans="1:2" x14ac:dyDescent="0.25">
      <c r="A668" t="s">
        <v>2003</v>
      </c>
      <c r="B668" t="s">
        <v>233</v>
      </c>
    </row>
    <row r="669" spans="1:2" x14ac:dyDescent="0.25">
      <c r="A669" t="s">
        <v>2004</v>
      </c>
      <c r="B669" t="s">
        <v>2005</v>
      </c>
    </row>
    <row r="670" spans="1:2" x14ac:dyDescent="0.25">
      <c r="A670" t="s">
        <v>2006</v>
      </c>
      <c r="B670" t="s">
        <v>624</v>
      </c>
    </row>
    <row r="671" spans="1:2" x14ac:dyDescent="0.25">
      <c r="A671" t="s">
        <v>2007</v>
      </c>
      <c r="B671" t="s">
        <v>2008</v>
      </c>
    </row>
    <row r="672" spans="1:2" x14ac:dyDescent="0.25">
      <c r="A672" t="s">
        <v>2009</v>
      </c>
      <c r="B672" t="s">
        <v>560</v>
      </c>
    </row>
    <row r="673" spans="1:3" x14ac:dyDescent="0.25">
      <c r="A673" t="s">
        <v>2010</v>
      </c>
      <c r="B673" t="s">
        <v>2011</v>
      </c>
    </row>
    <row r="674" spans="1:3" x14ac:dyDescent="0.25">
      <c r="A674" t="s">
        <v>2012</v>
      </c>
      <c r="B674" t="s">
        <v>235</v>
      </c>
    </row>
    <row r="675" spans="1:3" x14ac:dyDescent="0.25">
      <c r="A675" t="s">
        <v>2013</v>
      </c>
      <c r="B675" t="s">
        <v>2014</v>
      </c>
    </row>
    <row r="676" spans="1:3" x14ac:dyDescent="0.25">
      <c r="A676" t="s">
        <v>2015</v>
      </c>
      <c r="B676" t="s">
        <v>236</v>
      </c>
      <c r="C676" t="s">
        <v>2958</v>
      </c>
    </row>
    <row r="677" spans="1:3" x14ac:dyDescent="0.25">
      <c r="A677" t="s">
        <v>2016</v>
      </c>
      <c r="B677" t="s">
        <v>2017</v>
      </c>
      <c r="C677" t="s">
        <v>2958</v>
      </c>
    </row>
    <row r="678" spans="1:3" x14ac:dyDescent="0.25">
      <c r="A678" t="s">
        <v>2018</v>
      </c>
      <c r="B678" t="s">
        <v>2019</v>
      </c>
      <c r="C678" t="s">
        <v>2958</v>
      </c>
    </row>
    <row r="679" spans="1:3" x14ac:dyDescent="0.25">
      <c r="A679" t="s">
        <v>2020</v>
      </c>
      <c r="B679" t="s">
        <v>463</v>
      </c>
    </row>
    <row r="680" spans="1:3" x14ac:dyDescent="0.25">
      <c r="A680" t="s">
        <v>2021</v>
      </c>
      <c r="B680" t="s">
        <v>238</v>
      </c>
    </row>
    <row r="681" spans="1:3" x14ac:dyDescent="0.25">
      <c r="A681" t="s">
        <v>2022</v>
      </c>
      <c r="B681" t="s">
        <v>2023</v>
      </c>
    </row>
    <row r="682" spans="1:3" x14ac:dyDescent="0.25">
      <c r="A682" t="s">
        <v>2024</v>
      </c>
      <c r="B682" t="s">
        <v>239</v>
      </c>
    </row>
    <row r="683" spans="1:3" x14ac:dyDescent="0.25">
      <c r="A683" t="s">
        <v>2025</v>
      </c>
      <c r="B683" t="s">
        <v>2026</v>
      </c>
      <c r="C683" t="s">
        <v>2024</v>
      </c>
    </row>
    <row r="684" spans="1:3" x14ac:dyDescent="0.25">
      <c r="A684" t="s">
        <v>2027</v>
      </c>
      <c r="B684" t="s">
        <v>2028</v>
      </c>
    </row>
    <row r="685" spans="1:3" x14ac:dyDescent="0.25">
      <c r="A685" t="s">
        <v>2029</v>
      </c>
      <c r="B685" t="s">
        <v>241</v>
      </c>
    </row>
    <row r="686" spans="1:3" x14ac:dyDescent="0.25">
      <c r="A686" t="s">
        <v>2030</v>
      </c>
      <c r="B686" t="s">
        <v>242</v>
      </c>
    </row>
    <row r="687" spans="1:3" x14ac:dyDescent="0.25">
      <c r="A687" t="s">
        <v>2031</v>
      </c>
      <c r="B687" t="s">
        <v>2032</v>
      </c>
    </row>
    <row r="688" spans="1:3" x14ac:dyDescent="0.25">
      <c r="A688" t="s">
        <v>2033</v>
      </c>
      <c r="B688" t="s">
        <v>243</v>
      </c>
    </row>
    <row r="689" spans="1:3" x14ac:dyDescent="0.25">
      <c r="A689" t="s">
        <v>2034</v>
      </c>
      <c r="B689" t="s">
        <v>2035</v>
      </c>
    </row>
    <row r="690" spans="1:3" x14ac:dyDescent="0.25">
      <c r="A690" t="s">
        <v>2036</v>
      </c>
      <c r="B690" t="s">
        <v>2037</v>
      </c>
    </row>
    <row r="691" spans="1:3" x14ac:dyDescent="0.25">
      <c r="A691" t="s">
        <v>2038</v>
      </c>
      <c r="B691" t="s">
        <v>2039</v>
      </c>
    </row>
    <row r="692" spans="1:3" x14ac:dyDescent="0.25">
      <c r="A692" t="s">
        <v>2040</v>
      </c>
      <c r="B692" t="s">
        <v>2041</v>
      </c>
      <c r="C692" t="s">
        <v>2058</v>
      </c>
    </row>
    <row r="693" spans="1:3" x14ac:dyDescent="0.25">
      <c r="A693" t="s">
        <v>2042</v>
      </c>
      <c r="B693" t="s">
        <v>2043</v>
      </c>
      <c r="C693" t="s">
        <v>2058</v>
      </c>
    </row>
    <row r="694" spans="1:3" x14ac:dyDescent="0.25">
      <c r="A694" t="s">
        <v>2044</v>
      </c>
      <c r="B694" t="s">
        <v>2045</v>
      </c>
      <c r="C694" t="s">
        <v>2058</v>
      </c>
    </row>
    <row r="695" spans="1:3" x14ac:dyDescent="0.25">
      <c r="A695" t="s">
        <v>2046</v>
      </c>
      <c r="B695" t="s">
        <v>2047</v>
      </c>
      <c r="C695" t="s">
        <v>2058</v>
      </c>
    </row>
    <row r="696" spans="1:3" x14ac:dyDescent="0.25">
      <c r="A696" t="s">
        <v>2048</v>
      </c>
      <c r="B696" t="s">
        <v>2049</v>
      </c>
      <c r="C696" t="s">
        <v>2058</v>
      </c>
    </row>
    <row r="697" spans="1:3" x14ac:dyDescent="0.25">
      <c r="A697" t="s">
        <v>2050</v>
      </c>
      <c r="B697" t="s">
        <v>2051</v>
      </c>
      <c r="C697" t="s">
        <v>2058</v>
      </c>
    </row>
    <row r="698" spans="1:3" x14ac:dyDescent="0.25">
      <c r="A698" t="s">
        <v>2052</v>
      </c>
      <c r="B698" t="s">
        <v>2053</v>
      </c>
      <c r="C698" t="s">
        <v>2058</v>
      </c>
    </row>
    <row r="699" spans="1:3" x14ac:dyDescent="0.25">
      <c r="A699" t="s">
        <v>2054</v>
      </c>
      <c r="B699" t="s">
        <v>2055</v>
      </c>
      <c r="C699" t="s">
        <v>2058</v>
      </c>
    </row>
    <row r="700" spans="1:3" x14ac:dyDescent="0.25">
      <c r="A700" t="s">
        <v>2056</v>
      </c>
      <c r="B700" t="s">
        <v>2057</v>
      </c>
      <c r="C700" t="s">
        <v>2058</v>
      </c>
    </row>
    <row r="701" spans="1:3" x14ac:dyDescent="0.25">
      <c r="A701" t="s">
        <v>2058</v>
      </c>
      <c r="B701" t="s">
        <v>30</v>
      </c>
    </row>
    <row r="702" spans="1:3" x14ac:dyDescent="0.25">
      <c r="A702" t="s">
        <v>2059</v>
      </c>
      <c r="B702" t="s">
        <v>879</v>
      </c>
    </row>
    <row r="703" spans="1:3" x14ac:dyDescent="0.25">
      <c r="A703" t="s">
        <v>2060</v>
      </c>
      <c r="B703" t="s">
        <v>244</v>
      </c>
    </row>
    <row r="704" spans="1:3" x14ac:dyDescent="0.25">
      <c r="A704" t="s">
        <v>2061</v>
      </c>
      <c r="B704" t="s">
        <v>464</v>
      </c>
    </row>
    <row r="705" spans="1:2" x14ac:dyDescent="0.25">
      <c r="A705" t="s">
        <v>2062</v>
      </c>
      <c r="B705" t="s">
        <v>2063</v>
      </c>
    </row>
    <row r="706" spans="1:2" x14ac:dyDescent="0.25">
      <c r="A706" t="s">
        <v>2064</v>
      </c>
      <c r="B706" t="s">
        <v>2065</v>
      </c>
    </row>
    <row r="707" spans="1:2" x14ac:dyDescent="0.25">
      <c r="A707" t="s">
        <v>2066</v>
      </c>
      <c r="B707" t="s">
        <v>2067</v>
      </c>
    </row>
    <row r="708" spans="1:2" x14ac:dyDescent="0.25">
      <c r="A708" t="s">
        <v>2068</v>
      </c>
      <c r="B708" t="s">
        <v>2069</v>
      </c>
    </row>
    <row r="709" spans="1:2" x14ac:dyDescent="0.25">
      <c r="A709" t="s">
        <v>2070</v>
      </c>
      <c r="B709" t="s">
        <v>2071</v>
      </c>
    </row>
    <row r="710" spans="1:2" x14ac:dyDescent="0.25">
      <c r="A710" t="s">
        <v>2072</v>
      </c>
      <c r="B710" t="s">
        <v>2073</v>
      </c>
    </row>
    <row r="711" spans="1:2" x14ac:dyDescent="0.25">
      <c r="A711" t="s">
        <v>2074</v>
      </c>
      <c r="B711" t="s">
        <v>880</v>
      </c>
    </row>
    <row r="712" spans="1:2" x14ac:dyDescent="0.25">
      <c r="A712" t="s">
        <v>2075</v>
      </c>
      <c r="B712" t="s">
        <v>246</v>
      </c>
    </row>
    <row r="713" spans="1:2" x14ac:dyDescent="0.25">
      <c r="A713" t="s">
        <v>2076</v>
      </c>
      <c r="B713" t="s">
        <v>247</v>
      </c>
    </row>
    <row r="714" spans="1:2" x14ac:dyDescent="0.25">
      <c r="A714" t="s">
        <v>2077</v>
      </c>
      <c r="B714" t="s">
        <v>679</v>
      </c>
    </row>
    <row r="715" spans="1:2" x14ac:dyDescent="0.25">
      <c r="A715" t="s">
        <v>2078</v>
      </c>
      <c r="B715" t="s">
        <v>248</v>
      </c>
    </row>
    <row r="716" spans="1:2" x14ac:dyDescent="0.25">
      <c r="A716" t="s">
        <v>2079</v>
      </c>
      <c r="B716" t="s">
        <v>2080</v>
      </c>
    </row>
    <row r="717" spans="1:2" x14ac:dyDescent="0.25">
      <c r="A717" t="s">
        <v>2081</v>
      </c>
      <c r="B717" t="s">
        <v>465</v>
      </c>
    </row>
    <row r="718" spans="1:2" x14ac:dyDescent="0.25">
      <c r="A718" t="s">
        <v>2082</v>
      </c>
      <c r="B718" t="s">
        <v>250</v>
      </c>
    </row>
    <row r="719" spans="1:2" x14ac:dyDescent="0.25">
      <c r="A719" t="s">
        <v>2083</v>
      </c>
      <c r="B719" t="s">
        <v>741</v>
      </c>
    </row>
    <row r="720" spans="1:2" x14ac:dyDescent="0.25">
      <c r="A720" t="s">
        <v>2084</v>
      </c>
      <c r="B720" t="s">
        <v>2085</v>
      </c>
    </row>
    <row r="721" spans="1:2" x14ac:dyDescent="0.25">
      <c r="A721" t="s">
        <v>2086</v>
      </c>
      <c r="B721" t="s">
        <v>2087</v>
      </c>
    </row>
    <row r="722" spans="1:2" x14ac:dyDescent="0.25">
      <c r="A722" t="s">
        <v>2088</v>
      </c>
      <c r="B722" t="s">
        <v>251</v>
      </c>
    </row>
    <row r="723" spans="1:2" x14ac:dyDescent="0.25">
      <c r="A723" t="s">
        <v>2089</v>
      </c>
      <c r="B723" t="s">
        <v>2090</v>
      </c>
    </row>
    <row r="724" spans="1:2" x14ac:dyDescent="0.25">
      <c r="A724" t="s">
        <v>2091</v>
      </c>
      <c r="B724" t="s">
        <v>2092</v>
      </c>
    </row>
    <row r="725" spans="1:2" x14ac:dyDescent="0.25">
      <c r="A725" t="s">
        <v>2093</v>
      </c>
      <c r="B725" t="s">
        <v>2094</v>
      </c>
    </row>
    <row r="726" spans="1:2" x14ac:dyDescent="0.25">
      <c r="A726" t="s">
        <v>2095</v>
      </c>
      <c r="B726" t="s">
        <v>2096</v>
      </c>
    </row>
    <row r="727" spans="1:2" x14ac:dyDescent="0.25">
      <c r="A727" t="s">
        <v>2097</v>
      </c>
      <c r="B727" t="s">
        <v>407</v>
      </c>
    </row>
    <row r="728" spans="1:2" x14ac:dyDescent="0.25">
      <c r="A728" t="s">
        <v>2098</v>
      </c>
      <c r="B728" t="s">
        <v>781</v>
      </c>
    </row>
    <row r="729" spans="1:2" x14ac:dyDescent="0.25">
      <c r="A729" t="s">
        <v>2099</v>
      </c>
      <c r="B729" t="s">
        <v>2100</v>
      </c>
    </row>
    <row r="730" spans="1:2" x14ac:dyDescent="0.25">
      <c r="A730" t="s">
        <v>2101</v>
      </c>
      <c r="B730" t="s">
        <v>628</v>
      </c>
    </row>
    <row r="731" spans="1:2" x14ac:dyDescent="0.25">
      <c r="A731" t="s">
        <v>2102</v>
      </c>
      <c r="B731" t="s">
        <v>2103</v>
      </c>
    </row>
    <row r="732" spans="1:2" x14ac:dyDescent="0.25">
      <c r="A732" t="s">
        <v>2104</v>
      </c>
      <c r="B732" t="s">
        <v>2105</v>
      </c>
    </row>
    <row r="733" spans="1:2" x14ac:dyDescent="0.25">
      <c r="A733" t="s">
        <v>2106</v>
      </c>
      <c r="B733" t="s">
        <v>2107</v>
      </c>
    </row>
    <row r="734" spans="1:2" x14ac:dyDescent="0.25">
      <c r="A734" t="s">
        <v>2108</v>
      </c>
      <c r="B734" t="s">
        <v>683</v>
      </c>
    </row>
    <row r="735" spans="1:2" x14ac:dyDescent="0.25">
      <c r="A735" t="s">
        <v>2109</v>
      </c>
      <c r="B735" t="s">
        <v>252</v>
      </c>
    </row>
    <row r="736" spans="1:2" x14ac:dyDescent="0.25">
      <c r="A736" t="s">
        <v>2110</v>
      </c>
      <c r="B736" t="s">
        <v>2111</v>
      </c>
    </row>
    <row r="737" spans="1:3" x14ac:dyDescent="0.25">
      <c r="A737" t="s">
        <v>2112</v>
      </c>
      <c r="B737" t="s">
        <v>253</v>
      </c>
    </row>
    <row r="738" spans="1:3" x14ac:dyDescent="0.25">
      <c r="A738" t="s">
        <v>2113</v>
      </c>
      <c r="B738" t="s">
        <v>254</v>
      </c>
    </row>
    <row r="739" spans="1:3" x14ac:dyDescent="0.25">
      <c r="A739" t="s">
        <v>2114</v>
      </c>
      <c r="B739" t="s">
        <v>2115</v>
      </c>
    </row>
    <row r="740" spans="1:3" x14ac:dyDescent="0.25">
      <c r="A740" t="s">
        <v>2116</v>
      </c>
      <c r="B740" t="s">
        <v>2117</v>
      </c>
    </row>
    <row r="741" spans="1:3" x14ac:dyDescent="0.25">
      <c r="A741" t="s">
        <v>2118</v>
      </c>
      <c r="B741" t="s">
        <v>684</v>
      </c>
    </row>
    <row r="742" spans="1:3" x14ac:dyDescent="0.25">
      <c r="A742" t="s">
        <v>2119</v>
      </c>
      <c r="B742" t="s">
        <v>255</v>
      </c>
    </row>
    <row r="743" spans="1:3" x14ac:dyDescent="0.25">
      <c r="A743" t="s">
        <v>2120</v>
      </c>
      <c r="B743" t="s">
        <v>2121</v>
      </c>
    </row>
    <row r="744" spans="1:3" x14ac:dyDescent="0.25">
      <c r="A744" t="s">
        <v>2122</v>
      </c>
      <c r="B744" t="s">
        <v>685</v>
      </c>
    </row>
    <row r="745" spans="1:3" x14ac:dyDescent="0.25">
      <c r="A745" t="s">
        <v>2123</v>
      </c>
      <c r="B745" t="s">
        <v>257</v>
      </c>
    </row>
    <row r="746" spans="1:3" x14ac:dyDescent="0.25">
      <c r="A746" t="s">
        <v>2124</v>
      </c>
      <c r="B746" t="s">
        <v>2125</v>
      </c>
    </row>
    <row r="747" spans="1:3" x14ac:dyDescent="0.25">
      <c r="A747" t="s">
        <v>2126</v>
      </c>
      <c r="B747" t="s">
        <v>258</v>
      </c>
    </row>
    <row r="748" spans="1:3" x14ac:dyDescent="0.25">
      <c r="A748" t="s">
        <v>2127</v>
      </c>
      <c r="B748" t="s">
        <v>631</v>
      </c>
    </row>
    <row r="749" spans="1:3" x14ac:dyDescent="0.25">
      <c r="A749" t="s">
        <v>2128</v>
      </c>
      <c r="B749" t="s">
        <v>2129</v>
      </c>
      <c r="C749" t="s">
        <v>2162</v>
      </c>
    </row>
    <row r="750" spans="1:3" x14ac:dyDescent="0.25">
      <c r="A750" t="s">
        <v>2130</v>
      </c>
      <c r="B750" t="s">
        <v>2131</v>
      </c>
      <c r="C750" t="s">
        <v>2162</v>
      </c>
    </row>
    <row r="751" spans="1:3" x14ac:dyDescent="0.25">
      <c r="A751" t="s">
        <v>2132</v>
      </c>
      <c r="B751" t="s">
        <v>2133</v>
      </c>
      <c r="C751" t="s">
        <v>2162</v>
      </c>
    </row>
    <row r="752" spans="1:3" x14ac:dyDescent="0.25">
      <c r="A752" t="s">
        <v>2134</v>
      </c>
      <c r="B752" t="s">
        <v>2135</v>
      </c>
      <c r="C752" t="s">
        <v>2162</v>
      </c>
    </row>
    <row r="753" spans="1:3" x14ac:dyDescent="0.25">
      <c r="A753" t="s">
        <v>2136</v>
      </c>
      <c r="B753" t="s">
        <v>2137</v>
      </c>
      <c r="C753" t="s">
        <v>2162</v>
      </c>
    </row>
    <row r="754" spans="1:3" x14ac:dyDescent="0.25">
      <c r="A754" t="s">
        <v>2138</v>
      </c>
      <c r="B754" t="s">
        <v>2139</v>
      </c>
      <c r="C754" t="s">
        <v>2162</v>
      </c>
    </row>
    <row r="755" spans="1:3" x14ac:dyDescent="0.25">
      <c r="A755" t="s">
        <v>2140</v>
      </c>
      <c r="B755" t="s">
        <v>2141</v>
      </c>
      <c r="C755" t="s">
        <v>2162</v>
      </c>
    </row>
    <row r="756" spans="1:3" x14ac:dyDescent="0.25">
      <c r="A756" t="s">
        <v>2142</v>
      </c>
      <c r="B756" t="s">
        <v>2143</v>
      </c>
      <c r="C756" t="s">
        <v>2162</v>
      </c>
    </row>
    <row r="757" spans="1:3" x14ac:dyDescent="0.25">
      <c r="A757" t="s">
        <v>2144</v>
      </c>
      <c r="B757" t="s">
        <v>2145</v>
      </c>
      <c r="C757" t="s">
        <v>2162</v>
      </c>
    </row>
    <row r="758" spans="1:3" x14ac:dyDescent="0.25">
      <c r="A758" t="s">
        <v>2146</v>
      </c>
      <c r="B758" t="s">
        <v>2147</v>
      </c>
      <c r="C758" t="s">
        <v>2162</v>
      </c>
    </row>
    <row r="759" spans="1:3" x14ac:dyDescent="0.25">
      <c r="A759" t="s">
        <v>2148</v>
      </c>
      <c r="B759" t="s">
        <v>2149</v>
      </c>
      <c r="C759" t="s">
        <v>2162</v>
      </c>
    </row>
    <row r="760" spans="1:3" x14ac:dyDescent="0.25">
      <c r="A760" t="s">
        <v>2150</v>
      </c>
      <c r="B760" t="s">
        <v>2151</v>
      </c>
      <c r="C760" t="s">
        <v>2162</v>
      </c>
    </row>
    <row r="761" spans="1:3" x14ac:dyDescent="0.25">
      <c r="A761" t="s">
        <v>2152</v>
      </c>
      <c r="B761" t="s">
        <v>2153</v>
      </c>
      <c r="C761" t="s">
        <v>2162</v>
      </c>
    </row>
    <row r="762" spans="1:3" x14ac:dyDescent="0.25">
      <c r="A762" t="s">
        <v>2154</v>
      </c>
      <c r="B762" t="s">
        <v>2155</v>
      </c>
      <c r="C762" t="s">
        <v>2162</v>
      </c>
    </row>
    <row r="763" spans="1:3" x14ac:dyDescent="0.25">
      <c r="A763" t="s">
        <v>2156</v>
      </c>
      <c r="B763" t="s">
        <v>2157</v>
      </c>
      <c r="C763" t="s">
        <v>2162</v>
      </c>
    </row>
    <row r="764" spans="1:3" x14ac:dyDescent="0.25">
      <c r="A764" t="s">
        <v>2158</v>
      </c>
      <c r="B764" t="s">
        <v>2159</v>
      </c>
      <c r="C764" t="s">
        <v>2162</v>
      </c>
    </row>
    <row r="765" spans="1:3" x14ac:dyDescent="0.25">
      <c r="A765" t="s">
        <v>2160</v>
      </c>
      <c r="B765" t="s">
        <v>2161</v>
      </c>
      <c r="C765" t="s">
        <v>2162</v>
      </c>
    </row>
    <row r="766" spans="1:3" x14ac:dyDescent="0.25">
      <c r="A766" t="s">
        <v>2162</v>
      </c>
      <c r="B766" t="s">
        <v>32</v>
      </c>
    </row>
    <row r="767" spans="1:3" x14ac:dyDescent="0.25">
      <c r="A767" t="s">
        <v>2163</v>
      </c>
      <c r="B767" t="s">
        <v>259</v>
      </c>
    </row>
    <row r="768" spans="1:3" x14ac:dyDescent="0.25">
      <c r="A768" t="s">
        <v>2164</v>
      </c>
      <c r="B768" t="s">
        <v>2165</v>
      </c>
    </row>
    <row r="769" spans="1:2" x14ac:dyDescent="0.25">
      <c r="A769" t="s">
        <v>2166</v>
      </c>
      <c r="B769" t="s">
        <v>468</v>
      </c>
    </row>
    <row r="770" spans="1:2" x14ac:dyDescent="0.25">
      <c r="A770" t="s">
        <v>2167</v>
      </c>
      <c r="B770" t="s">
        <v>2168</v>
      </c>
    </row>
    <row r="771" spans="1:2" x14ac:dyDescent="0.25">
      <c r="A771" t="s">
        <v>2169</v>
      </c>
      <c r="B771" t="s">
        <v>882</v>
      </c>
    </row>
    <row r="772" spans="1:2" x14ac:dyDescent="0.25">
      <c r="A772" t="s">
        <v>2170</v>
      </c>
      <c r="B772" t="s">
        <v>2171</v>
      </c>
    </row>
    <row r="773" spans="1:2" x14ac:dyDescent="0.25">
      <c r="A773" t="s">
        <v>2172</v>
      </c>
      <c r="B773" t="s">
        <v>2173</v>
      </c>
    </row>
    <row r="774" spans="1:2" x14ac:dyDescent="0.25">
      <c r="A774" t="s">
        <v>2174</v>
      </c>
      <c r="B774" t="s">
        <v>599</v>
      </c>
    </row>
    <row r="775" spans="1:2" x14ac:dyDescent="0.25">
      <c r="A775" t="s">
        <v>2175</v>
      </c>
      <c r="B775" t="s">
        <v>408</v>
      </c>
    </row>
    <row r="776" spans="1:2" x14ac:dyDescent="0.25">
      <c r="A776" t="s">
        <v>2176</v>
      </c>
      <c r="B776" t="s">
        <v>2177</v>
      </c>
    </row>
    <row r="777" spans="1:2" x14ac:dyDescent="0.25">
      <c r="A777" t="s">
        <v>2178</v>
      </c>
      <c r="B777" t="s">
        <v>260</v>
      </c>
    </row>
    <row r="778" spans="1:2" x14ac:dyDescent="0.25">
      <c r="A778" t="s">
        <v>2179</v>
      </c>
      <c r="B778" t="s">
        <v>513</v>
      </c>
    </row>
    <row r="779" spans="1:2" x14ac:dyDescent="0.25">
      <c r="A779" t="s">
        <v>2180</v>
      </c>
      <c r="B779" t="s">
        <v>2181</v>
      </c>
    </row>
    <row r="780" spans="1:2" x14ac:dyDescent="0.25">
      <c r="A780" t="s">
        <v>2182</v>
      </c>
      <c r="B780" t="s">
        <v>514</v>
      </c>
    </row>
    <row r="781" spans="1:2" x14ac:dyDescent="0.25">
      <c r="A781" t="s">
        <v>2183</v>
      </c>
      <c r="B781" t="s">
        <v>884</v>
      </c>
    </row>
    <row r="782" spans="1:2" x14ac:dyDescent="0.25">
      <c r="A782" t="s">
        <v>2184</v>
      </c>
      <c r="B782" t="s">
        <v>2185</v>
      </c>
    </row>
    <row r="783" spans="1:2" x14ac:dyDescent="0.25">
      <c r="A783" t="s">
        <v>2186</v>
      </c>
      <c r="B783" t="s">
        <v>515</v>
      </c>
    </row>
    <row r="784" spans="1:2" x14ac:dyDescent="0.25">
      <c r="A784" t="s">
        <v>2187</v>
      </c>
      <c r="B784" t="s">
        <v>782</v>
      </c>
    </row>
    <row r="785" spans="1:3" x14ac:dyDescent="0.25">
      <c r="A785" t="s">
        <v>2188</v>
      </c>
      <c r="B785" t="s">
        <v>2189</v>
      </c>
    </row>
    <row r="786" spans="1:3" x14ac:dyDescent="0.25">
      <c r="A786" t="s">
        <v>2190</v>
      </c>
      <c r="B786" t="s">
        <v>262</v>
      </c>
    </row>
    <row r="787" spans="1:3" x14ac:dyDescent="0.25">
      <c r="A787" t="s">
        <v>2191</v>
      </c>
      <c r="B787" t="s">
        <v>2192</v>
      </c>
    </row>
    <row r="788" spans="1:3" x14ac:dyDescent="0.25">
      <c r="A788" t="s">
        <v>2193</v>
      </c>
      <c r="B788" t="s">
        <v>632</v>
      </c>
    </row>
    <row r="789" spans="1:3" x14ac:dyDescent="0.25">
      <c r="A789" t="s">
        <v>2194</v>
      </c>
      <c r="B789" t="s">
        <v>263</v>
      </c>
    </row>
    <row r="790" spans="1:3" x14ac:dyDescent="0.25">
      <c r="A790" t="s">
        <v>2195</v>
      </c>
      <c r="B790" t="s">
        <v>2196</v>
      </c>
    </row>
    <row r="791" spans="1:3" x14ac:dyDescent="0.25">
      <c r="A791" t="s">
        <v>2197</v>
      </c>
      <c r="B791" t="s">
        <v>2198</v>
      </c>
    </row>
    <row r="792" spans="1:3" x14ac:dyDescent="0.25">
      <c r="A792" t="s">
        <v>2199</v>
      </c>
      <c r="B792" t="s">
        <v>409</v>
      </c>
    </row>
    <row r="793" spans="1:3" x14ac:dyDescent="0.25">
      <c r="A793" t="s">
        <v>2200</v>
      </c>
      <c r="B793" t="s">
        <v>2201</v>
      </c>
    </row>
    <row r="794" spans="1:3" x14ac:dyDescent="0.25">
      <c r="A794" t="s">
        <v>2202</v>
      </c>
      <c r="B794" t="s">
        <v>633</v>
      </c>
    </row>
    <row r="795" spans="1:3" x14ac:dyDescent="0.25">
      <c r="A795" t="s">
        <v>2203</v>
      </c>
      <c r="B795" t="s">
        <v>266</v>
      </c>
    </row>
    <row r="796" spans="1:3" x14ac:dyDescent="0.25">
      <c r="A796" t="s">
        <v>2204</v>
      </c>
      <c r="B796" t="s">
        <v>689</v>
      </c>
    </row>
    <row r="797" spans="1:3" x14ac:dyDescent="0.25">
      <c r="A797" t="s">
        <v>2205</v>
      </c>
      <c r="B797" t="s">
        <v>2206</v>
      </c>
    </row>
    <row r="798" spans="1:3" x14ac:dyDescent="0.25">
      <c r="A798" t="s">
        <v>2207</v>
      </c>
      <c r="B798" t="s">
        <v>2208</v>
      </c>
    </row>
    <row r="799" spans="1:3" x14ac:dyDescent="0.25">
      <c r="A799" t="s">
        <v>2209</v>
      </c>
      <c r="B799" t="s">
        <v>2210</v>
      </c>
      <c r="C799" t="s">
        <v>2963</v>
      </c>
    </row>
    <row r="800" spans="1:3" x14ac:dyDescent="0.25">
      <c r="A800" t="s">
        <v>2211</v>
      </c>
      <c r="B800" t="s">
        <v>2212</v>
      </c>
      <c r="C800" t="s">
        <v>2963</v>
      </c>
    </row>
    <row r="801" spans="1:3" x14ac:dyDescent="0.25">
      <c r="A801" t="s">
        <v>2213</v>
      </c>
      <c r="B801" t="s">
        <v>355</v>
      </c>
      <c r="C801" t="s">
        <v>2963</v>
      </c>
    </row>
    <row r="802" spans="1:3" x14ac:dyDescent="0.25">
      <c r="A802" t="s">
        <v>2214</v>
      </c>
      <c r="B802" t="s">
        <v>2215</v>
      </c>
    </row>
    <row r="803" spans="1:3" x14ac:dyDescent="0.25">
      <c r="A803" t="s">
        <v>2216</v>
      </c>
      <c r="B803" t="s">
        <v>410</v>
      </c>
    </row>
    <row r="804" spans="1:3" x14ac:dyDescent="0.25">
      <c r="A804" t="s">
        <v>2217</v>
      </c>
      <c r="B804" t="s">
        <v>268</v>
      </c>
    </row>
    <row r="805" spans="1:3" x14ac:dyDescent="0.25">
      <c r="A805" t="s">
        <v>2218</v>
      </c>
      <c r="B805" t="s">
        <v>411</v>
      </c>
    </row>
    <row r="806" spans="1:3" x14ac:dyDescent="0.25">
      <c r="A806" t="s">
        <v>2219</v>
      </c>
      <c r="B806" t="s">
        <v>269</v>
      </c>
    </row>
    <row r="807" spans="1:3" x14ac:dyDescent="0.25">
      <c r="A807" t="s">
        <v>2220</v>
      </c>
      <c r="B807" t="s">
        <v>33</v>
      </c>
    </row>
    <row r="808" spans="1:3" x14ac:dyDescent="0.25">
      <c r="A808" t="s">
        <v>2221</v>
      </c>
      <c r="B808" t="s">
        <v>2222</v>
      </c>
    </row>
    <row r="809" spans="1:3" x14ac:dyDescent="0.25">
      <c r="A809" t="s">
        <v>2223</v>
      </c>
      <c r="B809" t="s">
        <v>270</v>
      </c>
    </row>
    <row r="810" spans="1:3" x14ac:dyDescent="0.25">
      <c r="A810" t="s">
        <v>2224</v>
      </c>
      <c r="B810" t="s">
        <v>2225</v>
      </c>
    </row>
    <row r="811" spans="1:3" x14ac:dyDescent="0.25">
      <c r="A811" t="s">
        <v>2226</v>
      </c>
      <c r="B811" t="s">
        <v>692</v>
      </c>
    </row>
    <row r="812" spans="1:3" x14ac:dyDescent="0.25">
      <c r="A812" t="s">
        <v>2227</v>
      </c>
      <c r="B812" t="s">
        <v>271</v>
      </c>
    </row>
    <row r="813" spans="1:3" x14ac:dyDescent="0.25">
      <c r="A813" t="s">
        <v>2228</v>
      </c>
      <c r="B813" t="s">
        <v>470</v>
      </c>
    </row>
    <row r="814" spans="1:3" x14ac:dyDescent="0.25">
      <c r="A814" t="s">
        <v>2229</v>
      </c>
      <c r="B814" t="s">
        <v>2230</v>
      </c>
    </row>
    <row r="815" spans="1:3" x14ac:dyDescent="0.25">
      <c r="A815" t="s">
        <v>2231</v>
      </c>
      <c r="B815" t="s">
        <v>783</v>
      </c>
    </row>
    <row r="816" spans="1:3" x14ac:dyDescent="0.25">
      <c r="A816" t="s">
        <v>2232</v>
      </c>
      <c r="B816" t="s">
        <v>2233</v>
      </c>
    </row>
    <row r="817" spans="1:3" x14ac:dyDescent="0.25">
      <c r="A817" t="s">
        <v>2234</v>
      </c>
      <c r="B817" t="s">
        <v>2235</v>
      </c>
    </row>
    <row r="818" spans="1:3" x14ac:dyDescent="0.25">
      <c r="A818" t="s">
        <v>2236</v>
      </c>
      <c r="B818" t="s">
        <v>2237</v>
      </c>
    </row>
    <row r="819" spans="1:3" x14ac:dyDescent="0.25">
      <c r="A819" t="s">
        <v>2238</v>
      </c>
      <c r="B819" t="s">
        <v>272</v>
      </c>
    </row>
    <row r="820" spans="1:3" x14ac:dyDescent="0.25">
      <c r="A820" t="s">
        <v>2239</v>
      </c>
      <c r="B820" t="s">
        <v>2240</v>
      </c>
    </row>
    <row r="821" spans="1:3" x14ac:dyDescent="0.25">
      <c r="A821" t="s">
        <v>2241</v>
      </c>
      <c r="B821" t="s">
        <v>2242</v>
      </c>
    </row>
    <row r="822" spans="1:3" x14ac:dyDescent="0.25">
      <c r="A822" t="s">
        <v>2243</v>
      </c>
      <c r="B822" t="s">
        <v>276</v>
      </c>
      <c r="C822" t="s">
        <v>2955</v>
      </c>
    </row>
    <row r="823" spans="1:3" x14ac:dyDescent="0.25">
      <c r="A823" t="s">
        <v>2244</v>
      </c>
      <c r="B823" t="s">
        <v>275</v>
      </c>
      <c r="C823" t="s">
        <v>2955</v>
      </c>
    </row>
    <row r="824" spans="1:3" x14ac:dyDescent="0.25">
      <c r="A824" t="s">
        <v>2245</v>
      </c>
      <c r="B824" t="s">
        <v>2246</v>
      </c>
      <c r="C824" t="s">
        <v>2955</v>
      </c>
    </row>
    <row r="825" spans="1:3" x14ac:dyDescent="0.25">
      <c r="A825" t="s">
        <v>2247</v>
      </c>
      <c r="B825" t="s">
        <v>273</v>
      </c>
      <c r="C825" t="s">
        <v>2955</v>
      </c>
    </row>
    <row r="826" spans="1:3" x14ac:dyDescent="0.25">
      <c r="A826" t="s">
        <v>2248</v>
      </c>
      <c r="B826" t="s">
        <v>274</v>
      </c>
      <c r="C826" t="s">
        <v>2955</v>
      </c>
    </row>
    <row r="827" spans="1:3" x14ac:dyDescent="0.25">
      <c r="A827" t="s">
        <v>2249</v>
      </c>
      <c r="B827" t="s">
        <v>516</v>
      </c>
    </row>
    <row r="828" spans="1:3" x14ac:dyDescent="0.25">
      <c r="A828" t="s">
        <v>2250</v>
      </c>
      <c r="B828" t="s">
        <v>34</v>
      </c>
    </row>
    <row r="829" spans="1:3" x14ac:dyDescent="0.25">
      <c r="A829" t="s">
        <v>2251</v>
      </c>
      <c r="B829" t="s">
        <v>277</v>
      </c>
    </row>
    <row r="830" spans="1:3" x14ac:dyDescent="0.25">
      <c r="A830" t="s">
        <v>2252</v>
      </c>
      <c r="B830" t="s">
        <v>2253</v>
      </c>
      <c r="C830" t="s">
        <v>2251</v>
      </c>
    </row>
    <row r="831" spans="1:3" x14ac:dyDescent="0.25">
      <c r="A831" t="s">
        <v>2254</v>
      </c>
      <c r="B831" t="s">
        <v>278</v>
      </c>
    </row>
    <row r="832" spans="1:3" x14ac:dyDescent="0.25">
      <c r="A832" t="s">
        <v>2255</v>
      </c>
      <c r="B832" t="s">
        <v>2256</v>
      </c>
    </row>
    <row r="833" spans="1:2" x14ac:dyDescent="0.25">
      <c r="A833" t="s">
        <v>2257</v>
      </c>
      <c r="B833" t="s">
        <v>2258</v>
      </c>
    </row>
    <row r="834" spans="1:2" x14ac:dyDescent="0.25">
      <c r="A834" t="s">
        <v>2259</v>
      </c>
      <c r="B834" t="s">
        <v>2260</v>
      </c>
    </row>
    <row r="835" spans="1:2" x14ac:dyDescent="0.25">
      <c r="A835" t="s">
        <v>2261</v>
      </c>
      <c r="B835" t="s">
        <v>279</v>
      </c>
    </row>
    <row r="836" spans="1:2" x14ac:dyDescent="0.25">
      <c r="A836" t="s">
        <v>2262</v>
      </c>
      <c r="B836" t="s">
        <v>2263</v>
      </c>
    </row>
    <row r="837" spans="1:2" x14ac:dyDescent="0.25">
      <c r="A837" t="s">
        <v>2264</v>
      </c>
      <c r="B837" t="s">
        <v>749</v>
      </c>
    </row>
    <row r="838" spans="1:2" x14ac:dyDescent="0.25">
      <c r="A838" t="s">
        <v>2265</v>
      </c>
      <c r="B838" t="s">
        <v>566</v>
      </c>
    </row>
    <row r="839" spans="1:2" x14ac:dyDescent="0.25">
      <c r="A839" t="s">
        <v>2266</v>
      </c>
      <c r="B839" t="s">
        <v>694</v>
      </c>
    </row>
    <row r="840" spans="1:2" x14ac:dyDescent="0.25">
      <c r="A840" t="s">
        <v>2267</v>
      </c>
      <c r="B840" t="s">
        <v>2268</v>
      </c>
    </row>
    <row r="841" spans="1:2" x14ac:dyDescent="0.25">
      <c r="A841" t="s">
        <v>2269</v>
      </c>
      <c r="B841" t="s">
        <v>2270</v>
      </c>
    </row>
    <row r="842" spans="1:2" x14ac:dyDescent="0.25">
      <c r="A842" t="s">
        <v>2271</v>
      </c>
      <c r="B842" t="s">
        <v>2272</v>
      </c>
    </row>
    <row r="843" spans="1:2" x14ac:dyDescent="0.25">
      <c r="A843" t="s">
        <v>2273</v>
      </c>
      <c r="B843" t="s">
        <v>2274</v>
      </c>
    </row>
    <row r="844" spans="1:2" x14ac:dyDescent="0.25">
      <c r="A844" t="s">
        <v>2275</v>
      </c>
      <c r="B844" t="s">
        <v>281</v>
      </c>
    </row>
    <row r="845" spans="1:2" x14ac:dyDescent="0.25">
      <c r="A845" t="s">
        <v>2276</v>
      </c>
      <c r="B845" t="s">
        <v>784</v>
      </c>
    </row>
    <row r="846" spans="1:2" x14ac:dyDescent="0.25">
      <c r="A846" t="s">
        <v>2277</v>
      </c>
      <c r="B846" t="s">
        <v>785</v>
      </c>
    </row>
    <row r="847" spans="1:2" x14ac:dyDescent="0.25">
      <c r="A847" t="s">
        <v>2278</v>
      </c>
      <c r="B847" t="s">
        <v>2279</v>
      </c>
    </row>
    <row r="848" spans="1:2" x14ac:dyDescent="0.25">
      <c r="A848" t="s">
        <v>2280</v>
      </c>
      <c r="B848" t="s">
        <v>471</v>
      </c>
    </row>
    <row r="849" spans="1:2" x14ac:dyDescent="0.25">
      <c r="A849" t="s">
        <v>2281</v>
      </c>
      <c r="B849" t="s">
        <v>2282</v>
      </c>
    </row>
    <row r="850" spans="1:2" x14ac:dyDescent="0.25">
      <c r="A850" t="s">
        <v>2283</v>
      </c>
      <c r="B850" t="s">
        <v>282</v>
      </c>
    </row>
    <row r="851" spans="1:2" x14ac:dyDescent="0.25">
      <c r="A851" t="s">
        <v>2284</v>
      </c>
      <c r="B851" t="s">
        <v>636</v>
      </c>
    </row>
    <row r="852" spans="1:2" x14ac:dyDescent="0.25">
      <c r="A852" t="s">
        <v>2285</v>
      </c>
      <c r="B852" t="s">
        <v>751</v>
      </c>
    </row>
    <row r="853" spans="1:2" x14ac:dyDescent="0.25">
      <c r="A853" t="s">
        <v>2286</v>
      </c>
      <c r="B853" t="s">
        <v>588</v>
      </c>
    </row>
    <row r="854" spans="1:2" x14ac:dyDescent="0.25">
      <c r="A854" t="s">
        <v>2287</v>
      </c>
      <c r="B854" t="s">
        <v>2288</v>
      </c>
    </row>
    <row r="855" spans="1:2" x14ac:dyDescent="0.25">
      <c r="A855" t="s">
        <v>2289</v>
      </c>
      <c r="B855" t="s">
        <v>2290</v>
      </c>
    </row>
    <row r="856" spans="1:2" x14ac:dyDescent="0.25">
      <c r="A856" t="s">
        <v>2291</v>
      </c>
      <c r="B856" t="s">
        <v>2292</v>
      </c>
    </row>
    <row r="857" spans="1:2" x14ac:dyDescent="0.25">
      <c r="A857" t="s">
        <v>2293</v>
      </c>
      <c r="B857" t="s">
        <v>2294</v>
      </c>
    </row>
    <row r="858" spans="1:2" x14ac:dyDescent="0.25">
      <c r="A858" t="s">
        <v>2295</v>
      </c>
      <c r="B858" t="s">
        <v>2296</v>
      </c>
    </row>
    <row r="859" spans="1:2" x14ac:dyDescent="0.25">
      <c r="A859" t="s">
        <v>2297</v>
      </c>
      <c r="B859" t="s">
        <v>2298</v>
      </c>
    </row>
    <row r="860" spans="1:2" x14ac:dyDescent="0.25">
      <c r="A860" t="s">
        <v>2299</v>
      </c>
      <c r="B860" t="s">
        <v>2300</v>
      </c>
    </row>
    <row r="861" spans="1:2" x14ac:dyDescent="0.25">
      <c r="A861" t="s">
        <v>2301</v>
      </c>
      <c r="B861" t="s">
        <v>473</v>
      </c>
    </row>
    <row r="862" spans="1:2" x14ac:dyDescent="0.25">
      <c r="A862" t="s">
        <v>2302</v>
      </c>
      <c r="B862" t="s">
        <v>2303</v>
      </c>
    </row>
    <row r="863" spans="1:2" x14ac:dyDescent="0.25">
      <c r="A863" t="s">
        <v>2304</v>
      </c>
      <c r="B863" t="s">
        <v>416</v>
      </c>
    </row>
    <row r="864" spans="1:2" x14ac:dyDescent="0.25">
      <c r="A864" t="s">
        <v>2305</v>
      </c>
      <c r="B864" t="s">
        <v>2306</v>
      </c>
    </row>
    <row r="865" spans="1:2" x14ac:dyDescent="0.25">
      <c r="A865" t="s">
        <v>2307</v>
      </c>
      <c r="B865" t="s">
        <v>2308</v>
      </c>
    </row>
    <row r="866" spans="1:2" x14ac:dyDescent="0.25">
      <c r="A866" t="s">
        <v>2309</v>
      </c>
      <c r="B866" t="s">
        <v>568</v>
      </c>
    </row>
    <row r="867" spans="1:2" x14ac:dyDescent="0.25">
      <c r="A867" t="s">
        <v>2310</v>
      </c>
      <c r="B867" t="s">
        <v>2311</v>
      </c>
    </row>
    <row r="868" spans="1:2" x14ac:dyDescent="0.25">
      <c r="A868" t="s">
        <v>2312</v>
      </c>
      <c r="B868" t="s">
        <v>417</v>
      </c>
    </row>
    <row r="869" spans="1:2" x14ac:dyDescent="0.25">
      <c r="A869" t="s">
        <v>2313</v>
      </c>
      <c r="B869" t="s">
        <v>695</v>
      </c>
    </row>
    <row r="870" spans="1:2" x14ac:dyDescent="0.25">
      <c r="A870" t="s">
        <v>2314</v>
      </c>
      <c r="B870" t="s">
        <v>753</v>
      </c>
    </row>
    <row r="871" spans="1:2" x14ac:dyDescent="0.25">
      <c r="A871" t="s">
        <v>2315</v>
      </c>
      <c r="B871" t="s">
        <v>2316</v>
      </c>
    </row>
    <row r="872" spans="1:2" x14ac:dyDescent="0.25">
      <c r="A872" t="s">
        <v>2317</v>
      </c>
      <c r="B872" t="s">
        <v>284</v>
      </c>
    </row>
    <row r="873" spans="1:2" x14ac:dyDescent="0.25">
      <c r="A873" t="s">
        <v>2318</v>
      </c>
      <c r="B873" t="s">
        <v>285</v>
      </c>
    </row>
    <row r="874" spans="1:2" x14ac:dyDescent="0.25">
      <c r="A874" t="s">
        <v>2319</v>
      </c>
      <c r="B874" t="s">
        <v>2320</v>
      </c>
    </row>
    <row r="875" spans="1:2" x14ac:dyDescent="0.25">
      <c r="A875" t="s">
        <v>2321</v>
      </c>
      <c r="B875" t="s">
        <v>2322</v>
      </c>
    </row>
    <row r="876" spans="1:2" x14ac:dyDescent="0.25">
      <c r="A876" t="s">
        <v>2323</v>
      </c>
      <c r="B876" t="s">
        <v>2324</v>
      </c>
    </row>
    <row r="877" spans="1:2" x14ac:dyDescent="0.25">
      <c r="A877" t="s">
        <v>2325</v>
      </c>
      <c r="B877" t="s">
        <v>287</v>
      </c>
    </row>
    <row r="878" spans="1:2" x14ac:dyDescent="0.25">
      <c r="A878" t="s">
        <v>2326</v>
      </c>
      <c r="B878" t="s">
        <v>2327</v>
      </c>
    </row>
    <row r="879" spans="1:2" x14ac:dyDescent="0.25">
      <c r="A879" t="s">
        <v>2328</v>
      </c>
      <c r="B879" t="s">
        <v>474</v>
      </c>
    </row>
    <row r="880" spans="1:2" x14ac:dyDescent="0.25">
      <c r="A880" t="s">
        <v>2329</v>
      </c>
      <c r="B880" t="s">
        <v>475</v>
      </c>
    </row>
    <row r="881" spans="1:2" x14ac:dyDescent="0.25">
      <c r="A881" t="s">
        <v>2330</v>
      </c>
      <c r="B881" t="s">
        <v>288</v>
      </c>
    </row>
    <row r="882" spans="1:2" x14ac:dyDescent="0.25">
      <c r="A882" t="s">
        <v>2331</v>
      </c>
      <c r="B882" t="s">
        <v>2332</v>
      </c>
    </row>
    <row r="883" spans="1:2" x14ac:dyDescent="0.25">
      <c r="A883" t="s">
        <v>2333</v>
      </c>
      <c r="B883" t="s">
        <v>2334</v>
      </c>
    </row>
    <row r="884" spans="1:2" x14ac:dyDescent="0.25">
      <c r="A884" t="s">
        <v>2335</v>
      </c>
      <c r="B884" t="s">
        <v>2336</v>
      </c>
    </row>
    <row r="885" spans="1:2" x14ac:dyDescent="0.25">
      <c r="A885" t="s">
        <v>2337</v>
      </c>
      <c r="B885" t="s">
        <v>2338</v>
      </c>
    </row>
    <row r="886" spans="1:2" x14ac:dyDescent="0.25">
      <c r="A886" t="s">
        <v>2339</v>
      </c>
      <c r="B886" t="s">
        <v>2340</v>
      </c>
    </row>
    <row r="887" spans="1:2" x14ac:dyDescent="0.25">
      <c r="A887" t="s">
        <v>2341</v>
      </c>
      <c r="B887" t="s">
        <v>2342</v>
      </c>
    </row>
    <row r="888" spans="1:2" x14ac:dyDescent="0.25">
      <c r="A888" t="s">
        <v>2343</v>
      </c>
      <c r="B888" t="s">
        <v>2344</v>
      </c>
    </row>
    <row r="889" spans="1:2" x14ac:dyDescent="0.25">
      <c r="A889" t="s">
        <v>2345</v>
      </c>
      <c r="B889" t="s">
        <v>569</v>
      </c>
    </row>
    <row r="890" spans="1:2" x14ac:dyDescent="0.25">
      <c r="A890" t="s">
        <v>2346</v>
      </c>
      <c r="B890" t="s">
        <v>418</v>
      </c>
    </row>
    <row r="891" spans="1:2" x14ac:dyDescent="0.25">
      <c r="A891" t="s">
        <v>2347</v>
      </c>
      <c r="B891" t="s">
        <v>2348</v>
      </c>
    </row>
    <row r="892" spans="1:2" x14ac:dyDescent="0.25">
      <c r="A892" t="s">
        <v>2349</v>
      </c>
      <c r="B892" t="s">
        <v>290</v>
      </c>
    </row>
    <row r="893" spans="1:2" x14ac:dyDescent="0.25">
      <c r="A893" t="s">
        <v>2350</v>
      </c>
      <c r="B893" t="s">
        <v>603</v>
      </c>
    </row>
    <row r="894" spans="1:2" x14ac:dyDescent="0.25">
      <c r="A894" t="s">
        <v>2351</v>
      </c>
      <c r="B894" t="s">
        <v>292</v>
      </c>
    </row>
    <row r="895" spans="1:2" x14ac:dyDescent="0.25">
      <c r="A895" t="s">
        <v>2352</v>
      </c>
      <c r="B895" t="s">
        <v>293</v>
      </c>
    </row>
    <row r="896" spans="1:2" x14ac:dyDescent="0.25">
      <c r="A896" t="s">
        <v>2353</v>
      </c>
      <c r="B896" t="s">
        <v>2354</v>
      </c>
    </row>
    <row r="897" spans="1:2" x14ac:dyDescent="0.25">
      <c r="A897" t="s">
        <v>2355</v>
      </c>
      <c r="B897" t="s">
        <v>518</v>
      </c>
    </row>
    <row r="898" spans="1:2" x14ac:dyDescent="0.25">
      <c r="A898" t="s">
        <v>2356</v>
      </c>
      <c r="B898" t="s">
        <v>757</v>
      </c>
    </row>
    <row r="899" spans="1:2" x14ac:dyDescent="0.25">
      <c r="A899" t="s">
        <v>2357</v>
      </c>
      <c r="B899" t="s">
        <v>476</v>
      </c>
    </row>
    <row r="900" spans="1:2" x14ac:dyDescent="0.25">
      <c r="A900" t="s">
        <v>2358</v>
      </c>
      <c r="B900" t="s">
        <v>2359</v>
      </c>
    </row>
    <row r="901" spans="1:2" x14ac:dyDescent="0.25">
      <c r="A901" t="s">
        <v>2360</v>
      </c>
      <c r="B901" t="s">
        <v>759</v>
      </c>
    </row>
    <row r="902" spans="1:2" x14ac:dyDescent="0.25">
      <c r="A902" t="s">
        <v>2361</v>
      </c>
      <c r="B902" t="s">
        <v>295</v>
      </c>
    </row>
    <row r="903" spans="1:2" x14ac:dyDescent="0.25">
      <c r="A903" t="s">
        <v>2362</v>
      </c>
      <c r="B903" t="s">
        <v>296</v>
      </c>
    </row>
    <row r="904" spans="1:2" x14ac:dyDescent="0.25">
      <c r="A904" t="s">
        <v>2363</v>
      </c>
      <c r="B904" t="s">
        <v>297</v>
      </c>
    </row>
    <row r="905" spans="1:2" x14ac:dyDescent="0.25">
      <c r="A905" t="s">
        <v>2364</v>
      </c>
      <c r="B905" t="s">
        <v>2365</v>
      </c>
    </row>
    <row r="906" spans="1:2" x14ac:dyDescent="0.25">
      <c r="A906" t="s">
        <v>2366</v>
      </c>
      <c r="B906" t="s">
        <v>2367</v>
      </c>
    </row>
    <row r="907" spans="1:2" x14ac:dyDescent="0.25">
      <c r="A907" t="s">
        <v>2368</v>
      </c>
      <c r="B907" t="s">
        <v>2369</v>
      </c>
    </row>
    <row r="908" spans="1:2" x14ac:dyDescent="0.25">
      <c r="A908" t="s">
        <v>2370</v>
      </c>
      <c r="B908" t="s">
        <v>298</v>
      </c>
    </row>
    <row r="909" spans="1:2" x14ac:dyDescent="0.25">
      <c r="A909" t="s">
        <v>2371</v>
      </c>
      <c r="B909" t="s">
        <v>589</v>
      </c>
    </row>
    <row r="910" spans="1:2" x14ac:dyDescent="0.25">
      <c r="A910" t="s">
        <v>2372</v>
      </c>
      <c r="B910" t="s">
        <v>300</v>
      </c>
    </row>
    <row r="911" spans="1:2" x14ac:dyDescent="0.25">
      <c r="A911" t="s">
        <v>2373</v>
      </c>
      <c r="B911" t="s">
        <v>2374</v>
      </c>
    </row>
    <row r="912" spans="1:2" x14ac:dyDescent="0.25">
      <c r="A912" t="s">
        <v>2375</v>
      </c>
      <c r="B912" t="s">
        <v>519</v>
      </c>
    </row>
    <row r="913" spans="1:3" x14ac:dyDescent="0.25">
      <c r="A913" t="s">
        <v>2376</v>
      </c>
      <c r="B913" t="s">
        <v>301</v>
      </c>
    </row>
    <row r="914" spans="1:3" x14ac:dyDescent="0.25">
      <c r="A914" t="s">
        <v>2377</v>
      </c>
      <c r="B914" t="s">
        <v>2378</v>
      </c>
    </row>
    <row r="915" spans="1:3" x14ac:dyDescent="0.25">
      <c r="A915" t="s">
        <v>2379</v>
      </c>
      <c r="B915" t="s">
        <v>640</v>
      </c>
    </row>
    <row r="916" spans="1:3" x14ac:dyDescent="0.25">
      <c r="A916" t="s">
        <v>2380</v>
      </c>
      <c r="B916" t="s">
        <v>419</v>
      </c>
    </row>
    <row r="917" spans="1:3" x14ac:dyDescent="0.25">
      <c r="A917" t="s">
        <v>2381</v>
      </c>
      <c r="B917" t="s">
        <v>2382</v>
      </c>
    </row>
    <row r="918" spans="1:3" x14ac:dyDescent="0.25">
      <c r="A918" t="s">
        <v>2383</v>
      </c>
      <c r="B918" t="s">
        <v>2384</v>
      </c>
    </row>
    <row r="919" spans="1:3" x14ac:dyDescent="0.25">
      <c r="A919" t="s">
        <v>2385</v>
      </c>
      <c r="B919" t="s">
        <v>2386</v>
      </c>
    </row>
    <row r="920" spans="1:3" x14ac:dyDescent="0.25">
      <c r="A920" t="s">
        <v>2387</v>
      </c>
      <c r="B920" t="s">
        <v>2388</v>
      </c>
    </row>
    <row r="921" spans="1:3" x14ac:dyDescent="0.25">
      <c r="A921" t="s">
        <v>2389</v>
      </c>
      <c r="B921" t="s">
        <v>571</v>
      </c>
    </row>
    <row r="922" spans="1:3" x14ac:dyDescent="0.25">
      <c r="A922" t="s">
        <v>2390</v>
      </c>
      <c r="B922" t="s">
        <v>303</v>
      </c>
    </row>
    <row r="923" spans="1:3" x14ac:dyDescent="0.25">
      <c r="A923" t="s">
        <v>2391</v>
      </c>
      <c r="B923" t="s">
        <v>2392</v>
      </c>
    </row>
    <row r="924" spans="1:3" x14ac:dyDescent="0.25">
      <c r="A924" t="s">
        <v>2393</v>
      </c>
      <c r="B924" t="s">
        <v>2394</v>
      </c>
    </row>
    <row r="925" spans="1:3" x14ac:dyDescent="0.25">
      <c r="A925" t="s">
        <v>2395</v>
      </c>
      <c r="B925" t="s">
        <v>2396</v>
      </c>
    </row>
    <row r="926" spans="1:3" x14ac:dyDescent="0.25">
      <c r="A926" t="s">
        <v>2397</v>
      </c>
      <c r="B926" t="s">
        <v>40</v>
      </c>
      <c r="C926" t="s">
        <v>2417</v>
      </c>
    </row>
    <row r="927" spans="1:3" x14ac:dyDescent="0.25">
      <c r="A927" t="s">
        <v>2398</v>
      </c>
      <c r="B927" t="s">
        <v>43</v>
      </c>
      <c r="C927" t="s">
        <v>2417</v>
      </c>
    </row>
    <row r="928" spans="1:3" x14ac:dyDescent="0.25">
      <c r="A928" t="s">
        <v>2399</v>
      </c>
      <c r="B928" t="s">
        <v>38</v>
      </c>
      <c r="C928" t="s">
        <v>2417</v>
      </c>
    </row>
    <row r="929" spans="1:3" x14ac:dyDescent="0.25">
      <c r="A929" t="s">
        <v>2400</v>
      </c>
      <c r="B929" t="s">
        <v>305</v>
      </c>
      <c r="C929" t="s">
        <v>2417</v>
      </c>
    </row>
    <row r="930" spans="1:3" x14ac:dyDescent="0.25">
      <c r="A930" t="s">
        <v>2401</v>
      </c>
      <c r="B930" t="s">
        <v>41</v>
      </c>
      <c r="C930" t="s">
        <v>2417</v>
      </c>
    </row>
    <row r="931" spans="1:3" x14ac:dyDescent="0.25">
      <c r="A931" t="s">
        <v>2402</v>
      </c>
      <c r="B931" t="s">
        <v>39</v>
      </c>
      <c r="C931" t="s">
        <v>2417</v>
      </c>
    </row>
    <row r="932" spans="1:3" x14ac:dyDescent="0.25">
      <c r="A932" t="s">
        <v>2403</v>
      </c>
      <c r="B932" t="s">
        <v>45</v>
      </c>
      <c r="C932" t="s">
        <v>2417</v>
      </c>
    </row>
    <row r="933" spans="1:3" x14ac:dyDescent="0.25">
      <c r="A933" t="s">
        <v>2404</v>
      </c>
      <c r="B933" t="s">
        <v>2405</v>
      </c>
      <c r="C933" t="s">
        <v>2417</v>
      </c>
    </row>
    <row r="934" spans="1:3" x14ac:dyDescent="0.25">
      <c r="A934" t="s">
        <v>2406</v>
      </c>
      <c r="B934" t="s">
        <v>307</v>
      </c>
      <c r="C934" t="s">
        <v>2417</v>
      </c>
    </row>
    <row r="935" spans="1:3" x14ac:dyDescent="0.25">
      <c r="A935" t="s">
        <v>2407</v>
      </c>
      <c r="B935" t="s">
        <v>42</v>
      </c>
      <c r="C935" t="s">
        <v>2417</v>
      </c>
    </row>
    <row r="936" spans="1:3" x14ac:dyDescent="0.25">
      <c r="A936" t="s">
        <v>2408</v>
      </c>
      <c r="B936" t="s">
        <v>2409</v>
      </c>
      <c r="C936" t="s">
        <v>2417</v>
      </c>
    </row>
    <row r="937" spans="1:3" x14ac:dyDescent="0.25">
      <c r="A937" t="s">
        <v>2410</v>
      </c>
      <c r="B937" t="s">
        <v>2411</v>
      </c>
      <c r="C937" t="s">
        <v>2417</v>
      </c>
    </row>
    <row r="938" spans="1:3" x14ac:dyDescent="0.25">
      <c r="A938" t="s">
        <v>2412</v>
      </c>
      <c r="B938" t="s">
        <v>44</v>
      </c>
      <c r="C938" t="s">
        <v>2417</v>
      </c>
    </row>
    <row r="939" spans="1:3" x14ac:dyDescent="0.25">
      <c r="A939" t="s">
        <v>2413</v>
      </c>
      <c r="B939" t="s">
        <v>304</v>
      </c>
      <c r="C939" t="s">
        <v>2417</v>
      </c>
    </row>
    <row r="940" spans="1:3" x14ac:dyDescent="0.25">
      <c r="A940" t="s">
        <v>2414</v>
      </c>
      <c r="B940" t="s">
        <v>2415</v>
      </c>
      <c r="C940" t="s">
        <v>2417</v>
      </c>
    </row>
    <row r="941" spans="1:3" x14ac:dyDescent="0.25">
      <c r="A941" t="s">
        <v>2416</v>
      </c>
      <c r="B941" t="s">
        <v>306</v>
      </c>
      <c r="C941" t="s">
        <v>2417</v>
      </c>
    </row>
    <row r="942" spans="1:3" x14ac:dyDescent="0.25">
      <c r="A942" t="s">
        <v>2417</v>
      </c>
      <c r="B942" t="s">
        <v>37</v>
      </c>
    </row>
    <row r="943" spans="1:3" x14ac:dyDescent="0.25">
      <c r="A943" t="s">
        <v>2418</v>
      </c>
      <c r="B943" t="s">
        <v>2419</v>
      </c>
    </row>
    <row r="944" spans="1:3" x14ac:dyDescent="0.25">
      <c r="A944" t="s">
        <v>2420</v>
      </c>
      <c r="B944" t="s">
        <v>308</v>
      </c>
    </row>
    <row r="945" spans="1:3" x14ac:dyDescent="0.25">
      <c r="A945" t="s">
        <v>2421</v>
      </c>
      <c r="B945" t="s">
        <v>2422</v>
      </c>
    </row>
    <row r="946" spans="1:3" x14ac:dyDescent="0.25">
      <c r="A946" t="s">
        <v>2423</v>
      </c>
      <c r="B946" t="s">
        <v>2424</v>
      </c>
    </row>
    <row r="947" spans="1:3" x14ac:dyDescent="0.25">
      <c r="A947" t="s">
        <v>2425</v>
      </c>
      <c r="B947" t="s">
        <v>2426</v>
      </c>
    </row>
    <row r="948" spans="1:3" x14ac:dyDescent="0.25">
      <c r="A948" t="s">
        <v>2427</v>
      </c>
      <c r="B948" t="s">
        <v>786</v>
      </c>
    </row>
    <row r="949" spans="1:3" x14ac:dyDescent="0.25">
      <c r="A949" t="s">
        <v>2428</v>
      </c>
      <c r="B949" t="s">
        <v>787</v>
      </c>
    </row>
    <row r="950" spans="1:3" x14ac:dyDescent="0.25">
      <c r="A950" t="s">
        <v>2429</v>
      </c>
      <c r="B950" t="s">
        <v>2430</v>
      </c>
    </row>
    <row r="951" spans="1:3" x14ac:dyDescent="0.25">
      <c r="A951" t="s">
        <v>2431</v>
      </c>
      <c r="B951" t="s">
        <v>2432</v>
      </c>
    </row>
    <row r="952" spans="1:3" x14ac:dyDescent="0.25">
      <c r="A952" t="s">
        <v>2433</v>
      </c>
      <c r="B952" t="s">
        <v>2434</v>
      </c>
    </row>
    <row r="953" spans="1:3" x14ac:dyDescent="0.25">
      <c r="A953" t="s">
        <v>2435</v>
      </c>
      <c r="B953" t="s">
        <v>46</v>
      </c>
    </row>
    <row r="954" spans="1:3" x14ac:dyDescent="0.25">
      <c r="A954" t="s">
        <v>2436</v>
      </c>
      <c r="B954" t="s">
        <v>2437</v>
      </c>
      <c r="C954" t="s">
        <v>2435</v>
      </c>
    </row>
    <row r="955" spans="1:3" x14ac:dyDescent="0.25">
      <c r="A955" t="s">
        <v>2438</v>
      </c>
      <c r="B955" t="s">
        <v>2439</v>
      </c>
    </row>
    <row r="956" spans="1:3" x14ac:dyDescent="0.25">
      <c r="A956" t="s">
        <v>2440</v>
      </c>
      <c r="B956" t="s">
        <v>2441</v>
      </c>
    </row>
    <row r="957" spans="1:3" x14ac:dyDescent="0.25">
      <c r="A957" t="s">
        <v>2442</v>
      </c>
      <c r="B957" t="s">
        <v>2443</v>
      </c>
    </row>
    <row r="958" spans="1:3" x14ac:dyDescent="0.25">
      <c r="A958" t="s">
        <v>2444</v>
      </c>
      <c r="B958" t="s">
        <v>961</v>
      </c>
    </row>
    <row r="959" spans="1:3" x14ac:dyDescent="0.25">
      <c r="A959" t="s">
        <v>2445</v>
      </c>
      <c r="B959" t="s">
        <v>2446</v>
      </c>
    </row>
    <row r="960" spans="1:3" x14ac:dyDescent="0.25">
      <c r="A960" t="s">
        <v>2447</v>
      </c>
      <c r="B960" t="s">
        <v>2448</v>
      </c>
    </row>
    <row r="961" spans="1:3" x14ac:dyDescent="0.25">
      <c r="A961" t="s">
        <v>2449</v>
      </c>
      <c r="B961" t="s">
        <v>2450</v>
      </c>
    </row>
    <row r="962" spans="1:3" x14ac:dyDescent="0.25">
      <c r="A962" t="s">
        <v>2451</v>
      </c>
      <c r="B962" t="s">
        <v>2452</v>
      </c>
    </row>
    <row r="963" spans="1:3" x14ac:dyDescent="0.25">
      <c r="A963" t="s">
        <v>2453</v>
      </c>
      <c r="B963" t="s">
        <v>2454</v>
      </c>
    </row>
    <row r="964" spans="1:3" x14ac:dyDescent="0.25">
      <c r="A964" t="s">
        <v>2455</v>
      </c>
      <c r="B964" t="s">
        <v>697</v>
      </c>
    </row>
    <row r="965" spans="1:3" x14ac:dyDescent="0.25">
      <c r="A965" t="s">
        <v>2456</v>
      </c>
      <c r="B965" t="s">
        <v>2457</v>
      </c>
    </row>
    <row r="966" spans="1:3" x14ac:dyDescent="0.25">
      <c r="A966" t="s">
        <v>2458</v>
      </c>
      <c r="B966" t="s">
        <v>2459</v>
      </c>
    </row>
    <row r="967" spans="1:3" x14ac:dyDescent="0.25">
      <c r="A967" t="s">
        <v>2460</v>
      </c>
      <c r="B967" t="s">
        <v>2461</v>
      </c>
      <c r="C967" t="s">
        <v>2961</v>
      </c>
    </row>
    <row r="968" spans="1:3" x14ac:dyDescent="0.25">
      <c r="A968" t="s">
        <v>2462</v>
      </c>
      <c r="B968" t="s">
        <v>2463</v>
      </c>
      <c r="C968" t="s">
        <v>2961</v>
      </c>
    </row>
    <row r="969" spans="1:3" x14ac:dyDescent="0.25">
      <c r="A969" t="s">
        <v>2464</v>
      </c>
      <c r="B969" t="s">
        <v>312</v>
      </c>
      <c r="C969" t="s">
        <v>2961</v>
      </c>
    </row>
    <row r="970" spans="1:3" x14ac:dyDescent="0.25">
      <c r="A970" t="s">
        <v>2465</v>
      </c>
      <c r="B970" t="s">
        <v>2466</v>
      </c>
      <c r="C970" t="s">
        <v>2961</v>
      </c>
    </row>
    <row r="971" spans="1:3" x14ac:dyDescent="0.25">
      <c r="A971" t="s">
        <v>2467</v>
      </c>
      <c r="B971" t="s">
        <v>2468</v>
      </c>
      <c r="C971" t="s">
        <v>2961</v>
      </c>
    </row>
    <row r="972" spans="1:3" x14ac:dyDescent="0.25">
      <c r="A972" t="s">
        <v>2469</v>
      </c>
      <c r="B972" t="s">
        <v>311</v>
      </c>
    </row>
    <row r="973" spans="1:3" x14ac:dyDescent="0.25">
      <c r="A973" t="s">
        <v>2470</v>
      </c>
      <c r="B973" t="s">
        <v>314</v>
      </c>
    </row>
    <row r="974" spans="1:3" x14ac:dyDescent="0.25">
      <c r="A974" t="s">
        <v>2471</v>
      </c>
      <c r="B974" t="s">
        <v>315</v>
      </c>
    </row>
    <row r="975" spans="1:3" x14ac:dyDescent="0.25">
      <c r="A975" t="s">
        <v>2472</v>
      </c>
      <c r="B975" t="s">
        <v>2473</v>
      </c>
      <c r="C975" t="s">
        <v>2490</v>
      </c>
    </row>
    <row r="976" spans="1:3" x14ac:dyDescent="0.25">
      <c r="A976" t="s">
        <v>2474</v>
      </c>
      <c r="B976" t="s">
        <v>2475</v>
      </c>
      <c r="C976" t="s">
        <v>2490</v>
      </c>
    </row>
    <row r="977" spans="1:3" x14ac:dyDescent="0.25">
      <c r="A977" t="s">
        <v>2476</v>
      </c>
      <c r="B977" t="s">
        <v>2477</v>
      </c>
      <c r="C977" t="s">
        <v>2490</v>
      </c>
    </row>
    <row r="978" spans="1:3" x14ac:dyDescent="0.25">
      <c r="A978" t="s">
        <v>2478</v>
      </c>
      <c r="B978" t="s">
        <v>2479</v>
      </c>
      <c r="C978" t="s">
        <v>2490</v>
      </c>
    </row>
    <row r="979" spans="1:3" x14ac:dyDescent="0.25">
      <c r="A979" t="s">
        <v>2480</v>
      </c>
      <c r="B979" t="s">
        <v>2481</v>
      </c>
      <c r="C979" t="s">
        <v>2490</v>
      </c>
    </row>
    <row r="980" spans="1:3" x14ac:dyDescent="0.25">
      <c r="A980" t="s">
        <v>2482</v>
      </c>
      <c r="B980" t="s">
        <v>2483</v>
      </c>
      <c r="C980" t="s">
        <v>2490</v>
      </c>
    </row>
    <row r="981" spans="1:3" x14ac:dyDescent="0.25">
      <c r="A981" t="s">
        <v>2484</v>
      </c>
      <c r="B981" t="s">
        <v>2485</v>
      </c>
      <c r="C981" t="s">
        <v>2490</v>
      </c>
    </row>
    <row r="982" spans="1:3" x14ac:dyDescent="0.25">
      <c r="A982" t="s">
        <v>2486</v>
      </c>
      <c r="B982" t="s">
        <v>2487</v>
      </c>
      <c r="C982" t="s">
        <v>2490</v>
      </c>
    </row>
    <row r="983" spans="1:3" x14ac:dyDescent="0.25">
      <c r="A983" t="s">
        <v>2488</v>
      </c>
      <c r="B983" t="s">
        <v>2489</v>
      </c>
      <c r="C983" t="s">
        <v>2490</v>
      </c>
    </row>
    <row r="984" spans="1:3" x14ac:dyDescent="0.25">
      <c r="A984" t="s">
        <v>2490</v>
      </c>
      <c r="B984" t="s">
        <v>49</v>
      </c>
    </row>
    <row r="985" spans="1:3" x14ac:dyDescent="0.25">
      <c r="A985" t="s">
        <v>2491</v>
      </c>
      <c r="B985" t="s">
        <v>2492</v>
      </c>
    </row>
    <row r="986" spans="1:3" x14ac:dyDescent="0.25">
      <c r="A986" t="s">
        <v>2493</v>
      </c>
      <c r="B986" t="s">
        <v>2494</v>
      </c>
    </row>
    <row r="987" spans="1:3" x14ac:dyDescent="0.25">
      <c r="A987" t="s">
        <v>2495</v>
      </c>
      <c r="B987" t="s">
        <v>763</v>
      </c>
    </row>
    <row r="988" spans="1:3" x14ac:dyDescent="0.25">
      <c r="A988" t="s">
        <v>2496</v>
      </c>
      <c r="B988" t="s">
        <v>50</v>
      </c>
    </row>
    <row r="989" spans="1:3" x14ac:dyDescent="0.25">
      <c r="A989" t="s">
        <v>2497</v>
      </c>
      <c r="B989" t="s">
        <v>2498</v>
      </c>
    </row>
    <row r="990" spans="1:3" x14ac:dyDescent="0.25">
      <c r="A990" t="s">
        <v>2499</v>
      </c>
      <c r="B990" t="s">
        <v>316</v>
      </c>
    </row>
    <row r="991" spans="1:3" x14ac:dyDescent="0.25">
      <c r="A991" t="s">
        <v>2500</v>
      </c>
      <c r="B991" t="s">
        <v>2501</v>
      </c>
    </row>
    <row r="992" spans="1:3" x14ac:dyDescent="0.25">
      <c r="A992" t="s">
        <v>2502</v>
      </c>
      <c r="B992" t="s">
        <v>2503</v>
      </c>
    </row>
    <row r="993" spans="1:2" x14ac:dyDescent="0.25">
      <c r="A993" t="s">
        <v>2504</v>
      </c>
      <c r="B993" t="s">
        <v>317</v>
      </c>
    </row>
    <row r="994" spans="1:2" x14ac:dyDescent="0.25">
      <c r="A994" t="s">
        <v>2505</v>
      </c>
      <c r="B994" t="s">
        <v>318</v>
      </c>
    </row>
    <row r="995" spans="1:2" x14ac:dyDescent="0.25">
      <c r="A995" t="s">
        <v>2506</v>
      </c>
      <c r="B995" t="s">
        <v>2507</v>
      </c>
    </row>
    <row r="996" spans="1:2" x14ac:dyDescent="0.25">
      <c r="A996" t="s">
        <v>2508</v>
      </c>
      <c r="B996" t="s">
        <v>2509</v>
      </c>
    </row>
    <row r="997" spans="1:2" x14ac:dyDescent="0.25">
      <c r="A997" t="s">
        <v>2510</v>
      </c>
      <c r="B997" t="s">
        <v>2511</v>
      </c>
    </row>
    <row r="998" spans="1:2" x14ac:dyDescent="0.25">
      <c r="A998" t="s">
        <v>2512</v>
      </c>
      <c r="B998" t="s">
        <v>2513</v>
      </c>
    </row>
    <row r="999" spans="1:2" x14ac:dyDescent="0.25">
      <c r="A999" t="s">
        <v>2514</v>
      </c>
      <c r="B999" t="s">
        <v>2515</v>
      </c>
    </row>
    <row r="1000" spans="1:2" x14ac:dyDescent="0.25">
      <c r="A1000" t="s">
        <v>2516</v>
      </c>
      <c r="B1000" t="s">
        <v>2517</v>
      </c>
    </row>
    <row r="1001" spans="1:2" x14ac:dyDescent="0.25">
      <c r="A1001" t="s">
        <v>2518</v>
      </c>
      <c r="B1001" t="s">
        <v>2519</v>
      </c>
    </row>
    <row r="1002" spans="1:2" x14ac:dyDescent="0.25">
      <c r="A1002" t="s">
        <v>2520</v>
      </c>
      <c r="B1002" t="s">
        <v>2521</v>
      </c>
    </row>
    <row r="1003" spans="1:2" x14ac:dyDescent="0.25">
      <c r="A1003" t="s">
        <v>2522</v>
      </c>
      <c r="B1003" t="s">
        <v>2523</v>
      </c>
    </row>
    <row r="1004" spans="1:2" x14ac:dyDescent="0.25">
      <c r="A1004" t="s">
        <v>2524</v>
      </c>
      <c r="B1004" t="s">
        <v>2525</v>
      </c>
    </row>
    <row r="1005" spans="1:2" x14ac:dyDescent="0.25">
      <c r="A1005" t="s">
        <v>2526</v>
      </c>
      <c r="B1005" t="s">
        <v>2527</v>
      </c>
    </row>
    <row r="1006" spans="1:2" x14ac:dyDescent="0.25">
      <c r="A1006" t="s">
        <v>2528</v>
      </c>
      <c r="B1006" t="s">
        <v>2529</v>
      </c>
    </row>
    <row r="1007" spans="1:2" x14ac:dyDescent="0.25">
      <c r="A1007" t="s">
        <v>2530</v>
      </c>
      <c r="B1007" t="s">
        <v>321</v>
      </c>
    </row>
    <row r="1008" spans="1:2" x14ac:dyDescent="0.25">
      <c r="A1008" t="s">
        <v>2531</v>
      </c>
      <c r="B1008" t="s">
        <v>606</v>
      </c>
    </row>
    <row r="1009" spans="1:2" x14ac:dyDescent="0.25">
      <c r="A1009" t="s">
        <v>2532</v>
      </c>
      <c r="B1009" t="s">
        <v>323</v>
      </c>
    </row>
    <row r="1010" spans="1:2" x14ac:dyDescent="0.25">
      <c r="A1010" t="s">
        <v>2533</v>
      </c>
      <c r="B1010" t="s">
        <v>322</v>
      </c>
    </row>
    <row r="1011" spans="1:2" x14ac:dyDescent="0.25">
      <c r="A1011" t="s">
        <v>2534</v>
      </c>
      <c r="B1011" t="s">
        <v>2535</v>
      </c>
    </row>
    <row r="1012" spans="1:2" x14ac:dyDescent="0.25">
      <c r="A1012" t="s">
        <v>2536</v>
      </c>
      <c r="B1012" t="s">
        <v>2537</v>
      </c>
    </row>
    <row r="1013" spans="1:2" x14ac:dyDescent="0.25">
      <c r="A1013" t="s">
        <v>2538</v>
      </c>
      <c r="B1013" t="s">
        <v>2539</v>
      </c>
    </row>
    <row r="1014" spans="1:2" x14ac:dyDescent="0.25">
      <c r="A1014" t="s">
        <v>2540</v>
      </c>
      <c r="B1014" t="s">
        <v>700</v>
      </c>
    </row>
    <row r="1015" spans="1:2" x14ac:dyDescent="0.25">
      <c r="A1015" t="s">
        <v>2541</v>
      </c>
      <c r="B1015" t="s">
        <v>324</v>
      </c>
    </row>
    <row r="1016" spans="1:2" x14ac:dyDescent="0.25">
      <c r="A1016" t="s">
        <v>2542</v>
      </c>
      <c r="B1016" t="s">
        <v>2543</v>
      </c>
    </row>
    <row r="1017" spans="1:2" x14ac:dyDescent="0.25">
      <c r="A1017" t="s">
        <v>2544</v>
      </c>
      <c r="B1017" t="s">
        <v>325</v>
      </c>
    </row>
    <row r="1018" spans="1:2" x14ac:dyDescent="0.25">
      <c r="A1018" t="s">
        <v>2545</v>
      </c>
      <c r="B1018" t="s">
        <v>423</v>
      </c>
    </row>
    <row r="1019" spans="1:2" x14ac:dyDescent="0.25">
      <c r="A1019" t="s">
        <v>2546</v>
      </c>
      <c r="B1019" t="s">
        <v>2547</v>
      </c>
    </row>
    <row r="1020" spans="1:2" x14ac:dyDescent="0.25">
      <c r="A1020" t="s">
        <v>2548</v>
      </c>
      <c r="B1020" t="s">
        <v>524</v>
      </c>
    </row>
    <row r="1021" spans="1:2" x14ac:dyDescent="0.25">
      <c r="A1021" t="s">
        <v>2549</v>
      </c>
      <c r="B1021" t="s">
        <v>2550</v>
      </c>
    </row>
    <row r="1022" spans="1:2" x14ac:dyDescent="0.25">
      <c r="A1022" t="s">
        <v>2551</v>
      </c>
      <c r="B1022" t="s">
        <v>326</v>
      </c>
    </row>
    <row r="1023" spans="1:2" x14ac:dyDescent="0.25">
      <c r="A1023" t="s">
        <v>2552</v>
      </c>
      <c r="B1023" t="s">
        <v>701</v>
      </c>
    </row>
    <row r="1024" spans="1:2" x14ac:dyDescent="0.25">
      <c r="A1024" t="s">
        <v>2553</v>
      </c>
      <c r="B1024" t="s">
        <v>2554</v>
      </c>
    </row>
    <row r="1025" spans="1:2" x14ac:dyDescent="0.25">
      <c r="A1025" t="s">
        <v>2555</v>
      </c>
      <c r="B1025" t="s">
        <v>2556</v>
      </c>
    </row>
    <row r="1026" spans="1:2" x14ac:dyDescent="0.25">
      <c r="A1026" t="s">
        <v>2557</v>
      </c>
      <c r="B1026" t="s">
        <v>2558</v>
      </c>
    </row>
    <row r="1027" spans="1:2" x14ac:dyDescent="0.25">
      <c r="A1027" t="s">
        <v>2559</v>
      </c>
      <c r="B1027" t="s">
        <v>2560</v>
      </c>
    </row>
    <row r="1028" spans="1:2" x14ac:dyDescent="0.25">
      <c r="A1028" t="s">
        <v>2561</v>
      </c>
      <c r="B1028" t="s">
        <v>424</v>
      </c>
    </row>
    <row r="1029" spans="1:2" x14ac:dyDescent="0.25">
      <c r="A1029" t="s">
        <v>2562</v>
      </c>
      <c r="B1029" t="s">
        <v>2563</v>
      </c>
    </row>
    <row r="1030" spans="1:2" x14ac:dyDescent="0.25">
      <c r="A1030" t="s">
        <v>2564</v>
      </c>
      <c r="B1030" t="s">
        <v>2565</v>
      </c>
    </row>
    <row r="1031" spans="1:2" x14ac:dyDescent="0.25">
      <c r="A1031" t="s">
        <v>2566</v>
      </c>
      <c r="B1031" t="s">
        <v>2567</v>
      </c>
    </row>
    <row r="1032" spans="1:2" x14ac:dyDescent="0.25">
      <c r="A1032" t="s">
        <v>2568</v>
      </c>
      <c r="B1032" t="s">
        <v>2569</v>
      </c>
    </row>
    <row r="1033" spans="1:2" x14ac:dyDescent="0.25">
      <c r="A1033" t="s">
        <v>2570</v>
      </c>
      <c r="B1033" t="s">
        <v>607</v>
      </c>
    </row>
    <row r="1034" spans="1:2" x14ac:dyDescent="0.25">
      <c r="A1034" t="s">
        <v>2571</v>
      </c>
      <c r="B1034" t="s">
        <v>2572</v>
      </c>
    </row>
    <row r="1035" spans="1:2" x14ac:dyDescent="0.25">
      <c r="A1035" t="s">
        <v>2573</v>
      </c>
      <c r="B1035" t="s">
        <v>2574</v>
      </c>
    </row>
    <row r="1036" spans="1:2" x14ac:dyDescent="0.25">
      <c r="A1036" t="s">
        <v>2575</v>
      </c>
      <c r="B1036" t="s">
        <v>426</v>
      </c>
    </row>
    <row r="1037" spans="1:2" x14ac:dyDescent="0.25">
      <c r="A1037" t="s">
        <v>2576</v>
      </c>
      <c r="B1037" t="s">
        <v>331</v>
      </c>
    </row>
    <row r="1038" spans="1:2" x14ac:dyDescent="0.25">
      <c r="A1038" t="s">
        <v>2577</v>
      </c>
      <c r="B1038" t="s">
        <v>525</v>
      </c>
    </row>
    <row r="1039" spans="1:2" x14ac:dyDescent="0.25">
      <c r="A1039" t="s">
        <v>2578</v>
      </c>
      <c r="B1039" t="s">
        <v>2579</v>
      </c>
    </row>
    <row r="1040" spans="1:2" x14ac:dyDescent="0.25">
      <c r="A1040" t="s">
        <v>2580</v>
      </c>
      <c r="B1040" t="s">
        <v>2581</v>
      </c>
    </row>
    <row r="1041" spans="1:3" x14ac:dyDescent="0.25">
      <c r="A1041" t="s">
        <v>2582</v>
      </c>
      <c r="B1041" t="s">
        <v>427</v>
      </c>
    </row>
    <row r="1042" spans="1:3" x14ac:dyDescent="0.25">
      <c r="A1042" t="s">
        <v>2583</v>
      </c>
      <c r="B1042" t="s">
        <v>478</v>
      </c>
    </row>
    <row r="1043" spans="1:3" x14ac:dyDescent="0.25">
      <c r="A1043" t="s">
        <v>2584</v>
      </c>
      <c r="B1043" t="s">
        <v>332</v>
      </c>
    </row>
    <row r="1044" spans="1:3" x14ac:dyDescent="0.25">
      <c r="A1044" t="s">
        <v>2585</v>
      </c>
      <c r="B1044" t="s">
        <v>2586</v>
      </c>
    </row>
    <row r="1045" spans="1:3" x14ac:dyDescent="0.25">
      <c r="A1045" t="s">
        <v>2587</v>
      </c>
      <c r="B1045" t="s">
        <v>2588</v>
      </c>
    </row>
    <row r="1046" spans="1:3" x14ac:dyDescent="0.25">
      <c r="A1046" t="s">
        <v>2589</v>
      </c>
      <c r="B1046" t="s">
        <v>428</v>
      </c>
    </row>
    <row r="1047" spans="1:3" x14ac:dyDescent="0.25">
      <c r="A1047" t="s">
        <v>2590</v>
      </c>
      <c r="B1047" t="s">
        <v>703</v>
      </c>
    </row>
    <row r="1048" spans="1:3" x14ac:dyDescent="0.25">
      <c r="A1048" t="s">
        <v>2591</v>
      </c>
      <c r="B1048" t="s">
        <v>52</v>
      </c>
      <c r="C1048" t="s">
        <v>2962</v>
      </c>
    </row>
    <row r="1049" spans="1:3" x14ac:dyDescent="0.25">
      <c r="A1049" t="s">
        <v>2592</v>
      </c>
      <c r="B1049" t="s">
        <v>2593</v>
      </c>
      <c r="C1049" t="s">
        <v>2962</v>
      </c>
    </row>
    <row r="1050" spans="1:3" x14ac:dyDescent="0.25">
      <c r="A1050" t="s">
        <v>2594</v>
      </c>
      <c r="B1050" t="s">
        <v>333</v>
      </c>
      <c r="C1050" t="s">
        <v>2962</v>
      </c>
    </row>
    <row r="1051" spans="1:3" x14ac:dyDescent="0.25">
      <c r="A1051" t="s">
        <v>2595</v>
      </c>
      <c r="B1051" t="s">
        <v>2596</v>
      </c>
      <c r="C1051" t="s">
        <v>2962</v>
      </c>
    </row>
    <row r="1052" spans="1:3" x14ac:dyDescent="0.25">
      <c r="A1052" t="s">
        <v>2597</v>
      </c>
      <c r="B1052" t="s">
        <v>526</v>
      </c>
      <c r="C1052" t="s">
        <v>2962</v>
      </c>
    </row>
    <row r="1053" spans="1:3" x14ac:dyDescent="0.25">
      <c r="A1053" t="s">
        <v>2598</v>
      </c>
      <c r="B1053" t="s">
        <v>334</v>
      </c>
      <c r="C1053" t="s">
        <v>2962</v>
      </c>
    </row>
    <row r="1054" spans="1:3" x14ac:dyDescent="0.25">
      <c r="A1054" t="s">
        <v>2599</v>
      </c>
      <c r="B1054" t="s">
        <v>335</v>
      </c>
    </row>
    <row r="1055" spans="1:3" x14ac:dyDescent="0.25">
      <c r="A1055" t="s">
        <v>2600</v>
      </c>
      <c r="B1055" t="s">
        <v>767</v>
      </c>
    </row>
    <row r="1056" spans="1:3" x14ac:dyDescent="0.25">
      <c r="A1056" t="s">
        <v>2601</v>
      </c>
      <c r="B1056" t="s">
        <v>337</v>
      </c>
    </row>
    <row r="1057" spans="1:3" x14ac:dyDescent="0.25">
      <c r="A1057" t="s">
        <v>2602</v>
      </c>
      <c r="B1057" t="s">
        <v>788</v>
      </c>
    </row>
    <row r="1058" spans="1:3" x14ac:dyDescent="0.25">
      <c r="A1058" t="s">
        <v>2603</v>
      </c>
      <c r="B1058" t="s">
        <v>2604</v>
      </c>
    </row>
    <row r="1059" spans="1:3" x14ac:dyDescent="0.25">
      <c r="A1059" t="s">
        <v>2605</v>
      </c>
      <c r="B1059" t="s">
        <v>2606</v>
      </c>
    </row>
    <row r="1060" spans="1:3" x14ac:dyDescent="0.25">
      <c r="A1060" t="s">
        <v>2607</v>
      </c>
      <c r="B1060" t="s">
        <v>704</v>
      </c>
    </row>
    <row r="1061" spans="1:3" x14ac:dyDescent="0.25">
      <c r="A1061" t="s">
        <v>2608</v>
      </c>
      <c r="B1061" t="s">
        <v>2609</v>
      </c>
    </row>
    <row r="1062" spans="1:3" x14ac:dyDescent="0.25">
      <c r="A1062" t="s">
        <v>2610</v>
      </c>
      <c r="B1062" t="s">
        <v>2611</v>
      </c>
    </row>
    <row r="1063" spans="1:3" x14ac:dyDescent="0.25">
      <c r="A1063" t="s">
        <v>2612</v>
      </c>
      <c r="B1063" t="s">
        <v>2613</v>
      </c>
    </row>
    <row r="1064" spans="1:3" x14ac:dyDescent="0.25">
      <c r="A1064" t="s">
        <v>2614</v>
      </c>
      <c r="B1064" t="s">
        <v>2615</v>
      </c>
    </row>
    <row r="1065" spans="1:3" x14ac:dyDescent="0.25">
      <c r="A1065" t="s">
        <v>2616</v>
      </c>
      <c r="B1065" t="s">
        <v>592</v>
      </c>
    </row>
    <row r="1066" spans="1:3" x14ac:dyDescent="0.25">
      <c r="A1066" t="s">
        <v>2617</v>
      </c>
      <c r="B1066" t="s">
        <v>2618</v>
      </c>
    </row>
    <row r="1067" spans="1:3" x14ac:dyDescent="0.25">
      <c r="A1067" t="s">
        <v>2619</v>
      </c>
      <c r="B1067" t="s">
        <v>2620</v>
      </c>
    </row>
    <row r="1068" spans="1:3" x14ac:dyDescent="0.25">
      <c r="A1068" t="s">
        <v>2621</v>
      </c>
      <c r="B1068" t="s">
        <v>2622</v>
      </c>
    </row>
    <row r="1069" spans="1:3" x14ac:dyDescent="0.25">
      <c r="A1069" t="s">
        <v>2623</v>
      </c>
      <c r="B1069" t="s">
        <v>530</v>
      </c>
    </row>
    <row r="1070" spans="1:3" x14ac:dyDescent="0.25">
      <c r="A1070" t="s">
        <v>2624</v>
      </c>
      <c r="B1070" t="s">
        <v>2625</v>
      </c>
    </row>
    <row r="1071" spans="1:3" x14ac:dyDescent="0.25">
      <c r="A1071" t="s">
        <v>2626</v>
      </c>
      <c r="B1071" t="s">
        <v>2627</v>
      </c>
    </row>
    <row r="1072" spans="1:3" x14ac:dyDescent="0.25">
      <c r="A1072" t="s">
        <v>2628</v>
      </c>
      <c r="B1072" t="s">
        <v>2629</v>
      </c>
      <c r="C1072" t="s">
        <v>1095</v>
      </c>
    </row>
    <row r="1073" spans="1:2" x14ac:dyDescent="0.25">
      <c r="A1073" t="s">
        <v>2630</v>
      </c>
      <c r="B1073" t="s">
        <v>479</v>
      </c>
    </row>
    <row r="1074" spans="1:2" x14ac:dyDescent="0.25">
      <c r="A1074" t="s">
        <v>2631</v>
      </c>
      <c r="B1074" t="s">
        <v>342</v>
      </c>
    </row>
    <row r="1075" spans="1:2" x14ac:dyDescent="0.25">
      <c r="A1075" t="s">
        <v>2632</v>
      </c>
      <c r="B1075" t="s">
        <v>2633</v>
      </c>
    </row>
    <row r="1076" spans="1:2" x14ac:dyDescent="0.25">
      <c r="A1076" t="s">
        <v>2634</v>
      </c>
      <c r="B1076" t="s">
        <v>2635</v>
      </c>
    </row>
    <row r="1077" spans="1:2" x14ac:dyDescent="0.25">
      <c r="A1077" t="s">
        <v>2636</v>
      </c>
      <c r="B1077" t="s">
        <v>2637</v>
      </c>
    </row>
    <row r="1078" spans="1:2" x14ac:dyDescent="0.25">
      <c r="A1078" t="s">
        <v>2638</v>
      </c>
      <c r="B1078" t="s">
        <v>645</v>
      </c>
    </row>
    <row r="1079" spans="1:2" x14ac:dyDescent="0.25">
      <c r="A1079" t="s">
        <v>2639</v>
      </c>
      <c r="B1079" t="s">
        <v>2640</v>
      </c>
    </row>
    <row r="1080" spans="1:2" x14ac:dyDescent="0.25">
      <c r="A1080" t="s">
        <v>2641</v>
      </c>
      <c r="B1080" t="s">
        <v>343</v>
      </c>
    </row>
    <row r="1081" spans="1:2" x14ac:dyDescent="0.25">
      <c r="A1081" t="s">
        <v>2642</v>
      </c>
      <c r="B1081" t="s">
        <v>480</v>
      </c>
    </row>
    <row r="1082" spans="1:2" x14ac:dyDescent="0.25">
      <c r="A1082" t="s">
        <v>2643</v>
      </c>
      <c r="B1082" t="s">
        <v>2644</v>
      </c>
    </row>
    <row r="1083" spans="1:2" x14ac:dyDescent="0.25">
      <c r="A1083" t="s">
        <v>2645</v>
      </c>
      <c r="B1083" t="s">
        <v>344</v>
      </c>
    </row>
    <row r="1084" spans="1:2" x14ac:dyDescent="0.25">
      <c r="A1084" t="s">
        <v>2646</v>
      </c>
      <c r="B1084" t="s">
        <v>2647</v>
      </c>
    </row>
    <row r="1085" spans="1:2" x14ac:dyDescent="0.25">
      <c r="A1085" t="s">
        <v>2648</v>
      </c>
      <c r="B1085" t="s">
        <v>345</v>
      </c>
    </row>
    <row r="1086" spans="1:2" x14ac:dyDescent="0.25">
      <c r="A1086" t="s">
        <v>2649</v>
      </c>
      <c r="B1086" t="s">
        <v>2650</v>
      </c>
    </row>
    <row r="1087" spans="1:2" x14ac:dyDescent="0.25">
      <c r="A1087" t="s">
        <v>2651</v>
      </c>
      <c r="B1087" t="s">
        <v>531</v>
      </c>
    </row>
    <row r="1088" spans="1:2" x14ac:dyDescent="0.25">
      <c r="A1088" t="s">
        <v>2652</v>
      </c>
      <c r="B1088" t="s">
        <v>2653</v>
      </c>
    </row>
    <row r="1089" spans="1:2" x14ac:dyDescent="0.25">
      <c r="A1089" t="s">
        <v>2654</v>
      </c>
      <c r="B1089" t="s">
        <v>2655</v>
      </c>
    </row>
    <row r="1090" spans="1:2" x14ac:dyDescent="0.25">
      <c r="A1090" t="s">
        <v>2656</v>
      </c>
      <c r="B1090" t="s">
        <v>347</v>
      </c>
    </row>
    <row r="1091" spans="1:2" x14ac:dyDescent="0.25">
      <c r="A1091" t="s">
        <v>2657</v>
      </c>
      <c r="B1091" t="s">
        <v>2658</v>
      </c>
    </row>
    <row r="1092" spans="1:2" x14ac:dyDescent="0.25">
      <c r="A1092" t="s">
        <v>2659</v>
      </c>
      <c r="B1092" t="s">
        <v>2660</v>
      </c>
    </row>
    <row r="1093" spans="1:2" x14ac:dyDescent="0.25">
      <c r="A1093" t="s">
        <v>2661</v>
      </c>
      <c r="B1093" t="s">
        <v>575</v>
      </c>
    </row>
    <row r="1094" spans="1:2" x14ac:dyDescent="0.25">
      <c r="A1094" t="s">
        <v>2662</v>
      </c>
      <c r="B1094" t="s">
        <v>2663</v>
      </c>
    </row>
    <row r="1095" spans="1:2" x14ac:dyDescent="0.25">
      <c r="A1095" t="s">
        <v>2664</v>
      </c>
      <c r="B1095" t="s">
        <v>348</v>
      </c>
    </row>
    <row r="1096" spans="1:2" x14ac:dyDescent="0.25">
      <c r="A1096" t="s">
        <v>2665</v>
      </c>
      <c r="B1096" t="s">
        <v>2666</v>
      </c>
    </row>
    <row r="1097" spans="1:2" x14ac:dyDescent="0.25">
      <c r="A1097" t="s">
        <v>2667</v>
      </c>
      <c r="B1097" t="s">
        <v>2668</v>
      </c>
    </row>
    <row r="1098" spans="1:2" x14ac:dyDescent="0.25">
      <c r="A1098" t="s">
        <v>2669</v>
      </c>
      <c r="B1098" t="s">
        <v>2670</v>
      </c>
    </row>
    <row r="1099" spans="1:2" x14ac:dyDescent="0.25">
      <c r="A1099" t="s">
        <v>2671</v>
      </c>
      <c r="B1099" t="s">
        <v>2672</v>
      </c>
    </row>
    <row r="1100" spans="1:2" x14ac:dyDescent="0.25">
      <c r="A1100" t="s">
        <v>2673</v>
      </c>
      <c r="B1100" t="s">
        <v>2674</v>
      </c>
    </row>
    <row r="1101" spans="1:2" x14ac:dyDescent="0.25">
      <c r="A1101" t="s">
        <v>2675</v>
      </c>
      <c r="B1101" t="s">
        <v>2676</v>
      </c>
    </row>
    <row r="1102" spans="1:2" x14ac:dyDescent="0.25">
      <c r="A1102" t="s">
        <v>2677</v>
      </c>
      <c r="B1102" t="s">
        <v>2678</v>
      </c>
    </row>
    <row r="1103" spans="1:2" x14ac:dyDescent="0.25">
      <c r="A1103" t="s">
        <v>2679</v>
      </c>
      <c r="B1103" t="s">
        <v>2680</v>
      </c>
    </row>
    <row r="1104" spans="1:2" x14ac:dyDescent="0.25">
      <c r="A1104" t="s">
        <v>2681</v>
      </c>
      <c r="B1104" t="s">
        <v>2682</v>
      </c>
    </row>
    <row r="1105" spans="1:3" x14ac:dyDescent="0.25">
      <c r="A1105" t="s">
        <v>2683</v>
      </c>
      <c r="B1105" t="s">
        <v>2684</v>
      </c>
    </row>
    <row r="1106" spans="1:3" x14ac:dyDescent="0.25">
      <c r="A1106" t="s">
        <v>2685</v>
      </c>
      <c r="B1106" t="s">
        <v>481</v>
      </c>
    </row>
    <row r="1107" spans="1:3" x14ac:dyDescent="0.25">
      <c r="A1107" t="s">
        <v>2686</v>
      </c>
      <c r="B1107" t="s">
        <v>2687</v>
      </c>
      <c r="C1107" t="s">
        <v>2689</v>
      </c>
    </row>
    <row r="1108" spans="1:3" x14ac:dyDescent="0.25">
      <c r="A1108" t="s">
        <v>2688</v>
      </c>
      <c r="B1108" t="s">
        <v>53</v>
      </c>
      <c r="C1108" t="s">
        <v>2689</v>
      </c>
    </row>
    <row r="1109" spans="1:3" x14ac:dyDescent="0.25">
      <c r="A1109" t="s">
        <v>2689</v>
      </c>
      <c r="B1109" t="s">
        <v>9</v>
      </c>
    </row>
    <row r="1110" spans="1:3" x14ac:dyDescent="0.25">
      <c r="A1110" t="s">
        <v>2690</v>
      </c>
      <c r="B1110" t="s">
        <v>706</v>
      </c>
    </row>
    <row r="1111" spans="1:3" x14ac:dyDescent="0.25">
      <c r="A1111" t="s">
        <v>2691</v>
      </c>
      <c r="B1111" t="s">
        <v>54</v>
      </c>
    </row>
    <row r="1112" spans="1:3" x14ac:dyDescent="0.25">
      <c r="A1112" t="s">
        <v>2692</v>
      </c>
      <c r="B1112" t="s">
        <v>2693</v>
      </c>
      <c r="C1112" t="s">
        <v>2691</v>
      </c>
    </row>
    <row r="1113" spans="1:3" x14ac:dyDescent="0.25">
      <c r="A1113" t="s">
        <v>2694</v>
      </c>
      <c r="B1113" t="s">
        <v>2695</v>
      </c>
      <c r="C1113" t="s">
        <v>2691</v>
      </c>
    </row>
    <row r="1114" spans="1:3" x14ac:dyDescent="0.25">
      <c r="A1114" t="s">
        <v>2696</v>
      </c>
      <c r="B1114" t="s">
        <v>2697</v>
      </c>
      <c r="C1114" t="s">
        <v>2691</v>
      </c>
    </row>
    <row r="1115" spans="1:3" x14ac:dyDescent="0.25">
      <c r="A1115" t="s">
        <v>2698</v>
      </c>
      <c r="B1115" t="s">
        <v>2699</v>
      </c>
      <c r="C1115" t="s">
        <v>2691</v>
      </c>
    </row>
    <row r="1116" spans="1:3" x14ac:dyDescent="0.25">
      <c r="A1116" t="s">
        <v>2700</v>
      </c>
      <c r="B1116" t="s">
        <v>2701</v>
      </c>
      <c r="C1116" t="s">
        <v>2691</v>
      </c>
    </row>
    <row r="1117" spans="1:3" x14ac:dyDescent="0.25">
      <c r="A1117" t="s">
        <v>2702</v>
      </c>
      <c r="B1117" t="s">
        <v>2703</v>
      </c>
      <c r="C1117" t="s">
        <v>2691</v>
      </c>
    </row>
    <row r="1118" spans="1:3" x14ac:dyDescent="0.25">
      <c r="A1118" t="s">
        <v>2704</v>
      </c>
      <c r="B1118" t="s">
        <v>2705</v>
      </c>
      <c r="C1118" t="s">
        <v>2691</v>
      </c>
    </row>
    <row r="1119" spans="1:3" x14ac:dyDescent="0.25">
      <c r="A1119" t="s">
        <v>2706</v>
      </c>
      <c r="B1119" t="s">
        <v>2707</v>
      </c>
      <c r="C1119" t="s">
        <v>2691</v>
      </c>
    </row>
    <row r="1120" spans="1:3" x14ac:dyDescent="0.25">
      <c r="A1120" t="s">
        <v>2708</v>
      </c>
      <c r="B1120" t="s">
        <v>2709</v>
      </c>
      <c r="C1120" t="s">
        <v>2691</v>
      </c>
    </row>
    <row r="1121" spans="1:3" x14ac:dyDescent="0.25">
      <c r="A1121" t="s">
        <v>2710</v>
      </c>
      <c r="B1121" t="s">
        <v>2711</v>
      </c>
      <c r="C1121" t="s">
        <v>2691</v>
      </c>
    </row>
    <row r="1122" spans="1:3" x14ac:dyDescent="0.25">
      <c r="A1122" t="s">
        <v>2712</v>
      </c>
      <c r="B1122" t="s">
        <v>2713</v>
      </c>
      <c r="C1122" t="s">
        <v>2691</v>
      </c>
    </row>
    <row r="1123" spans="1:3" x14ac:dyDescent="0.25">
      <c r="A1123" t="s">
        <v>2714</v>
      </c>
      <c r="B1123" t="s">
        <v>2715</v>
      </c>
      <c r="C1123" t="s">
        <v>2691</v>
      </c>
    </row>
    <row r="1124" spans="1:3" x14ac:dyDescent="0.25">
      <c r="A1124" t="s">
        <v>2716</v>
      </c>
      <c r="B1124" t="s">
        <v>2717</v>
      </c>
      <c r="C1124" t="s">
        <v>2691</v>
      </c>
    </row>
    <row r="1125" spans="1:3" x14ac:dyDescent="0.25">
      <c r="A1125" t="s">
        <v>2718</v>
      </c>
      <c r="B1125" t="s">
        <v>2719</v>
      </c>
    </row>
    <row r="1126" spans="1:3" x14ac:dyDescent="0.25">
      <c r="A1126" t="s">
        <v>2720</v>
      </c>
      <c r="B1126" t="s">
        <v>2721</v>
      </c>
    </row>
    <row r="1127" spans="1:3" x14ac:dyDescent="0.25">
      <c r="A1127" t="s">
        <v>2722</v>
      </c>
      <c r="B1127" t="s">
        <v>2723</v>
      </c>
    </row>
    <row r="1128" spans="1:3" x14ac:dyDescent="0.25">
      <c r="A1128" t="s">
        <v>2724</v>
      </c>
      <c r="B1128" t="s">
        <v>2725</v>
      </c>
    </row>
    <row r="1129" spans="1:3" x14ac:dyDescent="0.25">
      <c r="A1129" t="s">
        <v>2726</v>
      </c>
      <c r="B1129" t="s">
        <v>2727</v>
      </c>
    </row>
    <row r="1130" spans="1:3" x14ac:dyDescent="0.25">
      <c r="A1130" t="s">
        <v>2728</v>
      </c>
      <c r="B1130" t="s">
        <v>2729</v>
      </c>
    </row>
    <row r="1131" spans="1:3" x14ac:dyDescent="0.25">
      <c r="A1131" t="s">
        <v>2730</v>
      </c>
      <c r="B1131" t="s">
        <v>2731</v>
      </c>
    </row>
    <row r="1132" spans="1:3" x14ac:dyDescent="0.25">
      <c r="A1132" t="s">
        <v>2732</v>
      </c>
      <c r="B1132" t="s">
        <v>351</v>
      </c>
    </row>
    <row r="1133" spans="1:3" x14ac:dyDescent="0.25">
      <c r="A1133" t="s">
        <v>2733</v>
      </c>
      <c r="B1133" t="s">
        <v>647</v>
      </c>
    </row>
    <row r="1134" spans="1:3" x14ac:dyDescent="0.25">
      <c r="A1134" t="s">
        <v>2734</v>
      </c>
      <c r="B1134" t="s">
        <v>532</v>
      </c>
    </row>
    <row r="1135" spans="1:3" x14ac:dyDescent="0.25">
      <c r="A1135" t="s">
        <v>2735</v>
      </c>
      <c r="B1135" t="s">
        <v>352</v>
      </c>
    </row>
    <row r="1136" spans="1:3" x14ac:dyDescent="0.25">
      <c r="A1136" t="s">
        <v>2736</v>
      </c>
      <c r="B1136" t="s">
        <v>2737</v>
      </c>
    </row>
    <row r="1137" spans="1:2" x14ac:dyDescent="0.25">
      <c r="A1137" t="s">
        <v>2738</v>
      </c>
      <c r="B1137" t="s">
        <v>2739</v>
      </c>
    </row>
    <row r="1138" spans="1:2" x14ac:dyDescent="0.25">
      <c r="A1138" t="s">
        <v>2740</v>
      </c>
      <c r="B1138" t="s">
        <v>2741</v>
      </c>
    </row>
    <row r="1139" spans="1:2" x14ac:dyDescent="0.25">
      <c r="A1139" t="s">
        <v>2742</v>
      </c>
      <c r="B1139" t="s">
        <v>2743</v>
      </c>
    </row>
    <row r="1140" spans="1:2" x14ac:dyDescent="0.25">
      <c r="A1140" t="s">
        <v>2744</v>
      </c>
      <c r="B1140" t="s">
        <v>354</v>
      </c>
    </row>
    <row r="1141" spans="1:2" x14ac:dyDescent="0.25">
      <c r="A1141" t="s">
        <v>2745</v>
      </c>
      <c r="B1141" t="s">
        <v>2746</v>
      </c>
    </row>
    <row r="1142" spans="1:2" x14ac:dyDescent="0.25">
      <c r="A1142" t="s">
        <v>2747</v>
      </c>
      <c r="B1142" t="s">
        <v>2748</v>
      </c>
    </row>
    <row r="1143" spans="1:2" x14ac:dyDescent="0.25">
      <c r="A1143" t="s">
        <v>2749</v>
      </c>
      <c r="B1143" t="s">
        <v>356</v>
      </c>
    </row>
    <row r="1144" spans="1:2" x14ac:dyDescent="0.25">
      <c r="A1144" t="s">
        <v>2750</v>
      </c>
      <c r="B1144" t="s">
        <v>357</v>
      </c>
    </row>
    <row r="1145" spans="1:2" x14ac:dyDescent="0.25">
      <c r="A1145" t="s">
        <v>2751</v>
      </c>
      <c r="B1145" t="s">
        <v>2752</v>
      </c>
    </row>
    <row r="1146" spans="1:2" x14ac:dyDescent="0.25">
      <c r="A1146" t="s">
        <v>2753</v>
      </c>
      <c r="B1146" t="s">
        <v>358</v>
      </c>
    </row>
    <row r="1147" spans="1:2" x14ac:dyDescent="0.25">
      <c r="A1147" t="s">
        <v>2754</v>
      </c>
      <c r="B1147" t="s">
        <v>609</v>
      </c>
    </row>
    <row r="1148" spans="1:2" x14ac:dyDescent="0.25">
      <c r="A1148" t="s">
        <v>2755</v>
      </c>
      <c r="B1148" t="s">
        <v>2756</v>
      </c>
    </row>
    <row r="1149" spans="1:2" x14ac:dyDescent="0.25">
      <c r="A1149" t="s">
        <v>2757</v>
      </c>
      <c r="B1149" t="s">
        <v>359</v>
      </c>
    </row>
    <row r="1150" spans="1:2" x14ac:dyDescent="0.25">
      <c r="A1150" t="s">
        <v>2758</v>
      </c>
      <c r="B1150" t="s">
        <v>2759</v>
      </c>
    </row>
    <row r="1151" spans="1:2" x14ac:dyDescent="0.25">
      <c r="A1151" t="s">
        <v>2760</v>
      </c>
      <c r="B1151" t="s">
        <v>2761</v>
      </c>
    </row>
    <row r="1152" spans="1:2" x14ac:dyDescent="0.25">
      <c r="A1152" t="s">
        <v>2762</v>
      </c>
      <c r="B1152" t="s">
        <v>2763</v>
      </c>
    </row>
    <row r="1153" spans="1:2" x14ac:dyDescent="0.25">
      <c r="A1153" t="s">
        <v>2764</v>
      </c>
      <c r="B1153" t="s">
        <v>2765</v>
      </c>
    </row>
    <row r="1154" spans="1:2" x14ac:dyDescent="0.25">
      <c r="A1154" t="s">
        <v>2766</v>
      </c>
      <c r="B1154" t="s">
        <v>2767</v>
      </c>
    </row>
    <row r="1155" spans="1:2" x14ac:dyDescent="0.25">
      <c r="A1155" t="s">
        <v>2768</v>
      </c>
      <c r="B1155" t="s">
        <v>360</v>
      </c>
    </row>
    <row r="1156" spans="1:2" x14ac:dyDescent="0.25">
      <c r="A1156" t="s">
        <v>2769</v>
      </c>
      <c r="B1156" t="s">
        <v>482</v>
      </c>
    </row>
    <row r="1157" spans="1:2" x14ac:dyDescent="0.25">
      <c r="A1157" t="s">
        <v>2770</v>
      </c>
      <c r="B1157" t="s">
        <v>2771</v>
      </c>
    </row>
    <row r="1158" spans="1:2" x14ac:dyDescent="0.25">
      <c r="A1158" t="s">
        <v>2772</v>
      </c>
      <c r="B1158" t="s">
        <v>2773</v>
      </c>
    </row>
    <row r="1159" spans="1:2" x14ac:dyDescent="0.25">
      <c r="A1159" t="s">
        <v>2774</v>
      </c>
      <c r="B1159" t="s">
        <v>610</v>
      </c>
    </row>
    <row r="1160" spans="1:2" x14ac:dyDescent="0.25">
      <c r="A1160" t="s">
        <v>2775</v>
      </c>
      <c r="B1160" t="s">
        <v>789</v>
      </c>
    </row>
    <row r="1161" spans="1:2" x14ac:dyDescent="0.25">
      <c r="A1161" t="s">
        <v>2776</v>
      </c>
      <c r="B1161" t="s">
        <v>432</v>
      </c>
    </row>
    <row r="1162" spans="1:2" x14ac:dyDescent="0.25">
      <c r="A1162" t="s">
        <v>2777</v>
      </c>
      <c r="B1162" t="s">
        <v>361</v>
      </c>
    </row>
    <row r="1163" spans="1:2" x14ac:dyDescent="0.25">
      <c r="A1163" t="s">
        <v>2778</v>
      </c>
      <c r="B1163" t="s">
        <v>2779</v>
      </c>
    </row>
    <row r="1164" spans="1:2" x14ac:dyDescent="0.25">
      <c r="A1164" t="s">
        <v>2780</v>
      </c>
      <c r="B1164" t="s">
        <v>2781</v>
      </c>
    </row>
    <row r="1165" spans="1:2" x14ac:dyDescent="0.25">
      <c r="A1165" t="s">
        <v>2782</v>
      </c>
      <c r="B1165" t="s">
        <v>363</v>
      </c>
    </row>
    <row r="1166" spans="1:2" x14ac:dyDescent="0.25">
      <c r="A1166" t="s">
        <v>2783</v>
      </c>
      <c r="B1166" t="s">
        <v>773</v>
      </c>
    </row>
    <row r="1167" spans="1:2" x14ac:dyDescent="0.25">
      <c r="A1167" t="s">
        <v>2784</v>
      </c>
      <c r="B1167" t="s">
        <v>364</v>
      </c>
    </row>
    <row r="1168" spans="1:2" x14ac:dyDescent="0.25">
      <c r="A1168" t="s">
        <v>2785</v>
      </c>
      <c r="B1168" t="s">
        <v>2786</v>
      </c>
    </row>
    <row r="1169" spans="1:3" x14ac:dyDescent="0.25">
      <c r="A1169" t="s">
        <v>2787</v>
      </c>
      <c r="B1169" t="s">
        <v>2788</v>
      </c>
    </row>
    <row r="1170" spans="1:3" x14ac:dyDescent="0.25">
      <c r="A1170" t="s">
        <v>2789</v>
      </c>
      <c r="B1170" t="s">
        <v>2790</v>
      </c>
    </row>
    <row r="1171" spans="1:3" x14ac:dyDescent="0.25">
      <c r="A1171" t="s">
        <v>2791</v>
      </c>
      <c r="B1171" t="s">
        <v>2792</v>
      </c>
    </row>
    <row r="1172" spans="1:3" x14ac:dyDescent="0.25">
      <c r="A1172" t="s">
        <v>2793</v>
      </c>
      <c r="B1172" t="s">
        <v>534</v>
      </c>
    </row>
    <row r="1173" spans="1:3" x14ac:dyDescent="0.25">
      <c r="A1173" t="s">
        <v>2794</v>
      </c>
      <c r="B1173" t="s">
        <v>56</v>
      </c>
    </row>
    <row r="1174" spans="1:3" x14ac:dyDescent="0.25">
      <c r="A1174" t="s">
        <v>2795</v>
      </c>
      <c r="B1174" t="s">
        <v>2796</v>
      </c>
    </row>
    <row r="1175" spans="1:3" x14ac:dyDescent="0.25">
      <c r="A1175" t="s">
        <v>2797</v>
      </c>
      <c r="B1175" t="s">
        <v>774</v>
      </c>
    </row>
    <row r="1176" spans="1:3" x14ac:dyDescent="0.25">
      <c r="A1176" t="s">
        <v>2798</v>
      </c>
      <c r="B1176" t="s">
        <v>2799</v>
      </c>
    </row>
    <row r="1177" spans="1:3" x14ac:dyDescent="0.25">
      <c r="A1177" t="s">
        <v>2800</v>
      </c>
      <c r="B1177" t="s">
        <v>2801</v>
      </c>
    </row>
    <row r="1178" spans="1:3" x14ac:dyDescent="0.25">
      <c r="A1178" t="s">
        <v>2802</v>
      </c>
      <c r="B1178" t="s">
        <v>365</v>
      </c>
    </row>
    <row r="1179" spans="1:3" x14ac:dyDescent="0.25">
      <c r="A1179" t="s">
        <v>2803</v>
      </c>
      <c r="B1179" t="s">
        <v>2804</v>
      </c>
      <c r="C1179" t="s">
        <v>2802</v>
      </c>
    </row>
    <row r="1180" spans="1:3" x14ac:dyDescent="0.25">
      <c r="A1180" t="s">
        <v>2805</v>
      </c>
      <c r="B1180" t="s">
        <v>2806</v>
      </c>
      <c r="C1180" t="s">
        <v>2802</v>
      </c>
    </row>
    <row r="1181" spans="1:3" x14ac:dyDescent="0.25">
      <c r="A1181" t="s">
        <v>2807</v>
      </c>
      <c r="B1181" t="s">
        <v>2808</v>
      </c>
      <c r="C1181" t="s">
        <v>2802</v>
      </c>
    </row>
    <row r="1182" spans="1:3" x14ac:dyDescent="0.25">
      <c r="A1182" t="s">
        <v>2809</v>
      </c>
      <c r="B1182" t="s">
        <v>593</v>
      </c>
    </row>
    <row r="1183" spans="1:3" x14ac:dyDescent="0.25">
      <c r="A1183" t="s">
        <v>2810</v>
      </c>
      <c r="B1183" t="s">
        <v>366</v>
      </c>
    </row>
    <row r="1184" spans="1:3" x14ac:dyDescent="0.25">
      <c r="A1184" t="s">
        <v>2811</v>
      </c>
      <c r="B1184" t="s">
        <v>594</v>
      </c>
    </row>
    <row r="1185" spans="1:2" x14ac:dyDescent="0.25">
      <c r="A1185" t="s">
        <v>2812</v>
      </c>
      <c r="B1185" t="s">
        <v>2813</v>
      </c>
    </row>
    <row r="1186" spans="1:2" x14ac:dyDescent="0.25">
      <c r="A1186" t="s">
        <v>2814</v>
      </c>
      <c r="B1186" t="s">
        <v>576</v>
      </c>
    </row>
    <row r="1187" spans="1:2" x14ac:dyDescent="0.25">
      <c r="A1187" t="s">
        <v>2815</v>
      </c>
      <c r="B1187" t="s">
        <v>57</v>
      </c>
    </row>
    <row r="1188" spans="1:2" x14ac:dyDescent="0.25">
      <c r="A1188" t="s">
        <v>2816</v>
      </c>
      <c r="B1188" t="s">
        <v>790</v>
      </c>
    </row>
    <row r="1189" spans="1:2" x14ac:dyDescent="0.25">
      <c r="A1189" t="s">
        <v>2817</v>
      </c>
      <c r="B1189" t="s">
        <v>974</v>
      </c>
    </row>
    <row r="1190" spans="1:2" x14ac:dyDescent="0.25">
      <c r="A1190" t="s">
        <v>2818</v>
      </c>
      <c r="B1190" t="s">
        <v>368</v>
      </c>
    </row>
    <row r="1191" spans="1:2" x14ac:dyDescent="0.25">
      <c r="A1191" t="s">
        <v>2819</v>
      </c>
      <c r="B1191" t="s">
        <v>611</v>
      </c>
    </row>
    <row r="1192" spans="1:2" x14ac:dyDescent="0.25">
      <c r="A1192" t="s">
        <v>2820</v>
      </c>
      <c r="B1192" t="s">
        <v>2821</v>
      </c>
    </row>
    <row r="1193" spans="1:2" x14ac:dyDescent="0.25">
      <c r="A1193" t="s">
        <v>2822</v>
      </c>
      <c r="B1193" t="s">
        <v>370</v>
      </c>
    </row>
    <row r="1194" spans="1:2" x14ac:dyDescent="0.25">
      <c r="A1194" t="s">
        <v>2823</v>
      </c>
      <c r="B1194" t="s">
        <v>483</v>
      </c>
    </row>
    <row r="1195" spans="1:2" x14ac:dyDescent="0.25">
      <c r="A1195" t="s">
        <v>2824</v>
      </c>
      <c r="B1195" t="s">
        <v>2825</v>
      </c>
    </row>
    <row r="1196" spans="1:2" x14ac:dyDescent="0.25">
      <c r="A1196" t="s">
        <v>2826</v>
      </c>
      <c r="B1196" t="s">
        <v>2827</v>
      </c>
    </row>
    <row r="1197" spans="1:2" x14ac:dyDescent="0.25">
      <c r="A1197" t="s">
        <v>2828</v>
      </c>
      <c r="B1197" t="s">
        <v>2829</v>
      </c>
    </row>
    <row r="1198" spans="1:2" x14ac:dyDescent="0.25">
      <c r="A1198" t="s">
        <v>2830</v>
      </c>
      <c r="B1198" t="s">
        <v>2831</v>
      </c>
    </row>
    <row r="1199" spans="1:2" x14ac:dyDescent="0.25">
      <c r="A1199" t="s">
        <v>2832</v>
      </c>
      <c r="B1199" t="s">
        <v>536</v>
      </c>
    </row>
    <row r="1200" spans="1:2" x14ac:dyDescent="0.25">
      <c r="A1200" t="s">
        <v>2833</v>
      </c>
      <c r="B1200" t="s">
        <v>58</v>
      </c>
    </row>
    <row r="1201" spans="1:2" x14ac:dyDescent="0.25">
      <c r="A1201" t="s">
        <v>2834</v>
      </c>
      <c r="B1201" t="s">
        <v>2835</v>
      </c>
    </row>
    <row r="1202" spans="1:2" x14ac:dyDescent="0.25">
      <c r="A1202" t="s">
        <v>2836</v>
      </c>
      <c r="B1202" t="s">
        <v>373</v>
      </c>
    </row>
    <row r="1203" spans="1:2" x14ac:dyDescent="0.25">
      <c r="A1203" t="s">
        <v>2837</v>
      </c>
      <c r="B1203" t="s">
        <v>374</v>
      </c>
    </row>
    <row r="1204" spans="1:2" x14ac:dyDescent="0.25">
      <c r="A1204" t="s">
        <v>2838</v>
      </c>
      <c r="B1204" t="s">
        <v>888</v>
      </c>
    </row>
    <row r="1205" spans="1:2" x14ac:dyDescent="0.25">
      <c r="A1205" t="s">
        <v>2839</v>
      </c>
      <c r="B1205" t="s">
        <v>2840</v>
      </c>
    </row>
    <row r="1206" spans="1:2" x14ac:dyDescent="0.25">
      <c r="A1206" t="s">
        <v>2841</v>
      </c>
      <c r="B1206" t="s">
        <v>769</v>
      </c>
    </row>
    <row r="1207" spans="1:2" x14ac:dyDescent="0.25">
      <c r="A1207" t="s">
        <v>2842</v>
      </c>
      <c r="B1207" t="s">
        <v>2843</v>
      </c>
    </row>
    <row r="1208" spans="1:2" x14ac:dyDescent="0.25">
      <c r="A1208" t="s">
        <v>2844</v>
      </c>
      <c r="B1208" t="s">
        <v>2845</v>
      </c>
    </row>
    <row r="1209" spans="1:2" x14ac:dyDescent="0.25">
      <c r="A1209" t="s">
        <v>2846</v>
      </c>
      <c r="B1209" t="s">
        <v>2847</v>
      </c>
    </row>
    <row r="1210" spans="1:2" x14ac:dyDescent="0.25">
      <c r="A1210" t="s">
        <v>2848</v>
      </c>
      <c r="B1210" t="s">
        <v>2849</v>
      </c>
    </row>
    <row r="1211" spans="1:2" x14ac:dyDescent="0.25">
      <c r="A1211" t="s">
        <v>2850</v>
      </c>
      <c r="B1211" t="s">
        <v>2851</v>
      </c>
    </row>
    <row r="1212" spans="1:2" x14ac:dyDescent="0.25">
      <c r="A1212" t="s">
        <v>2852</v>
      </c>
      <c r="B1212" t="s">
        <v>2853</v>
      </c>
    </row>
    <row r="1213" spans="1:2" x14ac:dyDescent="0.25">
      <c r="A1213" t="s">
        <v>2854</v>
      </c>
      <c r="B1213" t="s">
        <v>2855</v>
      </c>
    </row>
    <row r="1214" spans="1:2" x14ac:dyDescent="0.25">
      <c r="A1214" t="s">
        <v>2856</v>
      </c>
      <c r="B1214" t="s">
        <v>2857</v>
      </c>
    </row>
    <row r="1215" spans="1:2" x14ac:dyDescent="0.25">
      <c r="A1215" t="s">
        <v>2858</v>
      </c>
      <c r="B1215" t="s">
        <v>2859</v>
      </c>
    </row>
    <row r="1216" spans="1:2" x14ac:dyDescent="0.25">
      <c r="A1216" t="s">
        <v>2860</v>
      </c>
      <c r="B1216" t="s">
        <v>2861</v>
      </c>
    </row>
    <row r="1217" spans="1:3" x14ac:dyDescent="0.25">
      <c r="A1217" t="s">
        <v>2862</v>
      </c>
      <c r="B1217" t="s">
        <v>2863</v>
      </c>
    </row>
    <row r="1218" spans="1:3" x14ac:dyDescent="0.25">
      <c r="A1218" t="s">
        <v>2864</v>
      </c>
      <c r="B1218" t="s">
        <v>2865</v>
      </c>
    </row>
    <row r="1219" spans="1:3" x14ac:dyDescent="0.25">
      <c r="A1219" t="s">
        <v>2866</v>
      </c>
      <c r="B1219" t="s">
        <v>2867</v>
      </c>
    </row>
    <row r="1220" spans="1:3" x14ac:dyDescent="0.25">
      <c r="A1220" t="s">
        <v>2868</v>
      </c>
      <c r="B1220" t="s">
        <v>2869</v>
      </c>
    </row>
    <row r="1221" spans="1:3" x14ac:dyDescent="0.25">
      <c r="A1221" t="s">
        <v>2870</v>
      </c>
      <c r="B1221" t="s">
        <v>2871</v>
      </c>
    </row>
    <row r="1222" spans="1:3" x14ac:dyDescent="0.25">
      <c r="A1222" t="s">
        <v>2872</v>
      </c>
      <c r="B1222" t="s">
        <v>2873</v>
      </c>
    </row>
    <row r="1223" spans="1:3" x14ac:dyDescent="0.25">
      <c r="A1223" t="s">
        <v>2874</v>
      </c>
      <c r="B1223" t="s">
        <v>2875</v>
      </c>
    </row>
    <row r="1224" spans="1:3" x14ac:dyDescent="0.25">
      <c r="A1224" t="s">
        <v>2876</v>
      </c>
      <c r="B1224" t="s">
        <v>2877</v>
      </c>
    </row>
    <row r="1225" spans="1:3" x14ac:dyDescent="0.25">
      <c r="A1225" t="s">
        <v>2878</v>
      </c>
      <c r="B1225" t="s">
        <v>2879</v>
      </c>
      <c r="C1225" t="s">
        <v>2960</v>
      </c>
    </row>
    <row r="1226" spans="1:3" x14ac:dyDescent="0.25">
      <c r="A1226" t="s">
        <v>2880</v>
      </c>
      <c r="B1226" t="s">
        <v>2881</v>
      </c>
    </row>
    <row r="1227" spans="1:3" x14ac:dyDescent="0.25">
      <c r="A1227" t="s">
        <v>2882</v>
      </c>
      <c r="B1227" t="s">
        <v>2883</v>
      </c>
    </row>
    <row r="1228" spans="1:3" x14ac:dyDescent="0.25">
      <c r="A1228" t="s">
        <v>2884</v>
      </c>
      <c r="B1228" t="s">
        <v>2885</v>
      </c>
    </row>
    <row r="1229" spans="1:3" x14ac:dyDescent="0.25">
      <c r="A1229" t="s">
        <v>2886</v>
      </c>
      <c r="B1229" t="s">
        <v>2887</v>
      </c>
    </row>
    <row r="1230" spans="1:3" x14ac:dyDescent="0.25">
      <c r="A1230" t="s">
        <v>2888</v>
      </c>
      <c r="B1230" t="s">
        <v>2889</v>
      </c>
    </row>
    <row r="1231" spans="1:3" x14ac:dyDescent="0.25">
      <c r="A1231" t="s">
        <v>2890</v>
      </c>
      <c r="B1231" t="s">
        <v>2891</v>
      </c>
    </row>
    <row r="1232" spans="1:3" x14ac:dyDescent="0.25">
      <c r="A1232" t="s">
        <v>2892</v>
      </c>
      <c r="B1232" t="s">
        <v>2893</v>
      </c>
    </row>
    <row r="1233" spans="1:2" x14ac:dyDescent="0.25">
      <c r="A1233" t="s">
        <v>2894</v>
      </c>
      <c r="B1233" t="s">
        <v>2895</v>
      </c>
    </row>
    <row r="1234" spans="1:2" x14ac:dyDescent="0.25">
      <c r="A1234" t="s">
        <v>2896</v>
      </c>
      <c r="B1234" t="s">
        <v>2897</v>
      </c>
    </row>
    <row r="1235" spans="1:2" x14ac:dyDescent="0.25">
      <c r="A1235" t="s">
        <v>2898</v>
      </c>
      <c r="B1235" t="s">
        <v>2899</v>
      </c>
    </row>
    <row r="1236" spans="1:2" x14ac:dyDescent="0.25">
      <c r="A1236" t="s">
        <v>2900</v>
      </c>
      <c r="B1236" t="s">
        <v>2901</v>
      </c>
    </row>
    <row r="1237" spans="1:2" x14ac:dyDescent="0.25">
      <c r="A1237" t="s">
        <v>2902</v>
      </c>
      <c r="B1237" t="s">
        <v>2903</v>
      </c>
    </row>
    <row r="1238" spans="1:2" x14ac:dyDescent="0.25">
      <c r="A1238" t="s">
        <v>2904</v>
      </c>
      <c r="B1238" t="s">
        <v>2905</v>
      </c>
    </row>
    <row r="1239" spans="1:2" x14ac:dyDescent="0.25">
      <c r="A1239" t="s">
        <v>2906</v>
      </c>
      <c r="B1239" t="s">
        <v>2907</v>
      </c>
    </row>
    <row r="1240" spans="1:2" x14ac:dyDescent="0.25">
      <c r="A1240" t="s">
        <v>2908</v>
      </c>
      <c r="B1240" t="s">
        <v>2909</v>
      </c>
    </row>
    <row r="1241" spans="1:2" x14ac:dyDescent="0.25">
      <c r="A1241" t="s">
        <v>2910</v>
      </c>
      <c r="B1241" t="s">
        <v>2911</v>
      </c>
    </row>
    <row r="1242" spans="1:2" x14ac:dyDescent="0.25">
      <c r="A1242" t="s">
        <v>2912</v>
      </c>
      <c r="B1242" t="s">
        <v>2913</v>
      </c>
    </row>
    <row r="1243" spans="1:2" x14ac:dyDescent="0.25">
      <c r="A1243" t="s">
        <v>2914</v>
      </c>
      <c r="B1243" t="s">
        <v>2915</v>
      </c>
    </row>
    <row r="1244" spans="1:2" x14ac:dyDescent="0.25">
      <c r="A1244" t="s">
        <v>2916</v>
      </c>
      <c r="B1244" t="s">
        <v>2917</v>
      </c>
    </row>
    <row r="1245" spans="1:2" x14ac:dyDescent="0.25">
      <c r="A1245" t="s">
        <v>2918</v>
      </c>
      <c r="B1245" t="s">
        <v>2919</v>
      </c>
    </row>
    <row r="1246" spans="1:2" x14ac:dyDescent="0.25">
      <c r="A1246" t="s">
        <v>2920</v>
      </c>
      <c r="B1246" t="s">
        <v>2921</v>
      </c>
    </row>
    <row r="1247" spans="1:2" x14ac:dyDescent="0.25">
      <c r="A1247" t="s">
        <v>2922</v>
      </c>
      <c r="B1247" t="s">
        <v>2923</v>
      </c>
    </row>
    <row r="1248" spans="1:2" x14ac:dyDescent="0.25">
      <c r="A1248" t="s">
        <v>2924</v>
      </c>
      <c r="B1248" t="s">
        <v>2925</v>
      </c>
    </row>
    <row r="1249" spans="1:3" x14ac:dyDescent="0.25">
      <c r="A1249" t="s">
        <v>2926</v>
      </c>
      <c r="B1249" t="s">
        <v>2927</v>
      </c>
    </row>
    <row r="1250" spans="1:3" x14ac:dyDescent="0.25">
      <c r="A1250" t="s">
        <v>2928</v>
      </c>
      <c r="B1250" t="s">
        <v>2929</v>
      </c>
    </row>
    <row r="1251" spans="1:3" x14ac:dyDescent="0.25">
      <c r="A1251" t="s">
        <v>2930</v>
      </c>
      <c r="B1251" t="s">
        <v>2931</v>
      </c>
    </row>
    <row r="1252" spans="1:3" x14ac:dyDescent="0.25">
      <c r="A1252" t="s">
        <v>2932</v>
      </c>
      <c r="B1252" t="s">
        <v>2933</v>
      </c>
    </row>
    <row r="1253" spans="1:3" x14ac:dyDescent="0.25">
      <c r="A1253" t="s">
        <v>2934</v>
      </c>
      <c r="B1253" t="s">
        <v>2935</v>
      </c>
    </row>
    <row r="1254" spans="1:3" x14ac:dyDescent="0.25">
      <c r="A1254" t="s">
        <v>2936</v>
      </c>
      <c r="B1254" t="s">
        <v>2937</v>
      </c>
    </row>
    <row r="1255" spans="1:3" x14ac:dyDescent="0.25">
      <c r="A1255" t="s">
        <v>2938</v>
      </c>
      <c r="B1255" t="s">
        <v>791</v>
      </c>
    </row>
    <row r="1256" spans="1:3" x14ac:dyDescent="0.25">
      <c r="A1256" t="s">
        <v>2939</v>
      </c>
      <c r="B1256" t="s">
        <v>2940</v>
      </c>
    </row>
    <row r="1257" spans="1:3" x14ac:dyDescent="0.25">
      <c r="A1257" t="s">
        <v>2941</v>
      </c>
      <c r="B1257" t="s">
        <v>2942</v>
      </c>
    </row>
    <row r="1258" spans="1:3" x14ac:dyDescent="0.25">
      <c r="A1258" t="s">
        <v>2943</v>
      </c>
      <c r="B1258" t="s">
        <v>2944</v>
      </c>
    </row>
    <row r="1259" spans="1:3" x14ac:dyDescent="0.25">
      <c r="A1259" t="s">
        <v>2945</v>
      </c>
      <c r="B1259" t="s">
        <v>2946</v>
      </c>
    </row>
    <row r="1260" spans="1:3" x14ac:dyDescent="0.25">
      <c r="A1260" t="s">
        <v>2947</v>
      </c>
      <c r="B1260" t="s">
        <v>2948</v>
      </c>
    </row>
    <row r="1261" spans="1:3" x14ac:dyDescent="0.25">
      <c r="A1261" t="s">
        <v>2949</v>
      </c>
      <c r="B1261" t="s">
        <v>2950</v>
      </c>
    </row>
    <row r="1262" spans="1:3" x14ac:dyDescent="0.25">
      <c r="A1262" t="s">
        <v>2951</v>
      </c>
      <c r="B1262" t="s">
        <v>2952</v>
      </c>
    </row>
    <row r="1263" spans="1:3" x14ac:dyDescent="0.25">
      <c r="A1263" t="s">
        <v>2953</v>
      </c>
      <c r="B1263" t="s">
        <v>2954</v>
      </c>
      <c r="C1263" t="s">
        <v>2417</v>
      </c>
    </row>
    <row r="1264" spans="1:3" x14ac:dyDescent="0.25">
      <c r="A1264" t="s">
        <v>2955</v>
      </c>
      <c r="B1264" t="s">
        <v>693</v>
      </c>
    </row>
    <row r="1265" spans="1:3" x14ac:dyDescent="0.25">
      <c r="A1265" t="s">
        <v>2956</v>
      </c>
      <c r="B1265" t="s">
        <v>2957</v>
      </c>
      <c r="C1265" t="s">
        <v>2490</v>
      </c>
    </row>
    <row r="1266" spans="1:3" x14ac:dyDescent="0.25">
      <c r="A1266" t="s">
        <v>2958</v>
      </c>
      <c r="B1266" t="s">
        <v>561</v>
      </c>
    </row>
    <row r="1267" spans="1:3" x14ac:dyDescent="0.25">
      <c r="A1267" t="s">
        <v>2959</v>
      </c>
      <c r="B1267" t="s">
        <v>668</v>
      </c>
    </row>
    <row r="1268" spans="1:3" x14ac:dyDescent="0.25">
      <c r="A1268" t="s">
        <v>2960</v>
      </c>
      <c r="B1268" t="s">
        <v>538</v>
      </c>
    </row>
    <row r="1269" spans="1:3" x14ac:dyDescent="0.25">
      <c r="A1269" t="s">
        <v>2961</v>
      </c>
      <c r="B1269" t="s">
        <v>48</v>
      </c>
    </row>
    <row r="1270" spans="1:3" x14ac:dyDescent="0.25">
      <c r="A1270" t="s">
        <v>2962</v>
      </c>
      <c r="B1270" t="s">
        <v>540</v>
      </c>
    </row>
    <row r="1271" spans="1:3" x14ac:dyDescent="0.25">
      <c r="A1271" t="s">
        <v>2963</v>
      </c>
      <c r="B1271" t="s">
        <v>565</v>
      </c>
    </row>
    <row r="1272" spans="1:3" x14ac:dyDescent="0.25">
      <c r="A1272" t="s">
        <v>2964</v>
      </c>
      <c r="B1272" t="s">
        <v>663</v>
      </c>
    </row>
    <row r="1273" spans="1:3" x14ac:dyDescent="0.25">
      <c r="A1273" t="s">
        <v>2965</v>
      </c>
      <c r="B1273" t="s">
        <v>2966</v>
      </c>
    </row>
    <row r="1274" spans="1:3" x14ac:dyDescent="0.25">
      <c r="A1274" t="s">
        <v>2967</v>
      </c>
      <c r="B1274" t="s">
        <v>563</v>
      </c>
    </row>
    <row r="1275" spans="1:3" x14ac:dyDescent="0.25">
      <c r="A1275" t="s">
        <v>2968</v>
      </c>
      <c r="B1275" t="s">
        <v>520</v>
      </c>
    </row>
    <row r="1276" spans="1:3" x14ac:dyDescent="0.25">
      <c r="A1276" t="s">
        <v>2969</v>
      </c>
      <c r="B1276" t="s">
        <v>2970</v>
      </c>
    </row>
    <row r="1277" spans="1:3" x14ac:dyDescent="0.25">
      <c r="A1277" t="s">
        <v>2971</v>
      </c>
      <c r="B1277" t="s">
        <v>70</v>
      </c>
    </row>
    <row r="1278" spans="1:3" x14ac:dyDescent="0.25">
      <c r="A1278" t="s">
        <v>2972</v>
      </c>
      <c r="B1278" t="s">
        <v>2973</v>
      </c>
    </row>
    <row r="1279" spans="1:3" x14ac:dyDescent="0.25">
      <c r="A1279" t="s">
        <v>2974</v>
      </c>
      <c r="B1279" t="s">
        <v>2975</v>
      </c>
    </row>
    <row r="1280" spans="1:3" x14ac:dyDescent="0.25">
      <c r="A1280" t="s">
        <v>2976</v>
      </c>
      <c r="B1280" t="s">
        <v>792</v>
      </c>
    </row>
    <row r="1281" spans="1:3" x14ac:dyDescent="0.25">
      <c r="A1281" t="s">
        <v>2977</v>
      </c>
      <c r="B1281" t="s">
        <v>2978</v>
      </c>
    </row>
    <row r="1282" spans="1:3" x14ac:dyDescent="0.25">
      <c r="A1282" t="s">
        <v>2979</v>
      </c>
      <c r="B1282" t="s">
        <v>2980</v>
      </c>
    </row>
    <row r="1283" spans="1:3" x14ac:dyDescent="0.25">
      <c r="A1283" t="s">
        <v>2981</v>
      </c>
      <c r="B1283" t="s">
        <v>2982</v>
      </c>
    </row>
    <row r="1284" spans="1:3" x14ac:dyDescent="0.25">
      <c r="A1284" t="s">
        <v>2983</v>
      </c>
      <c r="B1284" t="s">
        <v>2984</v>
      </c>
    </row>
    <row r="1285" spans="1:3" x14ac:dyDescent="0.25">
      <c r="A1285" t="s">
        <v>2985</v>
      </c>
      <c r="B1285" t="s">
        <v>2986</v>
      </c>
    </row>
    <row r="1286" spans="1:3" x14ac:dyDescent="0.25">
      <c r="A1286" t="s">
        <v>2987</v>
      </c>
      <c r="B1286" t="s">
        <v>2988</v>
      </c>
    </row>
    <row r="1287" spans="1:3" x14ac:dyDescent="0.25">
      <c r="A1287" t="s">
        <v>2989</v>
      </c>
      <c r="B1287" t="s">
        <v>500</v>
      </c>
    </row>
    <row r="1288" spans="1:3" x14ac:dyDescent="0.25">
      <c r="A1288" t="s">
        <v>2990</v>
      </c>
      <c r="B1288" t="s">
        <v>2991</v>
      </c>
    </row>
    <row r="1289" spans="1:3" x14ac:dyDescent="0.25">
      <c r="A1289" t="s">
        <v>2992</v>
      </c>
      <c r="B1289" t="s">
        <v>2993</v>
      </c>
    </row>
    <row r="1290" spans="1:3" x14ac:dyDescent="0.25">
      <c r="A1290" t="s">
        <v>2994</v>
      </c>
      <c r="B1290" t="s">
        <v>2995</v>
      </c>
    </row>
    <row r="1291" spans="1:3" x14ac:dyDescent="0.25">
      <c r="A1291" t="s">
        <v>2996</v>
      </c>
      <c r="B1291" t="s">
        <v>2997</v>
      </c>
    </row>
    <row r="1292" spans="1:3" x14ac:dyDescent="0.25">
      <c r="A1292" t="s">
        <v>2998</v>
      </c>
      <c r="B1292" t="s">
        <v>2999</v>
      </c>
    </row>
    <row r="1293" spans="1:3" x14ac:dyDescent="0.25">
      <c r="A1293" t="s">
        <v>3000</v>
      </c>
      <c r="B1293" t="s">
        <v>3001</v>
      </c>
    </row>
    <row r="1294" spans="1:3" x14ac:dyDescent="0.25">
      <c r="A1294" t="s">
        <v>3002</v>
      </c>
      <c r="B1294" t="s">
        <v>3003</v>
      </c>
      <c r="C1294" t="s">
        <v>2958</v>
      </c>
    </row>
    <row r="1295" spans="1:3" x14ac:dyDescent="0.25">
      <c r="A1295" t="s">
        <v>3004</v>
      </c>
      <c r="B1295" t="s">
        <v>973</v>
      </c>
    </row>
    <row r="1296" spans="1:3" x14ac:dyDescent="0.25">
      <c r="A1296" t="s">
        <v>3005</v>
      </c>
      <c r="B1296" t="s">
        <v>772</v>
      </c>
    </row>
    <row r="1297" spans="1:3" x14ac:dyDescent="0.25">
      <c r="A1297" t="s">
        <v>3006</v>
      </c>
      <c r="B1297" t="s">
        <v>3007</v>
      </c>
      <c r="C1297" t="s">
        <v>2689</v>
      </c>
    </row>
    <row r="1298" spans="1:3" x14ac:dyDescent="0.25">
      <c r="A1298" t="s">
        <v>3008</v>
      </c>
      <c r="B1298" t="s">
        <v>3009</v>
      </c>
    </row>
    <row r="1299" spans="1:3" x14ac:dyDescent="0.25">
      <c r="A1299" t="s">
        <v>3010</v>
      </c>
      <c r="B1299" t="s">
        <v>3011</v>
      </c>
    </row>
    <row r="1300" spans="1:3" x14ac:dyDescent="0.25">
      <c r="A1300" t="s">
        <v>3012</v>
      </c>
      <c r="B1300" t="s">
        <v>3013</v>
      </c>
    </row>
    <row r="1301" spans="1:3" x14ac:dyDescent="0.25">
      <c r="A1301" t="s">
        <v>3014</v>
      </c>
      <c r="B1301" t="s">
        <v>3015</v>
      </c>
    </row>
    <row r="1302" spans="1:3" x14ac:dyDescent="0.25">
      <c r="A1302" t="s">
        <v>3016</v>
      </c>
      <c r="B1302" t="s">
        <v>866</v>
      </c>
    </row>
    <row r="1303" spans="1:3" x14ac:dyDescent="0.25">
      <c r="A1303" t="s">
        <v>3017</v>
      </c>
      <c r="B1303" t="s">
        <v>3018</v>
      </c>
    </row>
    <row r="1304" spans="1:3" x14ac:dyDescent="0.25">
      <c r="A1304" t="s">
        <v>3019</v>
      </c>
      <c r="B1304" t="s">
        <v>3020</v>
      </c>
    </row>
    <row r="1305" spans="1:3" x14ac:dyDescent="0.25">
      <c r="A1305" t="s">
        <v>3021</v>
      </c>
      <c r="B1305" t="s">
        <v>3022</v>
      </c>
    </row>
    <row r="1306" spans="1:3" x14ac:dyDescent="0.25">
      <c r="A1306" t="s">
        <v>3023</v>
      </c>
      <c r="B1306" t="s">
        <v>3024</v>
      </c>
    </row>
    <row r="1307" spans="1:3" x14ac:dyDescent="0.25">
      <c r="A1307" t="s">
        <v>3025</v>
      </c>
      <c r="B1307" t="s">
        <v>3026</v>
      </c>
    </row>
    <row r="1308" spans="1:3" x14ac:dyDescent="0.25">
      <c r="A1308" t="s">
        <v>3027</v>
      </c>
      <c r="B1308" t="s">
        <v>3028</v>
      </c>
    </row>
    <row r="1309" spans="1:3" x14ac:dyDescent="0.25">
      <c r="A1309" t="s">
        <v>3029</v>
      </c>
      <c r="B1309" t="s">
        <v>3030</v>
      </c>
    </row>
    <row r="1310" spans="1:3" x14ac:dyDescent="0.25">
      <c r="A1310" t="s">
        <v>3031</v>
      </c>
      <c r="B1310" t="s">
        <v>3032</v>
      </c>
    </row>
    <row r="1311" spans="1:3" x14ac:dyDescent="0.25">
      <c r="A1311" t="s">
        <v>3033</v>
      </c>
      <c r="B1311" t="s">
        <v>3034</v>
      </c>
    </row>
    <row r="1312" spans="1:3" x14ac:dyDescent="0.25">
      <c r="A1312" t="s">
        <v>3035</v>
      </c>
      <c r="B1312" t="s">
        <v>3036</v>
      </c>
    </row>
    <row r="1313" spans="1:3" x14ac:dyDescent="0.25">
      <c r="A1313" t="s">
        <v>3037</v>
      </c>
      <c r="B1313" t="s">
        <v>3038</v>
      </c>
    </row>
    <row r="1314" spans="1:3" x14ac:dyDescent="0.25">
      <c r="A1314" t="s">
        <v>3039</v>
      </c>
      <c r="B1314" t="s">
        <v>3040</v>
      </c>
    </row>
    <row r="1315" spans="1:3" x14ac:dyDescent="0.25">
      <c r="A1315" t="s">
        <v>3041</v>
      </c>
      <c r="B1315" t="s">
        <v>3042</v>
      </c>
    </row>
    <row r="1316" spans="1:3" x14ac:dyDescent="0.25">
      <c r="A1316" t="s">
        <v>3043</v>
      </c>
      <c r="B1316" t="s">
        <v>3044</v>
      </c>
    </row>
    <row r="1317" spans="1:3" x14ac:dyDescent="0.25">
      <c r="A1317" t="s">
        <v>3045</v>
      </c>
      <c r="B1317" t="s">
        <v>3046</v>
      </c>
    </row>
    <row r="1318" spans="1:3" x14ac:dyDescent="0.25">
      <c r="A1318" t="s">
        <v>3047</v>
      </c>
      <c r="B1318" t="s">
        <v>3048</v>
      </c>
    </row>
    <row r="1319" spans="1:3" x14ac:dyDescent="0.25">
      <c r="A1319" t="s">
        <v>3049</v>
      </c>
      <c r="B1319" t="s">
        <v>3050</v>
      </c>
      <c r="C1319" t="s">
        <v>2691</v>
      </c>
    </row>
    <row r="1320" spans="1:3" x14ac:dyDescent="0.25">
      <c r="A1320" t="s">
        <v>3051</v>
      </c>
      <c r="B1320" t="s">
        <v>892</v>
      </c>
    </row>
    <row r="1321" spans="1:3" x14ac:dyDescent="0.25">
      <c r="A1321" t="s">
        <v>3052</v>
      </c>
      <c r="B1321" t="s">
        <v>3053</v>
      </c>
    </row>
    <row r="1322" spans="1:3" x14ac:dyDescent="0.25">
      <c r="A1322" t="s">
        <v>3054</v>
      </c>
      <c r="B1322" t="s">
        <v>3055</v>
      </c>
    </row>
    <row r="1323" spans="1:3" x14ac:dyDescent="0.25">
      <c r="A1323" t="s">
        <v>3056</v>
      </c>
      <c r="B1323" t="s">
        <v>3057</v>
      </c>
    </row>
    <row r="1324" spans="1:3" x14ac:dyDescent="0.25">
      <c r="A1324" t="s">
        <v>3058</v>
      </c>
      <c r="B1324" t="s">
        <v>3059</v>
      </c>
    </row>
    <row r="1325" spans="1:3" x14ac:dyDescent="0.25">
      <c r="A1325" t="s">
        <v>3060</v>
      </c>
      <c r="B1325" t="s">
        <v>3061</v>
      </c>
    </row>
    <row r="1326" spans="1:3" x14ac:dyDescent="0.25">
      <c r="A1326" t="s">
        <v>3062</v>
      </c>
      <c r="B1326" t="s">
        <v>3063</v>
      </c>
    </row>
    <row r="1327" spans="1:3" x14ac:dyDescent="0.25">
      <c r="A1327" t="s">
        <v>3064</v>
      </c>
      <c r="B1327" t="s">
        <v>3065</v>
      </c>
    </row>
    <row r="1328" spans="1:3" x14ac:dyDescent="0.25">
      <c r="A1328" t="s">
        <v>3066</v>
      </c>
      <c r="B1328" t="s">
        <v>3067</v>
      </c>
    </row>
    <row r="1329" spans="1:2" x14ac:dyDescent="0.25">
      <c r="A1329" t="s">
        <v>3068</v>
      </c>
      <c r="B1329" t="s">
        <v>3069</v>
      </c>
    </row>
    <row r="1330" spans="1:2" x14ac:dyDescent="0.25">
      <c r="A1330" t="s">
        <v>3070</v>
      </c>
      <c r="B1330" t="s">
        <v>3071</v>
      </c>
    </row>
    <row r="1331" spans="1:2" x14ac:dyDescent="0.25">
      <c r="A1331" t="s">
        <v>3072</v>
      </c>
      <c r="B1331" t="s">
        <v>3073</v>
      </c>
    </row>
    <row r="1332" spans="1:2" x14ac:dyDescent="0.25">
      <c r="A1332" t="s">
        <v>3074</v>
      </c>
      <c r="B1332" t="s">
        <v>3075</v>
      </c>
    </row>
    <row r="1333" spans="1:2" x14ac:dyDescent="0.25">
      <c r="A1333" t="s">
        <v>3076</v>
      </c>
      <c r="B1333" t="s">
        <v>3077</v>
      </c>
    </row>
    <row r="1334" spans="1:2" x14ac:dyDescent="0.25">
      <c r="A1334" t="s">
        <v>3078</v>
      </c>
      <c r="B1334" t="s">
        <v>3079</v>
      </c>
    </row>
    <row r="1335" spans="1:2" x14ac:dyDescent="0.25">
      <c r="A1335" t="s">
        <v>3080</v>
      </c>
      <c r="B1335" t="s">
        <v>3081</v>
      </c>
    </row>
    <row r="1336" spans="1:2" x14ac:dyDescent="0.25">
      <c r="A1336" t="s">
        <v>3082</v>
      </c>
      <c r="B1336" t="s">
        <v>3083</v>
      </c>
    </row>
    <row r="1337" spans="1:2" x14ac:dyDescent="0.25">
      <c r="A1337" t="s">
        <v>3084</v>
      </c>
      <c r="B1337" t="s">
        <v>3085</v>
      </c>
    </row>
    <row r="1338" spans="1:2" x14ac:dyDescent="0.25">
      <c r="A1338" t="s">
        <v>3086</v>
      </c>
      <c r="B1338" t="s">
        <v>3087</v>
      </c>
    </row>
    <row r="1339" spans="1:2" x14ac:dyDescent="0.25">
      <c r="A1339" t="s">
        <v>3088</v>
      </c>
      <c r="B1339" t="s">
        <v>3089</v>
      </c>
    </row>
    <row r="1340" spans="1:2" x14ac:dyDescent="0.25">
      <c r="A1340" t="s">
        <v>3090</v>
      </c>
      <c r="B1340" t="s">
        <v>3091</v>
      </c>
    </row>
    <row r="1341" spans="1:2" x14ac:dyDescent="0.25">
      <c r="A1341" t="s">
        <v>3092</v>
      </c>
      <c r="B1341" t="s">
        <v>3093</v>
      </c>
    </row>
    <row r="1342" spans="1:2" x14ac:dyDescent="0.25">
      <c r="A1342" t="s">
        <v>3094</v>
      </c>
      <c r="B1342" t="s">
        <v>3095</v>
      </c>
    </row>
    <row r="1343" spans="1:2" x14ac:dyDescent="0.25">
      <c r="A1343" t="s">
        <v>3096</v>
      </c>
      <c r="B1343" t="s">
        <v>3097</v>
      </c>
    </row>
    <row r="1344" spans="1:2" x14ac:dyDescent="0.25">
      <c r="A1344" t="s">
        <v>3098</v>
      </c>
      <c r="B1344" t="s">
        <v>3099</v>
      </c>
    </row>
    <row r="1345" spans="1:3" x14ac:dyDescent="0.25">
      <c r="A1345" t="s">
        <v>3100</v>
      </c>
      <c r="B1345" t="s">
        <v>3101</v>
      </c>
    </row>
    <row r="1346" spans="1:3" x14ac:dyDescent="0.25">
      <c r="A1346" t="s">
        <v>3102</v>
      </c>
      <c r="B1346" t="s">
        <v>3103</v>
      </c>
    </row>
    <row r="1347" spans="1:3" x14ac:dyDescent="0.25">
      <c r="A1347" t="s">
        <v>3104</v>
      </c>
      <c r="B1347" t="s">
        <v>3105</v>
      </c>
      <c r="C1347" t="s">
        <v>2689</v>
      </c>
    </row>
    <row r="1348" spans="1:3" x14ac:dyDescent="0.25">
      <c r="A1348" t="s">
        <v>3106</v>
      </c>
      <c r="B1348" t="s">
        <v>3107</v>
      </c>
    </row>
    <row r="1349" spans="1:3" x14ac:dyDescent="0.25">
      <c r="A1349" t="s">
        <v>3108</v>
      </c>
      <c r="B1349" t="s">
        <v>3109</v>
      </c>
    </row>
    <row r="1350" spans="1:3" x14ac:dyDescent="0.25">
      <c r="A1350" t="s">
        <v>3110</v>
      </c>
      <c r="B1350" t="s">
        <v>3111</v>
      </c>
    </row>
    <row r="1351" spans="1:3" x14ac:dyDescent="0.25">
      <c r="A1351" t="s">
        <v>3112</v>
      </c>
      <c r="B1351" t="s">
        <v>3113</v>
      </c>
    </row>
    <row r="1352" spans="1:3" x14ac:dyDescent="0.25">
      <c r="A1352" t="s">
        <v>3114</v>
      </c>
      <c r="B1352" t="s">
        <v>3115</v>
      </c>
    </row>
    <row r="1353" spans="1:3" x14ac:dyDescent="0.25">
      <c r="A1353" t="s">
        <v>3116</v>
      </c>
      <c r="B1353" t="s">
        <v>3117</v>
      </c>
    </row>
    <row r="1354" spans="1:3" x14ac:dyDescent="0.25">
      <c r="A1354" t="s">
        <v>3118</v>
      </c>
      <c r="B1354" t="s">
        <v>3119</v>
      </c>
    </row>
    <row r="1355" spans="1:3" x14ac:dyDescent="0.25">
      <c r="A1355" t="s">
        <v>3120</v>
      </c>
      <c r="B1355" t="s">
        <v>3121</v>
      </c>
    </row>
    <row r="1356" spans="1:3" x14ac:dyDescent="0.25">
      <c r="A1356" t="s">
        <v>3122</v>
      </c>
      <c r="B1356" t="s">
        <v>3123</v>
      </c>
    </row>
    <row r="1357" spans="1:3" x14ac:dyDescent="0.25">
      <c r="A1357" t="s">
        <v>3124</v>
      </c>
      <c r="B1357" t="s">
        <v>3125</v>
      </c>
    </row>
    <row r="1358" spans="1:3" x14ac:dyDescent="0.25">
      <c r="A1358" t="s">
        <v>3126</v>
      </c>
      <c r="B1358" t="s">
        <v>3127</v>
      </c>
    </row>
    <row r="1359" spans="1:3" x14ac:dyDescent="0.25">
      <c r="A1359" t="s">
        <v>3128</v>
      </c>
      <c r="B1359" t="s">
        <v>3129</v>
      </c>
    </row>
    <row r="1360" spans="1:3" x14ac:dyDescent="0.25">
      <c r="A1360" t="s">
        <v>3130</v>
      </c>
      <c r="B1360" t="s">
        <v>3131</v>
      </c>
    </row>
    <row r="1361" spans="1:2" x14ac:dyDescent="0.25">
      <c r="A1361" t="s">
        <v>3132</v>
      </c>
      <c r="B1361" t="s">
        <v>3133</v>
      </c>
    </row>
    <row r="1362" spans="1:2" x14ac:dyDescent="0.25">
      <c r="A1362" t="s">
        <v>3134</v>
      </c>
      <c r="B1362" t="s">
        <v>3135</v>
      </c>
    </row>
    <row r="1363" spans="1:2" x14ac:dyDescent="0.25">
      <c r="A1363" t="s">
        <v>3136</v>
      </c>
      <c r="B1363" t="s">
        <v>3137</v>
      </c>
    </row>
    <row r="1364" spans="1:2" x14ac:dyDescent="0.25">
      <c r="A1364" t="s">
        <v>3138</v>
      </c>
      <c r="B1364" t="s">
        <v>3139</v>
      </c>
    </row>
    <row r="1365" spans="1:2" x14ac:dyDescent="0.25">
      <c r="A1365" t="s">
        <v>3140</v>
      </c>
      <c r="B1365" t="s">
        <v>3141</v>
      </c>
    </row>
    <row r="1366" spans="1:2" x14ac:dyDescent="0.25">
      <c r="A1366" t="s">
        <v>3142</v>
      </c>
      <c r="B1366" t="s">
        <v>60</v>
      </c>
    </row>
    <row r="1367" spans="1:2" x14ac:dyDescent="0.25">
      <c r="A1367" t="s">
        <v>3143</v>
      </c>
      <c r="B1367" t="s">
        <v>3144</v>
      </c>
    </row>
    <row r="1368" spans="1:2" x14ac:dyDescent="0.25">
      <c r="A1368" t="s">
        <v>3145</v>
      </c>
      <c r="B1368" t="s">
        <v>3146</v>
      </c>
    </row>
    <row r="1369" spans="1:2" x14ac:dyDescent="0.25">
      <c r="A1369" t="s">
        <v>3147</v>
      </c>
      <c r="B1369" t="s">
        <v>3148</v>
      </c>
    </row>
    <row r="1370" spans="1:2" x14ac:dyDescent="0.25">
      <c r="A1370" t="s">
        <v>3149</v>
      </c>
      <c r="B1370" t="s">
        <v>3150</v>
      </c>
    </row>
    <row r="1371" spans="1:2" x14ac:dyDescent="0.25">
      <c r="A1371" t="s">
        <v>3151</v>
      </c>
      <c r="B1371" t="s">
        <v>3152</v>
      </c>
    </row>
    <row r="1372" spans="1:2" x14ac:dyDescent="0.25">
      <c r="A1372" t="s">
        <v>3153</v>
      </c>
      <c r="B1372" t="s">
        <v>3154</v>
      </c>
    </row>
    <row r="1373" spans="1:2" x14ac:dyDescent="0.25">
      <c r="A1373" t="s">
        <v>3155</v>
      </c>
      <c r="B1373" t="s">
        <v>3156</v>
      </c>
    </row>
    <row r="1374" spans="1:2" x14ac:dyDescent="0.25">
      <c r="A1374" t="s">
        <v>3157</v>
      </c>
      <c r="B1374" t="s">
        <v>3158</v>
      </c>
    </row>
    <row r="1375" spans="1:2" x14ac:dyDescent="0.25">
      <c r="A1375" t="s">
        <v>3159</v>
      </c>
      <c r="B1375" t="s">
        <v>3160</v>
      </c>
    </row>
    <row r="1376" spans="1:2" x14ac:dyDescent="0.25">
      <c r="A1376" t="s">
        <v>3161</v>
      </c>
      <c r="B1376" t="s">
        <v>3162</v>
      </c>
    </row>
    <row r="1377" spans="1:2" x14ac:dyDescent="0.25">
      <c r="A1377" t="s">
        <v>3163</v>
      </c>
      <c r="B1377" t="s">
        <v>3164</v>
      </c>
    </row>
    <row r="1378" spans="1:2" x14ac:dyDescent="0.25">
      <c r="A1378" t="s">
        <v>3165</v>
      </c>
      <c r="B1378" t="s">
        <v>3166</v>
      </c>
    </row>
    <row r="1379" spans="1:2" x14ac:dyDescent="0.25">
      <c r="A1379" t="s">
        <v>3167</v>
      </c>
      <c r="B1379" t="s">
        <v>3168</v>
      </c>
    </row>
    <row r="1380" spans="1:2" x14ac:dyDescent="0.25">
      <c r="A1380" t="s">
        <v>3169</v>
      </c>
      <c r="B1380" t="s">
        <v>3170</v>
      </c>
    </row>
    <row r="1381" spans="1:2" x14ac:dyDescent="0.25">
      <c r="A1381" t="s">
        <v>3171</v>
      </c>
      <c r="B1381" t="s">
        <v>3172</v>
      </c>
    </row>
    <row r="1382" spans="1:2" x14ac:dyDescent="0.25">
      <c r="A1382" t="s">
        <v>3173</v>
      </c>
      <c r="B1382" t="s">
        <v>3174</v>
      </c>
    </row>
    <row r="1383" spans="1:2" x14ac:dyDescent="0.25">
      <c r="A1383" t="s">
        <v>3175</v>
      </c>
      <c r="B1383" t="s">
        <v>3176</v>
      </c>
    </row>
    <row r="1384" spans="1:2" x14ac:dyDescent="0.25">
      <c r="A1384" t="s">
        <v>3177</v>
      </c>
      <c r="B1384" t="s">
        <v>3178</v>
      </c>
    </row>
    <row r="1385" spans="1:2" x14ac:dyDescent="0.25">
      <c r="A1385" t="s">
        <v>3179</v>
      </c>
      <c r="B1385" t="s">
        <v>3180</v>
      </c>
    </row>
    <row r="1386" spans="1:2" x14ac:dyDescent="0.25">
      <c r="A1386" t="s">
        <v>3181</v>
      </c>
      <c r="B1386" t="s">
        <v>3182</v>
      </c>
    </row>
    <row r="1387" spans="1:2" x14ac:dyDescent="0.25">
      <c r="A1387" t="s">
        <v>3183</v>
      </c>
      <c r="B1387" t="s">
        <v>3184</v>
      </c>
    </row>
    <row r="1388" spans="1:2" x14ac:dyDescent="0.25">
      <c r="A1388" t="s">
        <v>3185</v>
      </c>
      <c r="B1388" t="s">
        <v>3186</v>
      </c>
    </row>
    <row r="1389" spans="1:2" x14ac:dyDescent="0.25">
      <c r="A1389" t="s">
        <v>3187</v>
      </c>
      <c r="B1389" t="s">
        <v>484</v>
      </c>
    </row>
    <row r="1390" spans="1:2" x14ac:dyDescent="0.25">
      <c r="A1390" t="s">
        <v>3188</v>
      </c>
      <c r="B1390" t="s">
        <v>3189</v>
      </c>
    </row>
    <row r="1391" spans="1:2" x14ac:dyDescent="0.25">
      <c r="A1391" t="s">
        <v>3190</v>
      </c>
      <c r="B1391" t="s">
        <v>3191</v>
      </c>
    </row>
    <row r="1392" spans="1:2" x14ac:dyDescent="0.25">
      <c r="A1392" t="s">
        <v>3192</v>
      </c>
      <c r="B1392" t="s">
        <v>3193</v>
      </c>
    </row>
    <row r="1393" spans="1:2" x14ac:dyDescent="0.25">
      <c r="A1393" t="s">
        <v>3194</v>
      </c>
      <c r="B1393" t="s">
        <v>3195</v>
      </c>
    </row>
    <row r="1394" spans="1:2" x14ac:dyDescent="0.25">
      <c r="A1394" t="s">
        <v>3196</v>
      </c>
      <c r="B1394" t="s">
        <v>436</v>
      </c>
    </row>
    <row r="1395" spans="1:2" x14ac:dyDescent="0.25">
      <c r="A1395" t="s">
        <v>3197</v>
      </c>
      <c r="B1395" t="s">
        <v>3198</v>
      </c>
    </row>
    <row r="1396" spans="1:2" x14ac:dyDescent="0.25">
      <c r="A1396" t="s">
        <v>3199</v>
      </c>
      <c r="B1396" t="s">
        <v>3200</v>
      </c>
    </row>
    <row r="1397" spans="1:2" x14ac:dyDescent="0.25">
      <c r="A1397" t="s">
        <v>3201</v>
      </c>
      <c r="B1397" t="s">
        <v>3202</v>
      </c>
    </row>
    <row r="1398" spans="1:2" x14ac:dyDescent="0.25">
      <c r="A1398" t="s">
        <v>3203</v>
      </c>
      <c r="B1398" t="s">
        <v>3204</v>
      </c>
    </row>
    <row r="1399" spans="1:2" x14ac:dyDescent="0.25">
      <c r="A1399" t="s">
        <v>3205</v>
      </c>
      <c r="B1399" t="s">
        <v>3206</v>
      </c>
    </row>
    <row r="1400" spans="1:2" x14ac:dyDescent="0.25">
      <c r="A1400" t="s">
        <v>3207</v>
      </c>
      <c r="B1400" t="s">
        <v>485</v>
      </c>
    </row>
    <row r="1401" spans="1:2" x14ac:dyDescent="0.25">
      <c r="A1401" t="s">
        <v>3208</v>
      </c>
      <c r="B1401" t="s">
        <v>3209</v>
      </c>
    </row>
    <row r="1402" spans="1:2" x14ac:dyDescent="0.25">
      <c r="A1402" t="s">
        <v>3210</v>
      </c>
      <c r="B1402" t="s">
        <v>3211</v>
      </c>
    </row>
    <row r="1403" spans="1:2" x14ac:dyDescent="0.25">
      <c r="A1403" t="s">
        <v>3212</v>
      </c>
      <c r="B1403" t="s">
        <v>3213</v>
      </c>
    </row>
    <row r="1404" spans="1:2" x14ac:dyDescent="0.25">
      <c r="A1404" t="s">
        <v>3214</v>
      </c>
      <c r="B1404" t="s">
        <v>3215</v>
      </c>
    </row>
    <row r="1405" spans="1:2" x14ac:dyDescent="0.25">
      <c r="A1405" t="s">
        <v>3216</v>
      </c>
      <c r="B1405" t="s">
        <v>437</v>
      </c>
    </row>
    <row r="1406" spans="1:2" x14ac:dyDescent="0.25">
      <c r="A1406" t="s">
        <v>3217</v>
      </c>
      <c r="B1406" t="s">
        <v>3218</v>
      </c>
    </row>
    <row r="1407" spans="1:2" x14ac:dyDescent="0.25">
      <c r="A1407" t="s">
        <v>3219</v>
      </c>
      <c r="B1407" t="s">
        <v>3220</v>
      </c>
    </row>
    <row r="1408" spans="1:2" x14ac:dyDescent="0.25">
      <c r="A1408" t="s">
        <v>3221</v>
      </c>
      <c r="B1408" t="s">
        <v>378</v>
      </c>
    </row>
    <row r="1409" spans="1:2" x14ac:dyDescent="0.25">
      <c r="A1409" t="s">
        <v>3222</v>
      </c>
      <c r="B1409" t="s">
        <v>3223</v>
      </c>
    </row>
    <row r="1410" spans="1:2" x14ac:dyDescent="0.25">
      <c r="A1410" t="s">
        <v>3224</v>
      </c>
      <c r="B1410" t="s">
        <v>3225</v>
      </c>
    </row>
    <row r="1411" spans="1:2" x14ac:dyDescent="0.25">
      <c r="A1411" t="s">
        <v>3226</v>
      </c>
      <c r="B1411" t="s">
        <v>3227</v>
      </c>
    </row>
    <row r="1412" spans="1:2" x14ac:dyDescent="0.25">
      <c r="A1412" t="s">
        <v>3228</v>
      </c>
      <c r="B1412" t="s">
        <v>3229</v>
      </c>
    </row>
    <row r="1413" spans="1:2" x14ac:dyDescent="0.25">
      <c r="A1413" t="s">
        <v>3230</v>
      </c>
      <c r="B1413" t="s">
        <v>3231</v>
      </c>
    </row>
    <row r="1414" spans="1:2" x14ac:dyDescent="0.25">
      <c r="A1414" t="s">
        <v>3232</v>
      </c>
      <c r="B1414" t="s">
        <v>379</v>
      </c>
    </row>
    <row r="1415" spans="1:2" x14ac:dyDescent="0.25">
      <c r="A1415" t="s">
        <v>3233</v>
      </c>
      <c r="B1415" t="s">
        <v>3234</v>
      </c>
    </row>
    <row r="1416" spans="1:2" x14ac:dyDescent="0.25">
      <c r="A1416" t="s">
        <v>3235</v>
      </c>
      <c r="B1416" t="s">
        <v>3236</v>
      </c>
    </row>
    <row r="1417" spans="1:2" x14ac:dyDescent="0.25">
      <c r="A1417" t="s">
        <v>3237</v>
      </c>
      <c r="B1417" t="s">
        <v>3238</v>
      </c>
    </row>
    <row r="1418" spans="1:2" x14ac:dyDescent="0.25">
      <c r="A1418" t="s">
        <v>3239</v>
      </c>
      <c r="B1418" t="s">
        <v>3240</v>
      </c>
    </row>
    <row r="1419" spans="1:2" x14ac:dyDescent="0.25">
      <c r="A1419" t="s">
        <v>3241</v>
      </c>
      <c r="B1419" t="s">
        <v>3242</v>
      </c>
    </row>
    <row r="1420" spans="1:2" x14ac:dyDescent="0.25">
      <c r="A1420" t="s">
        <v>3243</v>
      </c>
      <c r="B1420" t="s">
        <v>3244</v>
      </c>
    </row>
    <row r="1421" spans="1:2" x14ac:dyDescent="0.25">
      <c r="A1421" t="s">
        <v>3245</v>
      </c>
      <c r="B1421" t="s">
        <v>3246</v>
      </c>
    </row>
    <row r="1422" spans="1:2" x14ac:dyDescent="0.25">
      <c r="A1422" t="s">
        <v>3247</v>
      </c>
      <c r="B1422" t="s">
        <v>3248</v>
      </c>
    </row>
    <row r="1423" spans="1:2" x14ac:dyDescent="0.25">
      <c r="A1423" t="s">
        <v>3249</v>
      </c>
      <c r="B1423" t="s">
        <v>3250</v>
      </c>
    </row>
    <row r="1424" spans="1:2" x14ac:dyDescent="0.25">
      <c r="A1424" t="s">
        <v>3251</v>
      </c>
      <c r="B1424" t="s">
        <v>3252</v>
      </c>
    </row>
    <row r="1425" spans="1:2" x14ac:dyDescent="0.25">
      <c r="A1425" t="s">
        <v>3253</v>
      </c>
      <c r="B1425" t="s">
        <v>3254</v>
      </c>
    </row>
    <row r="1426" spans="1:2" x14ac:dyDescent="0.25">
      <c r="A1426" t="s">
        <v>3255</v>
      </c>
      <c r="B1426" t="s">
        <v>3256</v>
      </c>
    </row>
    <row r="1427" spans="1:2" x14ac:dyDescent="0.25">
      <c r="A1427" t="s">
        <v>3257</v>
      </c>
      <c r="B1427" t="s">
        <v>3258</v>
      </c>
    </row>
    <row r="1428" spans="1:2" x14ac:dyDescent="0.25">
      <c r="A1428" t="s">
        <v>3259</v>
      </c>
      <c r="B1428" t="s">
        <v>3260</v>
      </c>
    </row>
    <row r="1429" spans="1:2" x14ac:dyDescent="0.25">
      <c r="A1429" t="s">
        <v>3261</v>
      </c>
      <c r="B1429" t="s">
        <v>3262</v>
      </c>
    </row>
    <row r="1430" spans="1:2" x14ac:dyDescent="0.25">
      <c r="A1430" t="s">
        <v>3263</v>
      </c>
      <c r="B1430" t="s">
        <v>3264</v>
      </c>
    </row>
    <row r="1431" spans="1:2" x14ac:dyDescent="0.25">
      <c r="A1431" t="s">
        <v>3265</v>
      </c>
      <c r="B1431" t="s">
        <v>3266</v>
      </c>
    </row>
    <row r="1432" spans="1:2" x14ac:dyDescent="0.25">
      <c r="A1432" t="s">
        <v>3267</v>
      </c>
      <c r="B1432" t="s">
        <v>3268</v>
      </c>
    </row>
    <row r="1433" spans="1:2" x14ac:dyDescent="0.25">
      <c r="A1433" t="s">
        <v>3269</v>
      </c>
      <c r="B1433" t="s">
        <v>3270</v>
      </c>
    </row>
    <row r="1434" spans="1:2" x14ac:dyDescent="0.25">
      <c r="A1434" t="s">
        <v>3271</v>
      </c>
      <c r="B1434" t="s">
        <v>3272</v>
      </c>
    </row>
    <row r="1435" spans="1:2" x14ac:dyDescent="0.25">
      <c r="A1435" t="s">
        <v>3273</v>
      </c>
      <c r="B1435" t="s">
        <v>3274</v>
      </c>
    </row>
    <row r="1436" spans="1:2" x14ac:dyDescent="0.25">
      <c r="A1436" t="s">
        <v>3275</v>
      </c>
      <c r="B1436" t="s">
        <v>3276</v>
      </c>
    </row>
    <row r="1437" spans="1:2" x14ac:dyDescent="0.25">
      <c r="A1437" t="s">
        <v>3277</v>
      </c>
      <c r="B1437" t="s">
        <v>3278</v>
      </c>
    </row>
    <row r="1438" spans="1:2" x14ac:dyDescent="0.25">
      <c r="A1438" t="s">
        <v>3279</v>
      </c>
      <c r="B1438" t="s">
        <v>3280</v>
      </c>
    </row>
    <row r="1439" spans="1:2" x14ac:dyDescent="0.25">
      <c r="A1439" t="s">
        <v>3281</v>
      </c>
      <c r="B1439" t="s">
        <v>3282</v>
      </c>
    </row>
    <row r="1440" spans="1:2" x14ac:dyDescent="0.25">
      <c r="A1440" t="s">
        <v>3283</v>
      </c>
      <c r="B1440" t="s">
        <v>3284</v>
      </c>
    </row>
    <row r="1441" spans="1:2" x14ac:dyDescent="0.25">
      <c r="A1441" t="s">
        <v>3285</v>
      </c>
      <c r="B1441" t="s">
        <v>3286</v>
      </c>
    </row>
    <row r="1442" spans="1:2" x14ac:dyDescent="0.25">
      <c r="A1442" t="s">
        <v>3287</v>
      </c>
      <c r="B1442" t="s">
        <v>3288</v>
      </c>
    </row>
    <row r="1443" spans="1:2" x14ac:dyDescent="0.25">
      <c r="A1443" t="s">
        <v>3289</v>
      </c>
      <c r="B1443" t="s">
        <v>3290</v>
      </c>
    </row>
    <row r="1444" spans="1:2" x14ac:dyDescent="0.25">
      <c r="A1444" t="s">
        <v>3291</v>
      </c>
      <c r="B1444" t="s">
        <v>3292</v>
      </c>
    </row>
    <row r="1445" spans="1:2" x14ac:dyDescent="0.25">
      <c r="A1445" t="s">
        <v>3293</v>
      </c>
      <c r="B1445" t="s">
        <v>3294</v>
      </c>
    </row>
    <row r="1446" spans="1:2" x14ac:dyDescent="0.25">
      <c r="A1446" t="s">
        <v>3295</v>
      </c>
      <c r="B1446" t="s">
        <v>3296</v>
      </c>
    </row>
    <row r="1447" spans="1:2" x14ac:dyDescent="0.25">
      <c r="A1447" t="s">
        <v>3297</v>
      </c>
      <c r="B1447" t="s">
        <v>3298</v>
      </c>
    </row>
    <row r="1448" spans="1:2" x14ac:dyDescent="0.25">
      <c r="A1448" t="s">
        <v>3299</v>
      </c>
      <c r="B1448" t="s">
        <v>3300</v>
      </c>
    </row>
    <row r="1449" spans="1:2" x14ac:dyDescent="0.25">
      <c r="A1449" t="s">
        <v>3301</v>
      </c>
      <c r="B1449" t="s">
        <v>3302</v>
      </c>
    </row>
    <row r="1450" spans="1:2" x14ac:dyDescent="0.25">
      <c r="A1450" t="s">
        <v>3303</v>
      </c>
      <c r="B1450" t="s">
        <v>3304</v>
      </c>
    </row>
    <row r="1451" spans="1:2" x14ac:dyDescent="0.25">
      <c r="A1451" t="s">
        <v>3305</v>
      </c>
      <c r="B1451" t="s">
        <v>72</v>
      </c>
    </row>
    <row r="1452" spans="1:2" x14ac:dyDescent="0.25">
      <c r="A1452" t="s">
        <v>3306</v>
      </c>
      <c r="B1452" t="s">
        <v>708</v>
      </c>
    </row>
    <row r="1453" spans="1:2" x14ac:dyDescent="0.25">
      <c r="A1453" t="s">
        <v>3307</v>
      </c>
      <c r="B1453" t="s">
        <v>3308</v>
      </c>
    </row>
    <row r="1454" spans="1:2" x14ac:dyDescent="0.25">
      <c r="A1454" t="s">
        <v>3309</v>
      </c>
      <c r="B1454" t="s">
        <v>73</v>
      </c>
    </row>
    <row r="1455" spans="1:2" x14ac:dyDescent="0.25">
      <c r="A1455" t="s">
        <v>3310</v>
      </c>
      <c r="B1455" t="s">
        <v>3311</v>
      </c>
    </row>
    <row r="1456" spans="1:2" x14ac:dyDescent="0.25">
      <c r="A1456" t="s">
        <v>3312</v>
      </c>
      <c r="B1456" t="s">
        <v>3313</v>
      </c>
    </row>
    <row r="1457" spans="1:2" x14ac:dyDescent="0.25">
      <c r="A1457" t="s">
        <v>3314</v>
      </c>
      <c r="B1457" t="s">
        <v>3315</v>
      </c>
    </row>
    <row r="1458" spans="1:2" x14ac:dyDescent="0.25">
      <c r="A1458" t="s">
        <v>3316</v>
      </c>
      <c r="B1458" t="s">
        <v>380</v>
      </c>
    </row>
    <row r="1459" spans="1:2" x14ac:dyDescent="0.25">
      <c r="A1459" t="s">
        <v>3317</v>
      </c>
      <c r="B1459" t="s">
        <v>74</v>
      </c>
    </row>
    <row r="1460" spans="1:2" x14ac:dyDescent="0.25">
      <c r="A1460" t="s">
        <v>3318</v>
      </c>
      <c r="B1460" t="s">
        <v>3319</v>
      </c>
    </row>
    <row r="1461" spans="1:2" x14ac:dyDescent="0.25">
      <c r="A1461" t="s">
        <v>3320</v>
      </c>
      <c r="B1461" t="s">
        <v>3321</v>
      </c>
    </row>
    <row r="1462" spans="1:2" x14ac:dyDescent="0.25">
      <c r="A1462" t="s">
        <v>3322</v>
      </c>
      <c r="B1462" t="s">
        <v>3323</v>
      </c>
    </row>
    <row r="1463" spans="1:2" x14ac:dyDescent="0.25">
      <c r="A1463" t="s">
        <v>3324</v>
      </c>
      <c r="B1463" t="s">
        <v>3325</v>
      </c>
    </row>
    <row r="1464" spans="1:2" x14ac:dyDescent="0.25">
      <c r="A1464" t="s">
        <v>3326</v>
      </c>
      <c r="B1464" t="s">
        <v>3327</v>
      </c>
    </row>
    <row r="1465" spans="1:2" x14ac:dyDescent="0.25">
      <c r="A1465" t="s">
        <v>3328</v>
      </c>
      <c r="B1465" t="s">
        <v>3329</v>
      </c>
    </row>
    <row r="1466" spans="1:2" x14ac:dyDescent="0.25">
      <c r="A1466" t="s">
        <v>3330</v>
      </c>
      <c r="B1466" t="s">
        <v>3331</v>
      </c>
    </row>
    <row r="1467" spans="1:2" x14ac:dyDescent="0.25">
      <c r="A1467" t="s">
        <v>3332</v>
      </c>
      <c r="B1467" t="s">
        <v>3333</v>
      </c>
    </row>
    <row r="1468" spans="1:2" x14ac:dyDescent="0.25">
      <c r="A1468" t="s">
        <v>3334</v>
      </c>
      <c r="B1468" t="s">
        <v>3335</v>
      </c>
    </row>
    <row r="1469" spans="1:2" x14ac:dyDescent="0.25">
      <c r="A1469" t="s">
        <v>3336</v>
      </c>
      <c r="B1469" t="s">
        <v>3337</v>
      </c>
    </row>
    <row r="1470" spans="1:2" x14ac:dyDescent="0.25">
      <c r="A1470" t="s">
        <v>3338</v>
      </c>
      <c r="B1470" t="s">
        <v>3339</v>
      </c>
    </row>
    <row r="1471" spans="1:2" x14ac:dyDescent="0.25">
      <c r="A1471" t="s">
        <v>3340</v>
      </c>
      <c r="B1471" t="s">
        <v>3341</v>
      </c>
    </row>
    <row r="1472" spans="1:2" x14ac:dyDescent="0.25">
      <c r="A1472" t="s">
        <v>3342</v>
      </c>
      <c r="B1472" t="s">
        <v>3343</v>
      </c>
    </row>
    <row r="1473" spans="1:2" x14ac:dyDescent="0.25">
      <c r="A1473" t="s">
        <v>3344</v>
      </c>
      <c r="B1473" t="s">
        <v>3345</v>
      </c>
    </row>
    <row r="1474" spans="1:2" x14ac:dyDescent="0.25">
      <c r="A1474" t="s">
        <v>3346</v>
      </c>
      <c r="B1474" t="s">
        <v>3347</v>
      </c>
    </row>
    <row r="1475" spans="1:2" x14ac:dyDescent="0.25">
      <c r="A1475" t="s">
        <v>3348</v>
      </c>
      <c r="B1475" t="s">
        <v>3349</v>
      </c>
    </row>
    <row r="1476" spans="1:2" x14ac:dyDescent="0.25">
      <c r="A1476" t="s">
        <v>3350</v>
      </c>
      <c r="B1476" t="s">
        <v>3351</v>
      </c>
    </row>
    <row r="1477" spans="1:2" x14ac:dyDescent="0.25">
      <c r="A1477" t="s">
        <v>3352</v>
      </c>
      <c r="B1477" t="s">
        <v>3353</v>
      </c>
    </row>
    <row r="1478" spans="1:2" x14ac:dyDescent="0.25">
      <c r="A1478" t="s">
        <v>3354</v>
      </c>
      <c r="B1478" t="s">
        <v>3355</v>
      </c>
    </row>
    <row r="1479" spans="1:2" x14ac:dyDescent="0.25">
      <c r="A1479" t="s">
        <v>3356</v>
      </c>
      <c r="B1479" t="s">
        <v>3357</v>
      </c>
    </row>
    <row r="1480" spans="1:2" x14ac:dyDescent="0.25">
      <c r="A1480" t="s">
        <v>3358</v>
      </c>
      <c r="B1480" t="s">
        <v>75</v>
      </c>
    </row>
    <row r="1481" spans="1:2" x14ac:dyDescent="0.25">
      <c r="A1481" t="s">
        <v>3359</v>
      </c>
      <c r="B1481" t="s">
        <v>3360</v>
      </c>
    </row>
    <row r="1482" spans="1:2" x14ac:dyDescent="0.25">
      <c r="A1482" t="s">
        <v>3361</v>
      </c>
      <c r="B1482" t="s">
        <v>3362</v>
      </c>
    </row>
    <row r="1483" spans="1:2" x14ac:dyDescent="0.25">
      <c r="A1483" t="s">
        <v>3363</v>
      </c>
      <c r="B1483" t="s">
        <v>3364</v>
      </c>
    </row>
    <row r="1484" spans="1:2" x14ac:dyDescent="0.25">
      <c r="A1484" t="s">
        <v>3365</v>
      </c>
      <c r="B1484" t="s">
        <v>3366</v>
      </c>
    </row>
    <row r="1485" spans="1:2" x14ac:dyDescent="0.25">
      <c r="A1485" t="s">
        <v>3367</v>
      </c>
      <c r="B1485" t="s">
        <v>3368</v>
      </c>
    </row>
    <row r="1486" spans="1:2" x14ac:dyDescent="0.25">
      <c r="A1486" t="s">
        <v>3369</v>
      </c>
      <c r="B1486" t="s">
        <v>3370</v>
      </c>
    </row>
    <row r="1487" spans="1:2" x14ac:dyDescent="0.25">
      <c r="A1487" t="s">
        <v>3371</v>
      </c>
      <c r="B1487" t="s">
        <v>3372</v>
      </c>
    </row>
    <row r="1488" spans="1:2" x14ac:dyDescent="0.25">
      <c r="A1488" t="s">
        <v>3373</v>
      </c>
      <c r="B1488" t="s">
        <v>3374</v>
      </c>
    </row>
    <row r="1489" spans="1:2" x14ac:dyDescent="0.25">
      <c r="A1489" t="s">
        <v>3375</v>
      </c>
      <c r="B1489" t="s">
        <v>3376</v>
      </c>
    </row>
    <row r="1490" spans="1:2" x14ac:dyDescent="0.25">
      <c r="A1490" t="s">
        <v>3377</v>
      </c>
      <c r="B1490" t="s">
        <v>3378</v>
      </c>
    </row>
    <row r="1491" spans="1:2" x14ac:dyDescent="0.25">
      <c r="A1491" t="s">
        <v>3379</v>
      </c>
      <c r="B1491" t="s">
        <v>3380</v>
      </c>
    </row>
    <row r="1492" spans="1:2" x14ac:dyDescent="0.25">
      <c r="A1492" t="s">
        <v>3381</v>
      </c>
      <c r="B1492" t="s">
        <v>3382</v>
      </c>
    </row>
    <row r="1493" spans="1:2" x14ac:dyDescent="0.25">
      <c r="A1493" t="s">
        <v>3383</v>
      </c>
      <c r="B1493" t="s">
        <v>3384</v>
      </c>
    </row>
    <row r="1494" spans="1:2" x14ac:dyDescent="0.25">
      <c r="A1494" t="s">
        <v>3385</v>
      </c>
      <c r="B1494" t="s">
        <v>3386</v>
      </c>
    </row>
    <row r="1495" spans="1:2" x14ac:dyDescent="0.25">
      <c r="A1495" t="s">
        <v>3387</v>
      </c>
      <c r="B1495" t="s">
        <v>3388</v>
      </c>
    </row>
    <row r="1496" spans="1:2" x14ac:dyDescent="0.25">
      <c r="A1496" t="s">
        <v>3389</v>
      </c>
      <c r="B1496" t="s">
        <v>3390</v>
      </c>
    </row>
    <row r="1497" spans="1:2" x14ac:dyDescent="0.25">
      <c r="A1497" t="s">
        <v>3391</v>
      </c>
      <c r="B1497" t="s">
        <v>3392</v>
      </c>
    </row>
    <row r="1498" spans="1:2" x14ac:dyDescent="0.25">
      <c r="A1498" t="s">
        <v>3393</v>
      </c>
      <c r="B1498" t="s">
        <v>3394</v>
      </c>
    </row>
    <row r="1499" spans="1:2" x14ac:dyDescent="0.25">
      <c r="A1499" t="s">
        <v>3395</v>
      </c>
      <c r="B1499" t="s">
        <v>3396</v>
      </c>
    </row>
    <row r="1500" spans="1:2" x14ac:dyDescent="0.25">
      <c r="A1500" t="s">
        <v>3397</v>
      </c>
      <c r="B1500" t="s">
        <v>3398</v>
      </c>
    </row>
    <row r="1501" spans="1:2" x14ac:dyDescent="0.25">
      <c r="A1501" t="s">
        <v>3399</v>
      </c>
      <c r="B1501" t="s">
        <v>3400</v>
      </c>
    </row>
    <row r="1502" spans="1:2" x14ac:dyDescent="0.25">
      <c r="A1502" t="s">
        <v>3401</v>
      </c>
      <c r="B1502" t="s">
        <v>3402</v>
      </c>
    </row>
    <row r="1503" spans="1:2" x14ac:dyDescent="0.25">
      <c r="A1503" t="s">
        <v>3403</v>
      </c>
      <c r="B1503" t="s">
        <v>3404</v>
      </c>
    </row>
    <row r="1504" spans="1:2" x14ac:dyDescent="0.25">
      <c r="A1504" t="s">
        <v>3405</v>
      </c>
      <c r="B1504" t="s">
        <v>3406</v>
      </c>
    </row>
    <row r="1505" spans="1:2" x14ac:dyDescent="0.25">
      <c r="A1505" t="s">
        <v>3407</v>
      </c>
      <c r="B1505" t="s">
        <v>77</v>
      </c>
    </row>
    <row r="1506" spans="1:2" x14ac:dyDescent="0.25">
      <c r="A1506" t="s">
        <v>3408</v>
      </c>
      <c r="B1506" t="s">
        <v>3409</v>
      </c>
    </row>
    <row r="1507" spans="1:2" x14ac:dyDescent="0.25">
      <c r="A1507" t="s">
        <v>3410</v>
      </c>
      <c r="B1507" t="s">
        <v>3411</v>
      </c>
    </row>
    <row r="1508" spans="1:2" x14ac:dyDescent="0.25">
      <c r="A1508" t="s">
        <v>3412</v>
      </c>
      <c r="B1508" t="s">
        <v>3413</v>
      </c>
    </row>
    <row r="1509" spans="1:2" x14ac:dyDescent="0.25">
      <c r="A1509" t="s">
        <v>3414</v>
      </c>
      <c r="B1509" t="s">
        <v>3415</v>
      </c>
    </row>
    <row r="1510" spans="1:2" x14ac:dyDescent="0.25">
      <c r="A1510" t="s">
        <v>3416</v>
      </c>
      <c r="B1510" t="s">
        <v>486</v>
      </c>
    </row>
    <row r="1511" spans="1:2" x14ac:dyDescent="0.25">
      <c r="A1511" t="s">
        <v>3417</v>
      </c>
      <c r="B1511" t="s">
        <v>3418</v>
      </c>
    </row>
    <row r="1512" spans="1:2" x14ac:dyDescent="0.25">
      <c r="A1512" t="s">
        <v>3419</v>
      </c>
      <c r="B1512" t="s">
        <v>3420</v>
      </c>
    </row>
    <row r="1513" spans="1:2" x14ac:dyDescent="0.25">
      <c r="A1513" t="s">
        <v>3421</v>
      </c>
      <c r="B1513" t="s">
        <v>3422</v>
      </c>
    </row>
    <row r="1514" spans="1:2" x14ac:dyDescent="0.25">
      <c r="A1514" t="s">
        <v>3423</v>
      </c>
      <c r="B1514" t="s">
        <v>3424</v>
      </c>
    </row>
    <row r="1515" spans="1:2" x14ac:dyDescent="0.25">
      <c r="A1515" t="s">
        <v>3425</v>
      </c>
      <c r="B1515" t="s">
        <v>3426</v>
      </c>
    </row>
    <row r="1516" spans="1:2" x14ac:dyDescent="0.25">
      <c r="A1516" t="s">
        <v>3427</v>
      </c>
      <c r="B1516" t="s">
        <v>3428</v>
      </c>
    </row>
    <row r="1517" spans="1:2" x14ac:dyDescent="0.25">
      <c r="A1517" t="s">
        <v>3429</v>
      </c>
      <c r="B1517" t="s">
        <v>3430</v>
      </c>
    </row>
    <row r="1518" spans="1:2" x14ac:dyDescent="0.25">
      <c r="A1518" t="s">
        <v>3431</v>
      </c>
      <c r="B1518" t="s">
        <v>3432</v>
      </c>
    </row>
    <row r="1519" spans="1:2" x14ac:dyDescent="0.25">
      <c r="A1519" t="s">
        <v>3433</v>
      </c>
      <c r="B1519" t="s">
        <v>3434</v>
      </c>
    </row>
    <row r="1520" spans="1:2" x14ac:dyDescent="0.25">
      <c r="A1520" t="s">
        <v>3435</v>
      </c>
      <c r="B1520" t="s">
        <v>3436</v>
      </c>
    </row>
    <row r="1521" spans="1:2" x14ac:dyDescent="0.25">
      <c r="A1521" t="s">
        <v>3437</v>
      </c>
      <c r="B1521" t="s">
        <v>3438</v>
      </c>
    </row>
    <row r="1522" spans="1:2" x14ac:dyDescent="0.25">
      <c r="A1522" t="s">
        <v>3439</v>
      </c>
      <c r="B1522" t="s">
        <v>438</v>
      </c>
    </row>
    <row r="1523" spans="1:2" x14ac:dyDescent="0.25">
      <c r="A1523" t="s">
        <v>3440</v>
      </c>
      <c r="B1523" t="s">
        <v>3441</v>
      </c>
    </row>
    <row r="1524" spans="1:2" x14ac:dyDescent="0.25">
      <c r="A1524" t="s">
        <v>3442</v>
      </c>
      <c r="B1524" t="s">
        <v>3443</v>
      </c>
    </row>
    <row r="1525" spans="1:2" x14ac:dyDescent="0.25">
      <c r="A1525" t="s">
        <v>3444</v>
      </c>
      <c r="B1525" t="s">
        <v>3445</v>
      </c>
    </row>
    <row r="1526" spans="1:2" x14ac:dyDescent="0.25">
      <c r="A1526" t="s">
        <v>3446</v>
      </c>
      <c r="B1526" t="s">
        <v>3447</v>
      </c>
    </row>
    <row r="1527" spans="1:2" x14ac:dyDescent="0.25">
      <c r="A1527" t="s">
        <v>3448</v>
      </c>
      <c r="B1527" t="s">
        <v>3449</v>
      </c>
    </row>
    <row r="1528" spans="1:2" x14ac:dyDescent="0.25">
      <c r="A1528" t="s">
        <v>3450</v>
      </c>
      <c r="B1528" t="s">
        <v>3451</v>
      </c>
    </row>
    <row r="1529" spans="1:2" x14ac:dyDescent="0.25">
      <c r="A1529" t="s">
        <v>3452</v>
      </c>
      <c r="B1529" t="s">
        <v>3453</v>
      </c>
    </row>
    <row r="1530" spans="1:2" x14ac:dyDescent="0.25">
      <c r="A1530" t="s">
        <v>3454</v>
      </c>
      <c r="B1530" t="s">
        <v>3455</v>
      </c>
    </row>
    <row r="1531" spans="1:2" x14ac:dyDescent="0.25">
      <c r="A1531" t="s">
        <v>3456</v>
      </c>
      <c r="B1531" t="s">
        <v>3457</v>
      </c>
    </row>
    <row r="1532" spans="1:2" x14ac:dyDescent="0.25">
      <c r="A1532" t="s">
        <v>3458</v>
      </c>
      <c r="B1532" t="s">
        <v>3459</v>
      </c>
    </row>
    <row r="1533" spans="1:2" x14ac:dyDescent="0.25">
      <c r="A1533" t="s">
        <v>3460</v>
      </c>
      <c r="B1533" t="s">
        <v>3461</v>
      </c>
    </row>
    <row r="1534" spans="1:2" x14ac:dyDescent="0.25">
      <c r="A1534" t="s">
        <v>3462</v>
      </c>
      <c r="B1534" t="s">
        <v>3463</v>
      </c>
    </row>
    <row r="1535" spans="1:2" x14ac:dyDescent="0.25">
      <c r="A1535" t="s">
        <v>3464</v>
      </c>
      <c r="B1535" t="s">
        <v>3465</v>
      </c>
    </row>
    <row r="1536" spans="1:2" x14ac:dyDescent="0.25">
      <c r="A1536" t="s">
        <v>3466</v>
      </c>
      <c r="B1536" t="s">
        <v>439</v>
      </c>
    </row>
    <row r="1537" spans="1:2" x14ac:dyDescent="0.25">
      <c r="A1537" t="s">
        <v>3467</v>
      </c>
      <c r="B1537" t="s">
        <v>3468</v>
      </c>
    </row>
    <row r="1538" spans="1:2" x14ac:dyDescent="0.25">
      <c r="A1538" t="s">
        <v>3469</v>
      </c>
      <c r="B1538" t="s">
        <v>3470</v>
      </c>
    </row>
    <row r="1539" spans="1:2" x14ac:dyDescent="0.25">
      <c r="A1539" t="s">
        <v>3471</v>
      </c>
      <c r="B1539" t="s">
        <v>3472</v>
      </c>
    </row>
    <row r="1540" spans="1:2" x14ac:dyDescent="0.25">
      <c r="A1540" t="s">
        <v>3473</v>
      </c>
      <c r="B1540" t="s">
        <v>3474</v>
      </c>
    </row>
    <row r="1541" spans="1:2" x14ac:dyDescent="0.25">
      <c r="A1541" t="s">
        <v>3475</v>
      </c>
      <c r="B1541" t="s">
        <v>3476</v>
      </c>
    </row>
    <row r="1542" spans="1:2" x14ac:dyDescent="0.25">
      <c r="A1542" t="s">
        <v>3477</v>
      </c>
      <c r="B1542" t="s">
        <v>3478</v>
      </c>
    </row>
    <row r="1543" spans="1:2" x14ac:dyDescent="0.25">
      <c r="A1543" t="s">
        <v>3479</v>
      </c>
      <c r="B1543" t="s">
        <v>3480</v>
      </c>
    </row>
    <row r="1544" spans="1:2" x14ac:dyDescent="0.25">
      <c r="A1544" t="s">
        <v>3481</v>
      </c>
      <c r="B1544" t="s">
        <v>3482</v>
      </c>
    </row>
    <row r="1545" spans="1:2" x14ac:dyDescent="0.25">
      <c r="A1545" t="s">
        <v>3483</v>
      </c>
      <c r="B1545" t="s">
        <v>3484</v>
      </c>
    </row>
    <row r="1546" spans="1:2" x14ac:dyDescent="0.25">
      <c r="A1546" t="s">
        <v>3485</v>
      </c>
      <c r="B1546" t="s">
        <v>3486</v>
      </c>
    </row>
    <row r="1547" spans="1:2" x14ac:dyDescent="0.25">
      <c r="A1547" t="s">
        <v>3487</v>
      </c>
      <c r="B1547" t="s">
        <v>3488</v>
      </c>
    </row>
    <row r="1548" spans="1:2" x14ac:dyDescent="0.25">
      <c r="A1548" t="s">
        <v>3489</v>
      </c>
      <c r="B1548" t="s">
        <v>3490</v>
      </c>
    </row>
    <row r="1549" spans="1:2" x14ac:dyDescent="0.25">
      <c r="A1549" t="s">
        <v>3491</v>
      </c>
      <c r="B1549" t="s">
        <v>3492</v>
      </c>
    </row>
    <row r="1550" spans="1:2" x14ac:dyDescent="0.25">
      <c r="A1550" t="s">
        <v>3493</v>
      </c>
      <c r="B1550" t="s">
        <v>3494</v>
      </c>
    </row>
    <row r="1551" spans="1:2" x14ac:dyDescent="0.25">
      <c r="A1551" t="s">
        <v>3495</v>
      </c>
      <c r="B1551" t="s">
        <v>3496</v>
      </c>
    </row>
    <row r="1552" spans="1:2" x14ac:dyDescent="0.25">
      <c r="A1552" t="s">
        <v>3497</v>
      </c>
      <c r="B1552" t="s">
        <v>3498</v>
      </c>
    </row>
    <row r="1553" spans="1:2" x14ac:dyDescent="0.25">
      <c r="A1553" t="s">
        <v>3499</v>
      </c>
      <c r="B1553" t="s">
        <v>3500</v>
      </c>
    </row>
    <row r="1554" spans="1:2" x14ac:dyDescent="0.25">
      <c r="A1554" t="s">
        <v>3501</v>
      </c>
      <c r="B1554" t="s">
        <v>81</v>
      </c>
    </row>
    <row r="1555" spans="1:2" x14ac:dyDescent="0.25">
      <c r="A1555" t="s">
        <v>3502</v>
      </c>
      <c r="B1555" t="s">
        <v>3503</v>
      </c>
    </row>
    <row r="1556" spans="1:2" x14ac:dyDescent="0.25">
      <c r="A1556" t="s">
        <v>3504</v>
      </c>
      <c r="B1556" t="s">
        <v>3505</v>
      </c>
    </row>
    <row r="1557" spans="1:2" x14ac:dyDescent="0.25">
      <c r="A1557" t="s">
        <v>3506</v>
      </c>
      <c r="B1557" t="s">
        <v>3507</v>
      </c>
    </row>
    <row r="1558" spans="1:2" x14ac:dyDescent="0.25">
      <c r="A1558" t="s">
        <v>3508</v>
      </c>
      <c r="B1558" t="s">
        <v>3509</v>
      </c>
    </row>
    <row r="1559" spans="1:2" x14ac:dyDescent="0.25">
      <c r="A1559" t="s">
        <v>3510</v>
      </c>
      <c r="B1559" t="s">
        <v>3511</v>
      </c>
    </row>
    <row r="1560" spans="1:2" x14ac:dyDescent="0.25">
      <c r="A1560" t="s">
        <v>3512</v>
      </c>
      <c r="B1560" t="s">
        <v>3513</v>
      </c>
    </row>
    <row r="1561" spans="1:2" x14ac:dyDescent="0.25">
      <c r="A1561" t="s">
        <v>3514</v>
      </c>
      <c r="B1561" t="s">
        <v>3515</v>
      </c>
    </row>
    <row r="1562" spans="1:2" x14ac:dyDescent="0.25">
      <c r="A1562" t="s">
        <v>3516</v>
      </c>
      <c r="B1562" t="s">
        <v>3517</v>
      </c>
    </row>
    <row r="1563" spans="1:2" x14ac:dyDescent="0.25">
      <c r="A1563" t="s">
        <v>3518</v>
      </c>
      <c r="B1563" t="s">
        <v>3519</v>
      </c>
    </row>
    <row r="1564" spans="1:2" x14ac:dyDescent="0.25">
      <c r="A1564" t="s">
        <v>3520</v>
      </c>
      <c r="B1564" t="s">
        <v>3521</v>
      </c>
    </row>
    <row r="1565" spans="1:2" x14ac:dyDescent="0.25">
      <c r="A1565" t="s">
        <v>3522</v>
      </c>
      <c r="B1565" t="s">
        <v>3523</v>
      </c>
    </row>
    <row r="1566" spans="1:2" x14ac:dyDescent="0.25">
      <c r="A1566" t="s">
        <v>3524</v>
      </c>
      <c r="B1566" t="s">
        <v>3525</v>
      </c>
    </row>
    <row r="1567" spans="1:2" x14ac:dyDescent="0.25">
      <c r="A1567" t="s">
        <v>3526</v>
      </c>
      <c r="B1567" t="s">
        <v>3527</v>
      </c>
    </row>
    <row r="1568" spans="1:2" x14ac:dyDescent="0.25">
      <c r="A1568" t="s">
        <v>3528</v>
      </c>
      <c r="B1568" t="s">
        <v>3529</v>
      </c>
    </row>
    <row r="1569" spans="1:2" x14ac:dyDescent="0.25">
      <c r="A1569" t="s">
        <v>3530</v>
      </c>
      <c r="B1569" t="s">
        <v>3531</v>
      </c>
    </row>
    <row r="1570" spans="1:2" x14ac:dyDescent="0.25">
      <c r="A1570" t="s">
        <v>3532</v>
      </c>
      <c r="B1570" t="s">
        <v>3533</v>
      </c>
    </row>
    <row r="1571" spans="1:2" x14ac:dyDescent="0.25">
      <c r="A1571" t="s">
        <v>3534</v>
      </c>
      <c r="B1571" t="s">
        <v>3535</v>
      </c>
    </row>
    <row r="1572" spans="1:2" x14ac:dyDescent="0.25">
      <c r="A1572" t="s">
        <v>3536</v>
      </c>
      <c r="B1572" t="s">
        <v>3537</v>
      </c>
    </row>
    <row r="1573" spans="1:2" x14ac:dyDescent="0.25">
      <c r="A1573" t="s">
        <v>3538</v>
      </c>
      <c r="B1573" t="s">
        <v>3539</v>
      </c>
    </row>
    <row r="1574" spans="1:2" x14ac:dyDescent="0.25">
      <c r="A1574" t="s">
        <v>3540</v>
      </c>
      <c r="B1574" t="s">
        <v>3541</v>
      </c>
    </row>
    <row r="1575" spans="1:2" x14ac:dyDescent="0.25">
      <c r="A1575" t="s">
        <v>3542</v>
      </c>
      <c r="B1575" t="s">
        <v>3543</v>
      </c>
    </row>
    <row r="1576" spans="1:2" x14ac:dyDescent="0.25">
      <c r="A1576" t="s">
        <v>3544</v>
      </c>
      <c r="B1576" t="s">
        <v>3545</v>
      </c>
    </row>
    <row r="1577" spans="1:2" x14ac:dyDescent="0.25">
      <c r="A1577" t="s">
        <v>3546</v>
      </c>
      <c r="B1577" t="s">
        <v>88</v>
      </c>
    </row>
    <row r="1578" spans="1:2" x14ac:dyDescent="0.25">
      <c r="A1578" t="s">
        <v>3547</v>
      </c>
      <c r="B1578" t="s">
        <v>3548</v>
      </c>
    </row>
    <row r="1579" spans="1:2" x14ac:dyDescent="0.25">
      <c r="A1579" t="s">
        <v>3549</v>
      </c>
      <c r="B1579" t="s">
        <v>3550</v>
      </c>
    </row>
    <row r="1580" spans="1:2" x14ac:dyDescent="0.25">
      <c r="A1580" t="s">
        <v>3551</v>
      </c>
      <c r="B1580" t="s">
        <v>3552</v>
      </c>
    </row>
    <row r="1581" spans="1:2" x14ac:dyDescent="0.25">
      <c r="A1581" t="s">
        <v>3553</v>
      </c>
      <c r="B1581" t="s">
        <v>3554</v>
      </c>
    </row>
    <row r="1582" spans="1:2" x14ac:dyDescent="0.25">
      <c r="A1582" t="s">
        <v>3555</v>
      </c>
      <c r="B1582" t="s">
        <v>3556</v>
      </c>
    </row>
    <row r="1583" spans="1:2" x14ac:dyDescent="0.25">
      <c r="A1583" t="s">
        <v>3557</v>
      </c>
      <c r="B1583" t="s">
        <v>3558</v>
      </c>
    </row>
    <row r="1584" spans="1:2" x14ac:dyDescent="0.25">
      <c r="A1584" t="s">
        <v>3559</v>
      </c>
      <c r="B1584" t="s">
        <v>3560</v>
      </c>
    </row>
    <row r="1585" spans="1:2" x14ac:dyDescent="0.25">
      <c r="A1585" t="s">
        <v>3561</v>
      </c>
      <c r="B1585" t="s">
        <v>3562</v>
      </c>
    </row>
    <row r="1586" spans="1:2" x14ac:dyDescent="0.25">
      <c r="A1586" t="s">
        <v>3563</v>
      </c>
      <c r="B1586" t="s">
        <v>3564</v>
      </c>
    </row>
    <row r="1587" spans="1:2" x14ac:dyDescent="0.25">
      <c r="A1587" t="s">
        <v>3565</v>
      </c>
      <c r="B1587" t="s">
        <v>3566</v>
      </c>
    </row>
    <row r="1588" spans="1:2" x14ac:dyDescent="0.25">
      <c r="A1588" t="s">
        <v>3567</v>
      </c>
      <c r="B1588" t="s">
        <v>3568</v>
      </c>
    </row>
    <row r="1589" spans="1:2" x14ac:dyDescent="0.25">
      <c r="A1589" t="s">
        <v>3569</v>
      </c>
      <c r="B1589" t="s">
        <v>3570</v>
      </c>
    </row>
    <row r="1590" spans="1:2" x14ac:dyDescent="0.25">
      <c r="A1590" t="s">
        <v>3571</v>
      </c>
      <c r="B1590" t="s">
        <v>3572</v>
      </c>
    </row>
    <row r="1591" spans="1:2" x14ac:dyDescent="0.25">
      <c r="A1591" t="s">
        <v>3573</v>
      </c>
      <c r="B1591" t="s">
        <v>3574</v>
      </c>
    </row>
    <row r="1592" spans="1:2" x14ac:dyDescent="0.25">
      <c r="A1592" t="s">
        <v>3575</v>
      </c>
      <c r="B1592" t="s">
        <v>3576</v>
      </c>
    </row>
    <row r="1593" spans="1:2" x14ac:dyDescent="0.25">
      <c r="A1593" t="s">
        <v>3577</v>
      </c>
      <c r="B1593" t="s">
        <v>710</v>
      </c>
    </row>
    <row r="1594" spans="1:2" x14ac:dyDescent="0.25">
      <c r="A1594" t="s">
        <v>3578</v>
      </c>
      <c r="B1594" t="s">
        <v>3579</v>
      </c>
    </row>
    <row r="1595" spans="1:2" x14ac:dyDescent="0.25">
      <c r="A1595" t="s">
        <v>3580</v>
      </c>
      <c r="B1595" t="s">
        <v>3581</v>
      </c>
    </row>
    <row r="1596" spans="1:2" x14ac:dyDescent="0.25">
      <c r="A1596" t="s">
        <v>3582</v>
      </c>
      <c r="B1596" t="s">
        <v>3583</v>
      </c>
    </row>
    <row r="1597" spans="1:2" x14ac:dyDescent="0.25">
      <c r="A1597" t="s">
        <v>3584</v>
      </c>
      <c r="B1597" t="s">
        <v>3585</v>
      </c>
    </row>
    <row r="1598" spans="1:2" x14ac:dyDescent="0.25">
      <c r="A1598" t="s">
        <v>3586</v>
      </c>
      <c r="B1598" t="s">
        <v>3587</v>
      </c>
    </row>
    <row r="1599" spans="1:2" x14ac:dyDescent="0.25">
      <c r="A1599" t="s">
        <v>3588</v>
      </c>
      <c r="B1599" t="s">
        <v>3589</v>
      </c>
    </row>
    <row r="1600" spans="1:2" x14ac:dyDescent="0.25">
      <c r="A1600" t="s">
        <v>3590</v>
      </c>
      <c r="B1600" t="s">
        <v>3591</v>
      </c>
    </row>
    <row r="1601" spans="1:2" x14ac:dyDescent="0.25">
      <c r="A1601" t="s">
        <v>3592</v>
      </c>
      <c r="B1601" t="s">
        <v>3593</v>
      </c>
    </row>
    <row r="1602" spans="1:2" x14ac:dyDescent="0.25">
      <c r="A1602" t="s">
        <v>3594</v>
      </c>
      <c r="B1602" t="s">
        <v>3595</v>
      </c>
    </row>
    <row r="1603" spans="1:2" x14ac:dyDescent="0.25">
      <c r="A1603" t="s">
        <v>3596</v>
      </c>
      <c r="B1603" t="s">
        <v>3597</v>
      </c>
    </row>
    <row r="1604" spans="1:2" x14ac:dyDescent="0.25">
      <c r="A1604" t="s">
        <v>3598</v>
      </c>
      <c r="B1604" t="s">
        <v>3599</v>
      </c>
    </row>
    <row r="1605" spans="1:2" x14ac:dyDescent="0.25">
      <c r="A1605" t="s">
        <v>3600</v>
      </c>
      <c r="B1605" t="s">
        <v>3601</v>
      </c>
    </row>
    <row r="1606" spans="1:2" x14ac:dyDescent="0.25">
      <c r="A1606" t="s">
        <v>3602</v>
      </c>
      <c r="B1606" t="s">
        <v>3603</v>
      </c>
    </row>
    <row r="1607" spans="1:2" x14ac:dyDescent="0.25">
      <c r="A1607" t="s">
        <v>3604</v>
      </c>
      <c r="B1607" t="s">
        <v>3605</v>
      </c>
    </row>
    <row r="1608" spans="1:2" x14ac:dyDescent="0.25">
      <c r="A1608" t="s">
        <v>3606</v>
      </c>
      <c r="B1608" t="s">
        <v>3607</v>
      </c>
    </row>
    <row r="1609" spans="1:2" x14ac:dyDescent="0.25">
      <c r="A1609" t="s">
        <v>3608</v>
      </c>
      <c r="B1609" t="s">
        <v>383</v>
      </c>
    </row>
    <row r="1610" spans="1:2" x14ac:dyDescent="0.25">
      <c r="A1610" t="s">
        <v>3609</v>
      </c>
      <c r="B1610" t="s">
        <v>3610</v>
      </c>
    </row>
    <row r="1611" spans="1:2" x14ac:dyDescent="0.25">
      <c r="A1611" t="s">
        <v>3611</v>
      </c>
      <c r="B1611" t="s">
        <v>3612</v>
      </c>
    </row>
    <row r="1612" spans="1:2" x14ac:dyDescent="0.25">
      <c r="A1612" t="s">
        <v>3613</v>
      </c>
      <c r="B1612" t="s">
        <v>3614</v>
      </c>
    </row>
    <row r="1613" spans="1:2" x14ac:dyDescent="0.25">
      <c r="A1613" t="s">
        <v>3615</v>
      </c>
      <c r="B1613" t="s">
        <v>3616</v>
      </c>
    </row>
    <row r="1614" spans="1:2" x14ac:dyDescent="0.25">
      <c r="A1614" t="s">
        <v>3617</v>
      </c>
      <c r="B1614" t="s">
        <v>3618</v>
      </c>
    </row>
    <row r="1615" spans="1:2" x14ac:dyDescent="0.25">
      <c r="A1615" t="s">
        <v>3619</v>
      </c>
      <c r="B1615" t="s">
        <v>3620</v>
      </c>
    </row>
    <row r="1616" spans="1:2" x14ac:dyDescent="0.25">
      <c r="A1616" t="s">
        <v>3621</v>
      </c>
      <c r="B1616" t="s">
        <v>3622</v>
      </c>
    </row>
    <row r="1617" spans="1:2" x14ac:dyDescent="0.25">
      <c r="A1617" t="s">
        <v>3623</v>
      </c>
      <c r="B1617" t="s">
        <v>3624</v>
      </c>
    </row>
    <row r="1618" spans="1:2" x14ac:dyDescent="0.25">
      <c r="A1618" t="s">
        <v>3625</v>
      </c>
      <c r="B1618" t="s">
        <v>3626</v>
      </c>
    </row>
    <row r="1619" spans="1:2" x14ac:dyDescent="0.25">
      <c r="A1619" t="s">
        <v>3627</v>
      </c>
      <c r="B1619" t="s">
        <v>3628</v>
      </c>
    </row>
    <row r="1620" spans="1:2" x14ac:dyDescent="0.25">
      <c r="A1620" t="s">
        <v>3629</v>
      </c>
      <c r="B1620" t="s">
        <v>3630</v>
      </c>
    </row>
    <row r="1621" spans="1:2" x14ac:dyDescent="0.25">
      <c r="A1621" t="s">
        <v>3631</v>
      </c>
      <c r="B1621" t="s">
        <v>3632</v>
      </c>
    </row>
    <row r="1622" spans="1:2" x14ac:dyDescent="0.25">
      <c r="A1622" t="s">
        <v>3633</v>
      </c>
      <c r="B1622" t="s">
        <v>3634</v>
      </c>
    </row>
    <row r="1623" spans="1:2" x14ac:dyDescent="0.25">
      <c r="A1623" t="s">
        <v>3635</v>
      </c>
      <c r="B1623" t="s">
        <v>3636</v>
      </c>
    </row>
    <row r="1624" spans="1:2" x14ac:dyDescent="0.25">
      <c r="A1624" t="s">
        <v>3637</v>
      </c>
      <c r="B1624" t="s">
        <v>3638</v>
      </c>
    </row>
    <row r="1625" spans="1:2" x14ac:dyDescent="0.25">
      <c r="A1625" t="s">
        <v>3639</v>
      </c>
      <c r="B1625" t="s">
        <v>3640</v>
      </c>
    </row>
    <row r="1626" spans="1:2" x14ac:dyDescent="0.25">
      <c r="A1626" t="s">
        <v>3641</v>
      </c>
      <c r="B1626" t="s">
        <v>386</v>
      </c>
    </row>
    <row r="1627" spans="1:2" x14ac:dyDescent="0.25">
      <c r="A1627" t="s">
        <v>3642</v>
      </c>
      <c r="B1627" t="s">
        <v>387</v>
      </c>
    </row>
    <row r="1628" spans="1:2" x14ac:dyDescent="0.25">
      <c r="A1628" t="s">
        <v>3643</v>
      </c>
      <c r="B1628" t="s">
        <v>3644</v>
      </c>
    </row>
    <row r="1629" spans="1:2" x14ac:dyDescent="0.25">
      <c r="A1629" t="s">
        <v>3645</v>
      </c>
      <c r="B1629" t="s">
        <v>3646</v>
      </c>
    </row>
    <row r="1630" spans="1:2" x14ac:dyDescent="0.25">
      <c r="A1630" t="s">
        <v>3647</v>
      </c>
      <c r="B1630" t="s">
        <v>3648</v>
      </c>
    </row>
    <row r="1631" spans="1:2" x14ac:dyDescent="0.25">
      <c r="A1631" t="s">
        <v>3649</v>
      </c>
      <c r="B1631" t="s">
        <v>3650</v>
      </c>
    </row>
    <row r="1632" spans="1:2" x14ac:dyDescent="0.25">
      <c r="A1632" t="s">
        <v>3651</v>
      </c>
      <c r="B1632" t="s">
        <v>3652</v>
      </c>
    </row>
    <row r="1633" spans="1:2" x14ac:dyDescent="0.25">
      <c r="A1633" t="s">
        <v>3653</v>
      </c>
      <c r="B1633" t="s">
        <v>95</v>
      </c>
    </row>
    <row r="1634" spans="1:2" x14ac:dyDescent="0.25">
      <c r="A1634" t="s">
        <v>3654</v>
      </c>
      <c r="B1634" t="s">
        <v>3655</v>
      </c>
    </row>
    <row r="1635" spans="1:2" x14ac:dyDescent="0.25">
      <c r="A1635" t="s">
        <v>3656</v>
      </c>
      <c r="B1635" t="s">
        <v>3657</v>
      </c>
    </row>
    <row r="1636" spans="1:2" x14ac:dyDescent="0.25">
      <c r="A1636" t="s">
        <v>3658</v>
      </c>
      <c r="B1636" t="s">
        <v>579</v>
      </c>
    </row>
    <row r="1637" spans="1:2" x14ac:dyDescent="0.25">
      <c r="A1637" t="s">
        <v>3659</v>
      </c>
      <c r="B1637" t="s">
        <v>3660</v>
      </c>
    </row>
    <row r="1638" spans="1:2" x14ac:dyDescent="0.25">
      <c r="A1638" t="s">
        <v>3661</v>
      </c>
      <c r="B1638" t="s">
        <v>3662</v>
      </c>
    </row>
    <row r="1639" spans="1:2" x14ac:dyDescent="0.25">
      <c r="A1639" t="s">
        <v>3663</v>
      </c>
      <c r="B1639" t="s">
        <v>3664</v>
      </c>
    </row>
    <row r="1640" spans="1:2" x14ac:dyDescent="0.25">
      <c r="A1640" t="s">
        <v>3665</v>
      </c>
      <c r="B1640" t="s">
        <v>3666</v>
      </c>
    </row>
    <row r="1641" spans="1:2" x14ac:dyDescent="0.25">
      <c r="A1641" t="s">
        <v>3667</v>
      </c>
      <c r="B1641" t="s">
        <v>3668</v>
      </c>
    </row>
    <row r="1642" spans="1:2" x14ac:dyDescent="0.25">
      <c r="A1642" t="s">
        <v>3669</v>
      </c>
      <c r="B1642" t="s">
        <v>3670</v>
      </c>
    </row>
    <row r="1643" spans="1:2" x14ac:dyDescent="0.25">
      <c r="A1643" t="s">
        <v>3671</v>
      </c>
      <c r="B1643" t="s">
        <v>3672</v>
      </c>
    </row>
    <row r="1644" spans="1:2" x14ac:dyDescent="0.25">
      <c r="A1644" t="s">
        <v>3673</v>
      </c>
      <c r="B1644" t="s">
        <v>3674</v>
      </c>
    </row>
    <row r="1645" spans="1:2" x14ac:dyDescent="0.25">
      <c r="A1645" t="s">
        <v>3675</v>
      </c>
      <c r="B1645" t="s">
        <v>3676</v>
      </c>
    </row>
    <row r="1646" spans="1:2" x14ac:dyDescent="0.25">
      <c r="A1646" t="s">
        <v>3677</v>
      </c>
      <c r="B1646" t="s">
        <v>3678</v>
      </c>
    </row>
    <row r="1647" spans="1:2" x14ac:dyDescent="0.25">
      <c r="A1647" t="s">
        <v>3679</v>
      </c>
      <c r="B1647" t="s">
        <v>712</v>
      </c>
    </row>
    <row r="1648" spans="1:2" x14ac:dyDescent="0.25">
      <c r="A1648" t="s">
        <v>3680</v>
      </c>
      <c r="B1648" t="s">
        <v>3681</v>
      </c>
    </row>
    <row r="1649" spans="1:2" x14ac:dyDescent="0.25">
      <c r="A1649" t="s">
        <v>3682</v>
      </c>
      <c r="B1649" t="s">
        <v>3683</v>
      </c>
    </row>
    <row r="1650" spans="1:2" x14ac:dyDescent="0.25">
      <c r="A1650" t="s">
        <v>3684</v>
      </c>
      <c r="B1650" t="s">
        <v>3685</v>
      </c>
    </row>
    <row r="1651" spans="1:2" x14ac:dyDescent="0.25">
      <c r="A1651" t="s">
        <v>3686</v>
      </c>
      <c r="B1651" t="s">
        <v>3687</v>
      </c>
    </row>
    <row r="1652" spans="1:2" x14ac:dyDescent="0.25">
      <c r="A1652" t="s">
        <v>3688</v>
      </c>
      <c r="B1652" t="s">
        <v>3689</v>
      </c>
    </row>
    <row r="1653" spans="1:2" x14ac:dyDescent="0.25">
      <c r="A1653" t="s">
        <v>3690</v>
      </c>
      <c r="B1653" t="s">
        <v>3691</v>
      </c>
    </row>
    <row r="1654" spans="1:2" x14ac:dyDescent="0.25">
      <c r="A1654" t="s">
        <v>3692</v>
      </c>
      <c r="B1654" t="s">
        <v>3693</v>
      </c>
    </row>
    <row r="1655" spans="1:2" x14ac:dyDescent="0.25">
      <c r="A1655" t="s">
        <v>3694</v>
      </c>
      <c r="B1655" t="s">
        <v>3695</v>
      </c>
    </row>
    <row r="1656" spans="1:2" x14ac:dyDescent="0.25">
      <c r="A1656" t="s">
        <v>3696</v>
      </c>
      <c r="B1656" t="s">
        <v>3697</v>
      </c>
    </row>
    <row r="1657" spans="1:2" x14ac:dyDescent="0.25">
      <c r="A1657" t="s">
        <v>3698</v>
      </c>
      <c r="B1657" t="s">
        <v>3699</v>
      </c>
    </row>
    <row r="1658" spans="1:2" x14ac:dyDescent="0.25">
      <c r="A1658" t="s">
        <v>3700</v>
      </c>
      <c r="B1658" t="s">
        <v>3701</v>
      </c>
    </row>
    <row r="1659" spans="1:2" x14ac:dyDescent="0.25">
      <c r="A1659" t="s">
        <v>3702</v>
      </c>
      <c r="B1659" t="s">
        <v>3703</v>
      </c>
    </row>
    <row r="1660" spans="1:2" x14ac:dyDescent="0.25">
      <c r="A1660" t="s">
        <v>3704</v>
      </c>
      <c r="B1660" t="s">
        <v>3705</v>
      </c>
    </row>
    <row r="1661" spans="1:2" x14ac:dyDescent="0.25">
      <c r="A1661" t="s">
        <v>3706</v>
      </c>
      <c r="B1661" t="s">
        <v>3707</v>
      </c>
    </row>
    <row r="1662" spans="1:2" x14ac:dyDescent="0.25">
      <c r="A1662" t="s">
        <v>3708</v>
      </c>
      <c r="B1662" t="s">
        <v>3709</v>
      </c>
    </row>
    <row r="1663" spans="1:2" x14ac:dyDescent="0.25">
      <c r="A1663" t="s">
        <v>3710</v>
      </c>
      <c r="B1663" t="s">
        <v>3711</v>
      </c>
    </row>
    <row r="1664" spans="1:2" x14ac:dyDescent="0.25">
      <c r="A1664" t="s">
        <v>3712</v>
      </c>
      <c r="B1664" t="s">
        <v>3713</v>
      </c>
    </row>
    <row r="1665" spans="1:2" x14ac:dyDescent="0.25">
      <c r="A1665" t="s">
        <v>3714</v>
      </c>
      <c r="B1665" t="s">
        <v>3715</v>
      </c>
    </row>
    <row r="1666" spans="1:2" x14ac:dyDescent="0.25">
      <c r="A1666" t="s">
        <v>3716</v>
      </c>
      <c r="B1666" t="s">
        <v>3717</v>
      </c>
    </row>
    <row r="1667" spans="1:2" x14ac:dyDescent="0.25">
      <c r="A1667" t="s">
        <v>3718</v>
      </c>
      <c r="B1667" t="s">
        <v>3719</v>
      </c>
    </row>
    <row r="1668" spans="1:2" x14ac:dyDescent="0.25">
      <c r="A1668" t="s">
        <v>3720</v>
      </c>
      <c r="B1668" t="s">
        <v>3721</v>
      </c>
    </row>
    <row r="1669" spans="1:2" x14ac:dyDescent="0.25">
      <c r="A1669" t="s">
        <v>3722</v>
      </c>
      <c r="B1669" t="s">
        <v>3723</v>
      </c>
    </row>
    <row r="1670" spans="1:2" x14ac:dyDescent="0.25">
      <c r="A1670" t="s">
        <v>3724</v>
      </c>
      <c r="B1670" t="s">
        <v>3725</v>
      </c>
    </row>
    <row r="1671" spans="1:2" x14ac:dyDescent="0.25">
      <c r="A1671" t="s">
        <v>3726</v>
      </c>
      <c r="B1671" t="s">
        <v>98</v>
      </c>
    </row>
    <row r="1672" spans="1:2" x14ac:dyDescent="0.25">
      <c r="A1672" t="s">
        <v>3727</v>
      </c>
      <c r="B1672" t="s">
        <v>3728</v>
      </c>
    </row>
    <row r="1673" spans="1:2" x14ac:dyDescent="0.25">
      <c r="A1673" t="s">
        <v>3729</v>
      </c>
      <c r="B1673" t="s">
        <v>3730</v>
      </c>
    </row>
    <row r="1674" spans="1:2" x14ac:dyDescent="0.25">
      <c r="A1674" t="s">
        <v>3731</v>
      </c>
      <c r="B1674" t="s">
        <v>3732</v>
      </c>
    </row>
    <row r="1675" spans="1:2" x14ac:dyDescent="0.25">
      <c r="A1675" t="s">
        <v>3733</v>
      </c>
      <c r="B1675" t="s">
        <v>3734</v>
      </c>
    </row>
    <row r="1676" spans="1:2" x14ac:dyDescent="0.25">
      <c r="A1676" t="s">
        <v>3735</v>
      </c>
      <c r="B1676" t="s">
        <v>3736</v>
      </c>
    </row>
    <row r="1677" spans="1:2" x14ac:dyDescent="0.25">
      <c r="A1677" t="s">
        <v>3737</v>
      </c>
      <c r="B1677" t="s">
        <v>487</v>
      </c>
    </row>
    <row r="1678" spans="1:2" x14ac:dyDescent="0.25">
      <c r="A1678" t="s">
        <v>3738</v>
      </c>
      <c r="B1678" t="s">
        <v>580</v>
      </c>
    </row>
    <row r="1679" spans="1:2" x14ac:dyDescent="0.25">
      <c r="A1679" t="s">
        <v>3739</v>
      </c>
      <c r="B1679" t="s">
        <v>104</v>
      </c>
    </row>
    <row r="1680" spans="1:2" x14ac:dyDescent="0.25">
      <c r="A1680" t="s">
        <v>3740</v>
      </c>
      <c r="B1680" t="s">
        <v>3741</v>
      </c>
    </row>
    <row r="1681" spans="1:2" x14ac:dyDescent="0.25">
      <c r="A1681" t="s">
        <v>3742</v>
      </c>
      <c r="B1681" t="s">
        <v>3743</v>
      </c>
    </row>
    <row r="1682" spans="1:2" x14ac:dyDescent="0.25">
      <c r="A1682" t="s">
        <v>3744</v>
      </c>
      <c r="B1682" t="s">
        <v>3745</v>
      </c>
    </row>
    <row r="1683" spans="1:2" x14ac:dyDescent="0.25">
      <c r="A1683" t="s">
        <v>3746</v>
      </c>
      <c r="B1683" t="s">
        <v>3747</v>
      </c>
    </row>
    <row r="1684" spans="1:2" x14ac:dyDescent="0.25">
      <c r="A1684" t="s">
        <v>3748</v>
      </c>
      <c r="B1684" t="s">
        <v>3749</v>
      </c>
    </row>
    <row r="1685" spans="1:2" x14ac:dyDescent="0.25">
      <c r="A1685" t="s">
        <v>3750</v>
      </c>
      <c r="B1685" t="s">
        <v>3751</v>
      </c>
    </row>
    <row r="1686" spans="1:2" x14ac:dyDescent="0.25">
      <c r="A1686" t="s">
        <v>3752</v>
      </c>
      <c r="B1686" t="s">
        <v>3753</v>
      </c>
    </row>
    <row r="1687" spans="1:2" x14ac:dyDescent="0.25">
      <c r="A1687" t="s">
        <v>3754</v>
      </c>
      <c r="B1687" t="s">
        <v>3755</v>
      </c>
    </row>
    <row r="1688" spans="1:2" x14ac:dyDescent="0.25">
      <c r="A1688" t="s">
        <v>3756</v>
      </c>
      <c r="B1688" t="s">
        <v>3757</v>
      </c>
    </row>
    <row r="1689" spans="1:2" x14ac:dyDescent="0.25">
      <c r="A1689" t="s">
        <v>3758</v>
      </c>
      <c r="B1689" t="s">
        <v>3759</v>
      </c>
    </row>
    <row r="1690" spans="1:2" x14ac:dyDescent="0.25">
      <c r="A1690" t="s">
        <v>3760</v>
      </c>
      <c r="B1690" t="s">
        <v>3761</v>
      </c>
    </row>
    <row r="1691" spans="1:2" x14ac:dyDescent="0.25">
      <c r="A1691" t="s">
        <v>3762</v>
      </c>
      <c r="B1691" t="s">
        <v>3763</v>
      </c>
    </row>
    <row r="1692" spans="1:2" x14ac:dyDescent="0.25">
      <c r="A1692" t="s">
        <v>3764</v>
      </c>
      <c r="B1692" t="s">
        <v>3765</v>
      </c>
    </row>
    <row r="1693" spans="1:2" x14ac:dyDescent="0.25">
      <c r="A1693" t="s">
        <v>3766</v>
      </c>
      <c r="B1693" t="s">
        <v>3767</v>
      </c>
    </row>
    <row r="1694" spans="1:2" x14ac:dyDescent="0.25">
      <c r="A1694" t="s">
        <v>3768</v>
      </c>
      <c r="B1694" t="s">
        <v>3769</v>
      </c>
    </row>
    <row r="1695" spans="1:2" x14ac:dyDescent="0.25">
      <c r="A1695" t="s">
        <v>3770</v>
      </c>
      <c r="B1695" t="s">
        <v>3771</v>
      </c>
    </row>
    <row r="1696" spans="1:2" x14ac:dyDescent="0.25">
      <c r="A1696" t="s">
        <v>3772</v>
      </c>
      <c r="B1696" t="s">
        <v>3773</v>
      </c>
    </row>
    <row r="1697" spans="1:2" x14ac:dyDescent="0.25">
      <c r="A1697" t="s">
        <v>3774</v>
      </c>
      <c r="B1697" t="s">
        <v>3775</v>
      </c>
    </row>
    <row r="1698" spans="1:2" x14ac:dyDescent="0.25">
      <c r="A1698" t="s">
        <v>3776</v>
      </c>
      <c r="B1698" t="s">
        <v>3777</v>
      </c>
    </row>
    <row r="1699" spans="1:2" x14ac:dyDescent="0.25">
      <c r="A1699" t="s">
        <v>3778</v>
      </c>
      <c r="B1699" t="s">
        <v>3779</v>
      </c>
    </row>
    <row r="1700" spans="1:2" x14ac:dyDescent="0.25">
      <c r="A1700" t="s">
        <v>3780</v>
      </c>
      <c r="B1700" t="s">
        <v>3781</v>
      </c>
    </row>
    <row r="1701" spans="1:2" x14ac:dyDescent="0.25">
      <c r="A1701" t="s">
        <v>3782</v>
      </c>
      <c r="B1701" t="s">
        <v>3783</v>
      </c>
    </row>
    <row r="1702" spans="1:2" x14ac:dyDescent="0.25">
      <c r="A1702" t="s">
        <v>3784</v>
      </c>
      <c r="B1702" t="s">
        <v>3785</v>
      </c>
    </row>
    <row r="1703" spans="1:2" x14ac:dyDescent="0.25">
      <c r="A1703" t="s">
        <v>3786</v>
      </c>
      <c r="B1703" t="s">
        <v>3787</v>
      </c>
    </row>
    <row r="1704" spans="1:2" x14ac:dyDescent="0.25">
      <c r="A1704" t="s">
        <v>3788</v>
      </c>
      <c r="B1704" t="s">
        <v>3789</v>
      </c>
    </row>
    <row r="1705" spans="1:2" x14ac:dyDescent="0.25">
      <c r="A1705" t="s">
        <v>3790</v>
      </c>
      <c r="B1705" t="s">
        <v>3791</v>
      </c>
    </row>
    <row r="1706" spans="1:2" x14ac:dyDescent="0.25">
      <c r="A1706" t="s">
        <v>3792</v>
      </c>
      <c r="B1706" t="s">
        <v>3793</v>
      </c>
    </row>
    <row r="1707" spans="1:2" x14ac:dyDescent="0.25">
      <c r="A1707" t="s">
        <v>3794</v>
      </c>
      <c r="B1707" t="s">
        <v>3795</v>
      </c>
    </row>
    <row r="1708" spans="1:2" x14ac:dyDescent="0.25">
      <c r="A1708" t="s">
        <v>3796</v>
      </c>
      <c r="B1708" t="s">
        <v>3797</v>
      </c>
    </row>
    <row r="1709" spans="1:2" x14ac:dyDescent="0.25">
      <c r="A1709" t="s">
        <v>3798</v>
      </c>
      <c r="B1709" t="s">
        <v>3799</v>
      </c>
    </row>
    <row r="1710" spans="1:2" x14ac:dyDescent="0.25">
      <c r="A1710" t="s">
        <v>3800</v>
      </c>
      <c r="B1710" t="s">
        <v>3801</v>
      </c>
    </row>
    <row r="1711" spans="1:2" x14ac:dyDescent="0.25">
      <c r="A1711" t="s">
        <v>3802</v>
      </c>
      <c r="B1711" t="s">
        <v>3803</v>
      </c>
    </row>
    <row r="1712" spans="1:2" x14ac:dyDescent="0.25">
      <c r="A1712" t="s">
        <v>3804</v>
      </c>
      <c r="B1712" t="s">
        <v>3805</v>
      </c>
    </row>
    <row r="1713" spans="1:2" x14ac:dyDescent="0.25">
      <c r="A1713" t="s">
        <v>3806</v>
      </c>
      <c r="B1713" t="s">
        <v>3807</v>
      </c>
    </row>
    <row r="1714" spans="1:2" x14ac:dyDescent="0.25">
      <c r="A1714" t="s">
        <v>3808</v>
      </c>
      <c r="B1714" t="s">
        <v>489</v>
      </c>
    </row>
    <row r="1715" spans="1:2" x14ac:dyDescent="0.25">
      <c r="A1715" t="s">
        <v>3809</v>
      </c>
      <c r="B1715" t="s">
        <v>3810</v>
      </c>
    </row>
    <row r="1716" spans="1:2" x14ac:dyDescent="0.25">
      <c r="A1716" t="s">
        <v>3811</v>
      </c>
      <c r="B1716" t="s">
        <v>3812</v>
      </c>
    </row>
    <row r="1717" spans="1:2" x14ac:dyDescent="0.25">
      <c r="A1717" t="s">
        <v>3813</v>
      </c>
      <c r="B1717" t="s">
        <v>3814</v>
      </c>
    </row>
    <row r="1718" spans="1:2" x14ac:dyDescent="0.25">
      <c r="A1718" t="s">
        <v>3815</v>
      </c>
      <c r="B1718" t="s">
        <v>3816</v>
      </c>
    </row>
    <row r="1719" spans="1:2" x14ac:dyDescent="0.25">
      <c r="A1719" t="s">
        <v>3817</v>
      </c>
      <c r="B1719" t="s">
        <v>3818</v>
      </c>
    </row>
    <row r="1720" spans="1:2" x14ac:dyDescent="0.25">
      <c r="A1720" t="s">
        <v>3819</v>
      </c>
      <c r="B1720" t="s">
        <v>3820</v>
      </c>
    </row>
    <row r="1721" spans="1:2" x14ac:dyDescent="0.25">
      <c r="A1721" t="s">
        <v>3821</v>
      </c>
      <c r="B1721" t="s">
        <v>3822</v>
      </c>
    </row>
    <row r="1722" spans="1:2" x14ac:dyDescent="0.25">
      <c r="A1722" t="s">
        <v>3823</v>
      </c>
      <c r="B1722" t="s">
        <v>3824</v>
      </c>
    </row>
    <row r="1723" spans="1:2" x14ac:dyDescent="0.25">
      <c r="A1723" t="s">
        <v>3825</v>
      </c>
      <c r="B1723" t="s">
        <v>3826</v>
      </c>
    </row>
    <row r="1724" spans="1:2" x14ac:dyDescent="0.25">
      <c r="A1724" t="s">
        <v>3827</v>
      </c>
      <c r="B1724" t="s">
        <v>3828</v>
      </c>
    </row>
    <row r="1725" spans="1:2" x14ac:dyDescent="0.25">
      <c r="A1725" t="s">
        <v>3829</v>
      </c>
      <c r="B1725" t="s">
        <v>3830</v>
      </c>
    </row>
    <row r="1726" spans="1:2" x14ac:dyDescent="0.25">
      <c r="A1726" t="s">
        <v>3831</v>
      </c>
      <c r="B1726" t="s">
        <v>106</v>
      </c>
    </row>
    <row r="1727" spans="1:2" x14ac:dyDescent="0.25">
      <c r="A1727" t="s">
        <v>3832</v>
      </c>
      <c r="B1727" t="s">
        <v>3833</v>
      </c>
    </row>
    <row r="1728" spans="1:2" x14ac:dyDescent="0.25">
      <c r="A1728" t="s">
        <v>3834</v>
      </c>
      <c r="B1728" t="s">
        <v>3835</v>
      </c>
    </row>
    <row r="1729" spans="1:2" x14ac:dyDescent="0.25">
      <c r="A1729" t="s">
        <v>3836</v>
      </c>
      <c r="B1729" t="s">
        <v>3837</v>
      </c>
    </row>
    <row r="1730" spans="1:2" x14ac:dyDescent="0.25">
      <c r="A1730" t="s">
        <v>3838</v>
      </c>
      <c r="B1730" t="s">
        <v>3839</v>
      </c>
    </row>
    <row r="1731" spans="1:2" x14ac:dyDescent="0.25">
      <c r="A1731" t="s">
        <v>3840</v>
      </c>
      <c r="B1731" t="s">
        <v>442</v>
      </c>
    </row>
    <row r="1732" spans="1:2" x14ac:dyDescent="0.25">
      <c r="A1732" t="s">
        <v>3841</v>
      </c>
      <c r="B1732" t="s">
        <v>3842</v>
      </c>
    </row>
    <row r="1733" spans="1:2" x14ac:dyDescent="0.25">
      <c r="A1733" t="s">
        <v>3843</v>
      </c>
      <c r="B1733" t="s">
        <v>3844</v>
      </c>
    </row>
    <row r="1734" spans="1:2" x14ac:dyDescent="0.25">
      <c r="A1734" t="s">
        <v>3845</v>
      </c>
      <c r="B1734" t="s">
        <v>3846</v>
      </c>
    </row>
    <row r="1735" spans="1:2" x14ac:dyDescent="0.25">
      <c r="A1735" t="s">
        <v>3847</v>
      </c>
      <c r="B1735" t="s">
        <v>3848</v>
      </c>
    </row>
    <row r="1736" spans="1:2" x14ac:dyDescent="0.25">
      <c r="A1736" t="s">
        <v>3849</v>
      </c>
      <c r="B1736" t="s">
        <v>3850</v>
      </c>
    </row>
    <row r="1737" spans="1:2" x14ac:dyDescent="0.25">
      <c r="A1737" t="s">
        <v>3851</v>
      </c>
      <c r="B1737" t="s">
        <v>3852</v>
      </c>
    </row>
    <row r="1738" spans="1:2" x14ac:dyDescent="0.25">
      <c r="A1738" t="s">
        <v>3853</v>
      </c>
      <c r="B1738" t="s">
        <v>3854</v>
      </c>
    </row>
    <row r="1739" spans="1:2" x14ac:dyDescent="0.25">
      <c r="A1739" t="s">
        <v>3855</v>
      </c>
      <c r="B1739" t="s">
        <v>3856</v>
      </c>
    </row>
    <row r="1740" spans="1:2" x14ac:dyDescent="0.25">
      <c r="A1740" t="s">
        <v>3857</v>
      </c>
      <c r="B1740" t="s">
        <v>490</v>
      </c>
    </row>
    <row r="1741" spans="1:2" x14ac:dyDescent="0.25">
      <c r="A1741" t="s">
        <v>3858</v>
      </c>
      <c r="B1741" t="s">
        <v>3859</v>
      </c>
    </row>
    <row r="1742" spans="1:2" x14ac:dyDescent="0.25">
      <c r="A1742" t="s">
        <v>3860</v>
      </c>
      <c r="B1742" t="s">
        <v>3861</v>
      </c>
    </row>
    <row r="1743" spans="1:2" x14ac:dyDescent="0.25">
      <c r="A1743" t="s">
        <v>3862</v>
      </c>
      <c r="B1743" t="s">
        <v>3863</v>
      </c>
    </row>
    <row r="1744" spans="1:2" x14ac:dyDescent="0.25">
      <c r="A1744" t="s">
        <v>3864</v>
      </c>
      <c r="B1744" t="s">
        <v>654</v>
      </c>
    </row>
    <row r="1745" spans="1:2" x14ac:dyDescent="0.25">
      <c r="A1745" t="s">
        <v>3865</v>
      </c>
      <c r="B1745" t="s">
        <v>3866</v>
      </c>
    </row>
    <row r="1746" spans="1:2" x14ac:dyDescent="0.25">
      <c r="A1746" t="s">
        <v>3867</v>
      </c>
      <c r="B1746" t="s">
        <v>3868</v>
      </c>
    </row>
    <row r="1747" spans="1:2" x14ac:dyDescent="0.25">
      <c r="A1747" t="s">
        <v>3869</v>
      </c>
      <c r="B1747" t="s">
        <v>3870</v>
      </c>
    </row>
    <row r="1748" spans="1:2" x14ac:dyDescent="0.25">
      <c r="A1748" t="s">
        <v>3871</v>
      </c>
      <c r="B1748" t="s">
        <v>3872</v>
      </c>
    </row>
    <row r="1749" spans="1:2" x14ac:dyDescent="0.25">
      <c r="A1749" t="s">
        <v>3873</v>
      </c>
      <c r="B1749" t="s">
        <v>3874</v>
      </c>
    </row>
    <row r="1750" spans="1:2" x14ac:dyDescent="0.25">
      <c r="A1750" t="s">
        <v>3875</v>
      </c>
      <c r="B1750" t="s">
        <v>3876</v>
      </c>
    </row>
    <row r="1751" spans="1:2" x14ac:dyDescent="0.25">
      <c r="A1751" t="s">
        <v>3877</v>
      </c>
      <c r="B1751" t="s">
        <v>3878</v>
      </c>
    </row>
    <row r="1752" spans="1:2" x14ac:dyDescent="0.25">
      <c r="A1752" t="s">
        <v>3879</v>
      </c>
      <c r="B1752" t="s">
        <v>3880</v>
      </c>
    </row>
    <row r="1753" spans="1:2" x14ac:dyDescent="0.25">
      <c r="A1753" t="s">
        <v>3881</v>
      </c>
      <c r="B1753" t="s">
        <v>3882</v>
      </c>
    </row>
    <row r="1754" spans="1:2" x14ac:dyDescent="0.25">
      <c r="A1754" t="s">
        <v>3883</v>
      </c>
      <c r="B1754" t="s">
        <v>3884</v>
      </c>
    </row>
    <row r="1755" spans="1:2" x14ac:dyDescent="0.25">
      <c r="A1755" t="s">
        <v>3885</v>
      </c>
      <c r="B1755" t="s">
        <v>3886</v>
      </c>
    </row>
    <row r="1756" spans="1:2" x14ac:dyDescent="0.25">
      <c r="A1756" t="s">
        <v>3887</v>
      </c>
      <c r="B1756" t="s">
        <v>3888</v>
      </c>
    </row>
    <row r="1757" spans="1:2" x14ac:dyDescent="0.25">
      <c r="A1757" t="s">
        <v>3889</v>
      </c>
      <c r="B1757" t="s">
        <v>3890</v>
      </c>
    </row>
    <row r="1758" spans="1:2" x14ac:dyDescent="0.25">
      <c r="A1758" t="s">
        <v>3891</v>
      </c>
      <c r="B1758" t="s">
        <v>3892</v>
      </c>
    </row>
    <row r="1759" spans="1:2" x14ac:dyDescent="0.25">
      <c r="A1759" t="s">
        <v>3893</v>
      </c>
      <c r="B1759" t="s">
        <v>3894</v>
      </c>
    </row>
    <row r="1760" spans="1:2" x14ac:dyDescent="0.25">
      <c r="A1760" t="s">
        <v>3895</v>
      </c>
      <c r="B1760" t="s">
        <v>109</v>
      </c>
    </row>
    <row r="1761" spans="1:2" x14ac:dyDescent="0.25">
      <c r="A1761" t="s">
        <v>3896</v>
      </c>
      <c r="B1761" t="s">
        <v>491</v>
      </c>
    </row>
    <row r="1762" spans="1:2" x14ac:dyDescent="0.25">
      <c r="A1762" t="s">
        <v>3897</v>
      </c>
      <c r="B1762" t="s">
        <v>3898</v>
      </c>
    </row>
    <row r="1763" spans="1:2" x14ac:dyDescent="0.25">
      <c r="A1763" t="s">
        <v>3899</v>
      </c>
      <c r="B1763" t="s">
        <v>3900</v>
      </c>
    </row>
    <row r="1764" spans="1:2" x14ac:dyDescent="0.25">
      <c r="A1764" t="s">
        <v>3901</v>
      </c>
      <c r="B1764" t="s">
        <v>3902</v>
      </c>
    </row>
    <row r="1765" spans="1:2" x14ac:dyDescent="0.25">
      <c r="A1765" t="s">
        <v>3903</v>
      </c>
      <c r="B1765" t="s">
        <v>3904</v>
      </c>
    </row>
    <row r="1766" spans="1:2" x14ac:dyDescent="0.25">
      <c r="A1766" t="s">
        <v>3905</v>
      </c>
      <c r="B1766" t="s">
        <v>3906</v>
      </c>
    </row>
    <row r="1767" spans="1:2" x14ac:dyDescent="0.25">
      <c r="A1767" t="s">
        <v>3907</v>
      </c>
      <c r="B1767" t="s">
        <v>3908</v>
      </c>
    </row>
    <row r="1768" spans="1:2" x14ac:dyDescent="0.25">
      <c r="A1768" t="s">
        <v>3909</v>
      </c>
      <c r="B1768" t="s">
        <v>3910</v>
      </c>
    </row>
    <row r="1769" spans="1:2" x14ac:dyDescent="0.25">
      <c r="A1769" t="s">
        <v>3911</v>
      </c>
      <c r="B1769" t="s">
        <v>3912</v>
      </c>
    </row>
    <row r="1770" spans="1:2" x14ac:dyDescent="0.25">
      <c r="A1770" t="s">
        <v>3913</v>
      </c>
      <c r="B1770" t="s">
        <v>3914</v>
      </c>
    </row>
    <row r="1771" spans="1:2" x14ac:dyDescent="0.25">
      <c r="A1771" t="s">
        <v>3915</v>
      </c>
      <c r="B1771" t="s">
        <v>389</v>
      </c>
    </row>
    <row r="1772" spans="1:2" x14ac:dyDescent="0.25">
      <c r="A1772" t="s">
        <v>3916</v>
      </c>
      <c r="B1772" t="s">
        <v>3917</v>
      </c>
    </row>
    <row r="1773" spans="1:2" x14ac:dyDescent="0.25">
      <c r="A1773" t="s">
        <v>3918</v>
      </c>
      <c r="B1773" t="s">
        <v>3919</v>
      </c>
    </row>
    <row r="1774" spans="1:2" x14ac:dyDescent="0.25">
      <c r="A1774" t="s">
        <v>3920</v>
      </c>
      <c r="B1774" t="s">
        <v>3921</v>
      </c>
    </row>
    <row r="1775" spans="1:2" x14ac:dyDescent="0.25">
      <c r="A1775" t="s">
        <v>3922</v>
      </c>
      <c r="B1775" t="s">
        <v>3923</v>
      </c>
    </row>
    <row r="1776" spans="1:2" x14ac:dyDescent="0.25">
      <c r="A1776" t="s">
        <v>3924</v>
      </c>
      <c r="B1776" t="s">
        <v>3925</v>
      </c>
    </row>
    <row r="1777" spans="1:2" x14ac:dyDescent="0.25">
      <c r="A1777" t="s">
        <v>3926</v>
      </c>
      <c r="B1777" t="s">
        <v>3927</v>
      </c>
    </row>
    <row r="1778" spans="1:2" x14ac:dyDescent="0.25">
      <c r="A1778" t="s">
        <v>3928</v>
      </c>
      <c r="B1778" t="s">
        <v>3929</v>
      </c>
    </row>
    <row r="1779" spans="1:2" x14ac:dyDescent="0.25">
      <c r="A1779" t="s">
        <v>3930</v>
      </c>
      <c r="B1779" t="s">
        <v>3931</v>
      </c>
    </row>
    <row r="1780" spans="1:2" x14ac:dyDescent="0.25">
      <c r="A1780" t="s">
        <v>3932</v>
      </c>
      <c r="B1780" t="s">
        <v>3933</v>
      </c>
    </row>
    <row r="1781" spans="1:2" x14ac:dyDescent="0.25">
      <c r="A1781" t="s">
        <v>3934</v>
      </c>
      <c r="B1781" t="s">
        <v>3935</v>
      </c>
    </row>
    <row r="1782" spans="1:2" x14ac:dyDescent="0.25">
      <c r="A1782" t="s">
        <v>3936</v>
      </c>
      <c r="B1782" t="s">
        <v>492</v>
      </c>
    </row>
    <row r="1783" spans="1:2" x14ac:dyDescent="0.25">
      <c r="A1783" t="s">
        <v>3937</v>
      </c>
      <c r="B1783" t="s">
        <v>3938</v>
      </c>
    </row>
    <row r="1784" spans="1:2" x14ac:dyDescent="0.25">
      <c r="A1784" t="s">
        <v>3939</v>
      </c>
      <c r="B1784" t="s">
        <v>3940</v>
      </c>
    </row>
    <row r="1785" spans="1:2" x14ac:dyDescent="0.25">
      <c r="A1785" t="s">
        <v>3941</v>
      </c>
      <c r="B1785" t="s">
        <v>3942</v>
      </c>
    </row>
    <row r="1786" spans="1:2" x14ac:dyDescent="0.25">
      <c r="A1786" t="s">
        <v>3943</v>
      </c>
      <c r="B1786" t="s">
        <v>3944</v>
      </c>
    </row>
    <row r="1787" spans="1:2" x14ac:dyDescent="0.25">
      <c r="A1787" t="s">
        <v>3945</v>
      </c>
      <c r="B1787" t="s">
        <v>3946</v>
      </c>
    </row>
    <row r="1788" spans="1:2" x14ac:dyDescent="0.25">
      <c r="A1788" t="s">
        <v>3947</v>
      </c>
      <c r="B1788" t="s">
        <v>542</v>
      </c>
    </row>
    <row r="1789" spans="1:2" x14ac:dyDescent="0.25">
      <c r="A1789" t="s">
        <v>3948</v>
      </c>
      <c r="B1789" t="s">
        <v>3949</v>
      </c>
    </row>
    <row r="1790" spans="1:2" x14ac:dyDescent="0.25">
      <c r="A1790" t="s">
        <v>3950</v>
      </c>
      <c r="B1790" t="s">
        <v>3951</v>
      </c>
    </row>
    <row r="1791" spans="1:2" x14ac:dyDescent="0.25">
      <c r="A1791" t="s">
        <v>3952</v>
      </c>
      <c r="B1791" t="s">
        <v>3953</v>
      </c>
    </row>
    <row r="1792" spans="1:2" x14ac:dyDescent="0.25">
      <c r="A1792" t="s">
        <v>3954</v>
      </c>
      <c r="B1792" t="s">
        <v>3955</v>
      </c>
    </row>
    <row r="1793" spans="1:2" x14ac:dyDescent="0.25">
      <c r="A1793" t="s">
        <v>3956</v>
      </c>
      <c r="B1793" t="s">
        <v>3957</v>
      </c>
    </row>
    <row r="1794" spans="1:2" x14ac:dyDescent="0.25">
      <c r="A1794" t="s">
        <v>3958</v>
      </c>
      <c r="B1794" t="s">
        <v>3959</v>
      </c>
    </row>
    <row r="1795" spans="1:2" x14ac:dyDescent="0.25">
      <c r="A1795" t="s">
        <v>3960</v>
      </c>
      <c r="B1795" t="s">
        <v>3961</v>
      </c>
    </row>
    <row r="1796" spans="1:2" x14ac:dyDescent="0.25">
      <c r="A1796" t="s">
        <v>3962</v>
      </c>
      <c r="B1796" t="s">
        <v>3963</v>
      </c>
    </row>
    <row r="1797" spans="1:2" x14ac:dyDescent="0.25">
      <c r="A1797" t="s">
        <v>3964</v>
      </c>
      <c r="B1797" t="s">
        <v>3965</v>
      </c>
    </row>
    <row r="1798" spans="1:2" x14ac:dyDescent="0.25">
      <c r="A1798" t="s">
        <v>3966</v>
      </c>
      <c r="B1798" t="s">
        <v>3967</v>
      </c>
    </row>
    <row r="1799" spans="1:2" x14ac:dyDescent="0.25">
      <c r="A1799" t="s">
        <v>3968</v>
      </c>
      <c r="B1799" t="s">
        <v>3969</v>
      </c>
    </row>
    <row r="1800" spans="1:2" x14ac:dyDescent="0.25">
      <c r="A1800" t="s">
        <v>3970</v>
      </c>
      <c r="B1800" t="s">
        <v>3971</v>
      </c>
    </row>
    <row r="1801" spans="1:2" x14ac:dyDescent="0.25">
      <c r="A1801" t="s">
        <v>3972</v>
      </c>
      <c r="B1801" t="s">
        <v>3973</v>
      </c>
    </row>
    <row r="1802" spans="1:2" x14ac:dyDescent="0.25">
      <c r="A1802" t="s">
        <v>3974</v>
      </c>
      <c r="B1802" t="s">
        <v>3975</v>
      </c>
    </row>
    <row r="1803" spans="1:2" x14ac:dyDescent="0.25">
      <c r="A1803" t="s">
        <v>3976</v>
      </c>
      <c r="B1803" t="s">
        <v>3977</v>
      </c>
    </row>
    <row r="1804" spans="1:2" x14ac:dyDescent="0.25">
      <c r="A1804" t="s">
        <v>3978</v>
      </c>
      <c r="B1804" t="s">
        <v>3979</v>
      </c>
    </row>
    <row r="1805" spans="1:2" x14ac:dyDescent="0.25">
      <c r="A1805" t="s">
        <v>3980</v>
      </c>
      <c r="B1805" t="s">
        <v>3981</v>
      </c>
    </row>
    <row r="1806" spans="1:2" x14ac:dyDescent="0.25">
      <c r="A1806" t="s">
        <v>3982</v>
      </c>
      <c r="B1806" t="s">
        <v>3983</v>
      </c>
    </row>
    <row r="1807" spans="1:2" x14ac:dyDescent="0.25">
      <c r="A1807" t="s">
        <v>3984</v>
      </c>
      <c r="B1807" t="s">
        <v>3985</v>
      </c>
    </row>
    <row r="1808" spans="1:2" x14ac:dyDescent="0.25">
      <c r="A1808" t="s">
        <v>3986</v>
      </c>
      <c r="B1808" t="s">
        <v>3987</v>
      </c>
    </row>
    <row r="1809" spans="1:2" x14ac:dyDescent="0.25">
      <c r="A1809" t="s">
        <v>3988</v>
      </c>
      <c r="B1809" t="s">
        <v>3989</v>
      </c>
    </row>
    <row r="1810" spans="1:2" x14ac:dyDescent="0.25">
      <c r="A1810" t="s">
        <v>3990</v>
      </c>
      <c r="B1810" t="s">
        <v>3991</v>
      </c>
    </row>
    <row r="1811" spans="1:2" x14ac:dyDescent="0.25">
      <c r="A1811" t="s">
        <v>3992</v>
      </c>
      <c r="B1811" t="s">
        <v>3993</v>
      </c>
    </row>
    <row r="1812" spans="1:2" x14ac:dyDescent="0.25">
      <c r="A1812" t="s">
        <v>3994</v>
      </c>
      <c r="B1812" t="s">
        <v>3995</v>
      </c>
    </row>
    <row r="1813" spans="1:2" x14ac:dyDescent="0.25">
      <c r="A1813" t="s">
        <v>3996</v>
      </c>
      <c r="B1813" t="s">
        <v>3997</v>
      </c>
    </row>
    <row r="1814" spans="1:2" x14ac:dyDescent="0.25">
      <c r="A1814" t="s">
        <v>3998</v>
      </c>
      <c r="B1814" t="s">
        <v>3999</v>
      </c>
    </row>
    <row r="1815" spans="1:2" x14ac:dyDescent="0.25">
      <c r="A1815" t="s">
        <v>4000</v>
      </c>
      <c r="B1815" t="s">
        <v>4001</v>
      </c>
    </row>
    <row r="1816" spans="1:2" x14ac:dyDescent="0.25">
      <c r="A1816" t="s">
        <v>4002</v>
      </c>
      <c r="B1816" t="s">
        <v>4003</v>
      </c>
    </row>
    <row r="1817" spans="1:2" x14ac:dyDescent="0.25">
      <c r="A1817" t="s">
        <v>4004</v>
      </c>
      <c r="B1817" t="s">
        <v>4005</v>
      </c>
    </row>
    <row r="1818" spans="1:2" x14ac:dyDescent="0.25">
      <c r="A1818" t="s">
        <v>4006</v>
      </c>
      <c r="B1818" t="s">
        <v>4007</v>
      </c>
    </row>
    <row r="1819" spans="1:2" x14ac:dyDescent="0.25">
      <c r="A1819" t="s">
        <v>4008</v>
      </c>
      <c r="B1819" t="s">
        <v>4009</v>
      </c>
    </row>
    <row r="1820" spans="1:2" x14ac:dyDescent="0.25">
      <c r="A1820" t="s">
        <v>4010</v>
      </c>
      <c r="B1820" t="s">
        <v>4011</v>
      </c>
    </row>
    <row r="1821" spans="1:2" x14ac:dyDescent="0.25">
      <c r="A1821" t="s">
        <v>4012</v>
      </c>
      <c r="B1821" t="s">
        <v>4013</v>
      </c>
    </row>
    <row r="1822" spans="1:2" x14ac:dyDescent="0.25">
      <c r="A1822" t="s">
        <v>4014</v>
      </c>
      <c r="B1822" t="s">
        <v>4015</v>
      </c>
    </row>
    <row r="1823" spans="1:2" x14ac:dyDescent="0.25">
      <c r="A1823" t="s">
        <v>4016</v>
      </c>
      <c r="B1823" t="s">
        <v>4017</v>
      </c>
    </row>
    <row r="1824" spans="1:2" x14ac:dyDescent="0.25">
      <c r="A1824" t="s">
        <v>4018</v>
      </c>
      <c r="B1824" t="s">
        <v>4019</v>
      </c>
    </row>
    <row r="1825" spans="1:2" x14ac:dyDescent="0.25">
      <c r="A1825" t="s">
        <v>4020</v>
      </c>
      <c r="B1825" t="s">
        <v>4021</v>
      </c>
    </row>
    <row r="1826" spans="1:2" x14ac:dyDescent="0.25">
      <c r="A1826" t="s">
        <v>4022</v>
      </c>
      <c r="B1826" t="s">
        <v>4023</v>
      </c>
    </row>
    <row r="1827" spans="1:2" x14ac:dyDescent="0.25">
      <c r="A1827" t="s">
        <v>4024</v>
      </c>
      <c r="B1827" t="s">
        <v>4025</v>
      </c>
    </row>
    <row r="1828" spans="1:2" x14ac:dyDescent="0.25">
      <c r="A1828" t="s">
        <v>4026</v>
      </c>
      <c r="B1828" t="s">
        <v>4027</v>
      </c>
    </row>
    <row r="1829" spans="1:2" x14ac:dyDescent="0.25">
      <c r="A1829" t="s">
        <v>4028</v>
      </c>
      <c r="B1829" t="s">
        <v>4029</v>
      </c>
    </row>
    <row r="1830" spans="1:2" x14ac:dyDescent="0.25">
      <c r="A1830" t="s">
        <v>4030</v>
      </c>
      <c r="B1830" t="s">
        <v>4031</v>
      </c>
    </row>
    <row r="1831" spans="1:2" x14ac:dyDescent="0.25">
      <c r="A1831" t="s">
        <v>4032</v>
      </c>
      <c r="B1831" t="s">
        <v>4033</v>
      </c>
    </row>
    <row r="1832" spans="1:2" x14ac:dyDescent="0.25">
      <c r="A1832" t="s">
        <v>4034</v>
      </c>
      <c r="B1832" t="s">
        <v>4035</v>
      </c>
    </row>
    <row r="1833" spans="1:2" x14ac:dyDescent="0.25">
      <c r="A1833" t="s">
        <v>4036</v>
      </c>
      <c r="B1833" t="s">
        <v>4037</v>
      </c>
    </row>
    <row r="1834" spans="1:2" x14ac:dyDescent="0.25">
      <c r="A1834" t="s">
        <v>4038</v>
      </c>
      <c r="B1834" t="s">
        <v>4039</v>
      </c>
    </row>
    <row r="1835" spans="1:2" x14ac:dyDescent="0.25">
      <c r="A1835" t="s">
        <v>4040</v>
      </c>
      <c r="B1835" t="s">
        <v>4041</v>
      </c>
    </row>
    <row r="1836" spans="1:2" x14ac:dyDescent="0.25">
      <c r="A1836" t="s">
        <v>4042</v>
      </c>
      <c r="B1836" t="s">
        <v>4043</v>
      </c>
    </row>
    <row r="1837" spans="1:2" x14ac:dyDescent="0.25">
      <c r="A1837" t="s">
        <v>4044</v>
      </c>
      <c r="B1837" t="s">
        <v>4045</v>
      </c>
    </row>
    <row r="1838" spans="1:2" x14ac:dyDescent="0.25">
      <c r="A1838" t="s">
        <v>4046</v>
      </c>
      <c r="B1838" t="s">
        <v>4047</v>
      </c>
    </row>
    <row r="1839" spans="1:2" x14ac:dyDescent="0.25">
      <c r="A1839" t="s">
        <v>4048</v>
      </c>
      <c r="B1839" t="s">
        <v>4049</v>
      </c>
    </row>
    <row r="1840" spans="1:2" x14ac:dyDescent="0.25">
      <c r="A1840" t="s">
        <v>4050</v>
      </c>
      <c r="B1840" t="s">
        <v>4051</v>
      </c>
    </row>
    <row r="1841" spans="1:2" x14ac:dyDescent="0.25">
      <c r="A1841" t="s">
        <v>4052</v>
      </c>
      <c r="B1841" t="s">
        <v>4053</v>
      </c>
    </row>
    <row r="1842" spans="1:2" x14ac:dyDescent="0.25">
      <c r="A1842" t="s">
        <v>4054</v>
      </c>
      <c r="B1842" t="s">
        <v>4055</v>
      </c>
    </row>
    <row r="1843" spans="1:2" x14ac:dyDescent="0.25">
      <c r="A1843" t="s">
        <v>4056</v>
      </c>
      <c r="B1843" t="s">
        <v>4057</v>
      </c>
    </row>
    <row r="1844" spans="1:2" x14ac:dyDescent="0.25">
      <c r="A1844" t="s">
        <v>4058</v>
      </c>
      <c r="B1844" t="s">
        <v>4059</v>
      </c>
    </row>
    <row r="1845" spans="1:2" x14ac:dyDescent="0.25">
      <c r="A1845" t="s">
        <v>4060</v>
      </c>
      <c r="B1845" t="s">
        <v>4061</v>
      </c>
    </row>
    <row r="1846" spans="1:2" x14ac:dyDescent="0.25">
      <c r="A1846" t="s">
        <v>4062</v>
      </c>
      <c r="B1846" t="s">
        <v>4063</v>
      </c>
    </row>
    <row r="1847" spans="1:2" x14ac:dyDescent="0.25">
      <c r="A1847" t="s">
        <v>4064</v>
      </c>
      <c r="B1847" t="s">
        <v>4065</v>
      </c>
    </row>
    <row r="1848" spans="1:2" x14ac:dyDescent="0.25">
      <c r="A1848" t="s">
        <v>4066</v>
      </c>
      <c r="B1848" t="s">
        <v>4067</v>
      </c>
    </row>
    <row r="1849" spans="1:2" x14ac:dyDescent="0.25">
      <c r="A1849" t="s">
        <v>4068</v>
      </c>
      <c r="B1849" t="s">
        <v>4069</v>
      </c>
    </row>
    <row r="1850" spans="1:2" x14ac:dyDescent="0.25">
      <c r="A1850" t="s">
        <v>4070</v>
      </c>
      <c r="B1850" t="s">
        <v>4071</v>
      </c>
    </row>
    <row r="1851" spans="1:2" x14ac:dyDescent="0.25">
      <c r="A1851" t="s">
        <v>4072</v>
      </c>
      <c r="B1851" t="s">
        <v>4073</v>
      </c>
    </row>
    <row r="1852" spans="1:2" x14ac:dyDescent="0.25">
      <c r="A1852" t="s">
        <v>4074</v>
      </c>
      <c r="B1852" t="s">
        <v>4075</v>
      </c>
    </row>
    <row r="1853" spans="1:2" x14ac:dyDescent="0.25">
      <c r="A1853" t="s">
        <v>4076</v>
      </c>
      <c r="B1853" t="s">
        <v>4077</v>
      </c>
    </row>
    <row r="1854" spans="1:2" x14ac:dyDescent="0.25">
      <c r="A1854" t="s">
        <v>4078</v>
      </c>
      <c r="B1854" t="s">
        <v>4079</v>
      </c>
    </row>
    <row r="1855" spans="1:2" x14ac:dyDescent="0.25">
      <c r="A1855" t="s">
        <v>4080</v>
      </c>
      <c r="B1855" t="s">
        <v>4081</v>
      </c>
    </row>
    <row r="1856" spans="1:2" x14ac:dyDescent="0.25">
      <c r="A1856" t="s">
        <v>4082</v>
      </c>
      <c r="B1856" t="s">
        <v>4083</v>
      </c>
    </row>
    <row r="1857" spans="1:2" x14ac:dyDescent="0.25">
      <c r="A1857" t="s">
        <v>4084</v>
      </c>
      <c r="B1857" t="s">
        <v>123</v>
      </c>
    </row>
    <row r="1858" spans="1:2" x14ac:dyDescent="0.25">
      <c r="A1858" t="s">
        <v>4085</v>
      </c>
      <c r="B1858" t="s">
        <v>4086</v>
      </c>
    </row>
    <row r="1859" spans="1:2" x14ac:dyDescent="0.25">
      <c r="A1859" t="s">
        <v>4087</v>
      </c>
      <c r="B1859" t="s">
        <v>4088</v>
      </c>
    </row>
    <row r="1860" spans="1:2" x14ac:dyDescent="0.25">
      <c r="A1860" t="s">
        <v>4089</v>
      </c>
      <c r="B1860" t="s">
        <v>4090</v>
      </c>
    </row>
    <row r="1861" spans="1:2" x14ac:dyDescent="0.25">
      <c r="A1861" t="s">
        <v>4091</v>
      </c>
      <c r="B1861" t="s">
        <v>4092</v>
      </c>
    </row>
    <row r="1862" spans="1:2" x14ac:dyDescent="0.25">
      <c r="A1862" t="s">
        <v>4093</v>
      </c>
      <c r="B1862" t="s">
        <v>4094</v>
      </c>
    </row>
    <row r="1863" spans="1:2" x14ac:dyDescent="0.25">
      <c r="A1863" t="s">
        <v>4095</v>
      </c>
      <c r="B1863" t="s">
        <v>4096</v>
      </c>
    </row>
    <row r="1864" spans="1:2" x14ac:dyDescent="0.25">
      <c r="A1864" t="s">
        <v>4097</v>
      </c>
      <c r="B1864" t="s">
        <v>4098</v>
      </c>
    </row>
    <row r="1865" spans="1:2" x14ac:dyDescent="0.25">
      <c r="A1865" t="s">
        <v>4099</v>
      </c>
      <c r="B1865" t="s">
        <v>4100</v>
      </c>
    </row>
    <row r="1866" spans="1:2" x14ac:dyDescent="0.25">
      <c r="A1866" t="s">
        <v>4101</v>
      </c>
      <c r="B1866" t="s">
        <v>4102</v>
      </c>
    </row>
    <row r="1867" spans="1:2" x14ac:dyDescent="0.25">
      <c r="A1867" t="s">
        <v>4103</v>
      </c>
      <c r="B1867" t="s">
        <v>4104</v>
      </c>
    </row>
    <row r="1868" spans="1:2" x14ac:dyDescent="0.25">
      <c r="A1868" t="s">
        <v>4105</v>
      </c>
      <c r="B1868" t="s">
        <v>4106</v>
      </c>
    </row>
    <row r="1869" spans="1:2" x14ac:dyDescent="0.25">
      <c r="A1869" t="s">
        <v>4107</v>
      </c>
      <c r="B1869" t="s">
        <v>4108</v>
      </c>
    </row>
    <row r="1870" spans="1:2" x14ac:dyDescent="0.25">
      <c r="A1870" t="s">
        <v>4109</v>
      </c>
      <c r="B1870" t="s">
        <v>4110</v>
      </c>
    </row>
    <row r="1871" spans="1:2" x14ac:dyDescent="0.25">
      <c r="A1871" t="s">
        <v>4111</v>
      </c>
      <c r="B1871" t="s">
        <v>4112</v>
      </c>
    </row>
    <row r="1872" spans="1:2" x14ac:dyDescent="0.25">
      <c r="A1872" t="s">
        <v>4113</v>
      </c>
      <c r="B1872" t="s">
        <v>4114</v>
      </c>
    </row>
    <row r="1873" spans="1:2" x14ac:dyDescent="0.25">
      <c r="A1873" t="s">
        <v>4115</v>
      </c>
      <c r="B1873" t="s">
        <v>4116</v>
      </c>
    </row>
    <row r="1874" spans="1:2" x14ac:dyDescent="0.25">
      <c r="A1874" t="s">
        <v>4117</v>
      </c>
      <c r="B1874" t="s">
        <v>4118</v>
      </c>
    </row>
    <row r="1875" spans="1:2" x14ac:dyDescent="0.25">
      <c r="A1875" t="s">
        <v>4119</v>
      </c>
      <c r="B1875" t="s">
        <v>4120</v>
      </c>
    </row>
    <row r="1876" spans="1:2" x14ac:dyDescent="0.25">
      <c r="A1876" t="s">
        <v>4121</v>
      </c>
      <c r="B1876" t="s">
        <v>126</v>
      </c>
    </row>
    <row r="1877" spans="1:2" x14ac:dyDescent="0.25">
      <c r="A1877" t="s">
        <v>4122</v>
      </c>
      <c r="B1877" t="s">
        <v>4123</v>
      </c>
    </row>
    <row r="1878" spans="1:2" x14ac:dyDescent="0.25">
      <c r="A1878" t="s">
        <v>4124</v>
      </c>
      <c r="B1878" t="s">
        <v>4125</v>
      </c>
    </row>
    <row r="1879" spans="1:2" x14ac:dyDescent="0.25">
      <c r="A1879" t="s">
        <v>4126</v>
      </c>
      <c r="B1879" t="s">
        <v>4127</v>
      </c>
    </row>
    <row r="1880" spans="1:2" x14ac:dyDescent="0.25">
      <c r="A1880" t="s">
        <v>4128</v>
      </c>
      <c r="B1880" t="s">
        <v>4129</v>
      </c>
    </row>
    <row r="1881" spans="1:2" x14ac:dyDescent="0.25">
      <c r="A1881" t="s">
        <v>4130</v>
      </c>
      <c r="B1881" t="s">
        <v>4131</v>
      </c>
    </row>
    <row r="1882" spans="1:2" x14ac:dyDescent="0.25">
      <c r="A1882" t="s">
        <v>4132</v>
      </c>
      <c r="B1882" t="s">
        <v>4133</v>
      </c>
    </row>
    <row r="1883" spans="1:2" x14ac:dyDescent="0.25">
      <c r="A1883" t="s">
        <v>4134</v>
      </c>
      <c r="B1883" t="s">
        <v>4135</v>
      </c>
    </row>
    <row r="1884" spans="1:2" x14ac:dyDescent="0.25">
      <c r="A1884" t="s">
        <v>4136</v>
      </c>
      <c r="B1884" t="s">
        <v>4137</v>
      </c>
    </row>
    <row r="1885" spans="1:2" x14ac:dyDescent="0.25">
      <c r="A1885" t="s">
        <v>4138</v>
      </c>
      <c r="B1885" t="s">
        <v>4139</v>
      </c>
    </row>
    <row r="1886" spans="1:2" x14ac:dyDescent="0.25">
      <c r="A1886" t="s">
        <v>4140</v>
      </c>
      <c r="B1886" t="s">
        <v>4141</v>
      </c>
    </row>
    <row r="1887" spans="1:2" x14ac:dyDescent="0.25">
      <c r="A1887" t="s">
        <v>4142</v>
      </c>
      <c r="B1887" t="s">
        <v>4143</v>
      </c>
    </row>
    <row r="1888" spans="1:2" x14ac:dyDescent="0.25">
      <c r="A1888" t="s">
        <v>4144</v>
      </c>
      <c r="B1888" t="s">
        <v>4145</v>
      </c>
    </row>
    <row r="1889" spans="1:2" x14ac:dyDescent="0.25">
      <c r="A1889" t="s">
        <v>4146</v>
      </c>
      <c r="B1889" t="s">
        <v>4147</v>
      </c>
    </row>
    <row r="1890" spans="1:2" x14ac:dyDescent="0.25">
      <c r="A1890" t="s">
        <v>4148</v>
      </c>
      <c r="B1890" t="s">
        <v>4149</v>
      </c>
    </row>
    <row r="1891" spans="1:2" x14ac:dyDescent="0.25">
      <c r="A1891" t="s">
        <v>4150</v>
      </c>
      <c r="B1891" t="s">
        <v>4151</v>
      </c>
    </row>
    <row r="1892" spans="1:2" x14ac:dyDescent="0.25">
      <c r="A1892" t="s">
        <v>4152</v>
      </c>
      <c r="B1892" t="s">
        <v>4153</v>
      </c>
    </row>
    <row r="1893" spans="1:2" x14ac:dyDescent="0.25">
      <c r="A1893" t="s">
        <v>4154</v>
      </c>
      <c r="B1893" t="s">
        <v>4155</v>
      </c>
    </row>
    <row r="1894" spans="1:2" x14ac:dyDescent="0.25">
      <c r="A1894" t="s">
        <v>4156</v>
      </c>
      <c r="B1894" t="s">
        <v>4157</v>
      </c>
    </row>
    <row r="1895" spans="1:2" x14ac:dyDescent="0.25">
      <c r="A1895" t="s">
        <v>4158</v>
      </c>
      <c r="B1895" t="s">
        <v>4159</v>
      </c>
    </row>
    <row r="1896" spans="1:2" x14ac:dyDescent="0.25">
      <c r="A1896" t="s">
        <v>4160</v>
      </c>
      <c r="B1896" t="s">
        <v>4161</v>
      </c>
    </row>
    <row r="1897" spans="1:2" x14ac:dyDescent="0.25">
      <c r="A1897" t="s">
        <v>4162</v>
      </c>
      <c r="B1897" t="s">
        <v>4163</v>
      </c>
    </row>
    <row r="1898" spans="1:2" x14ac:dyDescent="0.25">
      <c r="A1898" t="s">
        <v>4164</v>
      </c>
      <c r="B1898" t="s">
        <v>4165</v>
      </c>
    </row>
    <row r="1899" spans="1:2" x14ac:dyDescent="0.25">
      <c r="A1899" t="s">
        <v>4166</v>
      </c>
      <c r="B1899" t="s">
        <v>4167</v>
      </c>
    </row>
    <row r="1900" spans="1:2" x14ac:dyDescent="0.25">
      <c r="A1900" t="s">
        <v>4168</v>
      </c>
      <c r="B1900" t="s">
        <v>4169</v>
      </c>
    </row>
    <row r="1901" spans="1:2" x14ac:dyDescent="0.25">
      <c r="A1901" t="s">
        <v>4170</v>
      </c>
      <c r="B1901" t="s">
        <v>4171</v>
      </c>
    </row>
    <row r="1902" spans="1:2" x14ac:dyDescent="0.25">
      <c r="A1902" t="s">
        <v>4172</v>
      </c>
      <c r="B1902" t="s">
        <v>4173</v>
      </c>
    </row>
    <row r="1903" spans="1:2" x14ac:dyDescent="0.25">
      <c r="A1903" t="s">
        <v>4174</v>
      </c>
      <c r="B1903" t="s">
        <v>4175</v>
      </c>
    </row>
    <row r="1904" spans="1:2" x14ac:dyDescent="0.25">
      <c r="A1904" t="s">
        <v>4176</v>
      </c>
      <c r="B1904" t="s">
        <v>4177</v>
      </c>
    </row>
    <row r="1905" spans="1:2" x14ac:dyDescent="0.25">
      <c r="A1905" t="s">
        <v>4178</v>
      </c>
      <c r="B1905" t="s">
        <v>4179</v>
      </c>
    </row>
    <row r="1906" spans="1:2" x14ac:dyDescent="0.25">
      <c r="A1906" t="s">
        <v>4180</v>
      </c>
      <c r="B1906" t="s">
        <v>4181</v>
      </c>
    </row>
    <row r="1907" spans="1:2" x14ac:dyDescent="0.25">
      <c r="A1907" t="s">
        <v>4182</v>
      </c>
      <c r="B1907" t="s">
        <v>4183</v>
      </c>
    </row>
    <row r="1908" spans="1:2" x14ac:dyDescent="0.25">
      <c r="A1908" t="s">
        <v>4184</v>
      </c>
      <c r="B1908" t="s">
        <v>4185</v>
      </c>
    </row>
    <row r="1909" spans="1:2" x14ac:dyDescent="0.25">
      <c r="A1909" t="s">
        <v>4186</v>
      </c>
      <c r="B1909" t="s">
        <v>4187</v>
      </c>
    </row>
    <row r="1910" spans="1:2" x14ac:dyDescent="0.25">
      <c r="A1910" t="s">
        <v>4188</v>
      </c>
      <c r="B1910" t="s">
        <v>4189</v>
      </c>
    </row>
    <row r="1911" spans="1:2" x14ac:dyDescent="0.25">
      <c r="A1911" t="s">
        <v>4190</v>
      </c>
      <c r="B1911" t="s">
        <v>4191</v>
      </c>
    </row>
    <row r="1912" spans="1:2" x14ac:dyDescent="0.25">
      <c r="A1912" t="s">
        <v>4192</v>
      </c>
      <c r="B1912" t="s">
        <v>4193</v>
      </c>
    </row>
    <row r="1913" spans="1:2" x14ac:dyDescent="0.25">
      <c r="A1913" t="s">
        <v>4194</v>
      </c>
      <c r="B1913" t="s">
        <v>4195</v>
      </c>
    </row>
    <row r="1914" spans="1:2" x14ac:dyDescent="0.25">
      <c r="A1914" t="s">
        <v>4196</v>
      </c>
      <c r="B1914" t="s">
        <v>4197</v>
      </c>
    </row>
    <row r="1915" spans="1:2" x14ac:dyDescent="0.25">
      <c r="A1915" t="s">
        <v>4198</v>
      </c>
      <c r="B1915" t="s">
        <v>4199</v>
      </c>
    </row>
    <row r="1916" spans="1:2" x14ac:dyDescent="0.25">
      <c r="A1916" t="s">
        <v>4200</v>
      </c>
      <c r="B1916" t="s">
        <v>4201</v>
      </c>
    </row>
    <row r="1917" spans="1:2" x14ac:dyDescent="0.25">
      <c r="A1917" t="s">
        <v>4202</v>
      </c>
      <c r="B1917" t="s">
        <v>4203</v>
      </c>
    </row>
    <row r="1918" spans="1:2" x14ac:dyDescent="0.25">
      <c r="A1918" t="s">
        <v>4204</v>
      </c>
      <c r="B1918" t="s">
        <v>4205</v>
      </c>
    </row>
    <row r="1919" spans="1:2" x14ac:dyDescent="0.25">
      <c r="A1919" t="s">
        <v>4206</v>
      </c>
      <c r="B1919" t="s">
        <v>391</v>
      </c>
    </row>
    <row r="1920" spans="1:2" x14ac:dyDescent="0.25">
      <c r="A1920" t="s">
        <v>4207</v>
      </c>
      <c r="B1920" t="s">
        <v>4208</v>
      </c>
    </row>
    <row r="1921" spans="1:2" x14ac:dyDescent="0.25">
      <c r="A1921" t="s">
        <v>4209</v>
      </c>
      <c r="B1921" t="s">
        <v>4210</v>
      </c>
    </row>
    <row r="1922" spans="1:2" x14ac:dyDescent="0.25">
      <c r="A1922" t="s">
        <v>4211</v>
      </c>
      <c r="B1922" t="s">
        <v>4212</v>
      </c>
    </row>
    <row r="1923" spans="1:2" x14ac:dyDescent="0.25">
      <c r="A1923" t="s">
        <v>4213</v>
      </c>
      <c r="B1923" t="s">
        <v>4214</v>
      </c>
    </row>
    <row r="1924" spans="1:2" x14ac:dyDescent="0.25">
      <c r="A1924" t="s">
        <v>4215</v>
      </c>
      <c r="B1924" t="s">
        <v>4216</v>
      </c>
    </row>
    <row r="1925" spans="1:2" x14ac:dyDescent="0.25">
      <c r="A1925" t="s">
        <v>4217</v>
      </c>
      <c r="B1925" t="s">
        <v>4218</v>
      </c>
    </row>
    <row r="1926" spans="1:2" x14ac:dyDescent="0.25">
      <c r="A1926" t="s">
        <v>4219</v>
      </c>
      <c r="B1926" t="s">
        <v>4220</v>
      </c>
    </row>
    <row r="1927" spans="1:2" x14ac:dyDescent="0.25">
      <c r="A1927" t="s">
        <v>4221</v>
      </c>
      <c r="B1927" t="s">
        <v>4222</v>
      </c>
    </row>
    <row r="1928" spans="1:2" x14ac:dyDescent="0.25">
      <c r="A1928" t="s">
        <v>4223</v>
      </c>
      <c r="B1928" t="s">
        <v>4224</v>
      </c>
    </row>
    <row r="1929" spans="1:2" x14ac:dyDescent="0.25">
      <c r="A1929" t="s">
        <v>4225</v>
      </c>
      <c r="B1929" t="s">
        <v>4226</v>
      </c>
    </row>
    <row r="1930" spans="1:2" x14ac:dyDescent="0.25">
      <c r="A1930" t="s">
        <v>4227</v>
      </c>
      <c r="B1930" t="s">
        <v>4228</v>
      </c>
    </row>
    <row r="1931" spans="1:2" x14ac:dyDescent="0.25">
      <c r="A1931" t="s">
        <v>4229</v>
      </c>
      <c r="B1931" t="s">
        <v>4230</v>
      </c>
    </row>
    <row r="1932" spans="1:2" x14ac:dyDescent="0.25">
      <c r="A1932" t="s">
        <v>4231</v>
      </c>
      <c r="B1932" t="s">
        <v>4232</v>
      </c>
    </row>
    <row r="1933" spans="1:2" x14ac:dyDescent="0.25">
      <c r="A1933" t="s">
        <v>4233</v>
      </c>
      <c r="B1933" t="s">
        <v>4234</v>
      </c>
    </row>
    <row r="1934" spans="1:2" x14ac:dyDescent="0.25">
      <c r="A1934" t="s">
        <v>4235</v>
      </c>
      <c r="B1934" t="s">
        <v>4236</v>
      </c>
    </row>
    <row r="1935" spans="1:2" x14ac:dyDescent="0.25">
      <c r="A1935" t="s">
        <v>4237</v>
      </c>
      <c r="B1935" t="s">
        <v>4238</v>
      </c>
    </row>
    <row r="1936" spans="1:2" x14ac:dyDescent="0.25">
      <c r="A1936" t="s">
        <v>4239</v>
      </c>
      <c r="B1936" t="s">
        <v>4240</v>
      </c>
    </row>
    <row r="1937" spans="1:2" x14ac:dyDescent="0.25">
      <c r="A1937" t="s">
        <v>4241</v>
      </c>
      <c r="B1937" t="s">
        <v>4242</v>
      </c>
    </row>
    <row r="1938" spans="1:2" x14ac:dyDescent="0.25">
      <c r="A1938" t="s">
        <v>4243</v>
      </c>
      <c r="B1938" t="s">
        <v>4244</v>
      </c>
    </row>
    <row r="1939" spans="1:2" x14ac:dyDescent="0.25">
      <c r="A1939" t="s">
        <v>4245</v>
      </c>
      <c r="B1939" t="s">
        <v>4246</v>
      </c>
    </row>
    <row r="1940" spans="1:2" x14ac:dyDescent="0.25">
      <c r="A1940" t="s">
        <v>4247</v>
      </c>
      <c r="B1940" t="s">
        <v>4248</v>
      </c>
    </row>
    <row r="1941" spans="1:2" x14ac:dyDescent="0.25">
      <c r="A1941" t="s">
        <v>4249</v>
      </c>
      <c r="B1941" t="s">
        <v>4250</v>
      </c>
    </row>
    <row r="1942" spans="1:2" x14ac:dyDescent="0.25">
      <c r="A1942" t="s">
        <v>4251</v>
      </c>
      <c r="B1942" t="s">
        <v>4252</v>
      </c>
    </row>
    <row r="1943" spans="1:2" x14ac:dyDescent="0.25">
      <c r="A1943" t="s">
        <v>4253</v>
      </c>
      <c r="B1943" t="s">
        <v>4254</v>
      </c>
    </row>
    <row r="1944" spans="1:2" x14ac:dyDescent="0.25">
      <c r="A1944" t="s">
        <v>4255</v>
      </c>
      <c r="B1944" t="s">
        <v>546</v>
      </c>
    </row>
    <row r="1945" spans="1:2" x14ac:dyDescent="0.25">
      <c r="A1945" t="s">
        <v>4256</v>
      </c>
      <c r="B1945" t="s">
        <v>4257</v>
      </c>
    </row>
    <row r="1946" spans="1:2" x14ac:dyDescent="0.25">
      <c r="A1946" t="s">
        <v>4258</v>
      </c>
      <c r="B1946" t="s">
        <v>4259</v>
      </c>
    </row>
    <row r="1947" spans="1:2" x14ac:dyDescent="0.25">
      <c r="A1947" t="s">
        <v>4260</v>
      </c>
      <c r="B1947" t="s">
        <v>4261</v>
      </c>
    </row>
    <row r="1948" spans="1:2" x14ac:dyDescent="0.25">
      <c r="A1948" t="s">
        <v>4262</v>
      </c>
      <c r="B1948" t="s">
        <v>4263</v>
      </c>
    </row>
    <row r="1949" spans="1:2" x14ac:dyDescent="0.25">
      <c r="A1949" t="s">
        <v>4264</v>
      </c>
      <c r="B1949" t="s">
        <v>4265</v>
      </c>
    </row>
    <row r="1950" spans="1:2" x14ac:dyDescent="0.25">
      <c r="A1950" t="s">
        <v>4266</v>
      </c>
      <c r="B1950" t="s">
        <v>4267</v>
      </c>
    </row>
    <row r="1951" spans="1:2" x14ac:dyDescent="0.25">
      <c r="A1951" t="s">
        <v>4268</v>
      </c>
      <c r="B1951" t="s">
        <v>4269</v>
      </c>
    </row>
    <row r="1952" spans="1:2" x14ac:dyDescent="0.25">
      <c r="A1952" t="s">
        <v>4270</v>
      </c>
      <c r="B1952" t="s">
        <v>4271</v>
      </c>
    </row>
    <row r="1953" spans="1:2" x14ac:dyDescent="0.25">
      <c r="A1953" t="s">
        <v>4272</v>
      </c>
      <c r="B1953" t="s">
        <v>4273</v>
      </c>
    </row>
    <row r="1954" spans="1:2" x14ac:dyDescent="0.25">
      <c r="A1954" t="s">
        <v>4274</v>
      </c>
      <c r="B1954" t="s">
        <v>4275</v>
      </c>
    </row>
    <row r="1955" spans="1:2" x14ac:dyDescent="0.25">
      <c r="A1955" t="s">
        <v>4276</v>
      </c>
      <c r="B1955" t="s">
        <v>547</v>
      </c>
    </row>
    <row r="1956" spans="1:2" x14ac:dyDescent="0.25">
      <c r="A1956" t="s">
        <v>4277</v>
      </c>
      <c r="B1956" t="s">
        <v>4278</v>
      </c>
    </row>
    <row r="1957" spans="1:2" x14ac:dyDescent="0.25">
      <c r="A1957" t="s">
        <v>4279</v>
      </c>
      <c r="B1957" t="s">
        <v>4280</v>
      </c>
    </row>
    <row r="1958" spans="1:2" x14ac:dyDescent="0.25">
      <c r="A1958" t="s">
        <v>4281</v>
      </c>
      <c r="B1958" t="s">
        <v>4282</v>
      </c>
    </row>
    <row r="1959" spans="1:2" x14ac:dyDescent="0.25">
      <c r="A1959" t="s">
        <v>4283</v>
      </c>
      <c r="B1959" t="s">
        <v>4284</v>
      </c>
    </row>
    <row r="1960" spans="1:2" x14ac:dyDescent="0.25">
      <c r="A1960" t="s">
        <v>4285</v>
      </c>
      <c r="B1960" t="s">
        <v>4286</v>
      </c>
    </row>
    <row r="1961" spans="1:2" x14ac:dyDescent="0.25">
      <c r="A1961" t="s">
        <v>4287</v>
      </c>
      <c r="B1961" t="s">
        <v>4288</v>
      </c>
    </row>
    <row r="1962" spans="1:2" x14ac:dyDescent="0.25">
      <c r="A1962" t="s">
        <v>4289</v>
      </c>
      <c r="B1962" t="s">
        <v>4290</v>
      </c>
    </row>
    <row r="1963" spans="1:2" x14ac:dyDescent="0.25">
      <c r="A1963" t="s">
        <v>4291</v>
      </c>
      <c r="B1963" t="s">
        <v>548</v>
      </c>
    </row>
    <row r="1964" spans="1:2" x14ac:dyDescent="0.25">
      <c r="A1964" t="s">
        <v>4292</v>
      </c>
      <c r="B1964" t="s">
        <v>4293</v>
      </c>
    </row>
    <row r="1965" spans="1:2" x14ac:dyDescent="0.25">
      <c r="A1965" t="s">
        <v>4294</v>
      </c>
      <c r="B1965" t="s">
        <v>4295</v>
      </c>
    </row>
    <row r="1966" spans="1:2" x14ac:dyDescent="0.25">
      <c r="A1966" t="s">
        <v>4296</v>
      </c>
      <c r="B1966" t="s">
        <v>4297</v>
      </c>
    </row>
    <row r="1967" spans="1:2" x14ac:dyDescent="0.25">
      <c r="A1967" t="s">
        <v>4298</v>
      </c>
      <c r="B1967" t="s">
        <v>4299</v>
      </c>
    </row>
    <row r="1968" spans="1:2" x14ac:dyDescent="0.25">
      <c r="A1968" t="s">
        <v>4300</v>
      </c>
      <c r="B1968" t="s">
        <v>4301</v>
      </c>
    </row>
    <row r="1969" spans="1:2" x14ac:dyDescent="0.25">
      <c r="A1969" t="s">
        <v>4302</v>
      </c>
      <c r="B1969" t="s">
        <v>129</v>
      </c>
    </row>
    <row r="1970" spans="1:2" x14ac:dyDescent="0.25">
      <c r="A1970" t="s">
        <v>4303</v>
      </c>
      <c r="B1970" t="s">
        <v>4304</v>
      </c>
    </row>
    <row r="1971" spans="1:2" x14ac:dyDescent="0.25">
      <c r="A1971" t="s">
        <v>4305</v>
      </c>
      <c r="B1971" t="s">
        <v>4306</v>
      </c>
    </row>
    <row r="1972" spans="1:2" x14ac:dyDescent="0.25">
      <c r="A1972" t="s">
        <v>4307</v>
      </c>
      <c r="B1972" t="s">
        <v>4308</v>
      </c>
    </row>
    <row r="1973" spans="1:2" x14ac:dyDescent="0.25">
      <c r="A1973" t="s">
        <v>4309</v>
      </c>
      <c r="B1973" t="s">
        <v>4310</v>
      </c>
    </row>
    <row r="1974" spans="1:2" x14ac:dyDescent="0.25">
      <c r="A1974" t="s">
        <v>4311</v>
      </c>
      <c r="B1974" t="s">
        <v>4312</v>
      </c>
    </row>
    <row r="1975" spans="1:2" x14ac:dyDescent="0.25">
      <c r="A1975" t="s">
        <v>4313</v>
      </c>
      <c r="B1975" t="s">
        <v>4314</v>
      </c>
    </row>
    <row r="1976" spans="1:2" x14ac:dyDescent="0.25">
      <c r="A1976" t="s">
        <v>4315</v>
      </c>
      <c r="B1976" t="s">
        <v>4316</v>
      </c>
    </row>
    <row r="1977" spans="1:2" x14ac:dyDescent="0.25">
      <c r="A1977" t="s">
        <v>4317</v>
      </c>
      <c r="B1977" t="s">
        <v>4318</v>
      </c>
    </row>
    <row r="1978" spans="1:2" x14ac:dyDescent="0.25">
      <c r="A1978" t="s">
        <v>4319</v>
      </c>
      <c r="B1978" t="s">
        <v>4320</v>
      </c>
    </row>
    <row r="1979" spans="1:2" x14ac:dyDescent="0.25">
      <c r="A1979" t="s">
        <v>4321</v>
      </c>
      <c r="B1979" t="s">
        <v>4322</v>
      </c>
    </row>
    <row r="1980" spans="1:2" x14ac:dyDescent="0.25">
      <c r="A1980" t="s">
        <v>4323</v>
      </c>
      <c r="B1980" t="s">
        <v>4324</v>
      </c>
    </row>
    <row r="1981" spans="1:2" x14ac:dyDescent="0.25">
      <c r="A1981" t="s">
        <v>4325</v>
      </c>
      <c r="B1981" t="s">
        <v>4326</v>
      </c>
    </row>
    <row r="1982" spans="1:2" x14ac:dyDescent="0.25">
      <c r="A1982" t="s">
        <v>4327</v>
      </c>
      <c r="B1982" t="s">
        <v>4328</v>
      </c>
    </row>
    <row r="1983" spans="1:2" x14ac:dyDescent="0.25">
      <c r="A1983" t="s">
        <v>4329</v>
      </c>
      <c r="B1983" t="s">
        <v>4330</v>
      </c>
    </row>
    <row r="1984" spans="1:2" x14ac:dyDescent="0.25">
      <c r="A1984" t="s">
        <v>4331</v>
      </c>
      <c r="B1984" t="s">
        <v>4332</v>
      </c>
    </row>
    <row r="1985" spans="1:2" x14ac:dyDescent="0.25">
      <c r="A1985" t="s">
        <v>4333</v>
      </c>
      <c r="B1985" t="s">
        <v>4334</v>
      </c>
    </row>
    <row r="1986" spans="1:2" x14ac:dyDescent="0.25">
      <c r="A1986" t="s">
        <v>4335</v>
      </c>
      <c r="B1986" t="s">
        <v>4336</v>
      </c>
    </row>
    <row r="1987" spans="1:2" x14ac:dyDescent="0.25">
      <c r="A1987" t="s">
        <v>4337</v>
      </c>
      <c r="B1987" t="s">
        <v>4338</v>
      </c>
    </row>
    <row r="1988" spans="1:2" x14ac:dyDescent="0.25">
      <c r="A1988" t="s">
        <v>4339</v>
      </c>
      <c r="B1988" t="s">
        <v>4340</v>
      </c>
    </row>
    <row r="1989" spans="1:2" x14ac:dyDescent="0.25">
      <c r="A1989" t="s">
        <v>4341</v>
      </c>
      <c r="B1989" t="s">
        <v>4342</v>
      </c>
    </row>
    <row r="1990" spans="1:2" x14ac:dyDescent="0.25">
      <c r="A1990" t="s">
        <v>4343</v>
      </c>
      <c r="B1990" t="s">
        <v>4344</v>
      </c>
    </row>
    <row r="1991" spans="1:2" x14ac:dyDescent="0.25">
      <c r="A1991" t="s">
        <v>4345</v>
      </c>
      <c r="B1991" t="s">
        <v>4346</v>
      </c>
    </row>
    <row r="1992" spans="1:2" x14ac:dyDescent="0.25">
      <c r="A1992" t="s">
        <v>4347</v>
      </c>
      <c r="B1992" t="s">
        <v>4348</v>
      </c>
    </row>
    <row r="1993" spans="1:2" x14ac:dyDescent="0.25">
      <c r="A1993" t="s">
        <v>4349</v>
      </c>
      <c r="B1993" t="s">
        <v>443</v>
      </c>
    </row>
    <row r="1994" spans="1:2" x14ac:dyDescent="0.25">
      <c r="A1994" t="s">
        <v>4350</v>
      </c>
      <c r="B1994" t="s">
        <v>4351</v>
      </c>
    </row>
    <row r="1995" spans="1:2" x14ac:dyDescent="0.25">
      <c r="A1995" t="s">
        <v>4352</v>
      </c>
      <c r="B1995" t="s">
        <v>4353</v>
      </c>
    </row>
    <row r="1996" spans="1:2" x14ac:dyDescent="0.25">
      <c r="A1996" t="s">
        <v>4354</v>
      </c>
      <c r="B1996" t="s">
        <v>4355</v>
      </c>
    </row>
    <row r="1997" spans="1:2" x14ac:dyDescent="0.25">
      <c r="A1997" t="s">
        <v>4356</v>
      </c>
      <c r="B1997" t="s">
        <v>4357</v>
      </c>
    </row>
    <row r="1998" spans="1:2" x14ac:dyDescent="0.25">
      <c r="A1998" t="s">
        <v>4358</v>
      </c>
      <c r="B1998" t="s">
        <v>4359</v>
      </c>
    </row>
    <row r="1999" spans="1:2" x14ac:dyDescent="0.25">
      <c r="A1999" t="s">
        <v>4360</v>
      </c>
      <c r="B1999" t="s">
        <v>392</v>
      </c>
    </row>
    <row r="2000" spans="1:2" x14ac:dyDescent="0.25">
      <c r="A2000" t="s">
        <v>4361</v>
      </c>
      <c r="B2000" t="s">
        <v>4362</v>
      </c>
    </row>
    <row r="2001" spans="1:2" x14ac:dyDescent="0.25">
      <c r="A2001" t="s">
        <v>4363</v>
      </c>
      <c r="B2001" t="s">
        <v>144</v>
      </c>
    </row>
    <row r="2002" spans="1:2" x14ac:dyDescent="0.25">
      <c r="A2002" t="s">
        <v>4364</v>
      </c>
      <c r="B2002" t="s">
        <v>4365</v>
      </c>
    </row>
    <row r="2003" spans="1:2" x14ac:dyDescent="0.25">
      <c r="A2003" t="s">
        <v>4366</v>
      </c>
      <c r="B2003" t="s">
        <v>4367</v>
      </c>
    </row>
    <row r="2004" spans="1:2" x14ac:dyDescent="0.25">
      <c r="A2004" t="s">
        <v>4368</v>
      </c>
      <c r="B2004" t="s">
        <v>4369</v>
      </c>
    </row>
    <row r="2005" spans="1:2" x14ac:dyDescent="0.25">
      <c r="A2005" t="s">
        <v>4370</v>
      </c>
      <c r="B2005" t="s">
        <v>4371</v>
      </c>
    </row>
    <row r="2006" spans="1:2" x14ac:dyDescent="0.25">
      <c r="A2006" t="s">
        <v>4372</v>
      </c>
      <c r="B2006" t="s">
        <v>4373</v>
      </c>
    </row>
    <row r="2007" spans="1:2" x14ac:dyDescent="0.25">
      <c r="A2007" t="s">
        <v>4374</v>
      </c>
      <c r="B2007" t="s">
        <v>4375</v>
      </c>
    </row>
    <row r="2008" spans="1:2" x14ac:dyDescent="0.25">
      <c r="A2008" t="s">
        <v>4376</v>
      </c>
      <c r="B2008" t="s">
        <v>4377</v>
      </c>
    </row>
    <row r="2009" spans="1:2" x14ac:dyDescent="0.25">
      <c r="A2009" t="s">
        <v>4378</v>
      </c>
      <c r="B2009" t="s">
        <v>4379</v>
      </c>
    </row>
    <row r="2010" spans="1:2" x14ac:dyDescent="0.25">
      <c r="A2010" t="s">
        <v>4380</v>
      </c>
      <c r="B2010" t="s">
        <v>4381</v>
      </c>
    </row>
    <row r="2011" spans="1:2" x14ac:dyDescent="0.25">
      <c r="A2011" t="s">
        <v>4382</v>
      </c>
      <c r="B2011" t="s">
        <v>4383</v>
      </c>
    </row>
    <row r="2012" spans="1:2" x14ac:dyDescent="0.25">
      <c r="A2012" t="s">
        <v>4384</v>
      </c>
      <c r="B2012" t="s">
        <v>4385</v>
      </c>
    </row>
    <row r="2013" spans="1:2" x14ac:dyDescent="0.25">
      <c r="A2013" t="s">
        <v>4386</v>
      </c>
      <c r="B2013" t="s">
        <v>4387</v>
      </c>
    </row>
    <row r="2014" spans="1:2" x14ac:dyDescent="0.25">
      <c r="A2014" t="s">
        <v>4388</v>
      </c>
      <c r="B2014" t="s">
        <v>4389</v>
      </c>
    </row>
    <row r="2015" spans="1:2" x14ac:dyDescent="0.25">
      <c r="A2015" t="s">
        <v>4390</v>
      </c>
      <c r="B2015" t="s">
        <v>4391</v>
      </c>
    </row>
    <row r="2016" spans="1:2" x14ac:dyDescent="0.25">
      <c r="A2016" t="s">
        <v>4392</v>
      </c>
      <c r="B2016" t="s">
        <v>4393</v>
      </c>
    </row>
    <row r="2017" spans="1:2" x14ac:dyDescent="0.25">
      <c r="A2017" t="s">
        <v>4394</v>
      </c>
      <c r="B2017" t="s">
        <v>4395</v>
      </c>
    </row>
    <row r="2018" spans="1:2" x14ac:dyDescent="0.25">
      <c r="A2018" t="s">
        <v>4396</v>
      </c>
      <c r="B2018" t="s">
        <v>4397</v>
      </c>
    </row>
    <row r="2019" spans="1:2" x14ac:dyDescent="0.25">
      <c r="A2019" t="s">
        <v>4398</v>
      </c>
      <c r="B2019" t="s">
        <v>4399</v>
      </c>
    </row>
    <row r="2020" spans="1:2" x14ac:dyDescent="0.25">
      <c r="A2020" t="s">
        <v>4400</v>
      </c>
      <c r="B2020" t="s">
        <v>4401</v>
      </c>
    </row>
    <row r="2021" spans="1:2" x14ac:dyDescent="0.25">
      <c r="A2021" t="s">
        <v>4402</v>
      </c>
      <c r="B2021" t="s">
        <v>4403</v>
      </c>
    </row>
    <row r="2022" spans="1:2" x14ac:dyDescent="0.25">
      <c r="A2022" t="s">
        <v>4404</v>
      </c>
      <c r="B2022" t="s">
        <v>4405</v>
      </c>
    </row>
    <row r="2023" spans="1:2" x14ac:dyDescent="0.25">
      <c r="A2023" t="s">
        <v>4406</v>
      </c>
      <c r="B2023" t="s">
        <v>4407</v>
      </c>
    </row>
    <row r="2024" spans="1:2" x14ac:dyDescent="0.25">
      <c r="A2024" t="s">
        <v>4408</v>
      </c>
      <c r="B2024" t="s">
        <v>4409</v>
      </c>
    </row>
    <row r="2025" spans="1:2" x14ac:dyDescent="0.25">
      <c r="A2025" t="s">
        <v>4410</v>
      </c>
      <c r="B2025" t="s">
        <v>4411</v>
      </c>
    </row>
    <row r="2026" spans="1:2" x14ac:dyDescent="0.25">
      <c r="A2026" t="s">
        <v>4412</v>
      </c>
      <c r="B2026" t="s">
        <v>4413</v>
      </c>
    </row>
    <row r="2027" spans="1:2" x14ac:dyDescent="0.25">
      <c r="A2027" t="s">
        <v>4414</v>
      </c>
      <c r="B2027" t="s">
        <v>4415</v>
      </c>
    </row>
    <row r="2028" spans="1:2" x14ac:dyDescent="0.25">
      <c r="A2028" t="s">
        <v>4416</v>
      </c>
      <c r="B2028" t="s">
        <v>4417</v>
      </c>
    </row>
    <row r="2029" spans="1:2" x14ac:dyDescent="0.25">
      <c r="A2029" t="s">
        <v>4418</v>
      </c>
      <c r="B2029" t="s">
        <v>4419</v>
      </c>
    </row>
    <row r="2030" spans="1:2" x14ac:dyDescent="0.25">
      <c r="A2030" t="s">
        <v>4420</v>
      </c>
      <c r="B2030" t="s">
        <v>4421</v>
      </c>
    </row>
    <row r="2031" spans="1:2" x14ac:dyDescent="0.25">
      <c r="A2031" t="s">
        <v>4422</v>
      </c>
      <c r="B2031" t="s">
        <v>4423</v>
      </c>
    </row>
    <row r="2032" spans="1:2" x14ac:dyDescent="0.25">
      <c r="A2032" t="s">
        <v>4424</v>
      </c>
      <c r="B2032" t="s">
        <v>4425</v>
      </c>
    </row>
    <row r="2033" spans="1:2" x14ac:dyDescent="0.25">
      <c r="A2033" t="s">
        <v>4426</v>
      </c>
      <c r="B2033" t="s">
        <v>550</v>
      </c>
    </row>
    <row r="2034" spans="1:2" x14ac:dyDescent="0.25">
      <c r="A2034" t="s">
        <v>4427</v>
      </c>
      <c r="B2034" t="s">
        <v>4428</v>
      </c>
    </row>
    <row r="2035" spans="1:2" x14ac:dyDescent="0.25">
      <c r="A2035" t="s">
        <v>4429</v>
      </c>
      <c r="B2035" t="s">
        <v>4430</v>
      </c>
    </row>
    <row r="2036" spans="1:2" x14ac:dyDescent="0.25">
      <c r="A2036" t="s">
        <v>4431</v>
      </c>
      <c r="B2036" t="s">
        <v>4432</v>
      </c>
    </row>
    <row r="2037" spans="1:2" x14ac:dyDescent="0.25">
      <c r="A2037" t="s">
        <v>4433</v>
      </c>
      <c r="B2037" t="s">
        <v>4434</v>
      </c>
    </row>
    <row r="2038" spans="1:2" x14ac:dyDescent="0.25">
      <c r="A2038" t="s">
        <v>4435</v>
      </c>
      <c r="B2038" t="s">
        <v>4436</v>
      </c>
    </row>
    <row r="2039" spans="1:2" x14ac:dyDescent="0.25">
      <c r="A2039" t="s">
        <v>4437</v>
      </c>
      <c r="B2039" t="s">
        <v>4438</v>
      </c>
    </row>
    <row r="2040" spans="1:2" x14ac:dyDescent="0.25">
      <c r="A2040" t="s">
        <v>4439</v>
      </c>
      <c r="B2040" t="s">
        <v>4440</v>
      </c>
    </row>
    <row r="2041" spans="1:2" x14ac:dyDescent="0.25">
      <c r="A2041" t="s">
        <v>4441</v>
      </c>
      <c r="B2041" t="s">
        <v>454</v>
      </c>
    </row>
    <row r="2042" spans="1:2" x14ac:dyDescent="0.25">
      <c r="A2042" t="s">
        <v>4442</v>
      </c>
      <c r="B2042" t="s">
        <v>4443</v>
      </c>
    </row>
    <row r="2043" spans="1:2" x14ac:dyDescent="0.25">
      <c r="A2043" t="s">
        <v>4444</v>
      </c>
      <c r="B2043" t="s">
        <v>4445</v>
      </c>
    </row>
    <row r="2044" spans="1:2" x14ac:dyDescent="0.25">
      <c r="A2044" t="s">
        <v>4446</v>
      </c>
      <c r="B2044" t="s">
        <v>4447</v>
      </c>
    </row>
    <row r="2045" spans="1:2" x14ac:dyDescent="0.25">
      <c r="A2045" t="s">
        <v>4448</v>
      </c>
      <c r="B2045" t="s">
        <v>4449</v>
      </c>
    </row>
    <row r="2046" spans="1:2" x14ac:dyDescent="0.25">
      <c r="A2046" t="s">
        <v>4450</v>
      </c>
      <c r="B2046" t="s">
        <v>4451</v>
      </c>
    </row>
    <row r="2047" spans="1:2" x14ac:dyDescent="0.25">
      <c r="A2047" t="s">
        <v>4452</v>
      </c>
      <c r="B2047" t="s">
        <v>4453</v>
      </c>
    </row>
    <row r="2048" spans="1:2" x14ac:dyDescent="0.25">
      <c r="A2048" t="s">
        <v>4454</v>
      </c>
      <c r="B2048" t="s">
        <v>4455</v>
      </c>
    </row>
    <row r="2049" spans="1:2" x14ac:dyDescent="0.25">
      <c r="A2049" t="s">
        <v>4456</v>
      </c>
      <c r="B2049" t="s">
        <v>4457</v>
      </c>
    </row>
    <row r="2050" spans="1:2" x14ac:dyDescent="0.25">
      <c r="A2050" t="s">
        <v>4458</v>
      </c>
      <c r="B2050" t="s">
        <v>4459</v>
      </c>
    </row>
    <row r="2051" spans="1:2" x14ac:dyDescent="0.25">
      <c r="A2051" t="s">
        <v>4460</v>
      </c>
      <c r="B2051" t="s">
        <v>4461</v>
      </c>
    </row>
    <row r="2052" spans="1:2" x14ac:dyDescent="0.25">
      <c r="A2052" t="s">
        <v>4462</v>
      </c>
      <c r="B2052" t="s">
        <v>4463</v>
      </c>
    </row>
    <row r="2053" spans="1:2" x14ac:dyDescent="0.25">
      <c r="A2053" t="s">
        <v>4464</v>
      </c>
      <c r="B2053" t="s">
        <v>4465</v>
      </c>
    </row>
    <row r="2054" spans="1:2" x14ac:dyDescent="0.25">
      <c r="A2054" t="s">
        <v>4466</v>
      </c>
      <c r="B2054" t="s">
        <v>4467</v>
      </c>
    </row>
    <row r="2055" spans="1:2" x14ac:dyDescent="0.25">
      <c r="A2055" t="s">
        <v>4468</v>
      </c>
      <c r="B2055" t="s">
        <v>4469</v>
      </c>
    </row>
    <row r="2056" spans="1:2" x14ac:dyDescent="0.25">
      <c r="A2056" t="s">
        <v>4470</v>
      </c>
      <c r="B2056" t="s">
        <v>4471</v>
      </c>
    </row>
    <row r="2057" spans="1:2" x14ac:dyDescent="0.25">
      <c r="A2057" t="s">
        <v>4472</v>
      </c>
      <c r="B2057" t="s">
        <v>4473</v>
      </c>
    </row>
    <row r="2058" spans="1:2" x14ac:dyDescent="0.25">
      <c r="A2058" t="s">
        <v>4474</v>
      </c>
      <c r="B2058" t="s">
        <v>4475</v>
      </c>
    </row>
    <row r="2059" spans="1:2" x14ac:dyDescent="0.25">
      <c r="A2059" t="s">
        <v>4476</v>
      </c>
      <c r="B2059" t="s">
        <v>4477</v>
      </c>
    </row>
    <row r="2060" spans="1:2" x14ac:dyDescent="0.25">
      <c r="A2060" t="s">
        <v>4478</v>
      </c>
      <c r="B2060" t="s">
        <v>4479</v>
      </c>
    </row>
    <row r="2061" spans="1:2" x14ac:dyDescent="0.25">
      <c r="A2061" t="s">
        <v>4480</v>
      </c>
      <c r="B2061" t="s">
        <v>4481</v>
      </c>
    </row>
    <row r="2062" spans="1:2" x14ac:dyDescent="0.25">
      <c r="A2062" t="s">
        <v>4482</v>
      </c>
      <c r="B2062" t="s">
        <v>4483</v>
      </c>
    </row>
    <row r="2063" spans="1:2" x14ac:dyDescent="0.25">
      <c r="A2063" t="s">
        <v>4484</v>
      </c>
      <c r="B2063" t="s">
        <v>4485</v>
      </c>
    </row>
    <row r="2064" spans="1:2" x14ac:dyDescent="0.25">
      <c r="A2064" t="s">
        <v>4486</v>
      </c>
      <c r="B2064" t="s">
        <v>393</v>
      </c>
    </row>
    <row r="2065" spans="1:2" x14ac:dyDescent="0.25">
      <c r="A2065" t="s">
        <v>4487</v>
      </c>
      <c r="B2065" t="s">
        <v>4488</v>
      </c>
    </row>
    <row r="2066" spans="1:2" x14ac:dyDescent="0.25">
      <c r="A2066" t="s">
        <v>4489</v>
      </c>
      <c r="B2066" t="s">
        <v>4490</v>
      </c>
    </row>
    <row r="2067" spans="1:2" x14ac:dyDescent="0.25">
      <c r="A2067" t="s">
        <v>4491</v>
      </c>
      <c r="B2067" t="s">
        <v>4492</v>
      </c>
    </row>
    <row r="2068" spans="1:2" x14ac:dyDescent="0.25">
      <c r="A2068" t="s">
        <v>4493</v>
      </c>
      <c r="B2068" t="s">
        <v>4494</v>
      </c>
    </row>
    <row r="2069" spans="1:2" x14ac:dyDescent="0.25">
      <c r="A2069" t="s">
        <v>4495</v>
      </c>
      <c r="B2069" t="s">
        <v>4496</v>
      </c>
    </row>
    <row r="2070" spans="1:2" x14ac:dyDescent="0.25">
      <c r="A2070" t="s">
        <v>4497</v>
      </c>
      <c r="B2070" t="s">
        <v>4498</v>
      </c>
    </row>
    <row r="2071" spans="1:2" x14ac:dyDescent="0.25">
      <c r="A2071" t="s">
        <v>4499</v>
      </c>
      <c r="B2071" t="s">
        <v>4500</v>
      </c>
    </row>
    <row r="2072" spans="1:2" x14ac:dyDescent="0.25">
      <c r="A2072" t="s">
        <v>4501</v>
      </c>
      <c r="B2072" t="s">
        <v>4502</v>
      </c>
    </row>
    <row r="2073" spans="1:2" x14ac:dyDescent="0.25">
      <c r="A2073" t="s">
        <v>4503</v>
      </c>
      <c r="B2073" t="s">
        <v>4504</v>
      </c>
    </row>
    <row r="2074" spans="1:2" x14ac:dyDescent="0.25">
      <c r="A2074" t="s">
        <v>4505</v>
      </c>
      <c r="B2074" t="s">
        <v>4506</v>
      </c>
    </row>
    <row r="2075" spans="1:2" x14ac:dyDescent="0.25">
      <c r="A2075" t="s">
        <v>4507</v>
      </c>
      <c r="B2075" t="s">
        <v>4508</v>
      </c>
    </row>
    <row r="2076" spans="1:2" x14ac:dyDescent="0.25">
      <c r="A2076" t="s">
        <v>4509</v>
      </c>
      <c r="B2076" t="s">
        <v>4510</v>
      </c>
    </row>
    <row r="2077" spans="1:2" x14ac:dyDescent="0.25">
      <c r="A2077" t="s">
        <v>4511</v>
      </c>
      <c r="B2077" t="s">
        <v>4512</v>
      </c>
    </row>
    <row r="2078" spans="1:2" x14ac:dyDescent="0.25">
      <c r="A2078" t="s">
        <v>4513</v>
      </c>
      <c r="B2078" t="s">
        <v>4514</v>
      </c>
    </row>
    <row r="2079" spans="1:2" x14ac:dyDescent="0.25">
      <c r="A2079" t="s">
        <v>4515</v>
      </c>
      <c r="B2079" t="s">
        <v>4516</v>
      </c>
    </row>
    <row r="2080" spans="1:2" x14ac:dyDescent="0.25">
      <c r="A2080" t="s">
        <v>4517</v>
      </c>
      <c r="B2080" t="s">
        <v>4518</v>
      </c>
    </row>
    <row r="2081" spans="1:2" x14ac:dyDescent="0.25">
      <c r="A2081" t="s">
        <v>4519</v>
      </c>
      <c r="B2081" t="s">
        <v>4520</v>
      </c>
    </row>
    <row r="2082" spans="1:2" x14ac:dyDescent="0.25">
      <c r="A2082" t="s">
        <v>4521</v>
      </c>
      <c r="B2082" t="s">
        <v>4522</v>
      </c>
    </row>
    <row r="2083" spans="1:2" x14ac:dyDescent="0.25">
      <c r="A2083" t="s">
        <v>4523</v>
      </c>
      <c r="B2083" t="s">
        <v>4524</v>
      </c>
    </row>
    <row r="2084" spans="1:2" x14ac:dyDescent="0.25">
      <c r="A2084" t="s">
        <v>4525</v>
      </c>
      <c r="B2084" t="s">
        <v>495</v>
      </c>
    </row>
    <row r="2085" spans="1:2" x14ac:dyDescent="0.25">
      <c r="A2085" t="s">
        <v>4526</v>
      </c>
      <c r="B2085" t="s">
        <v>4527</v>
      </c>
    </row>
    <row r="2086" spans="1:2" x14ac:dyDescent="0.25">
      <c r="A2086" t="s">
        <v>4528</v>
      </c>
      <c r="B2086" t="s">
        <v>4529</v>
      </c>
    </row>
    <row r="2087" spans="1:2" x14ac:dyDescent="0.25">
      <c r="A2087" t="s">
        <v>4530</v>
      </c>
      <c r="B2087" t="s">
        <v>4531</v>
      </c>
    </row>
    <row r="2088" spans="1:2" x14ac:dyDescent="0.25">
      <c r="A2088" t="s">
        <v>4532</v>
      </c>
      <c r="B2088" t="s">
        <v>4533</v>
      </c>
    </row>
    <row r="2089" spans="1:2" x14ac:dyDescent="0.25">
      <c r="A2089" t="s">
        <v>4534</v>
      </c>
      <c r="B2089" t="s">
        <v>4535</v>
      </c>
    </row>
    <row r="2090" spans="1:2" x14ac:dyDescent="0.25">
      <c r="A2090" t="s">
        <v>4536</v>
      </c>
      <c r="B2090" t="s">
        <v>4537</v>
      </c>
    </row>
    <row r="2091" spans="1:2" x14ac:dyDescent="0.25">
      <c r="A2091" t="s">
        <v>4538</v>
      </c>
      <c r="B2091" t="s">
        <v>4539</v>
      </c>
    </row>
    <row r="2092" spans="1:2" x14ac:dyDescent="0.25">
      <c r="A2092" t="s">
        <v>4540</v>
      </c>
      <c r="B2092" t="s">
        <v>4541</v>
      </c>
    </row>
    <row r="2093" spans="1:2" x14ac:dyDescent="0.25">
      <c r="A2093" t="s">
        <v>4542</v>
      </c>
      <c r="B2093" t="s">
        <v>4543</v>
      </c>
    </row>
    <row r="2094" spans="1:2" x14ac:dyDescent="0.25">
      <c r="A2094" t="s">
        <v>4544</v>
      </c>
      <c r="B2094" t="s">
        <v>4545</v>
      </c>
    </row>
    <row r="2095" spans="1:2" x14ac:dyDescent="0.25">
      <c r="A2095" t="s">
        <v>4546</v>
      </c>
      <c r="B2095" t="s">
        <v>4547</v>
      </c>
    </row>
    <row r="2096" spans="1:2" x14ac:dyDescent="0.25">
      <c r="A2096" t="s">
        <v>4548</v>
      </c>
      <c r="B2096" t="s">
        <v>4549</v>
      </c>
    </row>
    <row r="2097" spans="1:2" x14ac:dyDescent="0.25">
      <c r="A2097" t="s">
        <v>4550</v>
      </c>
      <c r="B2097" t="s">
        <v>4551</v>
      </c>
    </row>
    <row r="2098" spans="1:2" x14ac:dyDescent="0.25">
      <c r="A2098" t="s">
        <v>4552</v>
      </c>
      <c r="B2098" t="s">
        <v>4553</v>
      </c>
    </row>
    <row r="2099" spans="1:2" x14ac:dyDescent="0.25">
      <c r="A2099" t="s">
        <v>4554</v>
      </c>
      <c r="B2099" t="s">
        <v>4555</v>
      </c>
    </row>
    <row r="2100" spans="1:2" x14ac:dyDescent="0.25">
      <c r="A2100" t="s">
        <v>4556</v>
      </c>
      <c r="B2100" t="s">
        <v>4557</v>
      </c>
    </row>
    <row r="2101" spans="1:2" x14ac:dyDescent="0.25">
      <c r="A2101" t="s">
        <v>4558</v>
      </c>
      <c r="B2101" t="s">
        <v>4559</v>
      </c>
    </row>
    <row r="2102" spans="1:2" x14ac:dyDescent="0.25">
      <c r="A2102" t="s">
        <v>4560</v>
      </c>
      <c r="B2102" t="s">
        <v>4561</v>
      </c>
    </row>
    <row r="2103" spans="1:2" x14ac:dyDescent="0.25">
      <c r="A2103" t="s">
        <v>4562</v>
      </c>
      <c r="B2103" t="s">
        <v>4563</v>
      </c>
    </row>
    <row r="2104" spans="1:2" x14ac:dyDescent="0.25">
      <c r="A2104" t="s">
        <v>4564</v>
      </c>
      <c r="B2104" t="s">
        <v>4565</v>
      </c>
    </row>
    <row r="2105" spans="1:2" x14ac:dyDescent="0.25">
      <c r="A2105" t="s">
        <v>4566</v>
      </c>
      <c r="B2105" t="s">
        <v>4567</v>
      </c>
    </row>
    <row r="2106" spans="1:2" x14ac:dyDescent="0.25">
      <c r="A2106" t="s">
        <v>4568</v>
      </c>
      <c r="B2106" t="s">
        <v>4569</v>
      </c>
    </row>
    <row r="2107" spans="1:2" x14ac:dyDescent="0.25">
      <c r="A2107" t="s">
        <v>4570</v>
      </c>
      <c r="B2107" t="s">
        <v>4571</v>
      </c>
    </row>
    <row r="2108" spans="1:2" x14ac:dyDescent="0.25">
      <c r="A2108" t="s">
        <v>4572</v>
      </c>
      <c r="B2108" t="s">
        <v>662</v>
      </c>
    </row>
    <row r="2109" spans="1:2" x14ac:dyDescent="0.25">
      <c r="A2109" t="s">
        <v>4573</v>
      </c>
      <c r="B2109" t="s">
        <v>4574</v>
      </c>
    </row>
    <row r="2110" spans="1:2" x14ac:dyDescent="0.25">
      <c r="A2110" t="s">
        <v>4575</v>
      </c>
      <c r="B2110" t="s">
        <v>4576</v>
      </c>
    </row>
    <row r="2111" spans="1:2" x14ac:dyDescent="0.25">
      <c r="A2111" t="s">
        <v>4577</v>
      </c>
      <c r="B2111" t="s">
        <v>4578</v>
      </c>
    </row>
    <row r="2112" spans="1:2" x14ac:dyDescent="0.25">
      <c r="A2112" t="s">
        <v>4579</v>
      </c>
      <c r="B2112" t="s">
        <v>4580</v>
      </c>
    </row>
    <row r="2113" spans="1:2" x14ac:dyDescent="0.25">
      <c r="A2113" t="s">
        <v>4581</v>
      </c>
      <c r="B2113" t="s">
        <v>4582</v>
      </c>
    </row>
    <row r="2114" spans="1:2" x14ac:dyDescent="0.25">
      <c r="A2114" t="s">
        <v>4583</v>
      </c>
      <c r="B2114" t="s">
        <v>4584</v>
      </c>
    </row>
    <row r="2115" spans="1:2" x14ac:dyDescent="0.25">
      <c r="A2115" t="s">
        <v>4585</v>
      </c>
      <c r="B2115" t="s">
        <v>4586</v>
      </c>
    </row>
    <row r="2116" spans="1:2" x14ac:dyDescent="0.25">
      <c r="A2116" t="s">
        <v>4587</v>
      </c>
      <c r="B2116" t="s">
        <v>4588</v>
      </c>
    </row>
    <row r="2117" spans="1:2" x14ac:dyDescent="0.25">
      <c r="A2117" t="s">
        <v>4589</v>
      </c>
      <c r="B2117" t="s">
        <v>4590</v>
      </c>
    </row>
    <row r="2118" spans="1:2" x14ac:dyDescent="0.25">
      <c r="A2118" t="s">
        <v>4591</v>
      </c>
      <c r="B2118" t="s">
        <v>4592</v>
      </c>
    </row>
    <row r="2119" spans="1:2" x14ac:dyDescent="0.25">
      <c r="A2119" t="s">
        <v>4593</v>
      </c>
      <c r="B2119" t="s">
        <v>4594</v>
      </c>
    </row>
    <row r="2120" spans="1:2" x14ac:dyDescent="0.25">
      <c r="A2120" t="s">
        <v>4595</v>
      </c>
      <c r="B2120" t="s">
        <v>4596</v>
      </c>
    </row>
    <row r="2121" spans="1:2" x14ac:dyDescent="0.25">
      <c r="A2121" t="s">
        <v>4597</v>
      </c>
      <c r="B2121" t="s">
        <v>4598</v>
      </c>
    </row>
    <row r="2122" spans="1:2" x14ac:dyDescent="0.25">
      <c r="A2122" t="s">
        <v>4599</v>
      </c>
      <c r="B2122" t="s">
        <v>4600</v>
      </c>
    </row>
    <row r="2123" spans="1:2" x14ac:dyDescent="0.25">
      <c r="A2123" t="s">
        <v>4601</v>
      </c>
      <c r="B2123" t="s">
        <v>4602</v>
      </c>
    </row>
    <row r="2124" spans="1:2" x14ac:dyDescent="0.25">
      <c r="A2124" t="s">
        <v>4603</v>
      </c>
      <c r="B2124" t="s">
        <v>4604</v>
      </c>
    </row>
    <row r="2125" spans="1:2" x14ac:dyDescent="0.25">
      <c r="A2125" t="s">
        <v>4605</v>
      </c>
      <c r="B2125" t="s">
        <v>4606</v>
      </c>
    </row>
    <row r="2126" spans="1:2" x14ac:dyDescent="0.25">
      <c r="A2126" t="s">
        <v>4607</v>
      </c>
      <c r="B2126" t="s">
        <v>4608</v>
      </c>
    </row>
    <row r="2127" spans="1:2" x14ac:dyDescent="0.25">
      <c r="A2127" t="s">
        <v>4609</v>
      </c>
      <c r="B2127" t="s">
        <v>4610</v>
      </c>
    </row>
    <row r="2128" spans="1:2" x14ac:dyDescent="0.25">
      <c r="A2128" t="s">
        <v>4611</v>
      </c>
      <c r="B2128" t="s">
        <v>4612</v>
      </c>
    </row>
    <row r="2129" spans="1:2" x14ac:dyDescent="0.25">
      <c r="A2129" t="s">
        <v>4613</v>
      </c>
      <c r="B2129" t="s">
        <v>4614</v>
      </c>
    </row>
    <row r="2130" spans="1:2" x14ac:dyDescent="0.25">
      <c r="A2130" t="s">
        <v>4615</v>
      </c>
      <c r="B2130" t="s">
        <v>4616</v>
      </c>
    </row>
    <row r="2131" spans="1:2" x14ac:dyDescent="0.25">
      <c r="A2131" t="s">
        <v>4617</v>
      </c>
      <c r="B2131" t="s">
        <v>4618</v>
      </c>
    </row>
    <row r="2132" spans="1:2" x14ac:dyDescent="0.25">
      <c r="A2132" t="s">
        <v>4619</v>
      </c>
      <c r="B2132" t="s">
        <v>4620</v>
      </c>
    </row>
    <row r="2133" spans="1:2" x14ac:dyDescent="0.25">
      <c r="A2133" t="s">
        <v>4621</v>
      </c>
      <c r="B2133" t="s">
        <v>4622</v>
      </c>
    </row>
    <row r="2134" spans="1:2" x14ac:dyDescent="0.25">
      <c r="A2134" t="s">
        <v>4623</v>
      </c>
      <c r="B2134" t="s">
        <v>4624</v>
      </c>
    </row>
    <row r="2135" spans="1:2" x14ac:dyDescent="0.25">
      <c r="A2135" t="s">
        <v>4625</v>
      </c>
      <c r="B2135" t="s">
        <v>4626</v>
      </c>
    </row>
    <row r="2136" spans="1:2" x14ac:dyDescent="0.25">
      <c r="A2136" t="s">
        <v>4627</v>
      </c>
      <c r="B2136" t="s">
        <v>4628</v>
      </c>
    </row>
    <row r="2137" spans="1:2" x14ac:dyDescent="0.25">
      <c r="A2137" t="s">
        <v>4629</v>
      </c>
      <c r="B2137" t="s">
        <v>166</v>
      </c>
    </row>
    <row r="2138" spans="1:2" x14ac:dyDescent="0.25">
      <c r="A2138" t="s">
        <v>4630</v>
      </c>
      <c r="B2138" t="s">
        <v>4631</v>
      </c>
    </row>
    <row r="2139" spans="1:2" x14ac:dyDescent="0.25">
      <c r="A2139" t="s">
        <v>4632</v>
      </c>
      <c r="B2139" t="s">
        <v>4633</v>
      </c>
    </row>
    <row r="2140" spans="1:2" x14ac:dyDescent="0.25">
      <c r="A2140" t="s">
        <v>4634</v>
      </c>
      <c r="B2140" t="s">
        <v>4635</v>
      </c>
    </row>
    <row r="2141" spans="1:2" x14ac:dyDescent="0.25">
      <c r="A2141" t="s">
        <v>4636</v>
      </c>
      <c r="B2141" t="s">
        <v>4637</v>
      </c>
    </row>
    <row r="2142" spans="1:2" x14ac:dyDescent="0.25">
      <c r="A2142" t="s">
        <v>4638</v>
      </c>
      <c r="B2142" t="s">
        <v>4639</v>
      </c>
    </row>
    <row r="2143" spans="1:2" x14ac:dyDescent="0.25">
      <c r="A2143" t="s">
        <v>4640</v>
      </c>
      <c r="B2143" t="s">
        <v>4641</v>
      </c>
    </row>
    <row r="2144" spans="1:2" x14ac:dyDescent="0.25">
      <c r="A2144" t="s">
        <v>4642</v>
      </c>
      <c r="B2144" t="s">
        <v>4643</v>
      </c>
    </row>
    <row r="2145" spans="1:2" x14ac:dyDescent="0.25">
      <c r="A2145" t="s">
        <v>4644</v>
      </c>
      <c r="B2145" t="s">
        <v>553</v>
      </c>
    </row>
    <row r="2146" spans="1:2" x14ac:dyDescent="0.25">
      <c r="A2146" t="s">
        <v>4645</v>
      </c>
      <c r="B2146" t="s">
        <v>186</v>
      </c>
    </row>
    <row r="2147" spans="1:2" x14ac:dyDescent="0.25">
      <c r="A2147" t="s">
        <v>4646</v>
      </c>
      <c r="B2147" t="s">
        <v>4647</v>
      </c>
    </row>
    <row r="2148" spans="1:2" x14ac:dyDescent="0.25">
      <c r="A2148" t="s">
        <v>4648</v>
      </c>
      <c r="B2148" t="s">
        <v>4649</v>
      </c>
    </row>
    <row r="2149" spans="1:2" x14ac:dyDescent="0.25">
      <c r="A2149" t="s">
        <v>4650</v>
      </c>
      <c r="B2149" t="s">
        <v>4651</v>
      </c>
    </row>
    <row r="2150" spans="1:2" x14ac:dyDescent="0.25">
      <c r="A2150" t="s">
        <v>4652</v>
      </c>
      <c r="B2150" t="s">
        <v>4653</v>
      </c>
    </row>
    <row r="2151" spans="1:2" x14ac:dyDescent="0.25">
      <c r="A2151" t="s">
        <v>4654</v>
      </c>
      <c r="B2151" t="s">
        <v>4655</v>
      </c>
    </row>
    <row r="2152" spans="1:2" x14ac:dyDescent="0.25">
      <c r="A2152" t="s">
        <v>4656</v>
      </c>
      <c r="B2152" t="s">
        <v>4657</v>
      </c>
    </row>
    <row r="2153" spans="1:2" x14ac:dyDescent="0.25">
      <c r="A2153" t="s">
        <v>4658</v>
      </c>
      <c r="B2153" t="s">
        <v>4659</v>
      </c>
    </row>
    <row r="2154" spans="1:2" x14ac:dyDescent="0.25">
      <c r="A2154" t="s">
        <v>4660</v>
      </c>
      <c r="B2154" t="s">
        <v>4661</v>
      </c>
    </row>
    <row r="2155" spans="1:2" x14ac:dyDescent="0.25">
      <c r="A2155" t="s">
        <v>4662</v>
      </c>
      <c r="B2155" t="s">
        <v>619</v>
      </c>
    </row>
    <row r="2156" spans="1:2" x14ac:dyDescent="0.25">
      <c r="A2156" t="s">
        <v>4663</v>
      </c>
      <c r="B2156" t="s">
        <v>4664</v>
      </c>
    </row>
    <row r="2157" spans="1:2" x14ac:dyDescent="0.25">
      <c r="A2157" t="s">
        <v>4665</v>
      </c>
      <c r="B2157" t="s">
        <v>4666</v>
      </c>
    </row>
    <row r="2158" spans="1:2" x14ac:dyDescent="0.25">
      <c r="A2158" t="s">
        <v>4667</v>
      </c>
      <c r="B2158" t="s">
        <v>4668</v>
      </c>
    </row>
    <row r="2159" spans="1:2" x14ac:dyDescent="0.25">
      <c r="A2159" t="s">
        <v>4669</v>
      </c>
      <c r="B2159" t="s">
        <v>4670</v>
      </c>
    </row>
    <row r="2160" spans="1:2" x14ac:dyDescent="0.25">
      <c r="A2160" t="s">
        <v>4671</v>
      </c>
      <c r="B2160" t="s">
        <v>4672</v>
      </c>
    </row>
    <row r="2161" spans="1:2" x14ac:dyDescent="0.25">
      <c r="A2161" t="s">
        <v>4673</v>
      </c>
      <c r="B2161" t="s">
        <v>4674</v>
      </c>
    </row>
    <row r="2162" spans="1:2" x14ac:dyDescent="0.25">
      <c r="A2162" t="s">
        <v>4675</v>
      </c>
      <c r="B2162" t="s">
        <v>4676</v>
      </c>
    </row>
    <row r="2163" spans="1:2" x14ac:dyDescent="0.25">
      <c r="A2163" t="s">
        <v>4677</v>
      </c>
      <c r="B2163" t="s">
        <v>4678</v>
      </c>
    </row>
    <row r="2164" spans="1:2" x14ac:dyDescent="0.25">
      <c r="A2164" t="s">
        <v>4679</v>
      </c>
      <c r="B2164" t="s">
        <v>4680</v>
      </c>
    </row>
    <row r="2165" spans="1:2" x14ac:dyDescent="0.25">
      <c r="A2165" t="s">
        <v>4681</v>
      </c>
      <c r="B2165" t="s">
        <v>4682</v>
      </c>
    </row>
    <row r="2166" spans="1:2" x14ac:dyDescent="0.25">
      <c r="A2166" t="s">
        <v>4683</v>
      </c>
      <c r="B2166" t="s">
        <v>4684</v>
      </c>
    </row>
    <row r="2167" spans="1:2" x14ac:dyDescent="0.25">
      <c r="A2167" t="s">
        <v>4685</v>
      </c>
      <c r="B2167" t="s">
        <v>4686</v>
      </c>
    </row>
    <row r="2168" spans="1:2" x14ac:dyDescent="0.25">
      <c r="A2168" t="s">
        <v>4687</v>
      </c>
      <c r="B2168" t="s">
        <v>4688</v>
      </c>
    </row>
    <row r="2169" spans="1:2" x14ac:dyDescent="0.25">
      <c r="A2169" t="s">
        <v>4689</v>
      </c>
      <c r="B2169" t="s">
        <v>4690</v>
      </c>
    </row>
    <row r="2170" spans="1:2" x14ac:dyDescent="0.25">
      <c r="A2170" t="s">
        <v>4691</v>
      </c>
      <c r="B2170" t="s">
        <v>4692</v>
      </c>
    </row>
    <row r="2171" spans="1:2" x14ac:dyDescent="0.25">
      <c r="A2171" t="s">
        <v>4693</v>
      </c>
      <c r="B2171" t="s">
        <v>4694</v>
      </c>
    </row>
    <row r="2172" spans="1:2" x14ac:dyDescent="0.25">
      <c r="A2172" t="s">
        <v>4695</v>
      </c>
      <c r="B2172" t="s">
        <v>4696</v>
      </c>
    </row>
    <row r="2173" spans="1:2" x14ac:dyDescent="0.25">
      <c r="A2173" t="s">
        <v>4697</v>
      </c>
      <c r="B2173" t="s">
        <v>4698</v>
      </c>
    </row>
    <row r="2174" spans="1:2" x14ac:dyDescent="0.25">
      <c r="A2174" t="s">
        <v>4699</v>
      </c>
      <c r="B2174" t="s">
        <v>4700</v>
      </c>
    </row>
    <row r="2175" spans="1:2" x14ac:dyDescent="0.25">
      <c r="A2175" t="s">
        <v>4701</v>
      </c>
      <c r="B2175" t="s">
        <v>4702</v>
      </c>
    </row>
    <row r="2176" spans="1:2" x14ac:dyDescent="0.25">
      <c r="A2176" t="s">
        <v>4703</v>
      </c>
      <c r="B2176" t="s">
        <v>4704</v>
      </c>
    </row>
    <row r="2177" spans="1:2" x14ac:dyDescent="0.25">
      <c r="A2177" t="s">
        <v>4705</v>
      </c>
      <c r="B2177" t="s">
        <v>4706</v>
      </c>
    </row>
    <row r="2178" spans="1:2" x14ac:dyDescent="0.25">
      <c r="A2178" t="s">
        <v>4707</v>
      </c>
      <c r="B2178" t="s">
        <v>4708</v>
      </c>
    </row>
    <row r="2179" spans="1:2" x14ac:dyDescent="0.25">
      <c r="A2179" t="s">
        <v>4709</v>
      </c>
      <c r="B2179" t="s">
        <v>4710</v>
      </c>
    </row>
    <row r="2180" spans="1:2" x14ac:dyDescent="0.25">
      <c r="A2180" t="s">
        <v>4711</v>
      </c>
      <c r="B2180" t="s">
        <v>4712</v>
      </c>
    </row>
    <row r="2181" spans="1:2" x14ac:dyDescent="0.25">
      <c r="A2181" t="s">
        <v>4713</v>
      </c>
      <c r="B2181" t="s">
        <v>4714</v>
      </c>
    </row>
    <row r="2182" spans="1:2" x14ac:dyDescent="0.25">
      <c r="A2182" t="s">
        <v>4715</v>
      </c>
      <c r="B2182" t="s">
        <v>4716</v>
      </c>
    </row>
    <row r="2183" spans="1:2" x14ac:dyDescent="0.25">
      <c r="A2183" t="s">
        <v>4717</v>
      </c>
      <c r="B2183" t="s">
        <v>4718</v>
      </c>
    </row>
    <row r="2184" spans="1:2" x14ac:dyDescent="0.25">
      <c r="A2184" t="s">
        <v>4719</v>
      </c>
      <c r="B2184" t="s">
        <v>4720</v>
      </c>
    </row>
    <row r="2185" spans="1:2" x14ac:dyDescent="0.25">
      <c r="A2185" t="s">
        <v>4721</v>
      </c>
      <c r="B2185" t="s">
        <v>4722</v>
      </c>
    </row>
    <row r="2186" spans="1:2" x14ac:dyDescent="0.25">
      <c r="A2186" t="s">
        <v>4723</v>
      </c>
      <c r="B2186" t="s">
        <v>4724</v>
      </c>
    </row>
    <row r="2187" spans="1:2" x14ac:dyDescent="0.25">
      <c r="A2187" t="s">
        <v>4725</v>
      </c>
      <c r="B2187" t="s">
        <v>4726</v>
      </c>
    </row>
    <row r="2188" spans="1:2" x14ac:dyDescent="0.25">
      <c r="A2188" t="s">
        <v>4727</v>
      </c>
      <c r="B2188" t="s">
        <v>4728</v>
      </c>
    </row>
    <row r="2189" spans="1:2" x14ac:dyDescent="0.25">
      <c r="A2189" t="s">
        <v>4729</v>
      </c>
      <c r="B2189" t="s">
        <v>4730</v>
      </c>
    </row>
    <row r="2190" spans="1:2" x14ac:dyDescent="0.25">
      <c r="A2190" t="s">
        <v>4731</v>
      </c>
      <c r="B2190" t="s">
        <v>4732</v>
      </c>
    </row>
    <row r="2191" spans="1:2" x14ac:dyDescent="0.25">
      <c r="A2191" t="s">
        <v>4733</v>
      </c>
      <c r="B2191" t="s">
        <v>4734</v>
      </c>
    </row>
    <row r="2192" spans="1:2" x14ac:dyDescent="0.25">
      <c r="A2192" t="s">
        <v>4735</v>
      </c>
      <c r="B2192" t="s">
        <v>4736</v>
      </c>
    </row>
    <row r="2193" spans="1:2" x14ac:dyDescent="0.25">
      <c r="A2193" t="s">
        <v>4737</v>
      </c>
      <c r="B2193" t="s">
        <v>4738</v>
      </c>
    </row>
    <row r="2194" spans="1:2" x14ac:dyDescent="0.25">
      <c r="A2194" t="s">
        <v>4739</v>
      </c>
      <c r="B2194" t="s">
        <v>4740</v>
      </c>
    </row>
    <row r="2195" spans="1:2" x14ac:dyDescent="0.25">
      <c r="A2195" t="s">
        <v>4741</v>
      </c>
      <c r="B2195" t="s">
        <v>4742</v>
      </c>
    </row>
    <row r="2196" spans="1:2" x14ac:dyDescent="0.25">
      <c r="A2196" t="s">
        <v>4743</v>
      </c>
      <c r="B2196" t="s">
        <v>4744</v>
      </c>
    </row>
    <row r="2197" spans="1:2" x14ac:dyDescent="0.25">
      <c r="A2197" t="s">
        <v>4745</v>
      </c>
      <c r="B2197" t="s">
        <v>4746</v>
      </c>
    </row>
    <row r="2198" spans="1:2" x14ac:dyDescent="0.25">
      <c r="A2198" t="s">
        <v>4747</v>
      </c>
      <c r="B2198" t="s">
        <v>4748</v>
      </c>
    </row>
    <row r="2199" spans="1:2" x14ac:dyDescent="0.25">
      <c r="A2199" t="s">
        <v>4749</v>
      </c>
      <c r="B2199" t="s">
        <v>4750</v>
      </c>
    </row>
    <row r="2200" spans="1:2" x14ac:dyDescent="0.25">
      <c r="A2200" t="s">
        <v>4751</v>
      </c>
      <c r="B2200" t="s">
        <v>4752</v>
      </c>
    </row>
    <row r="2201" spans="1:2" x14ac:dyDescent="0.25">
      <c r="A2201" t="s">
        <v>4753</v>
      </c>
      <c r="B2201" t="s">
        <v>4754</v>
      </c>
    </row>
    <row r="2202" spans="1:2" x14ac:dyDescent="0.25">
      <c r="A2202" t="s">
        <v>4755</v>
      </c>
      <c r="B2202" t="s">
        <v>4756</v>
      </c>
    </row>
    <row r="2203" spans="1:2" x14ac:dyDescent="0.25">
      <c r="A2203" t="s">
        <v>4757</v>
      </c>
      <c r="B2203" t="s">
        <v>4758</v>
      </c>
    </row>
    <row r="2204" spans="1:2" x14ac:dyDescent="0.25">
      <c r="A2204" t="s">
        <v>4759</v>
      </c>
      <c r="B2204" t="s">
        <v>4760</v>
      </c>
    </row>
    <row r="2205" spans="1:2" x14ac:dyDescent="0.25">
      <c r="A2205" t="s">
        <v>4761</v>
      </c>
      <c r="B2205" t="s">
        <v>4762</v>
      </c>
    </row>
    <row r="2206" spans="1:2" x14ac:dyDescent="0.25">
      <c r="A2206" t="s">
        <v>4763</v>
      </c>
      <c r="B2206" t="s">
        <v>4764</v>
      </c>
    </row>
    <row r="2207" spans="1:2" x14ac:dyDescent="0.25">
      <c r="A2207" t="s">
        <v>4765</v>
      </c>
      <c r="B2207" t="s">
        <v>4766</v>
      </c>
    </row>
    <row r="2208" spans="1:2" x14ac:dyDescent="0.25">
      <c r="A2208" t="s">
        <v>4767</v>
      </c>
      <c r="B2208" t="s">
        <v>4768</v>
      </c>
    </row>
    <row r="2209" spans="1:2" x14ac:dyDescent="0.25">
      <c r="A2209" t="s">
        <v>4769</v>
      </c>
      <c r="B2209" t="s">
        <v>4770</v>
      </c>
    </row>
    <row r="2210" spans="1:2" x14ac:dyDescent="0.25">
      <c r="A2210" t="s">
        <v>4771</v>
      </c>
      <c r="B2210" t="s">
        <v>4772</v>
      </c>
    </row>
    <row r="2211" spans="1:2" x14ac:dyDescent="0.25">
      <c r="A2211" t="s">
        <v>4773</v>
      </c>
      <c r="B2211" t="s">
        <v>4774</v>
      </c>
    </row>
    <row r="2212" spans="1:2" x14ac:dyDescent="0.25">
      <c r="A2212" t="s">
        <v>4775</v>
      </c>
      <c r="B2212" t="s">
        <v>4776</v>
      </c>
    </row>
    <row r="2213" spans="1:2" x14ac:dyDescent="0.25">
      <c r="A2213" t="s">
        <v>4777</v>
      </c>
      <c r="B2213" t="s">
        <v>4778</v>
      </c>
    </row>
    <row r="2214" spans="1:2" x14ac:dyDescent="0.25">
      <c r="A2214" t="s">
        <v>4779</v>
      </c>
      <c r="B2214" t="s">
        <v>4780</v>
      </c>
    </row>
    <row r="2215" spans="1:2" x14ac:dyDescent="0.25">
      <c r="A2215" t="s">
        <v>4781</v>
      </c>
      <c r="B2215" t="s">
        <v>4782</v>
      </c>
    </row>
    <row r="2216" spans="1:2" x14ac:dyDescent="0.25">
      <c r="A2216" t="s">
        <v>4783</v>
      </c>
      <c r="B2216" t="s">
        <v>4784</v>
      </c>
    </row>
    <row r="2217" spans="1:2" x14ac:dyDescent="0.25">
      <c r="A2217" t="s">
        <v>4785</v>
      </c>
      <c r="B2217" t="s">
        <v>4786</v>
      </c>
    </row>
    <row r="2218" spans="1:2" x14ac:dyDescent="0.25">
      <c r="A2218" t="s">
        <v>4787</v>
      </c>
      <c r="B2218" t="s">
        <v>4788</v>
      </c>
    </row>
    <row r="2219" spans="1:2" x14ac:dyDescent="0.25">
      <c r="A2219" t="s">
        <v>4789</v>
      </c>
      <c r="B2219" t="s">
        <v>4790</v>
      </c>
    </row>
    <row r="2220" spans="1:2" x14ac:dyDescent="0.25">
      <c r="A2220" t="s">
        <v>4791</v>
      </c>
      <c r="B2220" t="s">
        <v>4792</v>
      </c>
    </row>
    <row r="2221" spans="1:2" x14ac:dyDescent="0.25">
      <c r="A2221" t="s">
        <v>4793</v>
      </c>
      <c r="B2221" t="s">
        <v>203</v>
      </c>
    </row>
    <row r="2222" spans="1:2" x14ac:dyDescent="0.25">
      <c r="A2222" t="s">
        <v>4794</v>
      </c>
      <c r="B2222" t="s">
        <v>4795</v>
      </c>
    </row>
    <row r="2223" spans="1:2" x14ac:dyDescent="0.25">
      <c r="A2223" t="s">
        <v>4796</v>
      </c>
      <c r="B2223" t="s">
        <v>4797</v>
      </c>
    </row>
    <row r="2224" spans="1:2" x14ac:dyDescent="0.25">
      <c r="A2224" t="s">
        <v>4798</v>
      </c>
      <c r="B2224" t="s">
        <v>4799</v>
      </c>
    </row>
    <row r="2225" spans="1:2" x14ac:dyDescent="0.25">
      <c r="A2225" t="s">
        <v>4800</v>
      </c>
      <c r="B2225" t="s">
        <v>4801</v>
      </c>
    </row>
    <row r="2226" spans="1:2" x14ac:dyDescent="0.25">
      <c r="A2226" t="s">
        <v>4802</v>
      </c>
      <c r="B2226" t="s">
        <v>4803</v>
      </c>
    </row>
    <row r="2227" spans="1:2" x14ac:dyDescent="0.25">
      <c r="A2227" t="s">
        <v>4804</v>
      </c>
      <c r="B2227" t="s">
        <v>4805</v>
      </c>
    </row>
    <row r="2228" spans="1:2" x14ac:dyDescent="0.25">
      <c r="A2228" t="s">
        <v>4806</v>
      </c>
      <c r="B2228" t="s">
        <v>4807</v>
      </c>
    </row>
    <row r="2229" spans="1:2" x14ac:dyDescent="0.25">
      <c r="A2229" t="s">
        <v>4808</v>
      </c>
      <c r="B2229" t="s">
        <v>4809</v>
      </c>
    </row>
    <row r="2230" spans="1:2" x14ac:dyDescent="0.25">
      <c r="A2230" t="s">
        <v>4810</v>
      </c>
      <c r="B2230" t="s">
        <v>4811</v>
      </c>
    </row>
    <row r="2231" spans="1:2" x14ac:dyDescent="0.25">
      <c r="A2231" t="s">
        <v>4812</v>
      </c>
      <c r="B2231" t="s">
        <v>4813</v>
      </c>
    </row>
    <row r="2232" spans="1:2" x14ac:dyDescent="0.25">
      <c r="A2232" t="s">
        <v>4814</v>
      </c>
      <c r="B2232" t="s">
        <v>4815</v>
      </c>
    </row>
    <row r="2233" spans="1:2" x14ac:dyDescent="0.25">
      <c r="A2233" t="s">
        <v>4816</v>
      </c>
      <c r="B2233" t="s">
        <v>4817</v>
      </c>
    </row>
    <row r="2234" spans="1:2" x14ac:dyDescent="0.25">
      <c r="A2234" t="s">
        <v>4818</v>
      </c>
      <c r="B2234" t="s">
        <v>4819</v>
      </c>
    </row>
    <row r="2235" spans="1:2" x14ac:dyDescent="0.25">
      <c r="A2235" t="s">
        <v>4820</v>
      </c>
      <c r="B2235" t="s">
        <v>4821</v>
      </c>
    </row>
    <row r="2236" spans="1:2" x14ac:dyDescent="0.25">
      <c r="A2236" t="s">
        <v>4822</v>
      </c>
      <c r="B2236" t="s">
        <v>4823</v>
      </c>
    </row>
    <row r="2237" spans="1:2" x14ac:dyDescent="0.25">
      <c r="A2237" t="s">
        <v>4824</v>
      </c>
      <c r="B2237" t="s">
        <v>4825</v>
      </c>
    </row>
    <row r="2238" spans="1:2" x14ac:dyDescent="0.25">
      <c r="A2238" t="s">
        <v>4826</v>
      </c>
      <c r="B2238" t="s">
        <v>4827</v>
      </c>
    </row>
    <row r="2239" spans="1:2" x14ac:dyDescent="0.25">
      <c r="A2239" t="s">
        <v>4828</v>
      </c>
      <c r="B2239" t="s">
        <v>4829</v>
      </c>
    </row>
    <row r="2240" spans="1:2" x14ac:dyDescent="0.25">
      <c r="A2240" t="s">
        <v>4830</v>
      </c>
      <c r="B2240" t="s">
        <v>4831</v>
      </c>
    </row>
    <row r="2241" spans="1:2" x14ac:dyDescent="0.25">
      <c r="A2241" t="s">
        <v>4832</v>
      </c>
      <c r="B2241" t="s">
        <v>4833</v>
      </c>
    </row>
    <row r="2242" spans="1:2" x14ac:dyDescent="0.25">
      <c r="A2242" t="s">
        <v>4834</v>
      </c>
      <c r="B2242" t="s">
        <v>4835</v>
      </c>
    </row>
    <row r="2243" spans="1:2" x14ac:dyDescent="0.25">
      <c r="A2243" t="s">
        <v>4836</v>
      </c>
      <c r="B2243" t="s">
        <v>4837</v>
      </c>
    </row>
    <row r="2244" spans="1:2" x14ac:dyDescent="0.25">
      <c r="A2244" t="s">
        <v>4838</v>
      </c>
      <c r="B2244" t="s">
        <v>4839</v>
      </c>
    </row>
    <row r="2245" spans="1:2" x14ac:dyDescent="0.25">
      <c r="A2245" t="s">
        <v>4840</v>
      </c>
      <c r="B2245" t="s">
        <v>4841</v>
      </c>
    </row>
    <row r="2246" spans="1:2" x14ac:dyDescent="0.25">
      <c r="A2246" t="s">
        <v>4842</v>
      </c>
      <c r="B2246" t="s">
        <v>4843</v>
      </c>
    </row>
    <row r="2247" spans="1:2" x14ac:dyDescent="0.25">
      <c r="A2247" t="s">
        <v>4844</v>
      </c>
      <c r="B2247" t="s">
        <v>4845</v>
      </c>
    </row>
    <row r="2248" spans="1:2" x14ac:dyDescent="0.25">
      <c r="A2248" t="s">
        <v>4846</v>
      </c>
      <c r="B2248" t="s">
        <v>4847</v>
      </c>
    </row>
    <row r="2249" spans="1:2" x14ac:dyDescent="0.25">
      <c r="A2249" t="s">
        <v>4848</v>
      </c>
      <c r="B2249" t="s">
        <v>4849</v>
      </c>
    </row>
    <row r="2250" spans="1:2" x14ac:dyDescent="0.25">
      <c r="A2250" t="s">
        <v>4850</v>
      </c>
      <c r="B2250" t="s">
        <v>4851</v>
      </c>
    </row>
    <row r="2251" spans="1:2" x14ac:dyDescent="0.25">
      <c r="A2251" t="s">
        <v>4852</v>
      </c>
      <c r="B2251" t="s">
        <v>4853</v>
      </c>
    </row>
    <row r="2252" spans="1:2" x14ac:dyDescent="0.25">
      <c r="A2252" t="s">
        <v>4854</v>
      </c>
      <c r="B2252" t="s">
        <v>4855</v>
      </c>
    </row>
    <row r="2253" spans="1:2" x14ac:dyDescent="0.25">
      <c r="A2253" t="s">
        <v>4856</v>
      </c>
      <c r="B2253" t="s">
        <v>4857</v>
      </c>
    </row>
    <row r="2254" spans="1:2" x14ac:dyDescent="0.25">
      <c r="A2254" t="s">
        <v>4858</v>
      </c>
      <c r="B2254" t="s">
        <v>4859</v>
      </c>
    </row>
    <row r="2255" spans="1:2" x14ac:dyDescent="0.25">
      <c r="A2255" t="s">
        <v>4860</v>
      </c>
      <c r="B2255" t="s">
        <v>4861</v>
      </c>
    </row>
    <row r="2256" spans="1:2" x14ac:dyDescent="0.25">
      <c r="A2256" t="s">
        <v>4862</v>
      </c>
      <c r="B2256" t="s">
        <v>4863</v>
      </c>
    </row>
    <row r="2257" spans="1:2" x14ac:dyDescent="0.25">
      <c r="A2257" t="s">
        <v>4864</v>
      </c>
      <c r="B2257" t="s">
        <v>4865</v>
      </c>
    </row>
    <row r="2258" spans="1:2" x14ac:dyDescent="0.25">
      <c r="A2258" t="s">
        <v>4866</v>
      </c>
      <c r="B2258" t="s">
        <v>4867</v>
      </c>
    </row>
    <row r="2259" spans="1:2" x14ac:dyDescent="0.25">
      <c r="A2259" t="s">
        <v>4868</v>
      </c>
      <c r="B2259" t="s">
        <v>4869</v>
      </c>
    </row>
    <row r="2260" spans="1:2" x14ac:dyDescent="0.25">
      <c r="A2260" t="s">
        <v>4870</v>
      </c>
      <c r="B2260" t="s">
        <v>556</v>
      </c>
    </row>
    <row r="2261" spans="1:2" x14ac:dyDescent="0.25">
      <c r="A2261" t="s">
        <v>4871</v>
      </c>
      <c r="B2261" t="s">
        <v>4872</v>
      </c>
    </row>
    <row r="2262" spans="1:2" x14ac:dyDescent="0.25">
      <c r="A2262" t="s">
        <v>4873</v>
      </c>
      <c r="B2262" t="s">
        <v>4874</v>
      </c>
    </row>
    <row r="2263" spans="1:2" x14ac:dyDescent="0.25">
      <c r="A2263" t="s">
        <v>4875</v>
      </c>
      <c r="B2263" t="s">
        <v>4876</v>
      </c>
    </row>
    <row r="2264" spans="1:2" x14ac:dyDescent="0.25">
      <c r="A2264" t="s">
        <v>4877</v>
      </c>
      <c r="B2264" t="s">
        <v>4878</v>
      </c>
    </row>
    <row r="2265" spans="1:2" x14ac:dyDescent="0.25">
      <c r="A2265" t="s">
        <v>4879</v>
      </c>
      <c r="B2265" t="s">
        <v>4880</v>
      </c>
    </row>
    <row r="2266" spans="1:2" x14ac:dyDescent="0.25">
      <c r="A2266" t="s">
        <v>4881</v>
      </c>
      <c r="B2266" t="s">
        <v>4882</v>
      </c>
    </row>
    <row r="2267" spans="1:2" x14ac:dyDescent="0.25">
      <c r="A2267" t="s">
        <v>4883</v>
      </c>
      <c r="B2267" t="s">
        <v>4884</v>
      </c>
    </row>
    <row r="2268" spans="1:2" x14ac:dyDescent="0.25">
      <c r="A2268" t="s">
        <v>4885</v>
      </c>
      <c r="B2268" t="s">
        <v>4886</v>
      </c>
    </row>
    <row r="2269" spans="1:2" x14ac:dyDescent="0.25">
      <c r="A2269" t="s">
        <v>4887</v>
      </c>
      <c r="B2269" t="s">
        <v>4888</v>
      </c>
    </row>
    <row r="2270" spans="1:2" x14ac:dyDescent="0.25">
      <c r="A2270" t="s">
        <v>4889</v>
      </c>
      <c r="B2270" t="s">
        <v>4890</v>
      </c>
    </row>
    <row r="2271" spans="1:2" x14ac:dyDescent="0.25">
      <c r="A2271" t="s">
        <v>4891</v>
      </c>
      <c r="B2271" t="s">
        <v>4892</v>
      </c>
    </row>
    <row r="2272" spans="1:2" x14ac:dyDescent="0.25">
      <c r="A2272" t="s">
        <v>4893</v>
      </c>
      <c r="B2272" t="s">
        <v>4894</v>
      </c>
    </row>
    <row r="2273" spans="1:2" x14ac:dyDescent="0.25">
      <c r="A2273" t="s">
        <v>4895</v>
      </c>
      <c r="B2273" t="s">
        <v>4896</v>
      </c>
    </row>
    <row r="2274" spans="1:2" x14ac:dyDescent="0.25">
      <c r="A2274" t="s">
        <v>4897</v>
      </c>
      <c r="B2274" t="s">
        <v>4898</v>
      </c>
    </row>
    <row r="2275" spans="1:2" x14ac:dyDescent="0.25">
      <c r="A2275" t="s">
        <v>4899</v>
      </c>
      <c r="B2275" t="s">
        <v>4900</v>
      </c>
    </row>
    <row r="2276" spans="1:2" x14ac:dyDescent="0.25">
      <c r="A2276" t="s">
        <v>4901</v>
      </c>
      <c r="B2276" t="s">
        <v>4902</v>
      </c>
    </row>
    <row r="2277" spans="1:2" x14ac:dyDescent="0.25">
      <c r="A2277" t="s">
        <v>4903</v>
      </c>
      <c r="B2277" t="s">
        <v>4904</v>
      </c>
    </row>
    <row r="2278" spans="1:2" x14ac:dyDescent="0.25">
      <c r="A2278" t="s">
        <v>4905</v>
      </c>
      <c r="B2278" t="s">
        <v>4906</v>
      </c>
    </row>
    <row r="2279" spans="1:2" x14ac:dyDescent="0.25">
      <c r="A2279" t="s">
        <v>4907</v>
      </c>
      <c r="B2279" t="s">
        <v>4908</v>
      </c>
    </row>
    <row r="2280" spans="1:2" x14ac:dyDescent="0.25">
      <c r="A2280" t="s">
        <v>4909</v>
      </c>
      <c r="B2280" t="s">
        <v>4910</v>
      </c>
    </row>
    <row r="2281" spans="1:2" x14ac:dyDescent="0.25">
      <c r="A2281" t="s">
        <v>4911</v>
      </c>
      <c r="B2281" t="s">
        <v>4912</v>
      </c>
    </row>
    <row r="2282" spans="1:2" x14ac:dyDescent="0.25">
      <c r="A2282" t="s">
        <v>4913</v>
      </c>
      <c r="B2282" t="s">
        <v>4914</v>
      </c>
    </row>
    <row r="2283" spans="1:2" x14ac:dyDescent="0.25">
      <c r="A2283" t="s">
        <v>4915</v>
      </c>
      <c r="B2283" t="s">
        <v>4916</v>
      </c>
    </row>
    <row r="2284" spans="1:2" x14ac:dyDescent="0.25">
      <c r="A2284" t="s">
        <v>4917</v>
      </c>
      <c r="B2284" t="s">
        <v>4918</v>
      </c>
    </row>
    <row r="2285" spans="1:2" x14ac:dyDescent="0.25">
      <c r="A2285" t="s">
        <v>4919</v>
      </c>
      <c r="B2285" t="s">
        <v>4920</v>
      </c>
    </row>
    <row r="2286" spans="1:2" x14ac:dyDescent="0.25">
      <c r="A2286" t="s">
        <v>4921</v>
      </c>
      <c r="B2286" t="s">
        <v>4922</v>
      </c>
    </row>
    <row r="2287" spans="1:2" x14ac:dyDescent="0.25">
      <c r="A2287" t="s">
        <v>4923</v>
      </c>
      <c r="B2287" t="s">
        <v>4924</v>
      </c>
    </row>
    <row r="2288" spans="1:2" x14ac:dyDescent="0.25">
      <c r="A2288" t="s">
        <v>4925</v>
      </c>
      <c r="B2288" t="s">
        <v>4926</v>
      </c>
    </row>
    <row r="2289" spans="1:2" x14ac:dyDescent="0.25">
      <c r="A2289" t="s">
        <v>4927</v>
      </c>
      <c r="B2289" t="s">
        <v>4928</v>
      </c>
    </row>
    <row r="2290" spans="1:2" x14ac:dyDescent="0.25">
      <c r="A2290" t="s">
        <v>4929</v>
      </c>
      <c r="B2290" t="s">
        <v>4930</v>
      </c>
    </row>
    <row r="2291" spans="1:2" x14ac:dyDescent="0.25">
      <c r="A2291" t="s">
        <v>4931</v>
      </c>
      <c r="B2291" t="s">
        <v>729</v>
      </c>
    </row>
    <row r="2292" spans="1:2" x14ac:dyDescent="0.25">
      <c r="A2292" t="s">
        <v>4932</v>
      </c>
      <c r="B2292" t="s">
        <v>4933</v>
      </c>
    </row>
    <row r="2293" spans="1:2" x14ac:dyDescent="0.25">
      <c r="A2293" t="s">
        <v>4934</v>
      </c>
      <c r="B2293" t="s">
        <v>4935</v>
      </c>
    </row>
    <row r="2294" spans="1:2" x14ac:dyDescent="0.25">
      <c r="A2294" t="s">
        <v>4936</v>
      </c>
      <c r="B2294" t="s">
        <v>218</v>
      </c>
    </row>
    <row r="2295" spans="1:2" x14ac:dyDescent="0.25">
      <c r="A2295" t="s">
        <v>4937</v>
      </c>
      <c r="B2295" t="s">
        <v>4938</v>
      </c>
    </row>
    <row r="2296" spans="1:2" x14ac:dyDescent="0.25">
      <c r="A2296" t="s">
        <v>4939</v>
      </c>
      <c r="B2296" t="s">
        <v>4940</v>
      </c>
    </row>
    <row r="2297" spans="1:2" x14ac:dyDescent="0.25">
      <c r="A2297" t="s">
        <v>4941</v>
      </c>
      <c r="B2297" t="s">
        <v>4942</v>
      </c>
    </row>
    <row r="2298" spans="1:2" x14ac:dyDescent="0.25">
      <c r="A2298" t="s">
        <v>4943</v>
      </c>
      <c r="B2298" t="s">
        <v>4944</v>
      </c>
    </row>
    <row r="2299" spans="1:2" x14ac:dyDescent="0.25">
      <c r="A2299" t="s">
        <v>4945</v>
      </c>
      <c r="B2299" t="s">
        <v>4946</v>
      </c>
    </row>
    <row r="2300" spans="1:2" x14ac:dyDescent="0.25">
      <c r="A2300" t="s">
        <v>4947</v>
      </c>
      <c r="B2300" t="s">
        <v>220</v>
      </c>
    </row>
    <row r="2301" spans="1:2" x14ac:dyDescent="0.25">
      <c r="A2301" t="s">
        <v>4948</v>
      </c>
      <c r="B2301" t="s">
        <v>4949</v>
      </c>
    </row>
    <row r="2302" spans="1:2" x14ac:dyDescent="0.25">
      <c r="A2302" t="s">
        <v>4950</v>
      </c>
      <c r="B2302" t="s">
        <v>4951</v>
      </c>
    </row>
    <row r="2303" spans="1:2" x14ac:dyDescent="0.25">
      <c r="A2303" t="s">
        <v>4952</v>
      </c>
      <c r="B2303" t="s">
        <v>4953</v>
      </c>
    </row>
    <row r="2304" spans="1:2" x14ac:dyDescent="0.25">
      <c r="A2304" t="s">
        <v>4954</v>
      </c>
      <c r="B2304" t="s">
        <v>4955</v>
      </c>
    </row>
    <row r="2305" spans="1:2" x14ac:dyDescent="0.25">
      <c r="A2305" t="s">
        <v>4956</v>
      </c>
      <c r="B2305" t="s">
        <v>4957</v>
      </c>
    </row>
    <row r="2306" spans="1:2" x14ac:dyDescent="0.25">
      <c r="A2306" t="s">
        <v>4958</v>
      </c>
      <c r="B2306" t="s">
        <v>4959</v>
      </c>
    </row>
    <row r="2307" spans="1:2" x14ac:dyDescent="0.25">
      <c r="A2307" t="s">
        <v>4960</v>
      </c>
      <c r="B2307" t="s">
        <v>4961</v>
      </c>
    </row>
    <row r="2308" spans="1:2" x14ac:dyDescent="0.25">
      <c r="A2308" t="s">
        <v>4962</v>
      </c>
      <c r="B2308" t="s">
        <v>4963</v>
      </c>
    </row>
    <row r="2309" spans="1:2" x14ac:dyDescent="0.25">
      <c r="A2309" t="s">
        <v>4964</v>
      </c>
      <c r="B2309" t="s">
        <v>4965</v>
      </c>
    </row>
    <row r="2310" spans="1:2" x14ac:dyDescent="0.25">
      <c r="A2310" t="s">
        <v>4966</v>
      </c>
      <c r="B2310" t="s">
        <v>4967</v>
      </c>
    </row>
    <row r="2311" spans="1:2" x14ac:dyDescent="0.25">
      <c r="A2311" t="s">
        <v>4968</v>
      </c>
      <c r="B2311" t="s">
        <v>402</v>
      </c>
    </row>
    <row r="2312" spans="1:2" x14ac:dyDescent="0.25">
      <c r="A2312" t="s">
        <v>4969</v>
      </c>
      <c r="B2312" t="s">
        <v>4970</v>
      </c>
    </row>
    <row r="2313" spans="1:2" x14ac:dyDescent="0.25">
      <c r="A2313" t="s">
        <v>4971</v>
      </c>
      <c r="B2313" t="s">
        <v>4972</v>
      </c>
    </row>
    <row r="2314" spans="1:2" x14ac:dyDescent="0.25">
      <c r="A2314" t="s">
        <v>4973</v>
      </c>
      <c r="B2314" t="s">
        <v>4974</v>
      </c>
    </row>
    <row r="2315" spans="1:2" x14ac:dyDescent="0.25">
      <c r="A2315" t="s">
        <v>4975</v>
      </c>
      <c r="B2315" t="s">
        <v>4976</v>
      </c>
    </row>
    <row r="2316" spans="1:2" x14ac:dyDescent="0.25">
      <c r="A2316" t="s">
        <v>4977</v>
      </c>
      <c r="B2316" t="s">
        <v>557</v>
      </c>
    </row>
    <row r="2317" spans="1:2" x14ac:dyDescent="0.25">
      <c r="A2317" t="s">
        <v>4978</v>
      </c>
      <c r="B2317" t="s">
        <v>4979</v>
      </c>
    </row>
    <row r="2318" spans="1:2" x14ac:dyDescent="0.25">
      <c r="A2318" t="s">
        <v>4980</v>
      </c>
      <c r="B2318" t="s">
        <v>4981</v>
      </c>
    </row>
    <row r="2319" spans="1:2" x14ac:dyDescent="0.25">
      <c r="A2319" t="s">
        <v>4982</v>
      </c>
      <c r="B2319" t="s">
        <v>4983</v>
      </c>
    </row>
    <row r="2320" spans="1:2" x14ac:dyDescent="0.25">
      <c r="A2320" t="s">
        <v>4984</v>
      </c>
      <c r="B2320" t="s">
        <v>4985</v>
      </c>
    </row>
    <row r="2321" spans="1:2" x14ac:dyDescent="0.25">
      <c r="A2321" t="s">
        <v>4986</v>
      </c>
      <c r="B2321" t="s">
        <v>4987</v>
      </c>
    </row>
    <row r="2322" spans="1:2" x14ac:dyDescent="0.25">
      <c r="A2322" t="s">
        <v>4988</v>
      </c>
      <c r="B2322" t="s">
        <v>4989</v>
      </c>
    </row>
    <row r="2323" spans="1:2" x14ac:dyDescent="0.25">
      <c r="A2323" t="s">
        <v>4990</v>
      </c>
      <c r="B2323" t="s">
        <v>4991</v>
      </c>
    </row>
    <row r="2324" spans="1:2" x14ac:dyDescent="0.25">
      <c r="A2324" t="s">
        <v>4992</v>
      </c>
      <c r="B2324" t="s">
        <v>4993</v>
      </c>
    </row>
    <row r="2325" spans="1:2" x14ac:dyDescent="0.25">
      <c r="A2325" t="s">
        <v>4994</v>
      </c>
      <c r="B2325" t="s">
        <v>4995</v>
      </c>
    </row>
    <row r="2326" spans="1:2" x14ac:dyDescent="0.25">
      <c r="A2326" t="s">
        <v>4996</v>
      </c>
      <c r="B2326" t="s">
        <v>4997</v>
      </c>
    </row>
    <row r="2327" spans="1:2" x14ac:dyDescent="0.25">
      <c r="A2327" t="s">
        <v>4998</v>
      </c>
      <c r="B2327" t="s">
        <v>4999</v>
      </c>
    </row>
    <row r="2328" spans="1:2" x14ac:dyDescent="0.25">
      <c r="A2328" t="s">
        <v>5000</v>
      </c>
      <c r="B2328" t="s">
        <v>5001</v>
      </c>
    </row>
    <row r="2329" spans="1:2" x14ac:dyDescent="0.25">
      <c r="A2329" t="s">
        <v>5002</v>
      </c>
      <c r="B2329" t="s">
        <v>5003</v>
      </c>
    </row>
    <row r="2330" spans="1:2" x14ac:dyDescent="0.25">
      <c r="A2330" t="s">
        <v>5004</v>
      </c>
      <c r="B2330" t="s">
        <v>5005</v>
      </c>
    </row>
    <row r="2331" spans="1:2" x14ac:dyDescent="0.25">
      <c r="A2331" t="s">
        <v>5006</v>
      </c>
      <c r="B2331" t="s">
        <v>5007</v>
      </c>
    </row>
    <row r="2332" spans="1:2" x14ac:dyDescent="0.25">
      <c r="A2332" t="s">
        <v>5008</v>
      </c>
      <c r="B2332" t="s">
        <v>5009</v>
      </c>
    </row>
    <row r="2333" spans="1:2" x14ac:dyDescent="0.25">
      <c r="A2333" t="s">
        <v>5010</v>
      </c>
      <c r="B2333" t="s">
        <v>5011</v>
      </c>
    </row>
    <row r="2334" spans="1:2" x14ac:dyDescent="0.25">
      <c r="A2334" t="s">
        <v>5012</v>
      </c>
      <c r="B2334" t="s">
        <v>5013</v>
      </c>
    </row>
    <row r="2335" spans="1:2" x14ac:dyDescent="0.25">
      <c r="A2335" t="s">
        <v>5014</v>
      </c>
      <c r="B2335" t="s">
        <v>5015</v>
      </c>
    </row>
    <row r="2336" spans="1:2" x14ac:dyDescent="0.25">
      <c r="A2336" t="s">
        <v>5016</v>
      </c>
      <c r="B2336" t="s">
        <v>5017</v>
      </c>
    </row>
    <row r="2337" spans="1:2" x14ac:dyDescent="0.25">
      <c r="A2337" t="s">
        <v>5018</v>
      </c>
      <c r="B2337" t="s">
        <v>730</v>
      </c>
    </row>
    <row r="2338" spans="1:2" x14ac:dyDescent="0.25">
      <c r="A2338" t="s">
        <v>5019</v>
      </c>
      <c r="B2338" t="s">
        <v>5020</v>
      </c>
    </row>
    <row r="2339" spans="1:2" x14ac:dyDescent="0.25">
      <c r="A2339" t="s">
        <v>5021</v>
      </c>
      <c r="B2339" t="s">
        <v>5022</v>
      </c>
    </row>
    <row r="2340" spans="1:2" x14ac:dyDescent="0.25">
      <c r="A2340" t="s">
        <v>5023</v>
      </c>
      <c r="B2340" t="s">
        <v>5024</v>
      </c>
    </row>
    <row r="2341" spans="1:2" x14ac:dyDescent="0.25">
      <c r="A2341" t="s">
        <v>5025</v>
      </c>
      <c r="B2341" t="s">
        <v>5026</v>
      </c>
    </row>
    <row r="2342" spans="1:2" x14ac:dyDescent="0.25">
      <c r="A2342" t="s">
        <v>5027</v>
      </c>
      <c r="B2342" t="s">
        <v>5028</v>
      </c>
    </row>
    <row r="2343" spans="1:2" x14ac:dyDescent="0.25">
      <c r="A2343" t="s">
        <v>5029</v>
      </c>
      <c r="B2343" t="s">
        <v>5030</v>
      </c>
    </row>
    <row r="2344" spans="1:2" x14ac:dyDescent="0.25">
      <c r="A2344" t="s">
        <v>5031</v>
      </c>
      <c r="B2344" t="s">
        <v>5032</v>
      </c>
    </row>
    <row r="2345" spans="1:2" x14ac:dyDescent="0.25">
      <c r="A2345" t="s">
        <v>5033</v>
      </c>
      <c r="B2345" t="s">
        <v>5034</v>
      </c>
    </row>
    <row r="2346" spans="1:2" x14ac:dyDescent="0.25">
      <c r="A2346" t="s">
        <v>5035</v>
      </c>
      <c r="B2346" t="s">
        <v>5036</v>
      </c>
    </row>
    <row r="2347" spans="1:2" x14ac:dyDescent="0.25">
      <c r="A2347" t="s">
        <v>5037</v>
      </c>
      <c r="B2347" t="s">
        <v>5038</v>
      </c>
    </row>
    <row r="2348" spans="1:2" x14ac:dyDescent="0.25">
      <c r="A2348" t="s">
        <v>5039</v>
      </c>
      <c r="B2348" t="s">
        <v>5040</v>
      </c>
    </row>
    <row r="2349" spans="1:2" x14ac:dyDescent="0.25">
      <c r="A2349" t="s">
        <v>5041</v>
      </c>
      <c r="B2349" t="s">
        <v>5042</v>
      </c>
    </row>
    <row r="2350" spans="1:2" x14ac:dyDescent="0.25">
      <c r="A2350" t="s">
        <v>5043</v>
      </c>
      <c r="B2350" t="s">
        <v>5044</v>
      </c>
    </row>
    <row r="2351" spans="1:2" x14ac:dyDescent="0.25">
      <c r="A2351" t="s">
        <v>5045</v>
      </c>
      <c r="B2351" t="s">
        <v>5046</v>
      </c>
    </row>
    <row r="2352" spans="1:2" x14ac:dyDescent="0.25">
      <c r="A2352" t="s">
        <v>5047</v>
      </c>
      <c r="B2352" t="s">
        <v>558</v>
      </c>
    </row>
    <row r="2353" spans="1:2" x14ac:dyDescent="0.25">
      <c r="A2353" t="s">
        <v>5048</v>
      </c>
      <c r="B2353" t="s">
        <v>459</v>
      </c>
    </row>
    <row r="2354" spans="1:2" x14ac:dyDescent="0.25">
      <c r="A2354" t="s">
        <v>5049</v>
      </c>
      <c r="B2354" t="s">
        <v>403</v>
      </c>
    </row>
    <row r="2355" spans="1:2" x14ac:dyDescent="0.25">
      <c r="A2355" t="s">
        <v>5050</v>
      </c>
      <c r="B2355" t="s">
        <v>5051</v>
      </c>
    </row>
    <row r="2356" spans="1:2" x14ac:dyDescent="0.25">
      <c r="A2356" t="s">
        <v>5052</v>
      </c>
      <c r="B2356" t="s">
        <v>5053</v>
      </c>
    </row>
    <row r="2357" spans="1:2" x14ac:dyDescent="0.25">
      <c r="A2357" t="s">
        <v>5054</v>
      </c>
      <c r="B2357" t="s">
        <v>5055</v>
      </c>
    </row>
    <row r="2358" spans="1:2" x14ac:dyDescent="0.25">
      <c r="A2358" t="s">
        <v>5056</v>
      </c>
      <c r="B2358" t="s">
        <v>731</v>
      </c>
    </row>
    <row r="2359" spans="1:2" x14ac:dyDescent="0.25">
      <c r="A2359" t="s">
        <v>5057</v>
      </c>
      <c r="B2359" t="s">
        <v>5058</v>
      </c>
    </row>
    <row r="2360" spans="1:2" x14ac:dyDescent="0.25">
      <c r="A2360" t="s">
        <v>5059</v>
      </c>
      <c r="B2360" t="s">
        <v>5060</v>
      </c>
    </row>
    <row r="2361" spans="1:2" x14ac:dyDescent="0.25">
      <c r="A2361" t="s">
        <v>5061</v>
      </c>
      <c r="B2361" t="s">
        <v>5062</v>
      </c>
    </row>
    <row r="2362" spans="1:2" x14ac:dyDescent="0.25">
      <c r="A2362" t="s">
        <v>5063</v>
      </c>
      <c r="B2362" t="s">
        <v>5064</v>
      </c>
    </row>
    <row r="2363" spans="1:2" x14ac:dyDescent="0.25">
      <c r="A2363" t="s">
        <v>5065</v>
      </c>
      <c r="B2363" t="s">
        <v>5066</v>
      </c>
    </row>
    <row r="2364" spans="1:2" x14ac:dyDescent="0.25">
      <c r="A2364" t="s">
        <v>5067</v>
      </c>
      <c r="B2364" t="s">
        <v>5068</v>
      </c>
    </row>
    <row r="2365" spans="1:2" x14ac:dyDescent="0.25">
      <c r="A2365" t="s">
        <v>5069</v>
      </c>
      <c r="B2365" t="s">
        <v>5070</v>
      </c>
    </row>
    <row r="2366" spans="1:2" x14ac:dyDescent="0.25">
      <c r="A2366" t="s">
        <v>5071</v>
      </c>
      <c r="B2366" t="s">
        <v>5072</v>
      </c>
    </row>
    <row r="2367" spans="1:2" x14ac:dyDescent="0.25">
      <c r="A2367" t="s">
        <v>5073</v>
      </c>
      <c r="B2367" t="s">
        <v>5074</v>
      </c>
    </row>
    <row r="2368" spans="1:2" x14ac:dyDescent="0.25">
      <c r="A2368" t="s">
        <v>5075</v>
      </c>
      <c r="B2368" t="s">
        <v>5076</v>
      </c>
    </row>
    <row r="2369" spans="1:2" x14ac:dyDescent="0.25">
      <c r="A2369" t="s">
        <v>5077</v>
      </c>
      <c r="B2369" t="s">
        <v>733</v>
      </c>
    </row>
    <row r="2370" spans="1:2" x14ac:dyDescent="0.25">
      <c r="A2370" t="s">
        <v>5078</v>
      </c>
      <c r="B2370" t="s">
        <v>5079</v>
      </c>
    </row>
    <row r="2371" spans="1:2" x14ac:dyDescent="0.25">
      <c r="A2371" t="s">
        <v>5080</v>
      </c>
      <c r="B2371" t="s">
        <v>5081</v>
      </c>
    </row>
    <row r="2372" spans="1:2" x14ac:dyDescent="0.25">
      <c r="A2372" t="s">
        <v>5082</v>
      </c>
      <c r="B2372" t="s">
        <v>5083</v>
      </c>
    </row>
    <row r="2373" spans="1:2" x14ac:dyDescent="0.25">
      <c r="A2373" t="s">
        <v>5084</v>
      </c>
      <c r="B2373" t="s">
        <v>223</v>
      </c>
    </row>
    <row r="2374" spans="1:2" x14ac:dyDescent="0.25">
      <c r="A2374" t="s">
        <v>5085</v>
      </c>
      <c r="B2374" t="s">
        <v>5086</v>
      </c>
    </row>
    <row r="2375" spans="1:2" x14ac:dyDescent="0.25">
      <c r="A2375" t="s">
        <v>5087</v>
      </c>
      <c r="B2375" t="s">
        <v>5088</v>
      </c>
    </row>
    <row r="2376" spans="1:2" x14ac:dyDescent="0.25">
      <c r="A2376" t="s">
        <v>5089</v>
      </c>
      <c r="B2376" t="s">
        <v>5090</v>
      </c>
    </row>
    <row r="2377" spans="1:2" x14ac:dyDescent="0.25">
      <c r="A2377" t="s">
        <v>5091</v>
      </c>
      <c r="B2377" t="s">
        <v>5092</v>
      </c>
    </row>
    <row r="2378" spans="1:2" x14ac:dyDescent="0.25">
      <c r="A2378" t="s">
        <v>5093</v>
      </c>
      <c r="B2378" t="s">
        <v>5094</v>
      </c>
    </row>
    <row r="2379" spans="1:2" x14ac:dyDescent="0.25">
      <c r="A2379" t="s">
        <v>5095</v>
      </c>
      <c r="B2379" t="s">
        <v>5096</v>
      </c>
    </row>
    <row r="2380" spans="1:2" x14ac:dyDescent="0.25">
      <c r="A2380" t="s">
        <v>5097</v>
      </c>
      <c r="B2380" t="s">
        <v>5098</v>
      </c>
    </row>
    <row r="2381" spans="1:2" x14ac:dyDescent="0.25">
      <c r="A2381" t="s">
        <v>5099</v>
      </c>
      <c r="B2381" t="s">
        <v>5100</v>
      </c>
    </row>
    <row r="2382" spans="1:2" x14ac:dyDescent="0.25">
      <c r="A2382" t="s">
        <v>5101</v>
      </c>
      <c r="B2382" t="s">
        <v>5102</v>
      </c>
    </row>
    <row r="2383" spans="1:2" x14ac:dyDescent="0.25">
      <c r="A2383" t="s">
        <v>5103</v>
      </c>
      <c r="B2383" t="s">
        <v>5104</v>
      </c>
    </row>
    <row r="2384" spans="1:2" x14ac:dyDescent="0.25">
      <c r="A2384" t="s">
        <v>5105</v>
      </c>
      <c r="B2384" t="s">
        <v>5106</v>
      </c>
    </row>
    <row r="2385" spans="1:2" x14ac:dyDescent="0.25">
      <c r="A2385" t="s">
        <v>5107</v>
      </c>
      <c r="B2385" t="s">
        <v>5108</v>
      </c>
    </row>
    <row r="2386" spans="1:2" x14ac:dyDescent="0.25">
      <c r="A2386" t="s">
        <v>5109</v>
      </c>
      <c r="B2386" t="s">
        <v>5110</v>
      </c>
    </row>
    <row r="2387" spans="1:2" x14ac:dyDescent="0.25">
      <c r="A2387" t="s">
        <v>5111</v>
      </c>
      <c r="B2387" t="s">
        <v>5112</v>
      </c>
    </row>
    <row r="2388" spans="1:2" x14ac:dyDescent="0.25">
      <c r="A2388" t="s">
        <v>5113</v>
      </c>
      <c r="B2388" t="s">
        <v>5114</v>
      </c>
    </row>
    <row r="2389" spans="1:2" x14ac:dyDescent="0.25">
      <c r="A2389" t="s">
        <v>5115</v>
      </c>
      <c r="B2389" t="s">
        <v>5116</v>
      </c>
    </row>
    <row r="2390" spans="1:2" x14ac:dyDescent="0.25">
      <c r="A2390" t="s">
        <v>5117</v>
      </c>
      <c r="B2390" t="s">
        <v>5118</v>
      </c>
    </row>
    <row r="2391" spans="1:2" x14ac:dyDescent="0.25">
      <c r="A2391" t="s">
        <v>5119</v>
      </c>
      <c r="B2391" t="s">
        <v>5120</v>
      </c>
    </row>
    <row r="2392" spans="1:2" x14ac:dyDescent="0.25">
      <c r="A2392" t="s">
        <v>5121</v>
      </c>
      <c r="B2392" t="s">
        <v>5122</v>
      </c>
    </row>
    <row r="2393" spans="1:2" x14ac:dyDescent="0.25">
      <c r="A2393" t="s">
        <v>5123</v>
      </c>
      <c r="B2393" t="s">
        <v>5124</v>
      </c>
    </row>
    <row r="2394" spans="1:2" x14ac:dyDescent="0.25">
      <c r="A2394" t="s">
        <v>5125</v>
      </c>
      <c r="B2394" t="s">
        <v>5126</v>
      </c>
    </row>
    <row r="2395" spans="1:2" x14ac:dyDescent="0.25">
      <c r="A2395" t="s">
        <v>5127</v>
      </c>
      <c r="B2395" t="s">
        <v>672</v>
      </c>
    </row>
    <row r="2396" spans="1:2" x14ac:dyDescent="0.25">
      <c r="A2396" t="s">
        <v>5128</v>
      </c>
      <c r="B2396" t="s">
        <v>5129</v>
      </c>
    </row>
    <row r="2397" spans="1:2" x14ac:dyDescent="0.25">
      <c r="A2397" t="s">
        <v>5130</v>
      </c>
      <c r="B2397" t="s">
        <v>559</v>
      </c>
    </row>
    <row r="2398" spans="1:2" x14ac:dyDescent="0.25">
      <c r="A2398" t="s">
        <v>5131</v>
      </c>
      <c r="B2398" t="s">
        <v>5132</v>
      </c>
    </row>
    <row r="2399" spans="1:2" x14ac:dyDescent="0.25">
      <c r="A2399" t="s">
        <v>5133</v>
      </c>
      <c r="B2399" t="s">
        <v>5134</v>
      </c>
    </row>
    <row r="2400" spans="1:2" x14ac:dyDescent="0.25">
      <c r="A2400" t="s">
        <v>5135</v>
      </c>
      <c r="B2400" t="s">
        <v>5136</v>
      </c>
    </row>
    <row r="2401" spans="1:2" x14ac:dyDescent="0.25">
      <c r="A2401" t="s">
        <v>5137</v>
      </c>
      <c r="B2401" t="s">
        <v>5138</v>
      </c>
    </row>
    <row r="2402" spans="1:2" x14ac:dyDescent="0.25">
      <c r="A2402" t="s">
        <v>5139</v>
      </c>
      <c r="B2402" t="s">
        <v>5140</v>
      </c>
    </row>
    <row r="2403" spans="1:2" x14ac:dyDescent="0.25">
      <c r="A2403" t="s">
        <v>5141</v>
      </c>
      <c r="B2403" t="s">
        <v>5142</v>
      </c>
    </row>
    <row r="2404" spans="1:2" x14ac:dyDescent="0.25">
      <c r="A2404" t="s">
        <v>5143</v>
      </c>
      <c r="B2404" t="s">
        <v>5144</v>
      </c>
    </row>
    <row r="2405" spans="1:2" x14ac:dyDescent="0.25">
      <c r="A2405" t="s">
        <v>5145</v>
      </c>
      <c r="B2405" t="s">
        <v>5146</v>
      </c>
    </row>
    <row r="2406" spans="1:2" x14ac:dyDescent="0.25">
      <c r="A2406" t="s">
        <v>5147</v>
      </c>
      <c r="B2406" t="s">
        <v>5148</v>
      </c>
    </row>
    <row r="2407" spans="1:2" x14ac:dyDescent="0.25">
      <c r="A2407" t="s">
        <v>5149</v>
      </c>
      <c r="B2407" t="s">
        <v>5150</v>
      </c>
    </row>
    <row r="2408" spans="1:2" x14ac:dyDescent="0.25">
      <c r="A2408" t="s">
        <v>5151</v>
      </c>
      <c r="B2408" t="s">
        <v>5152</v>
      </c>
    </row>
    <row r="2409" spans="1:2" x14ac:dyDescent="0.25">
      <c r="A2409" t="s">
        <v>5153</v>
      </c>
      <c r="B2409" t="s">
        <v>5154</v>
      </c>
    </row>
    <row r="2410" spans="1:2" x14ac:dyDescent="0.25">
      <c r="A2410" t="s">
        <v>5155</v>
      </c>
      <c r="B2410" t="s">
        <v>5156</v>
      </c>
    </row>
    <row r="2411" spans="1:2" x14ac:dyDescent="0.25">
      <c r="A2411" t="s">
        <v>5157</v>
      </c>
      <c r="B2411" t="s">
        <v>5158</v>
      </c>
    </row>
    <row r="2412" spans="1:2" x14ac:dyDescent="0.25">
      <c r="A2412" t="s">
        <v>5159</v>
      </c>
      <c r="B2412" t="s">
        <v>5160</v>
      </c>
    </row>
    <row r="2413" spans="1:2" x14ac:dyDescent="0.25">
      <c r="A2413" t="s">
        <v>5161</v>
      </c>
      <c r="B2413" t="s">
        <v>5162</v>
      </c>
    </row>
    <row r="2414" spans="1:2" x14ac:dyDescent="0.25">
      <c r="A2414" t="s">
        <v>5163</v>
      </c>
      <c r="B2414" t="s">
        <v>5164</v>
      </c>
    </row>
    <row r="2415" spans="1:2" x14ac:dyDescent="0.25">
      <c r="A2415" t="s">
        <v>5165</v>
      </c>
      <c r="B2415" t="s">
        <v>5166</v>
      </c>
    </row>
    <row r="2416" spans="1:2" x14ac:dyDescent="0.25">
      <c r="A2416" t="s">
        <v>5167</v>
      </c>
      <c r="B2416" t="s">
        <v>5168</v>
      </c>
    </row>
    <row r="2417" spans="1:2" x14ac:dyDescent="0.25">
      <c r="A2417" t="s">
        <v>5169</v>
      </c>
      <c r="B2417" t="s">
        <v>5170</v>
      </c>
    </row>
    <row r="2418" spans="1:2" x14ac:dyDescent="0.25">
      <c r="A2418" t="s">
        <v>5171</v>
      </c>
      <c r="B2418" t="s">
        <v>5172</v>
      </c>
    </row>
    <row r="2419" spans="1:2" x14ac:dyDescent="0.25">
      <c r="A2419" t="s">
        <v>5173</v>
      </c>
      <c r="B2419" t="s">
        <v>5174</v>
      </c>
    </row>
    <row r="2420" spans="1:2" x14ac:dyDescent="0.25">
      <c r="A2420" t="s">
        <v>5175</v>
      </c>
      <c r="B2420" t="s">
        <v>5176</v>
      </c>
    </row>
    <row r="2421" spans="1:2" x14ac:dyDescent="0.25">
      <c r="A2421" t="s">
        <v>5177</v>
      </c>
      <c r="B2421" t="s">
        <v>5178</v>
      </c>
    </row>
    <row r="2422" spans="1:2" x14ac:dyDescent="0.25">
      <c r="A2422" t="s">
        <v>5179</v>
      </c>
      <c r="B2422" t="s">
        <v>5180</v>
      </c>
    </row>
    <row r="2423" spans="1:2" x14ac:dyDescent="0.25">
      <c r="A2423" t="s">
        <v>5181</v>
      </c>
      <c r="B2423" t="s">
        <v>5182</v>
      </c>
    </row>
    <row r="2424" spans="1:2" x14ac:dyDescent="0.25">
      <c r="A2424" t="s">
        <v>5183</v>
      </c>
      <c r="B2424" t="s">
        <v>5184</v>
      </c>
    </row>
    <row r="2425" spans="1:2" x14ac:dyDescent="0.25">
      <c r="A2425" t="s">
        <v>5185</v>
      </c>
      <c r="B2425" t="s">
        <v>5186</v>
      </c>
    </row>
    <row r="2426" spans="1:2" x14ac:dyDescent="0.25">
      <c r="A2426" t="s">
        <v>5187</v>
      </c>
      <c r="B2426" t="s">
        <v>5188</v>
      </c>
    </row>
    <row r="2427" spans="1:2" x14ac:dyDescent="0.25">
      <c r="A2427" t="s">
        <v>5189</v>
      </c>
      <c r="B2427" t="s">
        <v>5190</v>
      </c>
    </row>
    <row r="2428" spans="1:2" x14ac:dyDescent="0.25">
      <c r="A2428" t="s">
        <v>5191</v>
      </c>
      <c r="B2428" t="s">
        <v>5192</v>
      </c>
    </row>
    <row r="2429" spans="1:2" x14ac:dyDescent="0.25">
      <c r="A2429" t="s">
        <v>5193</v>
      </c>
      <c r="B2429" t="s">
        <v>5194</v>
      </c>
    </row>
    <row r="2430" spans="1:2" x14ac:dyDescent="0.25">
      <c r="A2430" t="s">
        <v>5195</v>
      </c>
      <c r="B2430" t="s">
        <v>5196</v>
      </c>
    </row>
    <row r="2431" spans="1:2" x14ac:dyDescent="0.25">
      <c r="A2431" t="s">
        <v>5197</v>
      </c>
      <c r="B2431" t="s">
        <v>5198</v>
      </c>
    </row>
    <row r="2432" spans="1:2" x14ac:dyDescent="0.25">
      <c r="A2432" t="s">
        <v>5199</v>
      </c>
      <c r="B2432" t="s">
        <v>5200</v>
      </c>
    </row>
    <row r="2433" spans="1:2" x14ac:dyDescent="0.25">
      <c r="A2433" t="s">
        <v>5201</v>
      </c>
      <c r="B2433" t="s">
        <v>5202</v>
      </c>
    </row>
    <row r="2434" spans="1:2" x14ac:dyDescent="0.25">
      <c r="A2434" t="s">
        <v>5203</v>
      </c>
      <c r="B2434" t="s">
        <v>5204</v>
      </c>
    </row>
    <row r="2435" spans="1:2" x14ac:dyDescent="0.25">
      <c r="A2435" t="s">
        <v>5205</v>
      </c>
      <c r="B2435" t="s">
        <v>5206</v>
      </c>
    </row>
    <row r="2436" spans="1:2" x14ac:dyDescent="0.25">
      <c r="A2436" t="s">
        <v>5207</v>
      </c>
      <c r="B2436" t="s">
        <v>5208</v>
      </c>
    </row>
    <row r="2437" spans="1:2" x14ac:dyDescent="0.25">
      <c r="A2437" t="s">
        <v>5209</v>
      </c>
      <c r="B2437" t="s">
        <v>5210</v>
      </c>
    </row>
    <row r="2438" spans="1:2" x14ac:dyDescent="0.25">
      <c r="A2438" t="s">
        <v>5211</v>
      </c>
      <c r="B2438" t="s">
        <v>5212</v>
      </c>
    </row>
    <row r="2439" spans="1:2" x14ac:dyDescent="0.25">
      <c r="A2439" t="s">
        <v>5213</v>
      </c>
      <c r="B2439" t="s">
        <v>5214</v>
      </c>
    </row>
    <row r="2440" spans="1:2" x14ac:dyDescent="0.25">
      <c r="A2440" t="s">
        <v>5215</v>
      </c>
      <c r="B2440" t="s">
        <v>5216</v>
      </c>
    </row>
    <row r="2441" spans="1:2" x14ac:dyDescent="0.25">
      <c r="A2441" t="s">
        <v>5217</v>
      </c>
      <c r="B2441" t="s">
        <v>5218</v>
      </c>
    </row>
    <row r="2442" spans="1:2" x14ac:dyDescent="0.25">
      <c r="A2442" t="s">
        <v>5219</v>
      </c>
      <c r="B2442" t="s">
        <v>503</v>
      </c>
    </row>
    <row r="2443" spans="1:2" x14ac:dyDescent="0.25">
      <c r="A2443" t="s">
        <v>5220</v>
      </c>
      <c r="B2443" t="s">
        <v>5221</v>
      </c>
    </row>
    <row r="2444" spans="1:2" x14ac:dyDescent="0.25">
      <c r="A2444" t="s">
        <v>5222</v>
      </c>
      <c r="B2444" t="s">
        <v>5223</v>
      </c>
    </row>
    <row r="2445" spans="1:2" x14ac:dyDescent="0.25">
      <c r="A2445" t="s">
        <v>5224</v>
      </c>
      <c r="B2445" t="s">
        <v>5225</v>
      </c>
    </row>
    <row r="2446" spans="1:2" x14ac:dyDescent="0.25">
      <c r="A2446" t="s">
        <v>5226</v>
      </c>
      <c r="B2446" t="s">
        <v>5227</v>
      </c>
    </row>
    <row r="2447" spans="1:2" x14ac:dyDescent="0.25">
      <c r="A2447" t="s">
        <v>5228</v>
      </c>
      <c r="B2447" t="s">
        <v>5229</v>
      </c>
    </row>
    <row r="2448" spans="1:2" x14ac:dyDescent="0.25">
      <c r="A2448" t="s">
        <v>5230</v>
      </c>
      <c r="B2448" t="s">
        <v>5231</v>
      </c>
    </row>
    <row r="2449" spans="1:2" x14ac:dyDescent="0.25">
      <c r="A2449" t="s">
        <v>5232</v>
      </c>
      <c r="B2449" t="s">
        <v>5233</v>
      </c>
    </row>
    <row r="2450" spans="1:2" x14ac:dyDescent="0.25">
      <c r="A2450" t="s">
        <v>5234</v>
      </c>
      <c r="B2450" t="s">
        <v>5235</v>
      </c>
    </row>
    <row r="2451" spans="1:2" x14ac:dyDescent="0.25">
      <c r="A2451" t="s">
        <v>5236</v>
      </c>
      <c r="B2451" t="s">
        <v>5237</v>
      </c>
    </row>
    <row r="2452" spans="1:2" x14ac:dyDescent="0.25">
      <c r="A2452" t="s">
        <v>5238</v>
      </c>
      <c r="B2452" t="s">
        <v>5239</v>
      </c>
    </row>
    <row r="2453" spans="1:2" x14ac:dyDescent="0.25">
      <c r="A2453" t="s">
        <v>5240</v>
      </c>
      <c r="B2453" t="s">
        <v>5241</v>
      </c>
    </row>
    <row r="2454" spans="1:2" x14ac:dyDescent="0.25">
      <c r="A2454" t="s">
        <v>5242</v>
      </c>
      <c r="B2454" t="s">
        <v>5243</v>
      </c>
    </row>
    <row r="2455" spans="1:2" x14ac:dyDescent="0.25">
      <c r="A2455" t="s">
        <v>5244</v>
      </c>
      <c r="B2455" t="s">
        <v>5245</v>
      </c>
    </row>
    <row r="2456" spans="1:2" x14ac:dyDescent="0.25">
      <c r="A2456" t="s">
        <v>5246</v>
      </c>
      <c r="B2456" t="s">
        <v>5247</v>
      </c>
    </row>
    <row r="2457" spans="1:2" x14ac:dyDescent="0.25">
      <c r="A2457" t="s">
        <v>5248</v>
      </c>
      <c r="B2457" t="s">
        <v>5249</v>
      </c>
    </row>
    <row r="2458" spans="1:2" x14ac:dyDescent="0.25">
      <c r="A2458" t="s">
        <v>5250</v>
      </c>
      <c r="B2458" t="s">
        <v>5251</v>
      </c>
    </row>
    <row r="2459" spans="1:2" x14ac:dyDescent="0.25">
      <c r="A2459" t="s">
        <v>5252</v>
      </c>
      <c r="B2459" t="s">
        <v>5253</v>
      </c>
    </row>
    <row r="2460" spans="1:2" x14ac:dyDescent="0.25">
      <c r="A2460" t="s">
        <v>5254</v>
      </c>
      <c r="B2460" t="s">
        <v>5255</v>
      </c>
    </row>
    <row r="2461" spans="1:2" x14ac:dyDescent="0.25">
      <c r="A2461" t="s">
        <v>5256</v>
      </c>
      <c r="B2461" t="s">
        <v>5257</v>
      </c>
    </row>
    <row r="2462" spans="1:2" x14ac:dyDescent="0.25">
      <c r="A2462" t="s">
        <v>5258</v>
      </c>
      <c r="B2462" t="s">
        <v>5259</v>
      </c>
    </row>
    <row r="2463" spans="1:2" x14ac:dyDescent="0.25">
      <c r="A2463" t="s">
        <v>5260</v>
      </c>
      <c r="B2463" t="s">
        <v>5261</v>
      </c>
    </row>
    <row r="2464" spans="1:2" x14ac:dyDescent="0.25">
      <c r="A2464" t="s">
        <v>5262</v>
      </c>
      <c r="B2464" t="s">
        <v>5263</v>
      </c>
    </row>
    <row r="2465" spans="1:2" x14ac:dyDescent="0.25">
      <c r="A2465" t="s">
        <v>5264</v>
      </c>
      <c r="B2465" t="s">
        <v>5265</v>
      </c>
    </row>
    <row r="2466" spans="1:2" x14ac:dyDescent="0.25">
      <c r="A2466" t="s">
        <v>5266</v>
      </c>
      <c r="B2466" t="s">
        <v>5267</v>
      </c>
    </row>
    <row r="2467" spans="1:2" x14ac:dyDescent="0.25">
      <c r="A2467" t="s">
        <v>5268</v>
      </c>
      <c r="B2467" t="s">
        <v>5269</v>
      </c>
    </row>
    <row r="2468" spans="1:2" x14ac:dyDescent="0.25">
      <c r="A2468" t="s">
        <v>5270</v>
      </c>
      <c r="B2468" t="s">
        <v>5271</v>
      </c>
    </row>
    <row r="2469" spans="1:2" x14ac:dyDescent="0.25">
      <c r="A2469" t="s">
        <v>5272</v>
      </c>
      <c r="B2469" t="s">
        <v>5273</v>
      </c>
    </row>
    <row r="2470" spans="1:2" x14ac:dyDescent="0.25">
      <c r="A2470" t="s">
        <v>5274</v>
      </c>
      <c r="B2470" t="s">
        <v>5275</v>
      </c>
    </row>
    <row r="2471" spans="1:2" x14ac:dyDescent="0.25">
      <c r="A2471" t="s">
        <v>5276</v>
      </c>
      <c r="B2471" t="s">
        <v>5277</v>
      </c>
    </row>
    <row r="2472" spans="1:2" x14ac:dyDescent="0.25">
      <c r="A2472" t="s">
        <v>5278</v>
      </c>
      <c r="B2472" t="s">
        <v>5279</v>
      </c>
    </row>
    <row r="2473" spans="1:2" x14ac:dyDescent="0.25">
      <c r="A2473" t="s">
        <v>5280</v>
      </c>
      <c r="B2473" t="s">
        <v>504</v>
      </c>
    </row>
    <row r="2474" spans="1:2" x14ac:dyDescent="0.25">
      <c r="A2474" t="s">
        <v>5281</v>
      </c>
      <c r="B2474" t="s">
        <v>5282</v>
      </c>
    </row>
    <row r="2475" spans="1:2" x14ac:dyDescent="0.25">
      <c r="A2475" t="s">
        <v>5283</v>
      </c>
      <c r="B2475" t="s">
        <v>5284</v>
      </c>
    </row>
    <row r="2476" spans="1:2" x14ac:dyDescent="0.25">
      <c r="A2476" t="s">
        <v>5285</v>
      </c>
      <c r="B2476" t="s">
        <v>5286</v>
      </c>
    </row>
    <row r="2477" spans="1:2" x14ac:dyDescent="0.25">
      <c r="A2477" t="s">
        <v>5287</v>
      </c>
      <c r="B2477" t="s">
        <v>5288</v>
      </c>
    </row>
    <row r="2478" spans="1:2" x14ac:dyDescent="0.25">
      <c r="A2478" t="s">
        <v>5289</v>
      </c>
      <c r="B2478" t="s">
        <v>5290</v>
      </c>
    </row>
    <row r="2479" spans="1:2" x14ac:dyDescent="0.25">
      <c r="A2479" t="s">
        <v>5291</v>
      </c>
      <c r="B2479" t="s">
        <v>5292</v>
      </c>
    </row>
    <row r="2480" spans="1:2" x14ac:dyDescent="0.25">
      <c r="A2480" t="s">
        <v>5293</v>
      </c>
      <c r="B2480" t="s">
        <v>5294</v>
      </c>
    </row>
    <row r="2481" spans="1:2" x14ac:dyDescent="0.25">
      <c r="A2481" t="s">
        <v>5295</v>
      </c>
      <c r="B2481" t="s">
        <v>5296</v>
      </c>
    </row>
    <row r="2482" spans="1:2" x14ac:dyDescent="0.25">
      <c r="A2482" t="s">
        <v>5297</v>
      </c>
      <c r="B2482" t="s">
        <v>5298</v>
      </c>
    </row>
    <row r="2483" spans="1:2" x14ac:dyDescent="0.25">
      <c r="A2483" t="s">
        <v>5299</v>
      </c>
      <c r="B2483" t="s">
        <v>5300</v>
      </c>
    </row>
    <row r="2484" spans="1:2" x14ac:dyDescent="0.25">
      <c r="A2484" t="s">
        <v>5301</v>
      </c>
      <c r="B2484" t="s">
        <v>5302</v>
      </c>
    </row>
    <row r="2485" spans="1:2" x14ac:dyDescent="0.25">
      <c r="A2485" t="s">
        <v>5303</v>
      </c>
      <c r="B2485" t="s">
        <v>5304</v>
      </c>
    </row>
    <row r="2486" spans="1:2" x14ac:dyDescent="0.25">
      <c r="A2486" t="s">
        <v>5305</v>
      </c>
      <c r="B2486" t="s">
        <v>5306</v>
      </c>
    </row>
    <row r="2487" spans="1:2" x14ac:dyDescent="0.25">
      <c r="A2487" t="s">
        <v>5307</v>
      </c>
      <c r="B2487" t="s">
        <v>5308</v>
      </c>
    </row>
    <row r="2488" spans="1:2" x14ac:dyDescent="0.25">
      <c r="A2488" t="s">
        <v>5309</v>
      </c>
      <c r="B2488" t="s">
        <v>5310</v>
      </c>
    </row>
    <row r="2489" spans="1:2" x14ac:dyDescent="0.25">
      <c r="A2489" t="s">
        <v>5311</v>
      </c>
      <c r="B2489" t="s">
        <v>5312</v>
      </c>
    </row>
    <row r="2490" spans="1:2" x14ac:dyDescent="0.25">
      <c r="A2490" t="s">
        <v>5313</v>
      </c>
      <c r="B2490" t="s">
        <v>5314</v>
      </c>
    </row>
    <row r="2491" spans="1:2" x14ac:dyDescent="0.25">
      <c r="A2491" t="s">
        <v>5315</v>
      </c>
      <c r="B2491" t="s">
        <v>5316</v>
      </c>
    </row>
    <row r="2492" spans="1:2" x14ac:dyDescent="0.25">
      <c r="A2492" t="s">
        <v>5317</v>
      </c>
      <c r="B2492" t="s">
        <v>5318</v>
      </c>
    </row>
    <row r="2493" spans="1:2" x14ac:dyDescent="0.25">
      <c r="A2493" t="s">
        <v>5319</v>
      </c>
      <c r="B2493" t="s">
        <v>5320</v>
      </c>
    </row>
    <row r="2494" spans="1:2" x14ac:dyDescent="0.25">
      <c r="A2494" t="s">
        <v>5321</v>
      </c>
      <c r="B2494" t="s">
        <v>5322</v>
      </c>
    </row>
    <row r="2495" spans="1:2" x14ac:dyDescent="0.25">
      <c r="A2495" t="s">
        <v>5323</v>
      </c>
      <c r="B2495" t="s">
        <v>5324</v>
      </c>
    </row>
    <row r="2496" spans="1:2" x14ac:dyDescent="0.25">
      <c r="A2496" t="s">
        <v>5325</v>
      </c>
      <c r="B2496" t="s">
        <v>5326</v>
      </c>
    </row>
    <row r="2497" spans="1:2" x14ac:dyDescent="0.25">
      <c r="A2497" t="s">
        <v>5327</v>
      </c>
      <c r="B2497" t="s">
        <v>5328</v>
      </c>
    </row>
    <row r="2498" spans="1:2" x14ac:dyDescent="0.25">
      <c r="A2498" t="s">
        <v>5329</v>
      </c>
      <c r="B2498" t="s">
        <v>5330</v>
      </c>
    </row>
    <row r="2499" spans="1:2" x14ac:dyDescent="0.25">
      <c r="A2499" t="s">
        <v>5331</v>
      </c>
      <c r="B2499" t="s">
        <v>5332</v>
      </c>
    </row>
    <row r="2500" spans="1:2" x14ac:dyDescent="0.25">
      <c r="A2500" t="s">
        <v>5333</v>
      </c>
      <c r="B2500" t="s">
        <v>5334</v>
      </c>
    </row>
    <row r="2501" spans="1:2" x14ac:dyDescent="0.25">
      <c r="A2501" t="s">
        <v>5335</v>
      </c>
      <c r="B2501" t="s">
        <v>5336</v>
      </c>
    </row>
    <row r="2502" spans="1:2" x14ac:dyDescent="0.25">
      <c r="A2502" t="s">
        <v>5337</v>
      </c>
      <c r="B2502" t="s">
        <v>5338</v>
      </c>
    </row>
    <row r="2503" spans="1:2" x14ac:dyDescent="0.25">
      <c r="A2503" t="s">
        <v>5339</v>
      </c>
      <c r="B2503" t="s">
        <v>5340</v>
      </c>
    </row>
    <row r="2504" spans="1:2" x14ac:dyDescent="0.25">
      <c r="A2504" t="s">
        <v>5341</v>
      </c>
      <c r="B2504" t="s">
        <v>5342</v>
      </c>
    </row>
    <row r="2505" spans="1:2" x14ac:dyDescent="0.25">
      <c r="A2505" t="s">
        <v>5343</v>
      </c>
      <c r="B2505" t="s">
        <v>5344</v>
      </c>
    </row>
    <row r="2506" spans="1:2" x14ac:dyDescent="0.25">
      <c r="A2506" t="s">
        <v>5345</v>
      </c>
      <c r="B2506" t="s">
        <v>5346</v>
      </c>
    </row>
    <row r="2507" spans="1:2" x14ac:dyDescent="0.25">
      <c r="A2507" t="s">
        <v>5347</v>
      </c>
      <c r="B2507" t="s">
        <v>5348</v>
      </c>
    </row>
    <row r="2508" spans="1:2" x14ac:dyDescent="0.25">
      <c r="A2508" t="s">
        <v>5349</v>
      </c>
      <c r="B2508" t="s">
        <v>5350</v>
      </c>
    </row>
    <row r="2509" spans="1:2" x14ac:dyDescent="0.25">
      <c r="A2509" t="s">
        <v>5351</v>
      </c>
      <c r="B2509" t="s">
        <v>5352</v>
      </c>
    </row>
    <row r="2510" spans="1:2" x14ac:dyDescent="0.25">
      <c r="A2510" t="s">
        <v>5353</v>
      </c>
      <c r="B2510" t="s">
        <v>5354</v>
      </c>
    </row>
    <row r="2511" spans="1:2" x14ac:dyDescent="0.25">
      <c r="A2511" t="s">
        <v>5355</v>
      </c>
      <c r="B2511" t="s">
        <v>5356</v>
      </c>
    </row>
    <row r="2512" spans="1:2" x14ac:dyDescent="0.25">
      <c r="A2512" t="s">
        <v>5357</v>
      </c>
      <c r="B2512" t="s">
        <v>5358</v>
      </c>
    </row>
    <row r="2513" spans="1:2" x14ac:dyDescent="0.25">
      <c r="A2513" t="s">
        <v>5359</v>
      </c>
      <c r="B2513" t="s">
        <v>5360</v>
      </c>
    </row>
    <row r="2514" spans="1:2" x14ac:dyDescent="0.25">
      <c r="A2514" t="s">
        <v>5361</v>
      </c>
      <c r="B2514" t="s">
        <v>5362</v>
      </c>
    </row>
    <row r="2515" spans="1:2" x14ac:dyDescent="0.25">
      <c r="A2515" t="s">
        <v>5363</v>
      </c>
      <c r="B2515" t="s">
        <v>5364</v>
      </c>
    </row>
    <row r="2516" spans="1:2" x14ac:dyDescent="0.25">
      <c r="A2516" t="s">
        <v>5365</v>
      </c>
      <c r="B2516" t="s">
        <v>5366</v>
      </c>
    </row>
    <row r="2517" spans="1:2" x14ac:dyDescent="0.25">
      <c r="A2517" t="s">
        <v>5367</v>
      </c>
      <c r="B2517" t="s">
        <v>5368</v>
      </c>
    </row>
    <row r="2518" spans="1:2" x14ac:dyDescent="0.25">
      <c r="A2518" t="s">
        <v>5369</v>
      </c>
      <c r="B2518" t="s">
        <v>674</v>
      </c>
    </row>
    <row r="2519" spans="1:2" x14ac:dyDescent="0.25">
      <c r="A2519" t="s">
        <v>5370</v>
      </c>
      <c r="B2519" t="s">
        <v>5371</v>
      </c>
    </row>
    <row r="2520" spans="1:2" x14ac:dyDescent="0.25">
      <c r="A2520" t="s">
        <v>5372</v>
      </c>
      <c r="B2520" t="s">
        <v>5373</v>
      </c>
    </row>
    <row r="2521" spans="1:2" x14ac:dyDescent="0.25">
      <c r="A2521" t="s">
        <v>5374</v>
      </c>
      <c r="B2521" t="s">
        <v>5375</v>
      </c>
    </row>
    <row r="2522" spans="1:2" x14ac:dyDescent="0.25">
      <c r="A2522" t="s">
        <v>5376</v>
      </c>
      <c r="B2522" t="s">
        <v>5377</v>
      </c>
    </row>
    <row r="2523" spans="1:2" x14ac:dyDescent="0.25">
      <c r="A2523" t="s">
        <v>5378</v>
      </c>
      <c r="B2523" t="s">
        <v>5379</v>
      </c>
    </row>
    <row r="2524" spans="1:2" x14ac:dyDescent="0.25">
      <c r="A2524" t="s">
        <v>5380</v>
      </c>
      <c r="B2524" t="s">
        <v>5381</v>
      </c>
    </row>
    <row r="2525" spans="1:2" x14ac:dyDescent="0.25">
      <c r="A2525" t="s">
        <v>5382</v>
      </c>
      <c r="B2525" t="s">
        <v>5383</v>
      </c>
    </row>
    <row r="2526" spans="1:2" x14ac:dyDescent="0.25">
      <c r="A2526" t="s">
        <v>5384</v>
      </c>
      <c r="B2526" t="s">
        <v>5385</v>
      </c>
    </row>
    <row r="2527" spans="1:2" x14ac:dyDescent="0.25">
      <c r="A2527" t="s">
        <v>5386</v>
      </c>
      <c r="B2527" t="s">
        <v>5387</v>
      </c>
    </row>
    <row r="2528" spans="1:2" x14ac:dyDescent="0.25">
      <c r="A2528" t="s">
        <v>5388</v>
      </c>
      <c r="B2528" t="s">
        <v>5389</v>
      </c>
    </row>
    <row r="2529" spans="1:2" x14ac:dyDescent="0.25">
      <c r="A2529" t="s">
        <v>5390</v>
      </c>
      <c r="B2529" t="s">
        <v>735</v>
      </c>
    </row>
    <row r="2530" spans="1:2" x14ac:dyDescent="0.25">
      <c r="A2530" t="s">
        <v>5391</v>
      </c>
      <c r="B2530" t="s">
        <v>5392</v>
      </c>
    </row>
    <row r="2531" spans="1:2" x14ac:dyDescent="0.25">
      <c r="A2531" t="s">
        <v>5393</v>
      </c>
      <c r="B2531" t="s">
        <v>5394</v>
      </c>
    </row>
    <row r="2532" spans="1:2" x14ac:dyDescent="0.25">
      <c r="A2532" t="s">
        <v>5395</v>
      </c>
      <c r="B2532" t="s">
        <v>404</v>
      </c>
    </row>
    <row r="2533" spans="1:2" x14ac:dyDescent="0.25">
      <c r="A2533" t="s">
        <v>5396</v>
      </c>
      <c r="B2533" t="s">
        <v>5397</v>
      </c>
    </row>
    <row r="2534" spans="1:2" x14ac:dyDescent="0.25">
      <c r="A2534" t="s">
        <v>5398</v>
      </c>
      <c r="B2534" t="s">
        <v>5399</v>
      </c>
    </row>
    <row r="2535" spans="1:2" x14ac:dyDescent="0.25">
      <c r="A2535" t="s">
        <v>5400</v>
      </c>
      <c r="B2535" t="s">
        <v>5401</v>
      </c>
    </row>
    <row r="2536" spans="1:2" x14ac:dyDescent="0.25">
      <c r="A2536" t="s">
        <v>5402</v>
      </c>
      <c r="B2536" t="s">
        <v>5403</v>
      </c>
    </row>
    <row r="2537" spans="1:2" x14ac:dyDescent="0.25">
      <c r="A2537" t="s">
        <v>5404</v>
      </c>
      <c r="B2537" t="s">
        <v>5405</v>
      </c>
    </row>
    <row r="2538" spans="1:2" x14ac:dyDescent="0.25">
      <c r="A2538" t="s">
        <v>5406</v>
      </c>
      <c r="B2538" t="s">
        <v>5407</v>
      </c>
    </row>
    <row r="2539" spans="1:2" x14ac:dyDescent="0.25">
      <c r="A2539" t="s">
        <v>5408</v>
      </c>
      <c r="B2539" t="s">
        <v>5409</v>
      </c>
    </row>
    <row r="2540" spans="1:2" x14ac:dyDescent="0.25">
      <c r="A2540" t="s">
        <v>5410</v>
      </c>
      <c r="B2540" t="s">
        <v>5411</v>
      </c>
    </row>
    <row r="2541" spans="1:2" x14ac:dyDescent="0.25">
      <c r="A2541" t="s">
        <v>5412</v>
      </c>
      <c r="B2541" t="s">
        <v>5413</v>
      </c>
    </row>
    <row r="2542" spans="1:2" x14ac:dyDescent="0.25">
      <c r="A2542" t="s">
        <v>5414</v>
      </c>
      <c r="B2542" t="s">
        <v>5415</v>
      </c>
    </row>
    <row r="2543" spans="1:2" x14ac:dyDescent="0.25">
      <c r="A2543" t="s">
        <v>5416</v>
      </c>
      <c r="B2543" t="s">
        <v>5417</v>
      </c>
    </row>
    <row r="2544" spans="1:2" x14ac:dyDescent="0.25">
      <c r="A2544" t="s">
        <v>5418</v>
      </c>
      <c r="B2544" t="s">
        <v>5419</v>
      </c>
    </row>
    <row r="2545" spans="1:2" x14ac:dyDescent="0.25">
      <c r="A2545" t="s">
        <v>5420</v>
      </c>
      <c r="B2545" t="s">
        <v>5421</v>
      </c>
    </row>
    <row r="2546" spans="1:2" x14ac:dyDescent="0.25">
      <c r="A2546" t="s">
        <v>5422</v>
      </c>
      <c r="B2546" t="s">
        <v>5423</v>
      </c>
    </row>
    <row r="2547" spans="1:2" x14ac:dyDescent="0.25">
      <c r="A2547" t="s">
        <v>5424</v>
      </c>
      <c r="B2547" t="s">
        <v>5425</v>
      </c>
    </row>
    <row r="2548" spans="1:2" x14ac:dyDescent="0.25">
      <c r="A2548" t="s">
        <v>5426</v>
      </c>
      <c r="B2548" t="s">
        <v>5427</v>
      </c>
    </row>
    <row r="2549" spans="1:2" x14ac:dyDescent="0.25">
      <c r="A2549" t="s">
        <v>5428</v>
      </c>
      <c r="B2549" t="s">
        <v>5429</v>
      </c>
    </row>
    <row r="2550" spans="1:2" x14ac:dyDescent="0.25">
      <c r="A2550" t="s">
        <v>5430</v>
      </c>
      <c r="B2550" t="s">
        <v>5431</v>
      </c>
    </row>
    <row r="2551" spans="1:2" x14ac:dyDescent="0.25">
      <c r="A2551" t="s">
        <v>5432</v>
      </c>
      <c r="B2551" t="s">
        <v>5433</v>
      </c>
    </row>
    <row r="2552" spans="1:2" x14ac:dyDescent="0.25">
      <c r="A2552" t="s">
        <v>5434</v>
      </c>
      <c r="B2552" t="s">
        <v>5435</v>
      </c>
    </row>
    <row r="2553" spans="1:2" x14ac:dyDescent="0.25">
      <c r="A2553" t="s">
        <v>5436</v>
      </c>
      <c r="B2553" t="s">
        <v>230</v>
      </c>
    </row>
    <row r="2554" spans="1:2" x14ac:dyDescent="0.25">
      <c r="A2554" t="s">
        <v>5437</v>
      </c>
      <c r="B2554" t="s">
        <v>5438</v>
      </c>
    </row>
    <row r="2555" spans="1:2" x14ac:dyDescent="0.25">
      <c r="A2555" t="s">
        <v>5439</v>
      </c>
      <c r="B2555" t="s">
        <v>5440</v>
      </c>
    </row>
    <row r="2556" spans="1:2" x14ac:dyDescent="0.25">
      <c r="A2556" t="s">
        <v>5441</v>
      </c>
      <c r="B2556" t="s">
        <v>5442</v>
      </c>
    </row>
    <row r="2557" spans="1:2" x14ac:dyDescent="0.25">
      <c r="A2557" t="s">
        <v>5443</v>
      </c>
      <c r="B2557" t="s">
        <v>5444</v>
      </c>
    </row>
    <row r="2558" spans="1:2" x14ac:dyDescent="0.25">
      <c r="A2558" t="s">
        <v>5445</v>
      </c>
      <c r="B2558" t="s">
        <v>5446</v>
      </c>
    </row>
    <row r="2559" spans="1:2" x14ac:dyDescent="0.25">
      <c r="A2559" t="s">
        <v>5447</v>
      </c>
      <c r="B2559" t="s">
        <v>5448</v>
      </c>
    </row>
    <row r="2560" spans="1:2" x14ac:dyDescent="0.25">
      <c r="A2560" t="s">
        <v>5449</v>
      </c>
      <c r="B2560" t="s">
        <v>5450</v>
      </c>
    </row>
    <row r="2561" spans="1:2" x14ac:dyDescent="0.25">
      <c r="A2561" t="s">
        <v>5451</v>
      </c>
      <c r="B2561" t="s">
        <v>5452</v>
      </c>
    </row>
    <row r="2562" spans="1:2" x14ac:dyDescent="0.25">
      <c r="A2562" t="s">
        <v>5453</v>
      </c>
      <c r="B2562" t="s">
        <v>5454</v>
      </c>
    </row>
    <row r="2563" spans="1:2" x14ac:dyDescent="0.25">
      <c r="A2563" t="s">
        <v>5455</v>
      </c>
      <c r="B2563" t="s">
        <v>5456</v>
      </c>
    </row>
    <row r="2564" spans="1:2" x14ac:dyDescent="0.25">
      <c r="A2564" t="s">
        <v>5457</v>
      </c>
      <c r="B2564" t="s">
        <v>5458</v>
      </c>
    </row>
    <row r="2565" spans="1:2" x14ac:dyDescent="0.25">
      <c r="A2565" t="s">
        <v>5459</v>
      </c>
      <c r="B2565" t="s">
        <v>5460</v>
      </c>
    </row>
    <row r="2566" spans="1:2" x14ac:dyDescent="0.25">
      <c r="A2566" t="s">
        <v>5461</v>
      </c>
      <c r="B2566" t="s">
        <v>5462</v>
      </c>
    </row>
    <row r="2567" spans="1:2" x14ac:dyDescent="0.25">
      <c r="A2567" t="s">
        <v>5463</v>
      </c>
      <c r="B2567" t="s">
        <v>5464</v>
      </c>
    </row>
    <row r="2568" spans="1:2" x14ac:dyDescent="0.25">
      <c r="A2568" t="s">
        <v>5465</v>
      </c>
      <c r="B2568" t="s">
        <v>5466</v>
      </c>
    </row>
    <row r="2569" spans="1:2" x14ac:dyDescent="0.25">
      <c r="A2569" t="s">
        <v>5467</v>
      </c>
      <c r="B2569" t="s">
        <v>5468</v>
      </c>
    </row>
    <row r="2570" spans="1:2" x14ac:dyDescent="0.25">
      <c r="A2570" t="s">
        <v>5469</v>
      </c>
      <c r="B2570" t="s">
        <v>5470</v>
      </c>
    </row>
    <row r="2571" spans="1:2" x14ac:dyDescent="0.25">
      <c r="A2571" t="s">
        <v>5471</v>
      </c>
      <c r="B2571" t="s">
        <v>5472</v>
      </c>
    </row>
    <row r="2572" spans="1:2" x14ac:dyDescent="0.25">
      <c r="A2572" t="s">
        <v>5473</v>
      </c>
      <c r="B2572" t="s">
        <v>5474</v>
      </c>
    </row>
    <row r="2573" spans="1:2" x14ac:dyDescent="0.25">
      <c r="A2573" t="s">
        <v>5475</v>
      </c>
      <c r="B2573" t="s">
        <v>5476</v>
      </c>
    </row>
    <row r="2574" spans="1:2" x14ac:dyDescent="0.25">
      <c r="A2574" t="s">
        <v>5477</v>
      </c>
      <c r="B2574" t="s">
        <v>5478</v>
      </c>
    </row>
    <row r="2575" spans="1:2" x14ac:dyDescent="0.25">
      <c r="A2575" t="s">
        <v>5479</v>
      </c>
      <c r="B2575" t="s">
        <v>5480</v>
      </c>
    </row>
    <row r="2576" spans="1:2" x14ac:dyDescent="0.25">
      <c r="A2576" t="s">
        <v>5481</v>
      </c>
      <c r="B2576" t="s">
        <v>232</v>
      </c>
    </row>
    <row r="2577" spans="1:2" x14ac:dyDescent="0.25">
      <c r="A2577" t="s">
        <v>5482</v>
      </c>
      <c r="B2577" t="s">
        <v>5483</v>
      </c>
    </row>
    <row r="2578" spans="1:2" x14ac:dyDescent="0.25">
      <c r="A2578" t="s">
        <v>5484</v>
      </c>
      <c r="B2578" t="s">
        <v>5485</v>
      </c>
    </row>
    <row r="2579" spans="1:2" x14ac:dyDescent="0.25">
      <c r="A2579" t="s">
        <v>5486</v>
      </c>
      <c r="B2579" t="s">
        <v>5487</v>
      </c>
    </row>
    <row r="2580" spans="1:2" x14ac:dyDescent="0.25">
      <c r="A2580" t="s">
        <v>5488</v>
      </c>
      <c r="B2580" t="s">
        <v>5489</v>
      </c>
    </row>
    <row r="2581" spans="1:2" x14ac:dyDescent="0.25">
      <c r="A2581" t="s">
        <v>5490</v>
      </c>
      <c r="B2581" t="s">
        <v>5491</v>
      </c>
    </row>
    <row r="2582" spans="1:2" x14ac:dyDescent="0.25">
      <c r="A2582" t="s">
        <v>5492</v>
      </c>
      <c r="B2582" t="s">
        <v>5493</v>
      </c>
    </row>
    <row r="2583" spans="1:2" x14ac:dyDescent="0.25">
      <c r="A2583" t="s">
        <v>5494</v>
      </c>
      <c r="B2583" t="s">
        <v>5495</v>
      </c>
    </row>
    <row r="2584" spans="1:2" x14ac:dyDescent="0.25">
      <c r="A2584" t="s">
        <v>5496</v>
      </c>
      <c r="B2584" t="s">
        <v>5497</v>
      </c>
    </row>
    <row r="2585" spans="1:2" x14ac:dyDescent="0.25">
      <c r="A2585" t="s">
        <v>5498</v>
      </c>
      <c r="B2585" t="s">
        <v>5499</v>
      </c>
    </row>
    <row r="2586" spans="1:2" x14ac:dyDescent="0.25">
      <c r="A2586" t="s">
        <v>5500</v>
      </c>
      <c r="B2586" t="s">
        <v>5501</v>
      </c>
    </row>
    <row r="2587" spans="1:2" x14ac:dyDescent="0.25">
      <c r="A2587" t="s">
        <v>5502</v>
      </c>
      <c r="B2587" t="s">
        <v>5503</v>
      </c>
    </row>
    <row r="2588" spans="1:2" x14ac:dyDescent="0.25">
      <c r="A2588" t="s">
        <v>5504</v>
      </c>
      <c r="B2588" t="s">
        <v>5505</v>
      </c>
    </row>
    <row r="2589" spans="1:2" x14ac:dyDescent="0.25">
      <c r="A2589" t="s">
        <v>5506</v>
      </c>
      <c r="B2589" t="s">
        <v>5507</v>
      </c>
    </row>
    <row r="2590" spans="1:2" x14ac:dyDescent="0.25">
      <c r="A2590" t="s">
        <v>5508</v>
      </c>
      <c r="B2590" t="s">
        <v>5509</v>
      </c>
    </row>
    <row r="2591" spans="1:2" x14ac:dyDescent="0.25">
      <c r="A2591" t="s">
        <v>5510</v>
      </c>
      <c r="B2591" t="s">
        <v>5511</v>
      </c>
    </row>
    <row r="2592" spans="1:2" x14ac:dyDescent="0.25">
      <c r="A2592" t="s">
        <v>5512</v>
      </c>
      <c r="B2592" t="s">
        <v>5513</v>
      </c>
    </row>
    <row r="2593" spans="1:2" x14ac:dyDescent="0.25">
      <c r="A2593" t="s">
        <v>5514</v>
      </c>
      <c r="B2593" t="s">
        <v>5515</v>
      </c>
    </row>
    <row r="2594" spans="1:2" x14ac:dyDescent="0.25">
      <c r="A2594" t="s">
        <v>5516</v>
      </c>
      <c r="B2594" t="s">
        <v>5517</v>
      </c>
    </row>
    <row r="2595" spans="1:2" x14ac:dyDescent="0.25">
      <c r="A2595" t="s">
        <v>5518</v>
      </c>
      <c r="B2595" t="s">
        <v>5519</v>
      </c>
    </row>
    <row r="2596" spans="1:2" x14ac:dyDescent="0.25">
      <c r="A2596" t="s">
        <v>5520</v>
      </c>
      <c r="B2596" t="s">
        <v>5521</v>
      </c>
    </row>
    <row r="2597" spans="1:2" x14ac:dyDescent="0.25">
      <c r="A2597" t="s">
        <v>5522</v>
      </c>
      <c r="B2597" t="s">
        <v>5523</v>
      </c>
    </row>
    <row r="2598" spans="1:2" x14ac:dyDescent="0.25">
      <c r="A2598" t="s">
        <v>5524</v>
      </c>
      <c r="B2598" t="s">
        <v>5525</v>
      </c>
    </row>
    <row r="2599" spans="1:2" x14ac:dyDescent="0.25">
      <c r="A2599" t="s">
        <v>5526</v>
      </c>
      <c r="B2599" t="s">
        <v>5527</v>
      </c>
    </row>
    <row r="2600" spans="1:2" x14ac:dyDescent="0.25">
      <c r="A2600" t="s">
        <v>5528</v>
      </c>
      <c r="B2600" t="s">
        <v>5529</v>
      </c>
    </row>
    <row r="2601" spans="1:2" x14ac:dyDescent="0.25">
      <c r="A2601" t="s">
        <v>5530</v>
      </c>
      <c r="B2601" t="s">
        <v>5531</v>
      </c>
    </row>
    <row r="2602" spans="1:2" x14ac:dyDescent="0.25">
      <c r="A2602" t="s">
        <v>5532</v>
      </c>
      <c r="B2602" t="s">
        <v>5533</v>
      </c>
    </row>
    <row r="2603" spans="1:2" x14ac:dyDescent="0.25">
      <c r="A2603" t="s">
        <v>5534</v>
      </c>
      <c r="B2603" t="s">
        <v>462</v>
      </c>
    </row>
    <row r="2604" spans="1:2" x14ac:dyDescent="0.25">
      <c r="A2604" t="s">
        <v>5535</v>
      </c>
      <c r="B2604" t="s">
        <v>5536</v>
      </c>
    </row>
    <row r="2605" spans="1:2" x14ac:dyDescent="0.25">
      <c r="A2605" t="s">
        <v>5537</v>
      </c>
      <c r="B2605" t="s">
        <v>5538</v>
      </c>
    </row>
    <row r="2606" spans="1:2" x14ac:dyDescent="0.25">
      <c r="A2606" t="s">
        <v>5539</v>
      </c>
      <c r="B2606" t="s">
        <v>5540</v>
      </c>
    </row>
    <row r="2607" spans="1:2" x14ac:dyDescent="0.25">
      <c r="A2607" t="s">
        <v>5541</v>
      </c>
      <c r="B2607" t="s">
        <v>5542</v>
      </c>
    </row>
    <row r="2608" spans="1:2" x14ac:dyDescent="0.25">
      <c r="A2608" t="s">
        <v>5543</v>
      </c>
      <c r="B2608" t="s">
        <v>5544</v>
      </c>
    </row>
    <row r="2609" spans="1:2" x14ac:dyDescent="0.25">
      <c r="A2609" t="s">
        <v>5545</v>
      </c>
      <c r="B2609" t="s">
        <v>5546</v>
      </c>
    </row>
    <row r="2610" spans="1:2" x14ac:dyDescent="0.25">
      <c r="A2610" t="s">
        <v>5547</v>
      </c>
      <c r="B2610" t="s">
        <v>5548</v>
      </c>
    </row>
    <row r="2611" spans="1:2" x14ac:dyDescent="0.25">
      <c r="A2611" t="s">
        <v>5549</v>
      </c>
      <c r="B2611" t="s">
        <v>5550</v>
      </c>
    </row>
    <row r="2612" spans="1:2" x14ac:dyDescent="0.25">
      <c r="A2612" t="s">
        <v>5551</v>
      </c>
      <c r="B2612" t="s">
        <v>5552</v>
      </c>
    </row>
    <row r="2613" spans="1:2" x14ac:dyDescent="0.25">
      <c r="A2613" t="s">
        <v>5553</v>
      </c>
      <c r="B2613" t="s">
        <v>5554</v>
      </c>
    </row>
    <row r="2614" spans="1:2" x14ac:dyDescent="0.25">
      <c r="A2614" t="s">
        <v>5555</v>
      </c>
      <c r="B2614" t="s">
        <v>5556</v>
      </c>
    </row>
    <row r="2615" spans="1:2" x14ac:dyDescent="0.25">
      <c r="A2615" t="s">
        <v>5557</v>
      </c>
      <c r="B2615" t="s">
        <v>5558</v>
      </c>
    </row>
    <row r="2616" spans="1:2" x14ac:dyDescent="0.25">
      <c r="A2616" t="s">
        <v>5559</v>
      </c>
      <c r="B2616" t="s">
        <v>5560</v>
      </c>
    </row>
    <row r="2617" spans="1:2" x14ac:dyDescent="0.25">
      <c r="A2617" t="s">
        <v>5561</v>
      </c>
      <c r="B2617" t="s">
        <v>5562</v>
      </c>
    </row>
    <row r="2618" spans="1:2" x14ac:dyDescent="0.25">
      <c r="A2618" t="s">
        <v>5563</v>
      </c>
      <c r="B2618" t="s">
        <v>5564</v>
      </c>
    </row>
    <row r="2619" spans="1:2" x14ac:dyDescent="0.25">
      <c r="A2619" t="s">
        <v>5565</v>
      </c>
      <c r="B2619" t="s">
        <v>5566</v>
      </c>
    </row>
    <row r="2620" spans="1:2" x14ac:dyDescent="0.25">
      <c r="A2620" t="s">
        <v>5567</v>
      </c>
      <c r="B2620" t="s">
        <v>5568</v>
      </c>
    </row>
    <row r="2621" spans="1:2" x14ac:dyDescent="0.25">
      <c r="A2621" t="s">
        <v>5569</v>
      </c>
      <c r="B2621" t="s">
        <v>5570</v>
      </c>
    </row>
    <row r="2622" spans="1:2" x14ac:dyDescent="0.25">
      <c r="A2622" t="s">
        <v>5571</v>
      </c>
      <c r="B2622" t="s">
        <v>5572</v>
      </c>
    </row>
    <row r="2623" spans="1:2" x14ac:dyDescent="0.25">
      <c r="A2623" t="s">
        <v>5573</v>
      </c>
      <c r="B2623" t="s">
        <v>5574</v>
      </c>
    </row>
    <row r="2624" spans="1:2" x14ac:dyDescent="0.25">
      <c r="A2624" t="s">
        <v>5575</v>
      </c>
      <c r="B2624" t="s">
        <v>5576</v>
      </c>
    </row>
    <row r="2625" spans="1:2" x14ac:dyDescent="0.25">
      <c r="A2625" t="s">
        <v>5577</v>
      </c>
      <c r="B2625" t="s">
        <v>5578</v>
      </c>
    </row>
    <row r="2626" spans="1:2" x14ac:dyDescent="0.25">
      <c r="A2626" t="s">
        <v>5579</v>
      </c>
      <c r="B2626" t="s">
        <v>234</v>
      </c>
    </row>
    <row r="2627" spans="1:2" x14ac:dyDescent="0.25">
      <c r="A2627" t="s">
        <v>5580</v>
      </c>
      <c r="B2627" t="s">
        <v>5581</v>
      </c>
    </row>
    <row r="2628" spans="1:2" x14ac:dyDescent="0.25">
      <c r="A2628" t="s">
        <v>5582</v>
      </c>
      <c r="B2628" t="s">
        <v>5583</v>
      </c>
    </row>
    <row r="2629" spans="1:2" x14ac:dyDescent="0.25">
      <c r="A2629" t="s">
        <v>5584</v>
      </c>
      <c r="B2629" t="s">
        <v>5585</v>
      </c>
    </row>
    <row r="2630" spans="1:2" x14ac:dyDescent="0.25">
      <c r="A2630" t="s">
        <v>5586</v>
      </c>
      <c r="B2630" t="s">
        <v>506</v>
      </c>
    </row>
    <row r="2631" spans="1:2" x14ac:dyDescent="0.25">
      <c r="A2631" t="s">
        <v>5587</v>
      </c>
      <c r="B2631" t="s">
        <v>5588</v>
      </c>
    </row>
    <row r="2632" spans="1:2" x14ac:dyDescent="0.25">
      <c r="A2632" t="s">
        <v>5589</v>
      </c>
      <c r="B2632" t="s">
        <v>5590</v>
      </c>
    </row>
    <row r="2633" spans="1:2" x14ac:dyDescent="0.25">
      <c r="A2633" t="s">
        <v>5591</v>
      </c>
      <c r="B2633" t="s">
        <v>5592</v>
      </c>
    </row>
    <row r="2634" spans="1:2" x14ac:dyDescent="0.25">
      <c r="A2634" t="s">
        <v>5593</v>
      </c>
      <c r="B2634" t="s">
        <v>5594</v>
      </c>
    </row>
    <row r="2635" spans="1:2" x14ac:dyDescent="0.25">
      <c r="A2635" t="s">
        <v>5595</v>
      </c>
      <c r="B2635" t="s">
        <v>5596</v>
      </c>
    </row>
    <row r="2636" spans="1:2" x14ac:dyDescent="0.25">
      <c r="A2636" t="s">
        <v>5597</v>
      </c>
      <c r="B2636" t="s">
        <v>5598</v>
      </c>
    </row>
    <row r="2637" spans="1:2" x14ac:dyDescent="0.25">
      <c r="A2637" t="s">
        <v>5599</v>
      </c>
      <c r="B2637" t="s">
        <v>5600</v>
      </c>
    </row>
    <row r="2638" spans="1:2" x14ac:dyDescent="0.25">
      <c r="A2638" t="s">
        <v>5601</v>
      </c>
      <c r="B2638" t="s">
        <v>5602</v>
      </c>
    </row>
    <row r="2639" spans="1:2" x14ac:dyDescent="0.25">
      <c r="A2639" t="s">
        <v>5603</v>
      </c>
      <c r="B2639" t="s">
        <v>5604</v>
      </c>
    </row>
    <row r="2640" spans="1:2" x14ac:dyDescent="0.25">
      <c r="A2640" t="s">
        <v>5605</v>
      </c>
      <c r="B2640" t="s">
        <v>5606</v>
      </c>
    </row>
    <row r="2641" spans="1:2" x14ac:dyDescent="0.25">
      <c r="A2641" t="s">
        <v>5607</v>
      </c>
      <c r="B2641" t="s">
        <v>5608</v>
      </c>
    </row>
    <row r="2642" spans="1:2" x14ac:dyDescent="0.25">
      <c r="A2642" t="s">
        <v>5609</v>
      </c>
      <c r="B2642" t="s">
        <v>5610</v>
      </c>
    </row>
    <row r="2643" spans="1:2" x14ac:dyDescent="0.25">
      <c r="A2643" t="s">
        <v>5611</v>
      </c>
      <c r="B2643" t="s">
        <v>5612</v>
      </c>
    </row>
    <row r="2644" spans="1:2" x14ac:dyDescent="0.25">
      <c r="A2644" t="s">
        <v>5613</v>
      </c>
      <c r="B2644" t="s">
        <v>5614</v>
      </c>
    </row>
    <row r="2645" spans="1:2" x14ac:dyDescent="0.25">
      <c r="A2645" t="s">
        <v>5615</v>
      </c>
      <c r="B2645" t="s">
        <v>5616</v>
      </c>
    </row>
    <row r="2646" spans="1:2" x14ac:dyDescent="0.25">
      <c r="A2646" t="s">
        <v>5617</v>
      </c>
      <c r="B2646" t="s">
        <v>5618</v>
      </c>
    </row>
    <row r="2647" spans="1:2" x14ac:dyDescent="0.25">
      <c r="A2647" t="s">
        <v>5619</v>
      </c>
      <c r="B2647" t="s">
        <v>5620</v>
      </c>
    </row>
    <row r="2648" spans="1:2" x14ac:dyDescent="0.25">
      <c r="A2648" t="s">
        <v>5621</v>
      </c>
      <c r="B2648" t="s">
        <v>5622</v>
      </c>
    </row>
    <row r="2649" spans="1:2" x14ac:dyDescent="0.25">
      <c r="A2649" t="s">
        <v>5623</v>
      </c>
      <c r="B2649" t="s">
        <v>5624</v>
      </c>
    </row>
    <row r="2650" spans="1:2" x14ac:dyDescent="0.25">
      <c r="A2650" t="s">
        <v>5625</v>
      </c>
      <c r="B2650" t="s">
        <v>5626</v>
      </c>
    </row>
    <row r="2651" spans="1:2" x14ac:dyDescent="0.25">
      <c r="A2651" t="s">
        <v>5627</v>
      </c>
      <c r="B2651" t="s">
        <v>5628</v>
      </c>
    </row>
    <row r="2652" spans="1:2" x14ac:dyDescent="0.25">
      <c r="A2652" t="s">
        <v>5629</v>
      </c>
      <c r="B2652" t="s">
        <v>5630</v>
      </c>
    </row>
    <row r="2653" spans="1:2" x14ac:dyDescent="0.25">
      <c r="A2653" t="s">
        <v>5631</v>
      </c>
      <c r="B2653" t="s">
        <v>5632</v>
      </c>
    </row>
    <row r="2654" spans="1:2" x14ac:dyDescent="0.25">
      <c r="A2654" t="s">
        <v>5633</v>
      </c>
      <c r="B2654" t="s">
        <v>507</v>
      </c>
    </row>
    <row r="2655" spans="1:2" x14ac:dyDescent="0.25">
      <c r="A2655" t="s">
        <v>5634</v>
      </c>
      <c r="B2655" t="s">
        <v>5635</v>
      </c>
    </row>
    <row r="2656" spans="1:2" x14ac:dyDescent="0.25">
      <c r="A2656" t="s">
        <v>5636</v>
      </c>
      <c r="B2656" t="s">
        <v>737</v>
      </c>
    </row>
    <row r="2657" spans="1:2" x14ac:dyDescent="0.25">
      <c r="A2657" t="s">
        <v>5637</v>
      </c>
      <c r="B2657" t="s">
        <v>5638</v>
      </c>
    </row>
    <row r="2658" spans="1:2" x14ac:dyDescent="0.25">
      <c r="A2658" t="s">
        <v>5639</v>
      </c>
      <c r="B2658" t="s">
        <v>5640</v>
      </c>
    </row>
    <row r="2659" spans="1:2" x14ac:dyDescent="0.25">
      <c r="A2659" t="s">
        <v>5641</v>
      </c>
      <c r="B2659" t="s">
        <v>5642</v>
      </c>
    </row>
    <row r="2660" spans="1:2" x14ac:dyDescent="0.25">
      <c r="A2660" t="s">
        <v>5643</v>
      </c>
      <c r="B2660" t="s">
        <v>5644</v>
      </c>
    </row>
    <row r="2661" spans="1:2" x14ac:dyDescent="0.25">
      <c r="A2661" t="s">
        <v>5645</v>
      </c>
      <c r="B2661" t="s">
        <v>5646</v>
      </c>
    </row>
    <row r="2662" spans="1:2" x14ac:dyDescent="0.25">
      <c r="A2662" t="s">
        <v>5647</v>
      </c>
      <c r="B2662" t="s">
        <v>5648</v>
      </c>
    </row>
    <row r="2663" spans="1:2" x14ac:dyDescent="0.25">
      <c r="A2663" t="s">
        <v>5649</v>
      </c>
      <c r="B2663" t="s">
        <v>5650</v>
      </c>
    </row>
    <row r="2664" spans="1:2" x14ac:dyDescent="0.25">
      <c r="A2664" t="s">
        <v>5651</v>
      </c>
      <c r="B2664" t="s">
        <v>5652</v>
      </c>
    </row>
    <row r="2665" spans="1:2" x14ac:dyDescent="0.25">
      <c r="A2665" t="s">
        <v>5653</v>
      </c>
      <c r="B2665" t="s">
        <v>5654</v>
      </c>
    </row>
    <row r="2666" spans="1:2" x14ac:dyDescent="0.25">
      <c r="A2666" t="s">
        <v>5655</v>
      </c>
      <c r="B2666" t="s">
        <v>5656</v>
      </c>
    </row>
    <row r="2667" spans="1:2" x14ac:dyDescent="0.25">
      <c r="A2667" t="s">
        <v>5657</v>
      </c>
      <c r="B2667" t="s">
        <v>5658</v>
      </c>
    </row>
    <row r="2668" spans="1:2" x14ac:dyDescent="0.25">
      <c r="A2668" t="s">
        <v>5659</v>
      </c>
      <c r="B2668" t="s">
        <v>5660</v>
      </c>
    </row>
    <row r="2669" spans="1:2" x14ac:dyDescent="0.25">
      <c r="A2669" t="s">
        <v>5661</v>
      </c>
      <c r="B2669" t="s">
        <v>5662</v>
      </c>
    </row>
    <row r="2670" spans="1:2" x14ac:dyDescent="0.25">
      <c r="A2670" t="s">
        <v>5663</v>
      </c>
      <c r="B2670" t="s">
        <v>5664</v>
      </c>
    </row>
    <row r="2671" spans="1:2" x14ac:dyDescent="0.25">
      <c r="A2671" t="s">
        <v>5665</v>
      </c>
      <c r="B2671" t="s">
        <v>5666</v>
      </c>
    </row>
    <row r="2672" spans="1:2" x14ac:dyDescent="0.25">
      <c r="A2672" t="s">
        <v>5667</v>
      </c>
      <c r="B2672" t="s">
        <v>5668</v>
      </c>
    </row>
    <row r="2673" spans="1:2" x14ac:dyDescent="0.25">
      <c r="A2673" t="s">
        <v>5669</v>
      </c>
      <c r="B2673" t="s">
        <v>5670</v>
      </c>
    </row>
    <row r="2674" spans="1:2" x14ac:dyDescent="0.25">
      <c r="A2674" t="s">
        <v>5671</v>
      </c>
      <c r="B2674" t="s">
        <v>5672</v>
      </c>
    </row>
    <row r="2675" spans="1:2" x14ac:dyDescent="0.25">
      <c r="A2675" t="s">
        <v>5673</v>
      </c>
      <c r="B2675" t="s">
        <v>5674</v>
      </c>
    </row>
    <row r="2676" spans="1:2" x14ac:dyDescent="0.25">
      <c r="A2676" t="s">
        <v>5675</v>
      </c>
      <c r="B2676" t="s">
        <v>5676</v>
      </c>
    </row>
    <row r="2677" spans="1:2" x14ac:dyDescent="0.25">
      <c r="A2677" t="s">
        <v>5677</v>
      </c>
      <c r="B2677" t="s">
        <v>5678</v>
      </c>
    </row>
    <row r="2678" spans="1:2" x14ac:dyDescent="0.25">
      <c r="A2678" t="s">
        <v>5679</v>
      </c>
      <c r="B2678" t="s">
        <v>5680</v>
      </c>
    </row>
    <row r="2679" spans="1:2" x14ac:dyDescent="0.25">
      <c r="A2679" t="s">
        <v>5681</v>
      </c>
      <c r="B2679" t="s">
        <v>5682</v>
      </c>
    </row>
    <row r="2680" spans="1:2" x14ac:dyDescent="0.25">
      <c r="A2680" t="s">
        <v>5683</v>
      </c>
      <c r="B2680" t="s">
        <v>5684</v>
      </c>
    </row>
    <row r="2681" spans="1:2" x14ac:dyDescent="0.25">
      <c r="A2681" t="s">
        <v>5685</v>
      </c>
      <c r="B2681" t="s">
        <v>5686</v>
      </c>
    </row>
    <row r="2682" spans="1:2" x14ac:dyDescent="0.25">
      <c r="A2682" t="s">
        <v>5687</v>
      </c>
      <c r="B2682" t="s">
        <v>5688</v>
      </c>
    </row>
    <row r="2683" spans="1:2" x14ac:dyDescent="0.25">
      <c r="A2683" t="s">
        <v>5689</v>
      </c>
      <c r="B2683" t="s">
        <v>5690</v>
      </c>
    </row>
    <row r="2684" spans="1:2" x14ac:dyDescent="0.25">
      <c r="A2684" t="s">
        <v>5691</v>
      </c>
      <c r="B2684" t="s">
        <v>5692</v>
      </c>
    </row>
    <row r="2685" spans="1:2" x14ac:dyDescent="0.25">
      <c r="A2685" t="s">
        <v>5693</v>
      </c>
      <c r="B2685" t="s">
        <v>5694</v>
      </c>
    </row>
    <row r="2686" spans="1:2" x14ac:dyDescent="0.25">
      <c r="A2686" t="s">
        <v>5695</v>
      </c>
      <c r="B2686" t="s">
        <v>5696</v>
      </c>
    </row>
    <row r="2687" spans="1:2" x14ac:dyDescent="0.25">
      <c r="A2687" t="s">
        <v>5697</v>
      </c>
      <c r="B2687" t="s">
        <v>5698</v>
      </c>
    </row>
    <row r="2688" spans="1:2" x14ac:dyDescent="0.25">
      <c r="A2688" t="s">
        <v>5699</v>
      </c>
      <c r="B2688" t="s">
        <v>5700</v>
      </c>
    </row>
    <row r="2689" spans="1:2" x14ac:dyDescent="0.25">
      <c r="A2689" t="s">
        <v>5701</v>
      </c>
      <c r="B2689" t="s">
        <v>237</v>
      </c>
    </row>
    <row r="2690" spans="1:2" x14ac:dyDescent="0.25">
      <c r="A2690" t="s">
        <v>5702</v>
      </c>
      <c r="B2690" t="s">
        <v>5703</v>
      </c>
    </row>
    <row r="2691" spans="1:2" x14ac:dyDescent="0.25">
      <c r="A2691" t="s">
        <v>5704</v>
      </c>
      <c r="B2691" t="s">
        <v>5705</v>
      </c>
    </row>
    <row r="2692" spans="1:2" x14ac:dyDescent="0.25">
      <c r="A2692" t="s">
        <v>5706</v>
      </c>
      <c r="B2692" t="s">
        <v>5707</v>
      </c>
    </row>
    <row r="2693" spans="1:2" x14ac:dyDescent="0.25">
      <c r="A2693" t="s">
        <v>5708</v>
      </c>
      <c r="B2693" t="s">
        <v>5709</v>
      </c>
    </row>
    <row r="2694" spans="1:2" x14ac:dyDescent="0.25">
      <c r="A2694" t="s">
        <v>5710</v>
      </c>
      <c r="B2694" t="s">
        <v>5711</v>
      </c>
    </row>
    <row r="2695" spans="1:2" x14ac:dyDescent="0.25">
      <c r="A2695" t="s">
        <v>5712</v>
      </c>
      <c r="B2695" t="s">
        <v>5713</v>
      </c>
    </row>
    <row r="2696" spans="1:2" x14ac:dyDescent="0.25">
      <c r="A2696" t="s">
        <v>5714</v>
      </c>
      <c r="B2696" t="s">
        <v>5715</v>
      </c>
    </row>
    <row r="2697" spans="1:2" x14ac:dyDescent="0.25">
      <c r="A2697" t="s">
        <v>5716</v>
      </c>
      <c r="B2697" t="s">
        <v>5717</v>
      </c>
    </row>
    <row r="2698" spans="1:2" x14ac:dyDescent="0.25">
      <c r="A2698" t="s">
        <v>5718</v>
      </c>
      <c r="B2698" t="s">
        <v>5719</v>
      </c>
    </row>
    <row r="2699" spans="1:2" x14ac:dyDescent="0.25">
      <c r="A2699" t="s">
        <v>5720</v>
      </c>
      <c r="B2699" t="s">
        <v>5721</v>
      </c>
    </row>
    <row r="2700" spans="1:2" x14ac:dyDescent="0.25">
      <c r="A2700" t="s">
        <v>5722</v>
      </c>
      <c r="B2700" t="s">
        <v>5723</v>
      </c>
    </row>
    <row r="2701" spans="1:2" x14ac:dyDescent="0.25">
      <c r="A2701" t="s">
        <v>5724</v>
      </c>
      <c r="B2701" t="s">
        <v>5725</v>
      </c>
    </row>
    <row r="2702" spans="1:2" x14ac:dyDescent="0.25">
      <c r="A2702" t="s">
        <v>5726</v>
      </c>
      <c r="B2702" t="s">
        <v>5727</v>
      </c>
    </row>
    <row r="2703" spans="1:2" x14ac:dyDescent="0.25">
      <c r="A2703" t="s">
        <v>5728</v>
      </c>
      <c r="B2703" t="s">
        <v>5729</v>
      </c>
    </row>
    <row r="2704" spans="1:2" x14ac:dyDescent="0.25">
      <c r="A2704" t="s">
        <v>5730</v>
      </c>
      <c r="B2704" t="s">
        <v>5731</v>
      </c>
    </row>
    <row r="2705" spans="1:2" x14ac:dyDescent="0.25">
      <c r="A2705" t="s">
        <v>5732</v>
      </c>
      <c r="B2705" t="s">
        <v>5733</v>
      </c>
    </row>
    <row r="2706" spans="1:2" x14ac:dyDescent="0.25">
      <c r="A2706" t="s">
        <v>5734</v>
      </c>
      <c r="B2706" t="s">
        <v>5735</v>
      </c>
    </row>
    <row r="2707" spans="1:2" x14ac:dyDescent="0.25">
      <c r="A2707" t="s">
        <v>5736</v>
      </c>
      <c r="B2707" t="s">
        <v>5737</v>
      </c>
    </row>
    <row r="2708" spans="1:2" x14ac:dyDescent="0.25">
      <c r="A2708" t="s">
        <v>5738</v>
      </c>
      <c r="B2708" t="s">
        <v>5739</v>
      </c>
    </row>
    <row r="2709" spans="1:2" x14ac:dyDescent="0.25">
      <c r="A2709" t="s">
        <v>5740</v>
      </c>
      <c r="B2709" t="s">
        <v>5741</v>
      </c>
    </row>
    <row r="2710" spans="1:2" x14ac:dyDescent="0.25">
      <c r="A2710" t="s">
        <v>5742</v>
      </c>
      <c r="B2710" t="s">
        <v>5743</v>
      </c>
    </row>
    <row r="2711" spans="1:2" x14ac:dyDescent="0.25">
      <c r="A2711" t="s">
        <v>5744</v>
      </c>
      <c r="B2711" t="s">
        <v>5745</v>
      </c>
    </row>
    <row r="2712" spans="1:2" x14ac:dyDescent="0.25">
      <c r="A2712" t="s">
        <v>5746</v>
      </c>
      <c r="B2712" t="s">
        <v>5747</v>
      </c>
    </row>
    <row r="2713" spans="1:2" x14ac:dyDescent="0.25">
      <c r="A2713" t="s">
        <v>5748</v>
      </c>
      <c r="B2713" t="s">
        <v>5749</v>
      </c>
    </row>
    <row r="2714" spans="1:2" x14ac:dyDescent="0.25">
      <c r="A2714" t="s">
        <v>5750</v>
      </c>
      <c r="B2714" t="s">
        <v>5751</v>
      </c>
    </row>
    <row r="2715" spans="1:2" x14ac:dyDescent="0.25">
      <c r="A2715" t="s">
        <v>5752</v>
      </c>
      <c r="B2715" t="s">
        <v>5753</v>
      </c>
    </row>
    <row r="2716" spans="1:2" x14ac:dyDescent="0.25">
      <c r="A2716" t="s">
        <v>5754</v>
      </c>
      <c r="B2716" t="s">
        <v>240</v>
      </c>
    </row>
    <row r="2717" spans="1:2" x14ac:dyDescent="0.25">
      <c r="A2717" t="s">
        <v>5755</v>
      </c>
      <c r="B2717" t="s">
        <v>5756</v>
      </c>
    </row>
    <row r="2718" spans="1:2" x14ac:dyDescent="0.25">
      <c r="A2718" t="s">
        <v>5757</v>
      </c>
      <c r="B2718" t="s">
        <v>5758</v>
      </c>
    </row>
    <row r="2719" spans="1:2" x14ac:dyDescent="0.25">
      <c r="A2719" t="s">
        <v>5759</v>
      </c>
      <c r="B2719" t="s">
        <v>5760</v>
      </c>
    </row>
    <row r="2720" spans="1:2" x14ac:dyDescent="0.25">
      <c r="A2720" t="s">
        <v>5761</v>
      </c>
      <c r="B2720" t="s">
        <v>5762</v>
      </c>
    </row>
    <row r="2721" spans="1:2" x14ac:dyDescent="0.25">
      <c r="A2721" t="s">
        <v>5763</v>
      </c>
      <c r="B2721" t="s">
        <v>5764</v>
      </c>
    </row>
    <row r="2722" spans="1:2" x14ac:dyDescent="0.25">
      <c r="A2722" t="s">
        <v>5765</v>
      </c>
      <c r="B2722" t="s">
        <v>5766</v>
      </c>
    </row>
    <row r="2723" spans="1:2" x14ac:dyDescent="0.25">
      <c r="A2723" t="s">
        <v>5767</v>
      </c>
      <c r="B2723" t="s">
        <v>5768</v>
      </c>
    </row>
    <row r="2724" spans="1:2" x14ac:dyDescent="0.25">
      <c r="A2724" t="s">
        <v>5769</v>
      </c>
      <c r="B2724" t="s">
        <v>5770</v>
      </c>
    </row>
    <row r="2725" spans="1:2" x14ac:dyDescent="0.25">
      <c r="A2725" t="s">
        <v>5771</v>
      </c>
      <c r="B2725" t="s">
        <v>5772</v>
      </c>
    </row>
    <row r="2726" spans="1:2" x14ac:dyDescent="0.25">
      <c r="A2726" t="s">
        <v>5773</v>
      </c>
      <c r="B2726" t="s">
        <v>5774</v>
      </c>
    </row>
    <row r="2727" spans="1:2" x14ac:dyDescent="0.25">
      <c r="A2727" t="s">
        <v>5775</v>
      </c>
      <c r="B2727" t="s">
        <v>5776</v>
      </c>
    </row>
    <row r="2728" spans="1:2" x14ac:dyDescent="0.25">
      <c r="A2728" t="s">
        <v>5777</v>
      </c>
      <c r="B2728" t="s">
        <v>5778</v>
      </c>
    </row>
    <row r="2729" spans="1:2" x14ac:dyDescent="0.25">
      <c r="A2729" t="s">
        <v>5779</v>
      </c>
      <c r="B2729" t="s">
        <v>5780</v>
      </c>
    </row>
    <row r="2730" spans="1:2" x14ac:dyDescent="0.25">
      <c r="A2730" t="s">
        <v>5781</v>
      </c>
      <c r="B2730" t="s">
        <v>5782</v>
      </c>
    </row>
    <row r="2731" spans="1:2" x14ac:dyDescent="0.25">
      <c r="A2731" t="s">
        <v>5783</v>
      </c>
      <c r="B2731" t="s">
        <v>5784</v>
      </c>
    </row>
    <row r="2732" spans="1:2" x14ac:dyDescent="0.25">
      <c r="A2732" t="s">
        <v>5785</v>
      </c>
      <c r="B2732" t="s">
        <v>5786</v>
      </c>
    </row>
    <row r="2733" spans="1:2" x14ac:dyDescent="0.25">
      <c r="A2733" t="s">
        <v>5787</v>
      </c>
      <c r="B2733" t="s">
        <v>5788</v>
      </c>
    </row>
    <row r="2734" spans="1:2" x14ac:dyDescent="0.25">
      <c r="A2734" t="s">
        <v>5789</v>
      </c>
      <c r="B2734" t="s">
        <v>5790</v>
      </c>
    </row>
    <row r="2735" spans="1:2" x14ac:dyDescent="0.25">
      <c r="A2735" t="s">
        <v>5791</v>
      </c>
      <c r="B2735" t="s">
        <v>5792</v>
      </c>
    </row>
    <row r="2736" spans="1:2" x14ac:dyDescent="0.25">
      <c r="A2736" t="s">
        <v>5793</v>
      </c>
      <c r="B2736" t="s">
        <v>5794</v>
      </c>
    </row>
    <row r="2737" spans="1:2" x14ac:dyDescent="0.25">
      <c r="A2737" t="s">
        <v>5795</v>
      </c>
      <c r="B2737" t="s">
        <v>508</v>
      </c>
    </row>
    <row r="2738" spans="1:2" x14ac:dyDescent="0.25">
      <c r="A2738" t="s">
        <v>5796</v>
      </c>
      <c r="B2738" t="s">
        <v>5797</v>
      </c>
    </row>
    <row r="2739" spans="1:2" x14ac:dyDescent="0.25">
      <c r="A2739" t="s">
        <v>5798</v>
      </c>
      <c r="B2739" t="s">
        <v>5799</v>
      </c>
    </row>
    <row r="2740" spans="1:2" x14ac:dyDescent="0.25">
      <c r="A2740" t="s">
        <v>5800</v>
      </c>
      <c r="B2740" t="s">
        <v>5801</v>
      </c>
    </row>
    <row r="2741" spans="1:2" x14ac:dyDescent="0.25">
      <c r="A2741" t="s">
        <v>5802</v>
      </c>
      <c r="B2741" t="s">
        <v>5803</v>
      </c>
    </row>
    <row r="2742" spans="1:2" x14ac:dyDescent="0.25">
      <c r="A2742" t="s">
        <v>5804</v>
      </c>
      <c r="B2742" t="s">
        <v>5805</v>
      </c>
    </row>
    <row r="2743" spans="1:2" x14ac:dyDescent="0.25">
      <c r="A2743" t="s">
        <v>5806</v>
      </c>
      <c r="B2743" t="s">
        <v>5807</v>
      </c>
    </row>
    <row r="2744" spans="1:2" x14ac:dyDescent="0.25">
      <c r="A2744" t="s">
        <v>5808</v>
      </c>
      <c r="B2744" t="s">
        <v>5809</v>
      </c>
    </row>
    <row r="2745" spans="1:2" x14ac:dyDescent="0.25">
      <c r="A2745" t="s">
        <v>5810</v>
      </c>
      <c r="B2745" t="s">
        <v>5811</v>
      </c>
    </row>
    <row r="2746" spans="1:2" x14ac:dyDescent="0.25">
      <c r="A2746" t="s">
        <v>5812</v>
      </c>
      <c r="B2746" t="s">
        <v>5813</v>
      </c>
    </row>
    <row r="2747" spans="1:2" x14ac:dyDescent="0.25">
      <c r="A2747" t="s">
        <v>5814</v>
      </c>
      <c r="B2747" t="s">
        <v>5815</v>
      </c>
    </row>
    <row r="2748" spans="1:2" x14ac:dyDescent="0.25">
      <c r="A2748" t="s">
        <v>5816</v>
      </c>
      <c r="B2748" t="s">
        <v>5817</v>
      </c>
    </row>
    <row r="2749" spans="1:2" x14ac:dyDescent="0.25">
      <c r="A2749" t="s">
        <v>5818</v>
      </c>
      <c r="B2749" t="s">
        <v>5819</v>
      </c>
    </row>
    <row r="2750" spans="1:2" x14ac:dyDescent="0.25">
      <c r="A2750" t="s">
        <v>5820</v>
      </c>
      <c r="B2750" t="s">
        <v>5821</v>
      </c>
    </row>
    <row r="2751" spans="1:2" x14ac:dyDescent="0.25">
      <c r="A2751" t="s">
        <v>5822</v>
      </c>
      <c r="B2751" t="s">
        <v>5823</v>
      </c>
    </row>
    <row r="2752" spans="1:2" x14ac:dyDescent="0.25">
      <c r="A2752" t="s">
        <v>5824</v>
      </c>
      <c r="B2752" t="s">
        <v>5825</v>
      </c>
    </row>
    <row r="2753" spans="1:2" x14ac:dyDescent="0.25">
      <c r="A2753" t="s">
        <v>5826</v>
      </c>
      <c r="B2753" t="s">
        <v>5827</v>
      </c>
    </row>
    <row r="2754" spans="1:2" x14ac:dyDescent="0.25">
      <c r="A2754" t="s">
        <v>5828</v>
      </c>
      <c r="B2754" t="s">
        <v>5829</v>
      </c>
    </row>
    <row r="2755" spans="1:2" x14ac:dyDescent="0.25">
      <c r="A2755" t="s">
        <v>5830</v>
      </c>
      <c r="B2755" t="s">
        <v>5831</v>
      </c>
    </row>
    <row r="2756" spans="1:2" x14ac:dyDescent="0.25">
      <c r="A2756" t="s">
        <v>5832</v>
      </c>
      <c r="B2756" t="s">
        <v>5833</v>
      </c>
    </row>
    <row r="2757" spans="1:2" x14ac:dyDescent="0.25">
      <c r="A2757" t="s">
        <v>5834</v>
      </c>
      <c r="B2757" t="s">
        <v>5835</v>
      </c>
    </row>
    <row r="2758" spans="1:2" x14ac:dyDescent="0.25">
      <c r="A2758" t="s">
        <v>5836</v>
      </c>
      <c r="B2758" t="s">
        <v>5837</v>
      </c>
    </row>
    <row r="2759" spans="1:2" x14ac:dyDescent="0.25">
      <c r="A2759" t="s">
        <v>5838</v>
      </c>
      <c r="B2759" t="s">
        <v>5839</v>
      </c>
    </row>
    <row r="2760" spans="1:2" x14ac:dyDescent="0.25">
      <c r="A2760" t="s">
        <v>5840</v>
      </c>
      <c r="B2760" t="s">
        <v>5841</v>
      </c>
    </row>
    <row r="2761" spans="1:2" x14ac:dyDescent="0.25">
      <c r="A2761" t="s">
        <v>5842</v>
      </c>
      <c r="B2761" t="s">
        <v>5843</v>
      </c>
    </row>
    <row r="2762" spans="1:2" x14ac:dyDescent="0.25">
      <c r="A2762" t="s">
        <v>5844</v>
      </c>
      <c r="B2762" t="s">
        <v>5845</v>
      </c>
    </row>
    <row r="2763" spans="1:2" x14ac:dyDescent="0.25">
      <c r="A2763" t="s">
        <v>5846</v>
      </c>
      <c r="B2763" t="s">
        <v>5847</v>
      </c>
    </row>
    <row r="2764" spans="1:2" x14ac:dyDescent="0.25">
      <c r="A2764" t="s">
        <v>5848</v>
      </c>
      <c r="B2764" t="s">
        <v>5849</v>
      </c>
    </row>
    <row r="2765" spans="1:2" x14ac:dyDescent="0.25">
      <c r="A2765" t="s">
        <v>5850</v>
      </c>
      <c r="B2765" t="s">
        <v>5851</v>
      </c>
    </row>
    <row r="2766" spans="1:2" x14ac:dyDescent="0.25">
      <c r="A2766" t="s">
        <v>5852</v>
      </c>
      <c r="B2766" t="s">
        <v>597</v>
      </c>
    </row>
    <row r="2767" spans="1:2" x14ac:dyDescent="0.25">
      <c r="A2767" t="s">
        <v>5853</v>
      </c>
      <c r="B2767" t="s">
        <v>5854</v>
      </c>
    </row>
    <row r="2768" spans="1:2" x14ac:dyDescent="0.25">
      <c r="A2768" t="s">
        <v>5855</v>
      </c>
      <c r="B2768" t="s">
        <v>5856</v>
      </c>
    </row>
    <row r="2769" spans="1:2" x14ac:dyDescent="0.25">
      <c r="A2769" t="s">
        <v>5857</v>
      </c>
      <c r="B2769" t="s">
        <v>5858</v>
      </c>
    </row>
    <row r="2770" spans="1:2" x14ac:dyDescent="0.25">
      <c r="A2770" t="s">
        <v>5859</v>
      </c>
      <c r="B2770" t="s">
        <v>5860</v>
      </c>
    </row>
    <row r="2771" spans="1:2" x14ac:dyDescent="0.25">
      <c r="A2771" t="s">
        <v>5861</v>
      </c>
      <c r="B2771" t="s">
        <v>5862</v>
      </c>
    </row>
    <row r="2772" spans="1:2" x14ac:dyDescent="0.25">
      <c r="A2772" t="s">
        <v>5863</v>
      </c>
      <c r="B2772" t="s">
        <v>5864</v>
      </c>
    </row>
    <row r="2773" spans="1:2" x14ac:dyDescent="0.25">
      <c r="A2773" t="s">
        <v>5865</v>
      </c>
      <c r="B2773" t="s">
        <v>5866</v>
      </c>
    </row>
    <row r="2774" spans="1:2" x14ac:dyDescent="0.25">
      <c r="A2774" t="s">
        <v>5867</v>
      </c>
      <c r="B2774" t="s">
        <v>5868</v>
      </c>
    </row>
    <row r="2775" spans="1:2" x14ac:dyDescent="0.25">
      <c r="A2775" t="s">
        <v>5869</v>
      </c>
      <c r="B2775" t="s">
        <v>5870</v>
      </c>
    </row>
    <row r="2776" spans="1:2" x14ac:dyDescent="0.25">
      <c r="A2776" t="s">
        <v>5871</v>
      </c>
      <c r="B2776" t="s">
        <v>509</v>
      </c>
    </row>
    <row r="2777" spans="1:2" x14ac:dyDescent="0.25">
      <c r="A2777" t="s">
        <v>5872</v>
      </c>
      <c r="B2777" t="s">
        <v>5873</v>
      </c>
    </row>
    <row r="2778" spans="1:2" x14ac:dyDescent="0.25">
      <c r="A2778" t="s">
        <v>5874</v>
      </c>
      <c r="B2778" t="s">
        <v>5875</v>
      </c>
    </row>
    <row r="2779" spans="1:2" x14ac:dyDescent="0.25">
      <c r="A2779" t="s">
        <v>5876</v>
      </c>
      <c r="B2779" t="s">
        <v>5877</v>
      </c>
    </row>
    <row r="2780" spans="1:2" x14ac:dyDescent="0.25">
      <c r="A2780" t="s">
        <v>5878</v>
      </c>
      <c r="B2780" t="s">
        <v>5879</v>
      </c>
    </row>
    <row r="2781" spans="1:2" x14ac:dyDescent="0.25">
      <c r="A2781" t="s">
        <v>5880</v>
      </c>
      <c r="B2781" t="s">
        <v>5881</v>
      </c>
    </row>
    <row r="2782" spans="1:2" x14ac:dyDescent="0.25">
      <c r="A2782" t="s">
        <v>5882</v>
      </c>
      <c r="B2782" t="s">
        <v>5883</v>
      </c>
    </row>
    <row r="2783" spans="1:2" x14ac:dyDescent="0.25">
      <c r="A2783" t="s">
        <v>5884</v>
      </c>
      <c r="B2783" t="s">
        <v>5885</v>
      </c>
    </row>
    <row r="2784" spans="1:2" x14ac:dyDescent="0.25">
      <c r="A2784" t="s">
        <v>5886</v>
      </c>
      <c r="B2784" t="s">
        <v>5887</v>
      </c>
    </row>
    <row r="2785" spans="1:2" x14ac:dyDescent="0.25">
      <c r="A2785" t="s">
        <v>5888</v>
      </c>
      <c r="B2785" t="s">
        <v>5889</v>
      </c>
    </row>
    <row r="2786" spans="1:2" x14ac:dyDescent="0.25">
      <c r="A2786" t="s">
        <v>5890</v>
      </c>
      <c r="B2786" t="s">
        <v>5891</v>
      </c>
    </row>
    <row r="2787" spans="1:2" x14ac:dyDescent="0.25">
      <c r="A2787" t="s">
        <v>5892</v>
      </c>
      <c r="B2787" t="s">
        <v>5893</v>
      </c>
    </row>
    <row r="2788" spans="1:2" x14ac:dyDescent="0.25">
      <c r="A2788" t="s">
        <v>5894</v>
      </c>
      <c r="B2788" t="s">
        <v>5895</v>
      </c>
    </row>
    <row r="2789" spans="1:2" x14ac:dyDescent="0.25">
      <c r="A2789" t="s">
        <v>5896</v>
      </c>
      <c r="B2789" t="s">
        <v>5897</v>
      </c>
    </row>
    <row r="2790" spans="1:2" x14ac:dyDescent="0.25">
      <c r="A2790" t="s">
        <v>5898</v>
      </c>
      <c r="B2790" t="s">
        <v>5899</v>
      </c>
    </row>
    <row r="2791" spans="1:2" x14ac:dyDescent="0.25">
      <c r="A2791" t="s">
        <v>5900</v>
      </c>
      <c r="B2791" t="s">
        <v>5901</v>
      </c>
    </row>
    <row r="2792" spans="1:2" x14ac:dyDescent="0.25">
      <c r="A2792" t="s">
        <v>5902</v>
      </c>
      <c r="B2792" t="s">
        <v>5903</v>
      </c>
    </row>
    <row r="2793" spans="1:2" x14ac:dyDescent="0.25">
      <c r="A2793" t="s">
        <v>5904</v>
      </c>
      <c r="B2793" t="s">
        <v>5905</v>
      </c>
    </row>
    <row r="2794" spans="1:2" x14ac:dyDescent="0.25">
      <c r="A2794" t="s">
        <v>5906</v>
      </c>
      <c r="B2794" t="s">
        <v>5907</v>
      </c>
    </row>
    <row r="2795" spans="1:2" x14ac:dyDescent="0.25">
      <c r="A2795" t="s">
        <v>5908</v>
      </c>
      <c r="B2795" t="s">
        <v>5909</v>
      </c>
    </row>
    <row r="2796" spans="1:2" x14ac:dyDescent="0.25">
      <c r="A2796" t="s">
        <v>5910</v>
      </c>
      <c r="B2796" t="s">
        <v>5911</v>
      </c>
    </row>
    <row r="2797" spans="1:2" x14ac:dyDescent="0.25">
      <c r="A2797" t="s">
        <v>5912</v>
      </c>
      <c r="B2797" t="s">
        <v>5913</v>
      </c>
    </row>
    <row r="2798" spans="1:2" x14ac:dyDescent="0.25">
      <c r="A2798" t="s">
        <v>5914</v>
      </c>
      <c r="B2798" t="s">
        <v>5915</v>
      </c>
    </row>
    <row r="2799" spans="1:2" x14ac:dyDescent="0.25">
      <c r="A2799" t="s">
        <v>5916</v>
      </c>
      <c r="B2799" t="s">
        <v>5917</v>
      </c>
    </row>
    <row r="2800" spans="1:2" x14ac:dyDescent="0.25">
      <c r="A2800" t="s">
        <v>5918</v>
      </c>
      <c r="B2800" t="s">
        <v>5919</v>
      </c>
    </row>
    <row r="2801" spans="1:2" x14ac:dyDescent="0.25">
      <c r="A2801" t="s">
        <v>5920</v>
      </c>
      <c r="B2801" t="s">
        <v>5921</v>
      </c>
    </row>
    <row r="2802" spans="1:2" x14ac:dyDescent="0.25">
      <c r="A2802" t="s">
        <v>5922</v>
      </c>
      <c r="B2802" t="s">
        <v>5923</v>
      </c>
    </row>
    <row r="2803" spans="1:2" x14ac:dyDescent="0.25">
      <c r="A2803" t="s">
        <v>5924</v>
      </c>
      <c r="B2803" t="s">
        <v>5925</v>
      </c>
    </row>
    <row r="2804" spans="1:2" x14ac:dyDescent="0.25">
      <c r="A2804" t="s">
        <v>5926</v>
      </c>
      <c r="B2804" t="s">
        <v>5927</v>
      </c>
    </row>
    <row r="2805" spans="1:2" x14ac:dyDescent="0.25">
      <c r="A2805" t="s">
        <v>5928</v>
      </c>
      <c r="B2805" t="s">
        <v>5929</v>
      </c>
    </row>
    <row r="2806" spans="1:2" x14ac:dyDescent="0.25">
      <c r="A2806" t="s">
        <v>5930</v>
      </c>
      <c r="B2806" t="s">
        <v>585</v>
      </c>
    </row>
    <row r="2807" spans="1:2" x14ac:dyDescent="0.25">
      <c r="A2807" t="s">
        <v>5931</v>
      </c>
      <c r="B2807" t="s">
        <v>510</v>
      </c>
    </row>
    <row r="2808" spans="1:2" x14ac:dyDescent="0.25">
      <c r="A2808" t="s">
        <v>5932</v>
      </c>
      <c r="B2808" t="s">
        <v>5933</v>
      </c>
    </row>
    <row r="2809" spans="1:2" x14ac:dyDescent="0.25">
      <c r="A2809" t="s">
        <v>5934</v>
      </c>
      <c r="B2809" t="s">
        <v>5935</v>
      </c>
    </row>
    <row r="2810" spans="1:2" x14ac:dyDescent="0.25">
      <c r="A2810" t="s">
        <v>5936</v>
      </c>
      <c r="B2810" t="s">
        <v>5937</v>
      </c>
    </row>
    <row r="2811" spans="1:2" x14ac:dyDescent="0.25">
      <c r="A2811" t="s">
        <v>5938</v>
      </c>
      <c r="B2811" t="s">
        <v>5939</v>
      </c>
    </row>
    <row r="2812" spans="1:2" x14ac:dyDescent="0.25">
      <c r="A2812" t="s">
        <v>5940</v>
      </c>
      <c r="B2812" t="s">
        <v>5941</v>
      </c>
    </row>
    <row r="2813" spans="1:2" x14ac:dyDescent="0.25">
      <c r="A2813" t="s">
        <v>5942</v>
      </c>
      <c r="B2813" t="s">
        <v>5943</v>
      </c>
    </row>
    <row r="2814" spans="1:2" x14ac:dyDescent="0.25">
      <c r="A2814" t="s">
        <v>5944</v>
      </c>
      <c r="B2814" t="s">
        <v>5945</v>
      </c>
    </row>
    <row r="2815" spans="1:2" x14ac:dyDescent="0.25">
      <c r="A2815" t="s">
        <v>5946</v>
      </c>
      <c r="B2815" t="s">
        <v>5947</v>
      </c>
    </row>
    <row r="2816" spans="1:2" x14ac:dyDescent="0.25">
      <c r="A2816" t="s">
        <v>5948</v>
      </c>
      <c r="B2816" t="s">
        <v>5949</v>
      </c>
    </row>
    <row r="2817" spans="1:2" x14ac:dyDescent="0.25">
      <c r="A2817" t="s">
        <v>5950</v>
      </c>
      <c r="B2817" t="s">
        <v>5951</v>
      </c>
    </row>
    <row r="2818" spans="1:2" x14ac:dyDescent="0.25">
      <c r="A2818" t="s">
        <v>5952</v>
      </c>
      <c r="B2818" t="s">
        <v>5953</v>
      </c>
    </row>
    <row r="2819" spans="1:2" x14ac:dyDescent="0.25">
      <c r="A2819" t="s">
        <v>5954</v>
      </c>
      <c r="B2819" t="s">
        <v>5955</v>
      </c>
    </row>
    <row r="2820" spans="1:2" x14ac:dyDescent="0.25">
      <c r="A2820" t="s">
        <v>5956</v>
      </c>
      <c r="B2820" t="s">
        <v>5957</v>
      </c>
    </row>
    <row r="2821" spans="1:2" x14ac:dyDescent="0.25">
      <c r="A2821" t="s">
        <v>5958</v>
      </c>
      <c r="B2821" t="s">
        <v>5959</v>
      </c>
    </row>
    <row r="2822" spans="1:2" x14ac:dyDescent="0.25">
      <c r="A2822" t="s">
        <v>5960</v>
      </c>
      <c r="B2822" t="s">
        <v>5961</v>
      </c>
    </row>
    <row r="2823" spans="1:2" x14ac:dyDescent="0.25">
      <c r="A2823" t="s">
        <v>5962</v>
      </c>
      <c r="B2823" t="s">
        <v>5963</v>
      </c>
    </row>
    <row r="2824" spans="1:2" x14ac:dyDescent="0.25">
      <c r="A2824" t="s">
        <v>5964</v>
      </c>
      <c r="B2824" t="s">
        <v>5965</v>
      </c>
    </row>
    <row r="2825" spans="1:2" x14ac:dyDescent="0.25">
      <c r="A2825" t="s">
        <v>5966</v>
      </c>
      <c r="B2825" t="s">
        <v>5967</v>
      </c>
    </row>
    <row r="2826" spans="1:2" x14ac:dyDescent="0.25">
      <c r="A2826" t="s">
        <v>5968</v>
      </c>
      <c r="B2826" t="s">
        <v>5969</v>
      </c>
    </row>
    <row r="2827" spans="1:2" x14ac:dyDescent="0.25">
      <c r="A2827" t="s">
        <v>5970</v>
      </c>
      <c r="B2827" t="s">
        <v>5971</v>
      </c>
    </row>
    <row r="2828" spans="1:2" x14ac:dyDescent="0.25">
      <c r="A2828" t="s">
        <v>5972</v>
      </c>
      <c r="B2828" t="s">
        <v>511</v>
      </c>
    </row>
    <row r="2829" spans="1:2" x14ac:dyDescent="0.25">
      <c r="A2829" t="s">
        <v>5973</v>
      </c>
      <c r="B2829" t="s">
        <v>5974</v>
      </c>
    </row>
    <row r="2830" spans="1:2" x14ac:dyDescent="0.25">
      <c r="A2830" t="s">
        <v>5975</v>
      </c>
      <c r="B2830" t="s">
        <v>5976</v>
      </c>
    </row>
    <row r="2831" spans="1:2" x14ac:dyDescent="0.25">
      <c r="A2831" t="s">
        <v>5977</v>
      </c>
      <c r="B2831" t="s">
        <v>5978</v>
      </c>
    </row>
    <row r="2832" spans="1:2" x14ac:dyDescent="0.25">
      <c r="A2832" t="s">
        <v>5979</v>
      </c>
      <c r="B2832" t="s">
        <v>5980</v>
      </c>
    </row>
    <row r="2833" spans="1:2" x14ac:dyDescent="0.25">
      <c r="A2833" t="s">
        <v>5981</v>
      </c>
      <c r="B2833" t="s">
        <v>5982</v>
      </c>
    </row>
    <row r="2834" spans="1:2" x14ac:dyDescent="0.25">
      <c r="A2834" t="s">
        <v>5983</v>
      </c>
      <c r="B2834" t="s">
        <v>5984</v>
      </c>
    </row>
    <row r="2835" spans="1:2" x14ac:dyDescent="0.25">
      <c r="A2835" t="s">
        <v>5985</v>
      </c>
      <c r="B2835" t="s">
        <v>5986</v>
      </c>
    </row>
    <row r="2836" spans="1:2" x14ac:dyDescent="0.25">
      <c r="A2836" t="s">
        <v>5987</v>
      </c>
      <c r="B2836" t="s">
        <v>245</v>
      </c>
    </row>
    <row r="2837" spans="1:2" x14ac:dyDescent="0.25">
      <c r="A2837" t="s">
        <v>5988</v>
      </c>
      <c r="B2837" t="s">
        <v>5989</v>
      </c>
    </row>
    <row r="2838" spans="1:2" x14ac:dyDescent="0.25">
      <c r="A2838" t="s">
        <v>5990</v>
      </c>
      <c r="B2838" t="s">
        <v>5991</v>
      </c>
    </row>
    <row r="2839" spans="1:2" x14ac:dyDescent="0.25">
      <c r="A2839" t="s">
        <v>5992</v>
      </c>
      <c r="B2839" t="s">
        <v>5993</v>
      </c>
    </row>
    <row r="2840" spans="1:2" x14ac:dyDescent="0.25">
      <c r="A2840" t="s">
        <v>5994</v>
      </c>
      <c r="B2840" t="s">
        <v>5995</v>
      </c>
    </row>
    <row r="2841" spans="1:2" x14ac:dyDescent="0.25">
      <c r="A2841" t="s">
        <v>5996</v>
      </c>
      <c r="B2841" t="s">
        <v>5997</v>
      </c>
    </row>
    <row r="2842" spans="1:2" x14ac:dyDescent="0.25">
      <c r="A2842" t="s">
        <v>5998</v>
      </c>
      <c r="B2842" t="s">
        <v>5999</v>
      </c>
    </row>
    <row r="2843" spans="1:2" x14ac:dyDescent="0.25">
      <c r="A2843" t="s">
        <v>6000</v>
      </c>
      <c r="B2843" t="s">
        <v>6001</v>
      </c>
    </row>
    <row r="2844" spans="1:2" x14ac:dyDescent="0.25">
      <c r="A2844" t="s">
        <v>6002</v>
      </c>
      <c r="B2844" t="s">
        <v>6003</v>
      </c>
    </row>
    <row r="2845" spans="1:2" x14ac:dyDescent="0.25">
      <c r="A2845" t="s">
        <v>6004</v>
      </c>
      <c r="B2845" t="s">
        <v>6005</v>
      </c>
    </row>
    <row r="2846" spans="1:2" x14ac:dyDescent="0.25">
      <c r="A2846" t="s">
        <v>6006</v>
      </c>
      <c r="B2846" t="s">
        <v>6007</v>
      </c>
    </row>
    <row r="2847" spans="1:2" x14ac:dyDescent="0.25">
      <c r="A2847" t="s">
        <v>6008</v>
      </c>
      <c r="B2847" t="s">
        <v>6009</v>
      </c>
    </row>
    <row r="2848" spans="1:2" x14ac:dyDescent="0.25">
      <c r="A2848" t="s">
        <v>6010</v>
      </c>
      <c r="B2848" t="s">
        <v>6011</v>
      </c>
    </row>
    <row r="2849" spans="1:2" x14ac:dyDescent="0.25">
      <c r="A2849" t="s">
        <v>6012</v>
      </c>
      <c r="B2849" t="s">
        <v>6013</v>
      </c>
    </row>
    <row r="2850" spans="1:2" x14ac:dyDescent="0.25">
      <c r="A2850" t="s">
        <v>6014</v>
      </c>
      <c r="B2850" t="s">
        <v>6015</v>
      </c>
    </row>
    <row r="2851" spans="1:2" x14ac:dyDescent="0.25">
      <c r="A2851" t="s">
        <v>6016</v>
      </c>
      <c r="B2851" t="s">
        <v>6017</v>
      </c>
    </row>
    <row r="2852" spans="1:2" x14ac:dyDescent="0.25">
      <c r="A2852" t="s">
        <v>6018</v>
      </c>
      <c r="B2852" t="s">
        <v>6019</v>
      </c>
    </row>
    <row r="2853" spans="1:2" x14ac:dyDescent="0.25">
      <c r="A2853" t="s">
        <v>6020</v>
      </c>
      <c r="B2853" t="s">
        <v>6021</v>
      </c>
    </row>
    <row r="2854" spans="1:2" x14ac:dyDescent="0.25">
      <c r="A2854" t="s">
        <v>6022</v>
      </c>
      <c r="B2854" t="s">
        <v>6023</v>
      </c>
    </row>
    <row r="2855" spans="1:2" x14ac:dyDescent="0.25">
      <c r="A2855" t="s">
        <v>6024</v>
      </c>
      <c r="B2855" t="s">
        <v>249</v>
      </c>
    </row>
    <row r="2856" spans="1:2" x14ac:dyDescent="0.25">
      <c r="A2856" t="s">
        <v>6025</v>
      </c>
      <c r="B2856" t="s">
        <v>6026</v>
      </c>
    </row>
    <row r="2857" spans="1:2" x14ac:dyDescent="0.25">
      <c r="A2857" t="s">
        <v>6027</v>
      </c>
      <c r="B2857" t="s">
        <v>6028</v>
      </c>
    </row>
    <row r="2858" spans="1:2" x14ac:dyDescent="0.25">
      <c r="A2858" t="s">
        <v>6029</v>
      </c>
      <c r="B2858" t="s">
        <v>6030</v>
      </c>
    </row>
    <row r="2859" spans="1:2" x14ac:dyDescent="0.25">
      <c r="A2859" t="s">
        <v>6031</v>
      </c>
      <c r="B2859" t="s">
        <v>6032</v>
      </c>
    </row>
    <row r="2860" spans="1:2" x14ac:dyDescent="0.25">
      <c r="A2860" t="s">
        <v>6033</v>
      </c>
      <c r="B2860" t="s">
        <v>6034</v>
      </c>
    </row>
    <row r="2861" spans="1:2" x14ac:dyDescent="0.25">
      <c r="A2861" t="s">
        <v>6035</v>
      </c>
      <c r="B2861" t="s">
        <v>6036</v>
      </c>
    </row>
    <row r="2862" spans="1:2" x14ac:dyDescent="0.25">
      <c r="A2862" t="s">
        <v>6037</v>
      </c>
      <c r="B2862" t="s">
        <v>6038</v>
      </c>
    </row>
    <row r="2863" spans="1:2" x14ac:dyDescent="0.25">
      <c r="A2863" t="s">
        <v>6039</v>
      </c>
      <c r="B2863" t="s">
        <v>6040</v>
      </c>
    </row>
    <row r="2864" spans="1:2" x14ac:dyDescent="0.25">
      <c r="A2864" t="s">
        <v>6041</v>
      </c>
      <c r="B2864" t="s">
        <v>6042</v>
      </c>
    </row>
    <row r="2865" spans="1:2" x14ac:dyDescent="0.25">
      <c r="A2865" t="s">
        <v>6043</v>
      </c>
      <c r="B2865" t="s">
        <v>6044</v>
      </c>
    </row>
    <row r="2866" spans="1:2" x14ac:dyDescent="0.25">
      <c r="A2866" t="s">
        <v>6045</v>
      </c>
      <c r="B2866" t="s">
        <v>6046</v>
      </c>
    </row>
    <row r="2867" spans="1:2" x14ac:dyDescent="0.25">
      <c r="A2867" t="s">
        <v>6047</v>
      </c>
      <c r="B2867" t="s">
        <v>6048</v>
      </c>
    </row>
    <row r="2868" spans="1:2" x14ac:dyDescent="0.25">
      <c r="A2868" t="s">
        <v>6049</v>
      </c>
      <c r="B2868" t="s">
        <v>6050</v>
      </c>
    </row>
    <row r="2869" spans="1:2" x14ac:dyDescent="0.25">
      <c r="A2869" t="s">
        <v>6051</v>
      </c>
      <c r="B2869" t="s">
        <v>6052</v>
      </c>
    </row>
    <row r="2870" spans="1:2" x14ac:dyDescent="0.25">
      <c r="A2870" t="s">
        <v>6053</v>
      </c>
      <c r="B2870" t="s">
        <v>6054</v>
      </c>
    </row>
    <row r="2871" spans="1:2" x14ac:dyDescent="0.25">
      <c r="A2871" t="s">
        <v>6055</v>
      </c>
      <c r="B2871" t="s">
        <v>6056</v>
      </c>
    </row>
    <row r="2872" spans="1:2" x14ac:dyDescent="0.25">
      <c r="A2872" t="s">
        <v>6057</v>
      </c>
      <c r="B2872" t="s">
        <v>6058</v>
      </c>
    </row>
    <row r="2873" spans="1:2" x14ac:dyDescent="0.25">
      <c r="A2873" t="s">
        <v>6059</v>
      </c>
      <c r="B2873" t="s">
        <v>6060</v>
      </c>
    </row>
    <row r="2874" spans="1:2" x14ac:dyDescent="0.25">
      <c r="A2874" t="s">
        <v>6061</v>
      </c>
      <c r="B2874" t="s">
        <v>6062</v>
      </c>
    </row>
    <row r="2875" spans="1:2" x14ac:dyDescent="0.25">
      <c r="A2875" t="s">
        <v>6063</v>
      </c>
      <c r="B2875" t="s">
        <v>6064</v>
      </c>
    </row>
    <row r="2876" spans="1:2" x14ac:dyDescent="0.25">
      <c r="A2876" t="s">
        <v>6065</v>
      </c>
      <c r="B2876" t="s">
        <v>6066</v>
      </c>
    </row>
    <row r="2877" spans="1:2" x14ac:dyDescent="0.25">
      <c r="A2877" t="s">
        <v>6067</v>
      </c>
      <c r="B2877" t="s">
        <v>6068</v>
      </c>
    </row>
    <row r="2878" spans="1:2" x14ac:dyDescent="0.25">
      <c r="A2878" t="s">
        <v>6069</v>
      </c>
      <c r="B2878" t="s">
        <v>6070</v>
      </c>
    </row>
    <row r="2879" spans="1:2" x14ac:dyDescent="0.25">
      <c r="A2879" t="s">
        <v>6071</v>
      </c>
      <c r="B2879" t="s">
        <v>6072</v>
      </c>
    </row>
    <row r="2880" spans="1:2" x14ac:dyDescent="0.25">
      <c r="A2880" t="s">
        <v>6073</v>
      </c>
      <c r="B2880" t="s">
        <v>6074</v>
      </c>
    </row>
    <row r="2881" spans="1:2" x14ac:dyDescent="0.25">
      <c r="A2881" t="s">
        <v>6075</v>
      </c>
      <c r="B2881" t="s">
        <v>406</v>
      </c>
    </row>
    <row r="2882" spans="1:2" x14ac:dyDescent="0.25">
      <c r="A2882" t="s">
        <v>6076</v>
      </c>
      <c r="B2882" t="s">
        <v>6077</v>
      </c>
    </row>
    <row r="2883" spans="1:2" x14ac:dyDescent="0.25">
      <c r="A2883" t="s">
        <v>6078</v>
      </c>
      <c r="B2883" t="s">
        <v>6079</v>
      </c>
    </row>
    <row r="2884" spans="1:2" x14ac:dyDescent="0.25">
      <c r="A2884" t="s">
        <v>6080</v>
      </c>
      <c r="B2884" t="s">
        <v>6081</v>
      </c>
    </row>
    <row r="2885" spans="1:2" x14ac:dyDescent="0.25">
      <c r="A2885" t="s">
        <v>6082</v>
      </c>
      <c r="B2885" t="s">
        <v>6083</v>
      </c>
    </row>
    <row r="2886" spans="1:2" x14ac:dyDescent="0.25">
      <c r="A2886" t="s">
        <v>6084</v>
      </c>
      <c r="B2886" t="s">
        <v>6085</v>
      </c>
    </row>
    <row r="2887" spans="1:2" x14ac:dyDescent="0.25">
      <c r="A2887" t="s">
        <v>6086</v>
      </c>
      <c r="B2887" t="s">
        <v>6087</v>
      </c>
    </row>
    <row r="2888" spans="1:2" x14ac:dyDescent="0.25">
      <c r="A2888" t="s">
        <v>6088</v>
      </c>
      <c r="B2888" t="s">
        <v>6089</v>
      </c>
    </row>
    <row r="2889" spans="1:2" x14ac:dyDescent="0.25">
      <c r="A2889" t="s">
        <v>6090</v>
      </c>
      <c r="B2889" t="s">
        <v>6091</v>
      </c>
    </row>
    <row r="2890" spans="1:2" x14ac:dyDescent="0.25">
      <c r="A2890" t="s">
        <v>6092</v>
      </c>
      <c r="B2890" t="s">
        <v>6093</v>
      </c>
    </row>
    <row r="2891" spans="1:2" x14ac:dyDescent="0.25">
      <c r="A2891" t="s">
        <v>6094</v>
      </c>
      <c r="B2891" t="s">
        <v>6095</v>
      </c>
    </row>
    <row r="2892" spans="1:2" x14ac:dyDescent="0.25">
      <c r="A2892" t="s">
        <v>6096</v>
      </c>
      <c r="B2892" t="s">
        <v>6097</v>
      </c>
    </row>
    <row r="2893" spans="1:2" x14ac:dyDescent="0.25">
      <c r="A2893" t="s">
        <v>6098</v>
      </c>
      <c r="B2893" t="s">
        <v>6099</v>
      </c>
    </row>
    <row r="2894" spans="1:2" x14ac:dyDescent="0.25">
      <c r="A2894" t="s">
        <v>6100</v>
      </c>
      <c r="B2894" t="s">
        <v>6101</v>
      </c>
    </row>
    <row r="2895" spans="1:2" x14ac:dyDescent="0.25">
      <c r="A2895" t="s">
        <v>6102</v>
      </c>
      <c r="B2895" t="s">
        <v>6103</v>
      </c>
    </row>
    <row r="2896" spans="1:2" x14ac:dyDescent="0.25">
      <c r="A2896" t="s">
        <v>6104</v>
      </c>
      <c r="B2896" t="s">
        <v>6105</v>
      </c>
    </row>
    <row r="2897" spans="1:2" x14ac:dyDescent="0.25">
      <c r="A2897" t="s">
        <v>6106</v>
      </c>
      <c r="B2897" t="s">
        <v>6107</v>
      </c>
    </row>
    <row r="2898" spans="1:2" x14ac:dyDescent="0.25">
      <c r="A2898" t="s">
        <v>6108</v>
      </c>
      <c r="B2898" t="s">
        <v>562</v>
      </c>
    </row>
    <row r="2899" spans="1:2" x14ac:dyDescent="0.25">
      <c r="A2899" t="s">
        <v>6109</v>
      </c>
      <c r="B2899" t="s">
        <v>6110</v>
      </c>
    </row>
    <row r="2900" spans="1:2" x14ac:dyDescent="0.25">
      <c r="A2900" t="s">
        <v>6111</v>
      </c>
      <c r="B2900" t="s">
        <v>6112</v>
      </c>
    </row>
    <row r="2901" spans="1:2" x14ac:dyDescent="0.25">
      <c r="A2901" t="s">
        <v>6113</v>
      </c>
      <c r="B2901" t="s">
        <v>6114</v>
      </c>
    </row>
    <row r="2902" spans="1:2" x14ac:dyDescent="0.25">
      <c r="A2902" t="s">
        <v>6115</v>
      </c>
      <c r="B2902" t="s">
        <v>6116</v>
      </c>
    </row>
    <row r="2903" spans="1:2" x14ac:dyDescent="0.25">
      <c r="A2903" t="s">
        <v>6117</v>
      </c>
      <c r="B2903" t="s">
        <v>6118</v>
      </c>
    </row>
    <row r="2904" spans="1:2" x14ac:dyDescent="0.25">
      <c r="A2904" t="s">
        <v>6119</v>
      </c>
      <c r="B2904" t="s">
        <v>6120</v>
      </c>
    </row>
    <row r="2905" spans="1:2" x14ac:dyDescent="0.25">
      <c r="A2905" t="s">
        <v>6121</v>
      </c>
      <c r="B2905" t="s">
        <v>6122</v>
      </c>
    </row>
    <row r="2906" spans="1:2" x14ac:dyDescent="0.25">
      <c r="A2906" t="s">
        <v>6123</v>
      </c>
      <c r="B2906" t="s">
        <v>6124</v>
      </c>
    </row>
    <row r="2907" spans="1:2" x14ac:dyDescent="0.25">
      <c r="A2907" t="s">
        <v>6125</v>
      </c>
      <c r="B2907" t="s">
        <v>6126</v>
      </c>
    </row>
    <row r="2908" spans="1:2" x14ac:dyDescent="0.25">
      <c r="A2908" t="s">
        <v>6127</v>
      </c>
      <c r="B2908" t="s">
        <v>6128</v>
      </c>
    </row>
    <row r="2909" spans="1:2" x14ac:dyDescent="0.25">
      <c r="A2909" t="s">
        <v>6129</v>
      </c>
      <c r="B2909" t="s">
        <v>6130</v>
      </c>
    </row>
    <row r="2910" spans="1:2" x14ac:dyDescent="0.25">
      <c r="A2910" t="s">
        <v>6131</v>
      </c>
      <c r="B2910" t="s">
        <v>6132</v>
      </c>
    </row>
    <row r="2911" spans="1:2" x14ac:dyDescent="0.25">
      <c r="A2911" t="s">
        <v>6133</v>
      </c>
      <c r="B2911" t="s">
        <v>6134</v>
      </c>
    </row>
    <row r="2912" spans="1:2" x14ac:dyDescent="0.25">
      <c r="A2912" t="s">
        <v>6135</v>
      </c>
      <c r="B2912" t="s">
        <v>6136</v>
      </c>
    </row>
    <row r="2913" spans="1:2" x14ac:dyDescent="0.25">
      <c r="A2913" t="s">
        <v>6137</v>
      </c>
      <c r="B2913" t="s">
        <v>6138</v>
      </c>
    </row>
    <row r="2914" spans="1:2" x14ac:dyDescent="0.25">
      <c r="A2914" t="s">
        <v>6139</v>
      </c>
      <c r="B2914" t="s">
        <v>6140</v>
      </c>
    </row>
    <row r="2915" spans="1:2" x14ac:dyDescent="0.25">
      <c r="A2915" t="s">
        <v>6141</v>
      </c>
      <c r="B2915" t="s">
        <v>6142</v>
      </c>
    </row>
    <row r="2916" spans="1:2" x14ac:dyDescent="0.25">
      <c r="A2916" t="s">
        <v>6143</v>
      </c>
      <c r="B2916" t="s">
        <v>6144</v>
      </c>
    </row>
    <row r="2917" spans="1:2" x14ac:dyDescent="0.25">
      <c r="A2917" t="s">
        <v>6145</v>
      </c>
      <c r="B2917" t="s">
        <v>6146</v>
      </c>
    </row>
    <row r="2918" spans="1:2" x14ac:dyDescent="0.25">
      <c r="A2918" t="s">
        <v>6147</v>
      </c>
      <c r="B2918" t="s">
        <v>6148</v>
      </c>
    </row>
    <row r="2919" spans="1:2" x14ac:dyDescent="0.25">
      <c r="A2919" t="s">
        <v>6149</v>
      </c>
      <c r="B2919" t="s">
        <v>6150</v>
      </c>
    </row>
    <row r="2920" spans="1:2" x14ac:dyDescent="0.25">
      <c r="A2920" t="s">
        <v>6151</v>
      </c>
      <c r="B2920" t="s">
        <v>6152</v>
      </c>
    </row>
    <row r="2921" spans="1:2" x14ac:dyDescent="0.25">
      <c r="A2921" t="s">
        <v>6153</v>
      </c>
      <c r="B2921" t="s">
        <v>6154</v>
      </c>
    </row>
    <row r="2922" spans="1:2" x14ac:dyDescent="0.25">
      <c r="A2922" t="s">
        <v>6155</v>
      </c>
      <c r="B2922" t="s">
        <v>6156</v>
      </c>
    </row>
    <row r="2923" spans="1:2" x14ac:dyDescent="0.25">
      <c r="A2923" t="s">
        <v>6157</v>
      </c>
      <c r="B2923" t="s">
        <v>6158</v>
      </c>
    </row>
    <row r="2924" spans="1:2" x14ac:dyDescent="0.25">
      <c r="A2924" t="s">
        <v>6159</v>
      </c>
      <c r="B2924" t="s">
        <v>6160</v>
      </c>
    </row>
    <row r="2925" spans="1:2" x14ac:dyDescent="0.25">
      <c r="A2925" t="s">
        <v>6161</v>
      </c>
      <c r="B2925" t="s">
        <v>6162</v>
      </c>
    </row>
    <row r="2926" spans="1:2" x14ac:dyDescent="0.25">
      <c r="A2926" t="s">
        <v>6163</v>
      </c>
      <c r="B2926" t="s">
        <v>6164</v>
      </c>
    </row>
    <row r="2927" spans="1:2" x14ac:dyDescent="0.25">
      <c r="A2927" t="s">
        <v>6165</v>
      </c>
      <c r="B2927" t="s">
        <v>6166</v>
      </c>
    </row>
    <row r="2928" spans="1:2" x14ac:dyDescent="0.25">
      <c r="A2928" t="s">
        <v>6167</v>
      </c>
      <c r="B2928" t="s">
        <v>6168</v>
      </c>
    </row>
    <row r="2929" spans="1:2" x14ac:dyDescent="0.25">
      <c r="A2929" t="s">
        <v>6169</v>
      </c>
      <c r="B2929" t="s">
        <v>6170</v>
      </c>
    </row>
    <row r="2930" spans="1:2" x14ac:dyDescent="0.25">
      <c r="A2930" t="s">
        <v>6171</v>
      </c>
      <c r="B2930" t="s">
        <v>6172</v>
      </c>
    </row>
    <row r="2931" spans="1:2" x14ac:dyDescent="0.25">
      <c r="A2931" t="s">
        <v>6173</v>
      </c>
      <c r="B2931" t="s">
        <v>6174</v>
      </c>
    </row>
    <row r="2932" spans="1:2" x14ac:dyDescent="0.25">
      <c r="A2932" t="s">
        <v>6175</v>
      </c>
      <c r="B2932" t="s">
        <v>6176</v>
      </c>
    </row>
    <row r="2933" spans="1:2" x14ac:dyDescent="0.25">
      <c r="A2933" t="s">
        <v>6177</v>
      </c>
      <c r="B2933" t="s">
        <v>6178</v>
      </c>
    </row>
    <row r="2934" spans="1:2" x14ac:dyDescent="0.25">
      <c r="A2934" t="s">
        <v>6179</v>
      </c>
      <c r="B2934" t="s">
        <v>6180</v>
      </c>
    </row>
    <row r="2935" spans="1:2" x14ac:dyDescent="0.25">
      <c r="A2935" t="s">
        <v>6181</v>
      </c>
      <c r="B2935" t="s">
        <v>6182</v>
      </c>
    </row>
    <row r="2936" spans="1:2" x14ac:dyDescent="0.25">
      <c r="A2936" t="s">
        <v>6183</v>
      </c>
      <c r="B2936" t="s">
        <v>6184</v>
      </c>
    </row>
    <row r="2937" spans="1:2" x14ac:dyDescent="0.25">
      <c r="A2937" t="s">
        <v>6185</v>
      </c>
      <c r="B2937" t="s">
        <v>6186</v>
      </c>
    </row>
    <row r="2938" spans="1:2" x14ac:dyDescent="0.25">
      <c r="A2938" t="s">
        <v>6187</v>
      </c>
      <c r="B2938" t="s">
        <v>6188</v>
      </c>
    </row>
    <row r="2939" spans="1:2" x14ac:dyDescent="0.25">
      <c r="A2939" t="s">
        <v>6189</v>
      </c>
      <c r="B2939" t="s">
        <v>6190</v>
      </c>
    </row>
    <row r="2940" spans="1:2" x14ac:dyDescent="0.25">
      <c r="A2940" t="s">
        <v>6191</v>
      </c>
      <c r="B2940" t="s">
        <v>6192</v>
      </c>
    </row>
    <row r="2941" spans="1:2" x14ac:dyDescent="0.25">
      <c r="A2941" t="s">
        <v>6193</v>
      </c>
      <c r="B2941" t="s">
        <v>6194</v>
      </c>
    </row>
    <row r="2942" spans="1:2" x14ac:dyDescent="0.25">
      <c r="A2942" t="s">
        <v>6195</v>
      </c>
      <c r="B2942" t="s">
        <v>6196</v>
      </c>
    </row>
    <row r="2943" spans="1:2" x14ac:dyDescent="0.25">
      <c r="A2943" t="s">
        <v>6197</v>
      </c>
      <c r="B2943" t="s">
        <v>6198</v>
      </c>
    </row>
    <row r="2944" spans="1:2" x14ac:dyDescent="0.25">
      <c r="A2944" t="s">
        <v>6199</v>
      </c>
      <c r="B2944" t="s">
        <v>6200</v>
      </c>
    </row>
    <row r="2945" spans="1:2" x14ac:dyDescent="0.25">
      <c r="A2945" t="s">
        <v>6201</v>
      </c>
      <c r="B2945" t="s">
        <v>6202</v>
      </c>
    </row>
    <row r="2946" spans="1:2" x14ac:dyDescent="0.25">
      <c r="A2946" t="s">
        <v>6203</v>
      </c>
      <c r="B2946" t="s">
        <v>6204</v>
      </c>
    </row>
    <row r="2947" spans="1:2" x14ac:dyDescent="0.25">
      <c r="A2947" t="s">
        <v>6205</v>
      </c>
      <c r="B2947" t="s">
        <v>6206</v>
      </c>
    </row>
    <row r="2948" spans="1:2" x14ac:dyDescent="0.25">
      <c r="A2948" t="s">
        <v>6207</v>
      </c>
      <c r="B2948" t="s">
        <v>6208</v>
      </c>
    </row>
    <row r="2949" spans="1:2" x14ac:dyDescent="0.25">
      <c r="A2949" t="s">
        <v>6209</v>
      </c>
      <c r="B2949" t="s">
        <v>6210</v>
      </c>
    </row>
    <row r="2950" spans="1:2" x14ac:dyDescent="0.25">
      <c r="A2950" t="s">
        <v>6211</v>
      </c>
      <c r="B2950" t="s">
        <v>6212</v>
      </c>
    </row>
    <row r="2951" spans="1:2" x14ac:dyDescent="0.25">
      <c r="A2951" t="s">
        <v>6213</v>
      </c>
      <c r="B2951" t="s">
        <v>6214</v>
      </c>
    </row>
    <row r="2952" spans="1:2" x14ac:dyDescent="0.25">
      <c r="A2952" t="s">
        <v>6215</v>
      </c>
      <c r="B2952" t="s">
        <v>6216</v>
      </c>
    </row>
    <row r="2953" spans="1:2" x14ac:dyDescent="0.25">
      <c r="A2953" t="s">
        <v>6217</v>
      </c>
      <c r="B2953" t="s">
        <v>6218</v>
      </c>
    </row>
    <row r="2954" spans="1:2" x14ac:dyDescent="0.25">
      <c r="A2954" t="s">
        <v>6219</v>
      </c>
      <c r="B2954" t="s">
        <v>6220</v>
      </c>
    </row>
    <row r="2955" spans="1:2" x14ac:dyDescent="0.25">
      <c r="A2955" t="s">
        <v>6221</v>
      </c>
      <c r="B2955" t="s">
        <v>6222</v>
      </c>
    </row>
    <row r="2956" spans="1:2" x14ac:dyDescent="0.25">
      <c r="A2956" t="s">
        <v>6223</v>
      </c>
      <c r="B2956" t="s">
        <v>6224</v>
      </c>
    </row>
    <row r="2957" spans="1:2" x14ac:dyDescent="0.25">
      <c r="A2957" t="s">
        <v>6225</v>
      </c>
      <c r="B2957" t="s">
        <v>6226</v>
      </c>
    </row>
    <row r="2958" spans="1:2" x14ac:dyDescent="0.25">
      <c r="A2958" t="s">
        <v>6227</v>
      </c>
      <c r="B2958" t="s">
        <v>6228</v>
      </c>
    </row>
    <row r="2959" spans="1:2" x14ac:dyDescent="0.25">
      <c r="A2959" t="s">
        <v>6229</v>
      </c>
      <c r="B2959" t="s">
        <v>6230</v>
      </c>
    </row>
    <row r="2960" spans="1:2" x14ac:dyDescent="0.25">
      <c r="A2960" t="s">
        <v>6231</v>
      </c>
      <c r="B2960" t="s">
        <v>6232</v>
      </c>
    </row>
    <row r="2961" spans="1:2" x14ac:dyDescent="0.25">
      <c r="A2961" t="s">
        <v>6233</v>
      </c>
      <c r="B2961" t="s">
        <v>6234</v>
      </c>
    </row>
    <row r="2962" spans="1:2" x14ac:dyDescent="0.25">
      <c r="A2962" t="s">
        <v>6235</v>
      </c>
      <c r="B2962" t="s">
        <v>6236</v>
      </c>
    </row>
    <row r="2963" spans="1:2" x14ac:dyDescent="0.25">
      <c r="A2963" t="s">
        <v>6237</v>
      </c>
      <c r="B2963" t="s">
        <v>6238</v>
      </c>
    </row>
    <row r="2964" spans="1:2" x14ac:dyDescent="0.25">
      <c r="A2964" t="s">
        <v>6239</v>
      </c>
      <c r="B2964" t="s">
        <v>6240</v>
      </c>
    </row>
    <row r="2965" spans="1:2" x14ac:dyDescent="0.25">
      <c r="A2965" t="s">
        <v>6241</v>
      </c>
      <c r="B2965" t="s">
        <v>6242</v>
      </c>
    </row>
    <row r="2966" spans="1:2" x14ac:dyDescent="0.25">
      <c r="A2966" t="s">
        <v>6243</v>
      </c>
      <c r="B2966" t="s">
        <v>6244</v>
      </c>
    </row>
    <row r="2967" spans="1:2" x14ac:dyDescent="0.25">
      <c r="A2967" t="s">
        <v>6245</v>
      </c>
      <c r="B2967" t="s">
        <v>6246</v>
      </c>
    </row>
    <row r="2968" spans="1:2" x14ac:dyDescent="0.25">
      <c r="A2968" t="s">
        <v>6247</v>
      </c>
      <c r="B2968" t="s">
        <v>6248</v>
      </c>
    </row>
    <row r="2969" spans="1:2" x14ac:dyDescent="0.25">
      <c r="A2969" t="s">
        <v>6249</v>
      </c>
      <c r="B2969" t="s">
        <v>6250</v>
      </c>
    </row>
    <row r="2970" spans="1:2" x14ac:dyDescent="0.25">
      <c r="A2970" t="s">
        <v>6251</v>
      </c>
      <c r="B2970" t="s">
        <v>6252</v>
      </c>
    </row>
    <row r="2971" spans="1:2" x14ac:dyDescent="0.25">
      <c r="A2971" t="s">
        <v>6253</v>
      </c>
      <c r="B2971" t="s">
        <v>6254</v>
      </c>
    </row>
    <row r="2972" spans="1:2" x14ac:dyDescent="0.25">
      <c r="A2972" t="s">
        <v>6255</v>
      </c>
      <c r="B2972" t="s">
        <v>6256</v>
      </c>
    </row>
    <row r="2973" spans="1:2" x14ac:dyDescent="0.25">
      <c r="A2973" t="s">
        <v>6257</v>
      </c>
      <c r="B2973" t="s">
        <v>6258</v>
      </c>
    </row>
    <row r="2974" spans="1:2" x14ac:dyDescent="0.25">
      <c r="A2974" t="s">
        <v>6259</v>
      </c>
      <c r="B2974" t="s">
        <v>6260</v>
      </c>
    </row>
    <row r="2975" spans="1:2" x14ac:dyDescent="0.25">
      <c r="A2975" t="s">
        <v>6261</v>
      </c>
      <c r="B2975" t="s">
        <v>6262</v>
      </c>
    </row>
    <row r="2976" spans="1:2" x14ac:dyDescent="0.25">
      <c r="A2976" t="s">
        <v>6263</v>
      </c>
      <c r="B2976" t="s">
        <v>6264</v>
      </c>
    </row>
    <row r="2977" spans="1:2" x14ac:dyDescent="0.25">
      <c r="A2977" t="s">
        <v>6265</v>
      </c>
      <c r="B2977" t="s">
        <v>6266</v>
      </c>
    </row>
    <row r="2978" spans="1:2" x14ac:dyDescent="0.25">
      <c r="A2978" t="s">
        <v>6267</v>
      </c>
      <c r="B2978" t="s">
        <v>6268</v>
      </c>
    </row>
    <row r="2979" spans="1:2" x14ac:dyDescent="0.25">
      <c r="A2979" t="s">
        <v>6269</v>
      </c>
      <c r="B2979" t="s">
        <v>6270</v>
      </c>
    </row>
    <row r="2980" spans="1:2" x14ac:dyDescent="0.25">
      <c r="A2980" t="s">
        <v>6271</v>
      </c>
      <c r="B2980" t="s">
        <v>6272</v>
      </c>
    </row>
    <row r="2981" spans="1:2" x14ac:dyDescent="0.25">
      <c r="A2981" t="s">
        <v>6273</v>
      </c>
      <c r="B2981" t="s">
        <v>6274</v>
      </c>
    </row>
    <row r="2982" spans="1:2" x14ac:dyDescent="0.25">
      <c r="A2982" t="s">
        <v>6275</v>
      </c>
      <c r="B2982" t="s">
        <v>6276</v>
      </c>
    </row>
    <row r="2983" spans="1:2" x14ac:dyDescent="0.25">
      <c r="A2983" t="s">
        <v>6277</v>
      </c>
      <c r="B2983" t="s">
        <v>6278</v>
      </c>
    </row>
    <row r="2984" spans="1:2" x14ac:dyDescent="0.25">
      <c r="A2984" t="s">
        <v>6279</v>
      </c>
      <c r="B2984" t="s">
        <v>6280</v>
      </c>
    </row>
    <row r="2985" spans="1:2" x14ac:dyDescent="0.25">
      <c r="A2985" t="s">
        <v>6281</v>
      </c>
      <c r="B2985" t="s">
        <v>466</v>
      </c>
    </row>
    <row r="2986" spans="1:2" x14ac:dyDescent="0.25">
      <c r="A2986" t="s">
        <v>6282</v>
      </c>
      <c r="B2986" t="s">
        <v>6283</v>
      </c>
    </row>
    <row r="2987" spans="1:2" x14ac:dyDescent="0.25">
      <c r="A2987" t="s">
        <v>6284</v>
      </c>
      <c r="B2987" t="s">
        <v>6285</v>
      </c>
    </row>
    <row r="2988" spans="1:2" x14ac:dyDescent="0.25">
      <c r="A2988" t="s">
        <v>6286</v>
      </c>
      <c r="B2988" t="s">
        <v>6287</v>
      </c>
    </row>
    <row r="2989" spans="1:2" x14ac:dyDescent="0.25">
      <c r="A2989" t="s">
        <v>6288</v>
      </c>
      <c r="B2989" t="s">
        <v>6289</v>
      </c>
    </row>
    <row r="2990" spans="1:2" x14ac:dyDescent="0.25">
      <c r="A2990" t="s">
        <v>6290</v>
      </c>
      <c r="B2990" t="s">
        <v>6291</v>
      </c>
    </row>
    <row r="2991" spans="1:2" x14ac:dyDescent="0.25">
      <c r="A2991" t="s">
        <v>6292</v>
      </c>
      <c r="B2991" t="s">
        <v>6293</v>
      </c>
    </row>
    <row r="2992" spans="1:2" x14ac:dyDescent="0.25">
      <c r="A2992" t="s">
        <v>6294</v>
      </c>
      <c r="B2992" t="s">
        <v>6295</v>
      </c>
    </row>
    <row r="2993" spans="1:2" x14ac:dyDescent="0.25">
      <c r="A2993" t="s">
        <v>6296</v>
      </c>
      <c r="B2993" t="s">
        <v>6297</v>
      </c>
    </row>
    <row r="2994" spans="1:2" x14ac:dyDescent="0.25">
      <c r="A2994" t="s">
        <v>6298</v>
      </c>
      <c r="B2994" t="s">
        <v>6299</v>
      </c>
    </row>
    <row r="2995" spans="1:2" x14ac:dyDescent="0.25">
      <c r="A2995" t="s">
        <v>6300</v>
      </c>
      <c r="B2995" t="s">
        <v>6301</v>
      </c>
    </row>
    <row r="2996" spans="1:2" x14ac:dyDescent="0.25">
      <c r="A2996" t="s">
        <v>6302</v>
      </c>
      <c r="B2996" t="s">
        <v>6303</v>
      </c>
    </row>
    <row r="2997" spans="1:2" x14ac:dyDescent="0.25">
      <c r="A2997" t="s">
        <v>6304</v>
      </c>
      <c r="B2997" t="s">
        <v>6305</v>
      </c>
    </row>
    <row r="2998" spans="1:2" x14ac:dyDescent="0.25">
      <c r="A2998" t="s">
        <v>6306</v>
      </c>
      <c r="B2998" t="s">
        <v>6307</v>
      </c>
    </row>
    <row r="2999" spans="1:2" x14ac:dyDescent="0.25">
      <c r="A2999" t="s">
        <v>6308</v>
      </c>
      <c r="B2999" t="s">
        <v>6309</v>
      </c>
    </row>
    <row r="3000" spans="1:2" x14ac:dyDescent="0.25">
      <c r="A3000" t="s">
        <v>6310</v>
      </c>
      <c r="B3000" t="s">
        <v>6311</v>
      </c>
    </row>
    <row r="3001" spans="1:2" x14ac:dyDescent="0.25">
      <c r="A3001" t="s">
        <v>6312</v>
      </c>
      <c r="B3001" t="s">
        <v>6313</v>
      </c>
    </row>
    <row r="3002" spans="1:2" x14ac:dyDescent="0.25">
      <c r="A3002" t="s">
        <v>6314</v>
      </c>
      <c r="B3002" t="s">
        <v>6315</v>
      </c>
    </row>
    <row r="3003" spans="1:2" x14ac:dyDescent="0.25">
      <c r="A3003" t="s">
        <v>6316</v>
      </c>
      <c r="B3003" t="s">
        <v>6317</v>
      </c>
    </row>
    <row r="3004" spans="1:2" x14ac:dyDescent="0.25">
      <c r="A3004" t="s">
        <v>6318</v>
      </c>
      <c r="B3004" t="s">
        <v>6319</v>
      </c>
    </row>
    <row r="3005" spans="1:2" x14ac:dyDescent="0.25">
      <c r="A3005" t="s">
        <v>6320</v>
      </c>
      <c r="B3005" t="s">
        <v>6321</v>
      </c>
    </row>
    <row r="3006" spans="1:2" x14ac:dyDescent="0.25">
      <c r="A3006" t="s">
        <v>6322</v>
      </c>
      <c r="B3006" t="s">
        <v>6323</v>
      </c>
    </row>
    <row r="3007" spans="1:2" x14ac:dyDescent="0.25">
      <c r="A3007" t="s">
        <v>6324</v>
      </c>
      <c r="B3007" t="s">
        <v>6325</v>
      </c>
    </row>
    <row r="3008" spans="1:2" x14ac:dyDescent="0.25">
      <c r="A3008" t="s">
        <v>6326</v>
      </c>
      <c r="B3008" t="s">
        <v>6327</v>
      </c>
    </row>
    <row r="3009" spans="1:2" x14ac:dyDescent="0.25">
      <c r="A3009" t="s">
        <v>6328</v>
      </c>
      <c r="B3009" t="s">
        <v>6329</v>
      </c>
    </row>
    <row r="3010" spans="1:2" x14ac:dyDescent="0.25">
      <c r="A3010" t="s">
        <v>6330</v>
      </c>
      <c r="B3010" t="s">
        <v>6331</v>
      </c>
    </row>
    <row r="3011" spans="1:2" x14ac:dyDescent="0.25">
      <c r="A3011" t="s">
        <v>6332</v>
      </c>
      <c r="B3011" t="s">
        <v>6333</v>
      </c>
    </row>
    <row r="3012" spans="1:2" x14ac:dyDescent="0.25">
      <c r="A3012" t="s">
        <v>6334</v>
      </c>
      <c r="B3012" t="s">
        <v>6335</v>
      </c>
    </row>
    <row r="3013" spans="1:2" x14ac:dyDescent="0.25">
      <c r="A3013" t="s">
        <v>6336</v>
      </c>
      <c r="B3013" t="s">
        <v>6337</v>
      </c>
    </row>
    <row r="3014" spans="1:2" x14ac:dyDescent="0.25">
      <c r="A3014" t="s">
        <v>6338</v>
      </c>
      <c r="B3014" t="s">
        <v>6339</v>
      </c>
    </row>
    <row r="3015" spans="1:2" x14ac:dyDescent="0.25">
      <c r="A3015" t="s">
        <v>6340</v>
      </c>
      <c r="B3015" t="s">
        <v>6341</v>
      </c>
    </row>
    <row r="3016" spans="1:2" x14ac:dyDescent="0.25">
      <c r="A3016" t="s">
        <v>6342</v>
      </c>
      <c r="B3016" t="s">
        <v>6343</v>
      </c>
    </row>
    <row r="3017" spans="1:2" x14ac:dyDescent="0.25">
      <c r="A3017" t="s">
        <v>6344</v>
      </c>
      <c r="B3017" t="s">
        <v>6345</v>
      </c>
    </row>
    <row r="3018" spans="1:2" x14ac:dyDescent="0.25">
      <c r="A3018" t="s">
        <v>6346</v>
      </c>
      <c r="B3018" t="s">
        <v>6347</v>
      </c>
    </row>
    <row r="3019" spans="1:2" x14ac:dyDescent="0.25">
      <c r="A3019" t="s">
        <v>6348</v>
      </c>
      <c r="B3019" t="s">
        <v>6349</v>
      </c>
    </row>
    <row r="3020" spans="1:2" x14ac:dyDescent="0.25">
      <c r="A3020" t="s">
        <v>6350</v>
      </c>
      <c r="B3020" t="s">
        <v>6351</v>
      </c>
    </row>
    <row r="3021" spans="1:2" x14ac:dyDescent="0.25">
      <c r="A3021" t="s">
        <v>6352</v>
      </c>
      <c r="B3021" t="s">
        <v>6353</v>
      </c>
    </row>
    <row r="3022" spans="1:2" x14ac:dyDescent="0.25">
      <c r="A3022" t="s">
        <v>6354</v>
      </c>
      <c r="B3022" t="s">
        <v>6355</v>
      </c>
    </row>
    <row r="3023" spans="1:2" x14ac:dyDescent="0.25">
      <c r="A3023" t="s">
        <v>6356</v>
      </c>
      <c r="B3023" t="s">
        <v>6357</v>
      </c>
    </row>
    <row r="3024" spans="1:2" x14ac:dyDescent="0.25">
      <c r="A3024" t="s">
        <v>6358</v>
      </c>
      <c r="B3024" t="s">
        <v>6359</v>
      </c>
    </row>
    <row r="3025" spans="1:2" x14ac:dyDescent="0.25">
      <c r="A3025" t="s">
        <v>6360</v>
      </c>
      <c r="B3025" t="s">
        <v>6361</v>
      </c>
    </row>
    <row r="3026" spans="1:2" x14ac:dyDescent="0.25">
      <c r="A3026" t="s">
        <v>6362</v>
      </c>
      <c r="B3026" t="s">
        <v>6363</v>
      </c>
    </row>
    <row r="3027" spans="1:2" x14ac:dyDescent="0.25">
      <c r="A3027" t="s">
        <v>6364</v>
      </c>
      <c r="B3027" t="s">
        <v>6365</v>
      </c>
    </row>
    <row r="3028" spans="1:2" x14ac:dyDescent="0.25">
      <c r="A3028" t="s">
        <v>6366</v>
      </c>
      <c r="B3028" t="s">
        <v>6367</v>
      </c>
    </row>
    <row r="3029" spans="1:2" x14ac:dyDescent="0.25">
      <c r="A3029" t="s">
        <v>6368</v>
      </c>
      <c r="B3029" t="s">
        <v>6369</v>
      </c>
    </row>
    <row r="3030" spans="1:2" x14ac:dyDescent="0.25">
      <c r="A3030" t="s">
        <v>6370</v>
      </c>
      <c r="B3030" t="s">
        <v>6371</v>
      </c>
    </row>
    <row r="3031" spans="1:2" x14ac:dyDescent="0.25">
      <c r="A3031" t="s">
        <v>6372</v>
      </c>
      <c r="B3031" t="s">
        <v>6373</v>
      </c>
    </row>
    <row r="3032" spans="1:2" x14ac:dyDescent="0.25">
      <c r="A3032" t="s">
        <v>6374</v>
      </c>
      <c r="B3032" t="s">
        <v>6375</v>
      </c>
    </row>
    <row r="3033" spans="1:2" x14ac:dyDescent="0.25">
      <c r="A3033" t="s">
        <v>6376</v>
      </c>
      <c r="B3033" t="s">
        <v>6377</v>
      </c>
    </row>
    <row r="3034" spans="1:2" x14ac:dyDescent="0.25">
      <c r="A3034" t="s">
        <v>6378</v>
      </c>
      <c r="B3034" t="s">
        <v>6379</v>
      </c>
    </row>
    <row r="3035" spans="1:2" x14ac:dyDescent="0.25">
      <c r="A3035" t="s">
        <v>6380</v>
      </c>
      <c r="B3035" t="s">
        <v>6381</v>
      </c>
    </row>
    <row r="3036" spans="1:2" x14ac:dyDescent="0.25">
      <c r="A3036" t="s">
        <v>6382</v>
      </c>
      <c r="B3036" t="s">
        <v>6383</v>
      </c>
    </row>
    <row r="3037" spans="1:2" x14ac:dyDescent="0.25">
      <c r="A3037" t="s">
        <v>6384</v>
      </c>
      <c r="B3037" t="s">
        <v>6385</v>
      </c>
    </row>
    <row r="3038" spans="1:2" x14ac:dyDescent="0.25">
      <c r="A3038" t="s">
        <v>6386</v>
      </c>
      <c r="B3038" t="s">
        <v>6387</v>
      </c>
    </row>
    <row r="3039" spans="1:2" x14ac:dyDescent="0.25">
      <c r="A3039" t="s">
        <v>6388</v>
      </c>
      <c r="B3039" t="s">
        <v>6389</v>
      </c>
    </row>
    <row r="3040" spans="1:2" x14ac:dyDescent="0.25">
      <c r="A3040" t="s">
        <v>6390</v>
      </c>
      <c r="B3040" t="s">
        <v>6391</v>
      </c>
    </row>
    <row r="3041" spans="1:2" x14ac:dyDescent="0.25">
      <c r="A3041" t="s">
        <v>6392</v>
      </c>
      <c r="B3041" t="s">
        <v>6393</v>
      </c>
    </row>
    <row r="3042" spans="1:2" x14ac:dyDescent="0.25">
      <c r="A3042" t="s">
        <v>6394</v>
      </c>
      <c r="B3042" t="s">
        <v>6395</v>
      </c>
    </row>
    <row r="3043" spans="1:2" x14ac:dyDescent="0.25">
      <c r="A3043" t="s">
        <v>6396</v>
      </c>
      <c r="B3043" t="s">
        <v>6397</v>
      </c>
    </row>
    <row r="3044" spans="1:2" x14ac:dyDescent="0.25">
      <c r="A3044" t="s">
        <v>6398</v>
      </c>
      <c r="B3044" t="s">
        <v>6399</v>
      </c>
    </row>
    <row r="3045" spans="1:2" x14ac:dyDescent="0.25">
      <c r="A3045" t="s">
        <v>6400</v>
      </c>
      <c r="B3045" t="s">
        <v>6401</v>
      </c>
    </row>
    <row r="3046" spans="1:2" x14ac:dyDescent="0.25">
      <c r="A3046" t="s">
        <v>6402</v>
      </c>
      <c r="B3046" t="s">
        <v>6403</v>
      </c>
    </row>
    <row r="3047" spans="1:2" x14ac:dyDescent="0.25">
      <c r="A3047" t="s">
        <v>6404</v>
      </c>
      <c r="B3047" t="s">
        <v>6405</v>
      </c>
    </row>
    <row r="3048" spans="1:2" x14ac:dyDescent="0.25">
      <c r="A3048" t="s">
        <v>6406</v>
      </c>
      <c r="B3048" t="s">
        <v>6407</v>
      </c>
    </row>
    <row r="3049" spans="1:2" x14ac:dyDescent="0.25">
      <c r="A3049" t="s">
        <v>6408</v>
      </c>
      <c r="B3049" t="s">
        <v>587</v>
      </c>
    </row>
    <row r="3050" spans="1:2" x14ac:dyDescent="0.25">
      <c r="A3050" t="s">
        <v>6409</v>
      </c>
      <c r="B3050" t="s">
        <v>6410</v>
      </c>
    </row>
    <row r="3051" spans="1:2" x14ac:dyDescent="0.25">
      <c r="A3051" t="s">
        <v>6411</v>
      </c>
      <c r="B3051" t="s">
        <v>6412</v>
      </c>
    </row>
    <row r="3052" spans="1:2" x14ac:dyDescent="0.25">
      <c r="A3052" t="s">
        <v>6413</v>
      </c>
      <c r="B3052" t="s">
        <v>6414</v>
      </c>
    </row>
    <row r="3053" spans="1:2" x14ac:dyDescent="0.25">
      <c r="A3053" t="s">
        <v>6415</v>
      </c>
      <c r="B3053" t="s">
        <v>6416</v>
      </c>
    </row>
    <row r="3054" spans="1:2" x14ac:dyDescent="0.25">
      <c r="A3054" t="s">
        <v>6417</v>
      </c>
      <c r="B3054" t="s">
        <v>6418</v>
      </c>
    </row>
    <row r="3055" spans="1:2" x14ac:dyDescent="0.25">
      <c r="A3055" t="s">
        <v>6419</v>
      </c>
      <c r="B3055" t="s">
        <v>6420</v>
      </c>
    </row>
    <row r="3056" spans="1:2" x14ac:dyDescent="0.25">
      <c r="A3056" t="s">
        <v>6421</v>
      </c>
      <c r="B3056" t="s">
        <v>6422</v>
      </c>
    </row>
    <row r="3057" spans="1:2" x14ac:dyDescent="0.25">
      <c r="A3057" t="s">
        <v>6423</v>
      </c>
      <c r="B3057" t="s">
        <v>6424</v>
      </c>
    </row>
    <row r="3058" spans="1:2" x14ac:dyDescent="0.25">
      <c r="A3058" t="s">
        <v>6425</v>
      </c>
      <c r="B3058" t="s">
        <v>6426</v>
      </c>
    </row>
    <row r="3059" spans="1:2" x14ac:dyDescent="0.25">
      <c r="A3059" t="s">
        <v>6427</v>
      </c>
      <c r="B3059" t="s">
        <v>6428</v>
      </c>
    </row>
    <row r="3060" spans="1:2" x14ac:dyDescent="0.25">
      <c r="A3060" t="s">
        <v>6429</v>
      </c>
      <c r="B3060" t="s">
        <v>6430</v>
      </c>
    </row>
    <row r="3061" spans="1:2" x14ac:dyDescent="0.25">
      <c r="A3061" t="s">
        <v>6431</v>
      </c>
      <c r="B3061" t="s">
        <v>6432</v>
      </c>
    </row>
    <row r="3062" spans="1:2" x14ac:dyDescent="0.25">
      <c r="A3062" t="s">
        <v>6433</v>
      </c>
      <c r="B3062" t="s">
        <v>6434</v>
      </c>
    </row>
    <row r="3063" spans="1:2" x14ac:dyDescent="0.25">
      <c r="A3063" t="s">
        <v>6435</v>
      </c>
      <c r="B3063" t="s">
        <v>6436</v>
      </c>
    </row>
    <row r="3064" spans="1:2" x14ac:dyDescent="0.25">
      <c r="A3064" t="s">
        <v>6437</v>
      </c>
      <c r="B3064" t="s">
        <v>6438</v>
      </c>
    </row>
    <row r="3065" spans="1:2" x14ac:dyDescent="0.25">
      <c r="A3065" t="s">
        <v>6439</v>
      </c>
      <c r="B3065" t="s">
        <v>6440</v>
      </c>
    </row>
    <row r="3066" spans="1:2" x14ac:dyDescent="0.25">
      <c r="A3066" t="s">
        <v>6441</v>
      </c>
      <c r="B3066" t="s">
        <v>6442</v>
      </c>
    </row>
    <row r="3067" spans="1:2" x14ac:dyDescent="0.25">
      <c r="A3067" t="s">
        <v>6443</v>
      </c>
      <c r="B3067" t="s">
        <v>6444</v>
      </c>
    </row>
    <row r="3068" spans="1:2" x14ac:dyDescent="0.25">
      <c r="A3068" t="s">
        <v>6445</v>
      </c>
      <c r="B3068" t="s">
        <v>6446</v>
      </c>
    </row>
    <row r="3069" spans="1:2" x14ac:dyDescent="0.25">
      <c r="A3069" t="s">
        <v>6447</v>
      </c>
      <c r="B3069" t="s">
        <v>6448</v>
      </c>
    </row>
    <row r="3070" spans="1:2" x14ac:dyDescent="0.25">
      <c r="A3070" t="s">
        <v>6449</v>
      </c>
      <c r="B3070" t="s">
        <v>6450</v>
      </c>
    </row>
    <row r="3071" spans="1:2" x14ac:dyDescent="0.25">
      <c r="A3071" t="s">
        <v>6451</v>
      </c>
      <c r="B3071" t="s">
        <v>6452</v>
      </c>
    </row>
    <row r="3072" spans="1:2" x14ac:dyDescent="0.25">
      <c r="A3072" t="s">
        <v>6453</v>
      </c>
      <c r="B3072" t="s">
        <v>6454</v>
      </c>
    </row>
    <row r="3073" spans="1:2" x14ac:dyDescent="0.25">
      <c r="A3073" t="s">
        <v>6455</v>
      </c>
      <c r="B3073" t="s">
        <v>6456</v>
      </c>
    </row>
    <row r="3074" spans="1:2" x14ac:dyDescent="0.25">
      <c r="A3074" t="s">
        <v>6457</v>
      </c>
      <c r="B3074" t="s">
        <v>6458</v>
      </c>
    </row>
    <row r="3075" spans="1:2" x14ac:dyDescent="0.25">
      <c r="A3075" t="s">
        <v>6459</v>
      </c>
      <c r="B3075" t="s">
        <v>6460</v>
      </c>
    </row>
    <row r="3076" spans="1:2" x14ac:dyDescent="0.25">
      <c r="A3076" t="s">
        <v>6461</v>
      </c>
      <c r="B3076" t="s">
        <v>6462</v>
      </c>
    </row>
    <row r="3077" spans="1:2" x14ac:dyDescent="0.25">
      <c r="A3077" t="s">
        <v>6463</v>
      </c>
      <c r="B3077" t="s">
        <v>512</v>
      </c>
    </row>
    <row r="3078" spans="1:2" x14ac:dyDescent="0.25">
      <c r="A3078" t="s">
        <v>6464</v>
      </c>
      <c r="B3078" t="s">
        <v>6465</v>
      </c>
    </row>
    <row r="3079" spans="1:2" x14ac:dyDescent="0.25">
      <c r="A3079" t="s">
        <v>6466</v>
      </c>
      <c r="B3079" t="s">
        <v>6467</v>
      </c>
    </row>
    <row r="3080" spans="1:2" x14ac:dyDescent="0.25">
      <c r="A3080" t="s">
        <v>6468</v>
      </c>
      <c r="B3080" t="s">
        <v>6469</v>
      </c>
    </row>
    <row r="3081" spans="1:2" x14ac:dyDescent="0.25">
      <c r="A3081" t="s">
        <v>6470</v>
      </c>
      <c r="B3081" t="s">
        <v>6471</v>
      </c>
    </row>
    <row r="3082" spans="1:2" x14ac:dyDescent="0.25">
      <c r="A3082" t="s">
        <v>6472</v>
      </c>
      <c r="B3082" t="s">
        <v>6473</v>
      </c>
    </row>
    <row r="3083" spans="1:2" x14ac:dyDescent="0.25">
      <c r="A3083" t="s">
        <v>6474</v>
      </c>
      <c r="B3083" t="s">
        <v>6475</v>
      </c>
    </row>
    <row r="3084" spans="1:2" x14ac:dyDescent="0.25">
      <c r="A3084" t="s">
        <v>6476</v>
      </c>
      <c r="B3084" t="s">
        <v>6477</v>
      </c>
    </row>
    <row r="3085" spans="1:2" x14ac:dyDescent="0.25">
      <c r="A3085" t="s">
        <v>6478</v>
      </c>
      <c r="B3085" t="s">
        <v>6479</v>
      </c>
    </row>
    <row r="3086" spans="1:2" x14ac:dyDescent="0.25">
      <c r="A3086" t="s">
        <v>6480</v>
      </c>
      <c r="B3086" t="s">
        <v>6481</v>
      </c>
    </row>
    <row r="3087" spans="1:2" x14ac:dyDescent="0.25">
      <c r="A3087" t="s">
        <v>6482</v>
      </c>
      <c r="B3087" t="s">
        <v>6483</v>
      </c>
    </row>
    <row r="3088" spans="1:2" x14ac:dyDescent="0.25">
      <c r="A3088" t="s">
        <v>6484</v>
      </c>
      <c r="B3088" t="s">
        <v>6485</v>
      </c>
    </row>
    <row r="3089" spans="1:2" x14ac:dyDescent="0.25">
      <c r="A3089" t="s">
        <v>6486</v>
      </c>
      <c r="B3089" t="s">
        <v>6487</v>
      </c>
    </row>
    <row r="3090" spans="1:2" x14ac:dyDescent="0.25">
      <c r="A3090" t="s">
        <v>6488</v>
      </c>
      <c r="B3090" t="s">
        <v>6489</v>
      </c>
    </row>
    <row r="3091" spans="1:2" x14ac:dyDescent="0.25">
      <c r="A3091" t="s">
        <v>6490</v>
      </c>
      <c r="B3091" t="s">
        <v>6491</v>
      </c>
    </row>
    <row r="3092" spans="1:2" x14ac:dyDescent="0.25">
      <c r="A3092" t="s">
        <v>6492</v>
      </c>
      <c r="B3092" t="s">
        <v>6493</v>
      </c>
    </row>
    <row r="3093" spans="1:2" x14ac:dyDescent="0.25">
      <c r="A3093" t="s">
        <v>6494</v>
      </c>
      <c r="B3093" t="s">
        <v>467</v>
      </c>
    </row>
    <row r="3094" spans="1:2" x14ac:dyDescent="0.25">
      <c r="A3094" t="s">
        <v>6495</v>
      </c>
      <c r="B3094" t="s">
        <v>6496</v>
      </c>
    </row>
    <row r="3095" spans="1:2" x14ac:dyDescent="0.25">
      <c r="A3095" t="s">
        <v>6497</v>
      </c>
      <c r="B3095" t="s">
        <v>6498</v>
      </c>
    </row>
    <row r="3096" spans="1:2" x14ac:dyDescent="0.25">
      <c r="A3096" t="s">
        <v>6499</v>
      </c>
      <c r="B3096" t="s">
        <v>6500</v>
      </c>
    </row>
    <row r="3097" spans="1:2" x14ac:dyDescent="0.25">
      <c r="A3097" t="s">
        <v>6501</v>
      </c>
      <c r="B3097" t="s">
        <v>6502</v>
      </c>
    </row>
    <row r="3098" spans="1:2" x14ac:dyDescent="0.25">
      <c r="A3098" t="s">
        <v>6503</v>
      </c>
      <c r="B3098" t="s">
        <v>6504</v>
      </c>
    </row>
    <row r="3099" spans="1:2" x14ac:dyDescent="0.25">
      <c r="A3099" t="s">
        <v>6505</v>
      </c>
      <c r="B3099" t="s">
        <v>6506</v>
      </c>
    </row>
    <row r="3100" spans="1:2" x14ac:dyDescent="0.25">
      <c r="A3100" t="s">
        <v>6507</v>
      </c>
      <c r="B3100" t="s">
        <v>6508</v>
      </c>
    </row>
    <row r="3101" spans="1:2" x14ac:dyDescent="0.25">
      <c r="A3101" t="s">
        <v>6509</v>
      </c>
      <c r="B3101" t="s">
        <v>6510</v>
      </c>
    </row>
    <row r="3102" spans="1:2" x14ac:dyDescent="0.25">
      <c r="A3102" t="s">
        <v>6511</v>
      </c>
      <c r="B3102" t="s">
        <v>6512</v>
      </c>
    </row>
    <row r="3103" spans="1:2" x14ac:dyDescent="0.25">
      <c r="A3103" t="s">
        <v>6513</v>
      </c>
      <c r="B3103" t="s">
        <v>6514</v>
      </c>
    </row>
    <row r="3104" spans="1:2" x14ac:dyDescent="0.25">
      <c r="A3104" t="s">
        <v>6515</v>
      </c>
      <c r="B3104" t="s">
        <v>6516</v>
      </c>
    </row>
    <row r="3105" spans="1:2" x14ac:dyDescent="0.25">
      <c r="A3105" t="s">
        <v>6517</v>
      </c>
      <c r="B3105" t="s">
        <v>6518</v>
      </c>
    </row>
    <row r="3106" spans="1:2" x14ac:dyDescent="0.25">
      <c r="A3106" t="s">
        <v>6519</v>
      </c>
      <c r="B3106" t="s">
        <v>6520</v>
      </c>
    </row>
    <row r="3107" spans="1:2" x14ac:dyDescent="0.25">
      <c r="A3107" t="s">
        <v>6521</v>
      </c>
      <c r="B3107" t="s">
        <v>6522</v>
      </c>
    </row>
    <row r="3108" spans="1:2" x14ac:dyDescent="0.25">
      <c r="A3108" t="s">
        <v>6523</v>
      </c>
      <c r="B3108" t="s">
        <v>6524</v>
      </c>
    </row>
    <row r="3109" spans="1:2" x14ac:dyDescent="0.25">
      <c r="A3109" t="s">
        <v>6525</v>
      </c>
      <c r="B3109" t="s">
        <v>6526</v>
      </c>
    </row>
    <row r="3110" spans="1:2" x14ac:dyDescent="0.25">
      <c r="A3110" t="s">
        <v>6527</v>
      </c>
      <c r="B3110" t="s">
        <v>6528</v>
      </c>
    </row>
    <row r="3111" spans="1:2" x14ac:dyDescent="0.25">
      <c r="A3111" t="s">
        <v>6529</v>
      </c>
      <c r="B3111" t="s">
        <v>6530</v>
      </c>
    </row>
    <row r="3112" spans="1:2" x14ac:dyDescent="0.25">
      <c r="A3112" t="s">
        <v>6531</v>
      </c>
      <c r="B3112" t="s">
        <v>6532</v>
      </c>
    </row>
    <row r="3113" spans="1:2" x14ac:dyDescent="0.25">
      <c r="A3113" t="s">
        <v>6533</v>
      </c>
      <c r="B3113" t="s">
        <v>6534</v>
      </c>
    </row>
    <row r="3114" spans="1:2" x14ac:dyDescent="0.25">
      <c r="A3114" t="s">
        <v>6535</v>
      </c>
      <c r="B3114" t="s">
        <v>6536</v>
      </c>
    </row>
    <row r="3115" spans="1:2" x14ac:dyDescent="0.25">
      <c r="A3115" t="s">
        <v>6537</v>
      </c>
      <c r="B3115" t="s">
        <v>6538</v>
      </c>
    </row>
    <row r="3116" spans="1:2" x14ac:dyDescent="0.25">
      <c r="A3116" t="s">
        <v>6539</v>
      </c>
      <c r="B3116" t="s">
        <v>6540</v>
      </c>
    </row>
    <row r="3117" spans="1:2" x14ac:dyDescent="0.25">
      <c r="A3117" t="s">
        <v>6541</v>
      </c>
      <c r="B3117" t="s">
        <v>6542</v>
      </c>
    </row>
    <row r="3118" spans="1:2" x14ac:dyDescent="0.25">
      <c r="A3118" t="s">
        <v>6543</v>
      </c>
      <c r="B3118" t="s">
        <v>6544</v>
      </c>
    </row>
    <row r="3119" spans="1:2" x14ac:dyDescent="0.25">
      <c r="A3119" t="s">
        <v>6545</v>
      </c>
      <c r="B3119" t="s">
        <v>6546</v>
      </c>
    </row>
    <row r="3120" spans="1:2" x14ac:dyDescent="0.25">
      <c r="A3120" t="s">
        <v>6547</v>
      </c>
      <c r="B3120" t="s">
        <v>6548</v>
      </c>
    </row>
    <row r="3121" spans="1:2" x14ac:dyDescent="0.25">
      <c r="A3121" t="s">
        <v>6549</v>
      </c>
      <c r="B3121" t="s">
        <v>6550</v>
      </c>
    </row>
    <row r="3122" spans="1:2" x14ac:dyDescent="0.25">
      <c r="A3122" t="s">
        <v>6551</v>
      </c>
      <c r="B3122" t="s">
        <v>6552</v>
      </c>
    </row>
    <row r="3123" spans="1:2" x14ac:dyDescent="0.25">
      <c r="A3123" t="s">
        <v>6553</v>
      </c>
      <c r="B3123" t="s">
        <v>6554</v>
      </c>
    </row>
    <row r="3124" spans="1:2" x14ac:dyDescent="0.25">
      <c r="A3124" t="s">
        <v>6555</v>
      </c>
      <c r="B3124" t="s">
        <v>6556</v>
      </c>
    </row>
    <row r="3125" spans="1:2" x14ac:dyDescent="0.25">
      <c r="A3125" t="s">
        <v>6557</v>
      </c>
      <c r="B3125" t="s">
        <v>6558</v>
      </c>
    </row>
    <row r="3126" spans="1:2" x14ac:dyDescent="0.25">
      <c r="A3126" t="s">
        <v>6559</v>
      </c>
      <c r="B3126" t="s">
        <v>6560</v>
      </c>
    </row>
    <row r="3127" spans="1:2" x14ac:dyDescent="0.25">
      <c r="A3127" t="s">
        <v>6561</v>
      </c>
      <c r="B3127" t="s">
        <v>6562</v>
      </c>
    </row>
    <row r="3128" spans="1:2" x14ac:dyDescent="0.25">
      <c r="A3128" t="s">
        <v>6563</v>
      </c>
      <c r="B3128" t="s">
        <v>261</v>
      </c>
    </row>
    <row r="3129" spans="1:2" x14ac:dyDescent="0.25">
      <c r="A3129" t="s">
        <v>6564</v>
      </c>
      <c r="B3129" t="s">
        <v>6565</v>
      </c>
    </row>
    <row r="3130" spans="1:2" x14ac:dyDescent="0.25">
      <c r="A3130" t="s">
        <v>6566</v>
      </c>
      <c r="B3130" t="s">
        <v>6567</v>
      </c>
    </row>
    <row r="3131" spans="1:2" x14ac:dyDescent="0.25">
      <c r="A3131" t="s">
        <v>6568</v>
      </c>
      <c r="B3131" t="s">
        <v>6569</v>
      </c>
    </row>
    <row r="3132" spans="1:2" x14ac:dyDescent="0.25">
      <c r="A3132" t="s">
        <v>6570</v>
      </c>
      <c r="B3132" t="s">
        <v>6571</v>
      </c>
    </row>
    <row r="3133" spans="1:2" x14ac:dyDescent="0.25">
      <c r="A3133" t="s">
        <v>6572</v>
      </c>
      <c r="B3133" t="s">
        <v>6573</v>
      </c>
    </row>
    <row r="3134" spans="1:2" x14ac:dyDescent="0.25">
      <c r="A3134" t="s">
        <v>6574</v>
      </c>
      <c r="B3134" t="s">
        <v>6575</v>
      </c>
    </row>
    <row r="3135" spans="1:2" x14ac:dyDescent="0.25">
      <c r="A3135" t="s">
        <v>6576</v>
      </c>
      <c r="B3135" t="s">
        <v>6577</v>
      </c>
    </row>
    <row r="3136" spans="1:2" x14ac:dyDescent="0.25">
      <c r="A3136" t="s">
        <v>6578</v>
      </c>
      <c r="B3136" t="s">
        <v>6579</v>
      </c>
    </row>
    <row r="3137" spans="1:2" x14ac:dyDescent="0.25">
      <c r="A3137" t="s">
        <v>6580</v>
      </c>
      <c r="B3137" t="s">
        <v>6581</v>
      </c>
    </row>
    <row r="3138" spans="1:2" x14ac:dyDescent="0.25">
      <c r="A3138" t="s">
        <v>6582</v>
      </c>
      <c r="B3138" t="s">
        <v>6583</v>
      </c>
    </row>
    <row r="3139" spans="1:2" x14ac:dyDescent="0.25">
      <c r="A3139" t="s">
        <v>6584</v>
      </c>
      <c r="B3139" t="s">
        <v>6585</v>
      </c>
    </row>
    <row r="3140" spans="1:2" x14ac:dyDescent="0.25">
      <c r="A3140" t="s">
        <v>6586</v>
      </c>
      <c r="B3140" t="s">
        <v>6587</v>
      </c>
    </row>
    <row r="3141" spans="1:2" x14ac:dyDescent="0.25">
      <c r="A3141" t="s">
        <v>6588</v>
      </c>
      <c r="B3141" t="s">
        <v>6589</v>
      </c>
    </row>
    <row r="3142" spans="1:2" x14ac:dyDescent="0.25">
      <c r="A3142" t="s">
        <v>6590</v>
      </c>
      <c r="B3142" t="s">
        <v>6591</v>
      </c>
    </row>
    <row r="3143" spans="1:2" x14ac:dyDescent="0.25">
      <c r="A3143" t="s">
        <v>6592</v>
      </c>
      <c r="B3143" t="s">
        <v>6593</v>
      </c>
    </row>
    <row r="3144" spans="1:2" x14ac:dyDescent="0.25">
      <c r="A3144" t="s">
        <v>6594</v>
      </c>
      <c r="B3144" t="s">
        <v>6595</v>
      </c>
    </row>
    <row r="3145" spans="1:2" x14ac:dyDescent="0.25">
      <c r="A3145" t="s">
        <v>6596</v>
      </c>
      <c r="B3145" t="s">
        <v>6597</v>
      </c>
    </row>
    <row r="3146" spans="1:2" x14ac:dyDescent="0.25">
      <c r="A3146" t="s">
        <v>6598</v>
      </c>
      <c r="B3146" t="s">
        <v>6599</v>
      </c>
    </row>
    <row r="3147" spans="1:2" x14ac:dyDescent="0.25">
      <c r="A3147" t="s">
        <v>6600</v>
      </c>
      <c r="B3147" t="s">
        <v>6601</v>
      </c>
    </row>
    <row r="3148" spans="1:2" x14ac:dyDescent="0.25">
      <c r="A3148" t="s">
        <v>6602</v>
      </c>
      <c r="B3148" t="s">
        <v>6603</v>
      </c>
    </row>
    <row r="3149" spans="1:2" x14ac:dyDescent="0.25">
      <c r="A3149" t="s">
        <v>6604</v>
      </c>
      <c r="B3149" t="s">
        <v>6605</v>
      </c>
    </row>
    <row r="3150" spans="1:2" x14ac:dyDescent="0.25">
      <c r="A3150" t="s">
        <v>6606</v>
      </c>
      <c r="B3150" t="s">
        <v>6607</v>
      </c>
    </row>
    <row r="3151" spans="1:2" x14ac:dyDescent="0.25">
      <c r="A3151" t="s">
        <v>6608</v>
      </c>
      <c r="B3151" t="s">
        <v>6609</v>
      </c>
    </row>
    <row r="3152" spans="1:2" x14ac:dyDescent="0.25">
      <c r="A3152" t="s">
        <v>6610</v>
      </c>
      <c r="B3152" t="s">
        <v>6611</v>
      </c>
    </row>
    <row r="3153" spans="1:2" x14ac:dyDescent="0.25">
      <c r="A3153" t="s">
        <v>6612</v>
      </c>
      <c r="B3153" t="s">
        <v>6613</v>
      </c>
    </row>
    <row r="3154" spans="1:2" x14ac:dyDescent="0.25">
      <c r="A3154" t="s">
        <v>6614</v>
      </c>
      <c r="B3154" t="s">
        <v>6615</v>
      </c>
    </row>
    <row r="3155" spans="1:2" x14ac:dyDescent="0.25">
      <c r="A3155" t="s">
        <v>6616</v>
      </c>
      <c r="B3155" t="s">
        <v>6617</v>
      </c>
    </row>
    <row r="3156" spans="1:2" x14ac:dyDescent="0.25">
      <c r="A3156" t="s">
        <v>6618</v>
      </c>
      <c r="B3156" t="s">
        <v>6619</v>
      </c>
    </row>
    <row r="3157" spans="1:2" x14ac:dyDescent="0.25">
      <c r="A3157" t="s">
        <v>6620</v>
      </c>
      <c r="B3157" t="s">
        <v>6621</v>
      </c>
    </row>
    <row r="3158" spans="1:2" x14ac:dyDescent="0.25">
      <c r="A3158" t="s">
        <v>6622</v>
      </c>
      <c r="B3158" t="s">
        <v>6623</v>
      </c>
    </row>
    <row r="3159" spans="1:2" x14ac:dyDescent="0.25">
      <c r="A3159" t="s">
        <v>6624</v>
      </c>
      <c r="B3159" t="s">
        <v>6625</v>
      </c>
    </row>
    <row r="3160" spans="1:2" x14ac:dyDescent="0.25">
      <c r="A3160" t="s">
        <v>6626</v>
      </c>
      <c r="B3160" t="s">
        <v>6627</v>
      </c>
    </row>
    <row r="3161" spans="1:2" x14ac:dyDescent="0.25">
      <c r="A3161" t="s">
        <v>6628</v>
      </c>
      <c r="B3161" t="s">
        <v>6629</v>
      </c>
    </row>
    <row r="3162" spans="1:2" x14ac:dyDescent="0.25">
      <c r="A3162" t="s">
        <v>6630</v>
      </c>
      <c r="B3162" t="s">
        <v>6631</v>
      </c>
    </row>
    <row r="3163" spans="1:2" x14ac:dyDescent="0.25">
      <c r="A3163" t="s">
        <v>6632</v>
      </c>
      <c r="B3163" t="s">
        <v>6633</v>
      </c>
    </row>
    <row r="3164" spans="1:2" x14ac:dyDescent="0.25">
      <c r="A3164" t="s">
        <v>6634</v>
      </c>
      <c r="B3164" t="s">
        <v>6635</v>
      </c>
    </row>
    <row r="3165" spans="1:2" x14ac:dyDescent="0.25">
      <c r="A3165" t="s">
        <v>6636</v>
      </c>
      <c r="B3165" t="s">
        <v>6637</v>
      </c>
    </row>
    <row r="3166" spans="1:2" x14ac:dyDescent="0.25">
      <c r="A3166" t="s">
        <v>6638</v>
      </c>
      <c r="B3166" t="s">
        <v>6639</v>
      </c>
    </row>
    <row r="3167" spans="1:2" x14ac:dyDescent="0.25">
      <c r="A3167" t="s">
        <v>6640</v>
      </c>
      <c r="B3167" t="s">
        <v>6641</v>
      </c>
    </row>
    <row r="3168" spans="1:2" x14ac:dyDescent="0.25">
      <c r="A3168" t="s">
        <v>6642</v>
      </c>
      <c r="B3168" t="s">
        <v>6643</v>
      </c>
    </row>
    <row r="3169" spans="1:2" x14ac:dyDescent="0.25">
      <c r="A3169" t="s">
        <v>6644</v>
      </c>
      <c r="B3169" t="s">
        <v>6645</v>
      </c>
    </row>
    <row r="3170" spans="1:2" x14ac:dyDescent="0.25">
      <c r="A3170" t="s">
        <v>6646</v>
      </c>
      <c r="B3170" t="s">
        <v>6647</v>
      </c>
    </row>
    <row r="3171" spans="1:2" x14ac:dyDescent="0.25">
      <c r="A3171" t="s">
        <v>6648</v>
      </c>
      <c r="B3171" t="s">
        <v>6649</v>
      </c>
    </row>
    <row r="3172" spans="1:2" x14ac:dyDescent="0.25">
      <c r="A3172" t="s">
        <v>6650</v>
      </c>
      <c r="B3172" t="s">
        <v>6651</v>
      </c>
    </row>
    <row r="3173" spans="1:2" x14ac:dyDescent="0.25">
      <c r="A3173" t="s">
        <v>6652</v>
      </c>
      <c r="B3173" t="s">
        <v>6653</v>
      </c>
    </row>
    <row r="3174" spans="1:2" x14ac:dyDescent="0.25">
      <c r="A3174" t="s">
        <v>6654</v>
      </c>
      <c r="B3174" t="s">
        <v>6655</v>
      </c>
    </row>
    <row r="3175" spans="1:2" x14ac:dyDescent="0.25">
      <c r="A3175" t="s">
        <v>6656</v>
      </c>
      <c r="B3175" t="s">
        <v>6657</v>
      </c>
    </row>
    <row r="3176" spans="1:2" x14ac:dyDescent="0.25">
      <c r="A3176" t="s">
        <v>6658</v>
      </c>
      <c r="B3176" t="s">
        <v>6659</v>
      </c>
    </row>
    <row r="3177" spans="1:2" x14ac:dyDescent="0.25">
      <c r="A3177" t="s">
        <v>6660</v>
      </c>
      <c r="B3177" t="s">
        <v>6661</v>
      </c>
    </row>
    <row r="3178" spans="1:2" x14ac:dyDescent="0.25">
      <c r="A3178" t="s">
        <v>6662</v>
      </c>
      <c r="B3178" t="s">
        <v>6663</v>
      </c>
    </row>
    <row r="3179" spans="1:2" x14ac:dyDescent="0.25">
      <c r="A3179" t="s">
        <v>6664</v>
      </c>
      <c r="B3179" t="s">
        <v>6665</v>
      </c>
    </row>
    <row r="3180" spans="1:2" x14ac:dyDescent="0.25">
      <c r="A3180" t="s">
        <v>6666</v>
      </c>
      <c r="B3180" t="s">
        <v>6667</v>
      </c>
    </row>
    <row r="3181" spans="1:2" x14ac:dyDescent="0.25">
      <c r="A3181" t="s">
        <v>6668</v>
      </c>
      <c r="B3181" t="s">
        <v>6669</v>
      </c>
    </row>
    <row r="3182" spans="1:2" x14ac:dyDescent="0.25">
      <c r="A3182" t="s">
        <v>6670</v>
      </c>
      <c r="B3182" t="s">
        <v>6671</v>
      </c>
    </row>
    <row r="3183" spans="1:2" x14ac:dyDescent="0.25">
      <c r="A3183" t="s">
        <v>6672</v>
      </c>
      <c r="B3183" t="s">
        <v>6673</v>
      </c>
    </row>
    <row r="3184" spans="1:2" x14ac:dyDescent="0.25">
      <c r="A3184" t="s">
        <v>6674</v>
      </c>
      <c r="B3184" t="s">
        <v>6675</v>
      </c>
    </row>
    <row r="3185" spans="1:2" x14ac:dyDescent="0.25">
      <c r="A3185" t="s">
        <v>6676</v>
      </c>
      <c r="B3185" t="s">
        <v>6677</v>
      </c>
    </row>
    <row r="3186" spans="1:2" x14ac:dyDescent="0.25">
      <c r="A3186" t="s">
        <v>6678</v>
      </c>
      <c r="B3186" t="s">
        <v>6679</v>
      </c>
    </row>
    <row r="3187" spans="1:2" x14ac:dyDescent="0.25">
      <c r="A3187" t="s">
        <v>6680</v>
      </c>
      <c r="B3187" t="s">
        <v>6681</v>
      </c>
    </row>
    <row r="3188" spans="1:2" x14ac:dyDescent="0.25">
      <c r="A3188" t="s">
        <v>6682</v>
      </c>
      <c r="B3188" t="s">
        <v>6683</v>
      </c>
    </row>
    <row r="3189" spans="1:2" x14ac:dyDescent="0.25">
      <c r="A3189" t="s">
        <v>6684</v>
      </c>
      <c r="B3189" t="s">
        <v>6685</v>
      </c>
    </row>
    <row r="3190" spans="1:2" x14ac:dyDescent="0.25">
      <c r="A3190" t="s">
        <v>6686</v>
      </c>
      <c r="B3190" t="s">
        <v>6687</v>
      </c>
    </row>
    <row r="3191" spans="1:2" x14ac:dyDescent="0.25">
      <c r="A3191" t="s">
        <v>6688</v>
      </c>
      <c r="B3191" t="s">
        <v>564</v>
      </c>
    </row>
    <row r="3192" spans="1:2" x14ac:dyDescent="0.25">
      <c r="A3192" t="s">
        <v>6689</v>
      </c>
      <c r="B3192" t="s">
        <v>6690</v>
      </c>
    </row>
    <row r="3193" spans="1:2" x14ac:dyDescent="0.25">
      <c r="A3193" t="s">
        <v>6691</v>
      </c>
      <c r="B3193" t="s">
        <v>469</v>
      </c>
    </row>
    <row r="3194" spans="1:2" x14ac:dyDescent="0.25">
      <c r="A3194" t="s">
        <v>6692</v>
      </c>
      <c r="B3194" t="s">
        <v>6693</v>
      </c>
    </row>
    <row r="3195" spans="1:2" x14ac:dyDescent="0.25">
      <c r="A3195" t="s">
        <v>6694</v>
      </c>
      <c r="B3195" t="s">
        <v>6695</v>
      </c>
    </row>
    <row r="3196" spans="1:2" x14ac:dyDescent="0.25">
      <c r="A3196" t="s">
        <v>6696</v>
      </c>
      <c r="B3196" t="s">
        <v>267</v>
      </c>
    </row>
    <row r="3197" spans="1:2" x14ac:dyDescent="0.25">
      <c r="A3197" t="s">
        <v>6697</v>
      </c>
      <c r="B3197" t="s">
        <v>6698</v>
      </c>
    </row>
    <row r="3198" spans="1:2" x14ac:dyDescent="0.25">
      <c r="A3198" t="s">
        <v>6699</v>
      </c>
      <c r="B3198" t="s">
        <v>6700</v>
      </c>
    </row>
    <row r="3199" spans="1:2" x14ac:dyDescent="0.25">
      <c r="A3199" t="s">
        <v>6701</v>
      </c>
      <c r="B3199" t="s">
        <v>6702</v>
      </c>
    </row>
    <row r="3200" spans="1:2" x14ac:dyDescent="0.25">
      <c r="A3200" t="s">
        <v>6703</v>
      </c>
      <c r="B3200" t="s">
        <v>6704</v>
      </c>
    </row>
    <row r="3201" spans="1:2" x14ac:dyDescent="0.25">
      <c r="A3201" t="s">
        <v>6705</v>
      </c>
      <c r="B3201" t="s">
        <v>6706</v>
      </c>
    </row>
    <row r="3202" spans="1:2" x14ac:dyDescent="0.25">
      <c r="A3202" t="s">
        <v>6707</v>
      </c>
      <c r="B3202" t="s">
        <v>6708</v>
      </c>
    </row>
    <row r="3203" spans="1:2" x14ac:dyDescent="0.25">
      <c r="A3203" t="s">
        <v>6709</v>
      </c>
      <c r="B3203" t="s">
        <v>6710</v>
      </c>
    </row>
    <row r="3204" spans="1:2" x14ac:dyDescent="0.25">
      <c r="A3204" t="s">
        <v>6711</v>
      </c>
      <c r="B3204" t="s">
        <v>6712</v>
      </c>
    </row>
    <row r="3205" spans="1:2" x14ac:dyDescent="0.25">
      <c r="A3205" t="s">
        <v>6713</v>
      </c>
      <c r="B3205" t="s">
        <v>6714</v>
      </c>
    </row>
    <row r="3206" spans="1:2" x14ac:dyDescent="0.25">
      <c r="A3206" t="s">
        <v>6715</v>
      </c>
      <c r="B3206" t="s">
        <v>6716</v>
      </c>
    </row>
    <row r="3207" spans="1:2" x14ac:dyDescent="0.25">
      <c r="A3207" t="s">
        <v>6717</v>
      </c>
      <c r="B3207" t="s">
        <v>6718</v>
      </c>
    </row>
    <row r="3208" spans="1:2" x14ac:dyDescent="0.25">
      <c r="A3208" t="s">
        <v>6719</v>
      </c>
      <c r="B3208" t="s">
        <v>6720</v>
      </c>
    </row>
    <row r="3209" spans="1:2" x14ac:dyDescent="0.25">
      <c r="A3209" t="s">
        <v>6721</v>
      </c>
      <c r="B3209" t="s">
        <v>6722</v>
      </c>
    </row>
    <row r="3210" spans="1:2" x14ac:dyDescent="0.25">
      <c r="A3210" t="s">
        <v>6723</v>
      </c>
      <c r="B3210" t="s">
        <v>6724</v>
      </c>
    </row>
    <row r="3211" spans="1:2" x14ac:dyDescent="0.25">
      <c r="A3211" t="s">
        <v>6725</v>
      </c>
      <c r="B3211" t="s">
        <v>6726</v>
      </c>
    </row>
    <row r="3212" spans="1:2" x14ac:dyDescent="0.25">
      <c r="A3212" t="s">
        <v>6727</v>
      </c>
      <c r="B3212" t="s">
        <v>6728</v>
      </c>
    </row>
    <row r="3213" spans="1:2" x14ac:dyDescent="0.25">
      <c r="A3213" t="s">
        <v>6729</v>
      </c>
      <c r="B3213" t="s">
        <v>6730</v>
      </c>
    </row>
    <row r="3214" spans="1:2" x14ac:dyDescent="0.25">
      <c r="A3214" t="s">
        <v>6731</v>
      </c>
      <c r="B3214" t="s">
        <v>6732</v>
      </c>
    </row>
    <row r="3215" spans="1:2" x14ac:dyDescent="0.25">
      <c r="A3215" t="s">
        <v>6733</v>
      </c>
      <c r="B3215" t="s">
        <v>6734</v>
      </c>
    </row>
    <row r="3216" spans="1:2" x14ac:dyDescent="0.25">
      <c r="A3216" t="s">
        <v>6735</v>
      </c>
      <c r="B3216" t="s">
        <v>6736</v>
      </c>
    </row>
    <row r="3217" spans="1:2" x14ac:dyDescent="0.25">
      <c r="A3217" t="s">
        <v>6737</v>
      </c>
      <c r="B3217" t="s">
        <v>6738</v>
      </c>
    </row>
    <row r="3218" spans="1:2" x14ac:dyDescent="0.25">
      <c r="A3218" t="s">
        <v>6739</v>
      </c>
      <c r="B3218" t="s">
        <v>6740</v>
      </c>
    </row>
    <row r="3219" spans="1:2" x14ac:dyDescent="0.25">
      <c r="A3219" t="s">
        <v>6741</v>
      </c>
      <c r="B3219" t="s">
        <v>6742</v>
      </c>
    </row>
    <row r="3220" spans="1:2" x14ac:dyDescent="0.25">
      <c r="A3220" t="s">
        <v>6743</v>
      </c>
      <c r="B3220" t="s">
        <v>6744</v>
      </c>
    </row>
    <row r="3221" spans="1:2" x14ac:dyDescent="0.25">
      <c r="A3221" t="s">
        <v>6745</v>
      </c>
      <c r="B3221" t="s">
        <v>6746</v>
      </c>
    </row>
    <row r="3222" spans="1:2" x14ac:dyDescent="0.25">
      <c r="A3222" t="s">
        <v>6747</v>
      </c>
      <c r="B3222" t="s">
        <v>690</v>
      </c>
    </row>
    <row r="3223" spans="1:2" x14ac:dyDescent="0.25">
      <c r="A3223" t="s">
        <v>6748</v>
      </c>
      <c r="B3223" t="s">
        <v>6749</v>
      </c>
    </row>
    <row r="3224" spans="1:2" x14ac:dyDescent="0.25">
      <c r="A3224" t="s">
        <v>6750</v>
      </c>
      <c r="B3224" t="s">
        <v>6751</v>
      </c>
    </row>
    <row r="3225" spans="1:2" x14ac:dyDescent="0.25">
      <c r="A3225" t="s">
        <v>6752</v>
      </c>
      <c r="B3225" t="s">
        <v>6753</v>
      </c>
    </row>
    <row r="3226" spans="1:2" x14ac:dyDescent="0.25">
      <c r="A3226" t="s">
        <v>6754</v>
      </c>
      <c r="B3226" t="s">
        <v>6755</v>
      </c>
    </row>
    <row r="3227" spans="1:2" x14ac:dyDescent="0.25">
      <c r="A3227" t="s">
        <v>6756</v>
      </c>
      <c r="B3227" t="s">
        <v>6757</v>
      </c>
    </row>
    <row r="3228" spans="1:2" x14ac:dyDescent="0.25">
      <c r="A3228" t="s">
        <v>6758</v>
      </c>
      <c r="B3228" t="s">
        <v>6759</v>
      </c>
    </row>
    <row r="3229" spans="1:2" x14ac:dyDescent="0.25">
      <c r="A3229" t="s">
        <v>6760</v>
      </c>
      <c r="B3229" t="s">
        <v>6761</v>
      </c>
    </row>
    <row r="3230" spans="1:2" x14ac:dyDescent="0.25">
      <c r="A3230" t="s">
        <v>6762</v>
      </c>
      <c r="B3230" t="s">
        <v>6763</v>
      </c>
    </row>
    <row r="3231" spans="1:2" x14ac:dyDescent="0.25">
      <c r="A3231" t="s">
        <v>6764</v>
      </c>
      <c r="B3231" t="s">
        <v>6765</v>
      </c>
    </row>
    <row r="3232" spans="1:2" x14ac:dyDescent="0.25">
      <c r="A3232" t="s">
        <v>6766</v>
      </c>
      <c r="B3232" t="s">
        <v>6767</v>
      </c>
    </row>
    <row r="3233" spans="1:2" x14ac:dyDescent="0.25">
      <c r="A3233" t="s">
        <v>6768</v>
      </c>
      <c r="B3233" t="s">
        <v>6769</v>
      </c>
    </row>
    <row r="3234" spans="1:2" x14ac:dyDescent="0.25">
      <c r="A3234" t="s">
        <v>6770</v>
      </c>
      <c r="B3234" t="s">
        <v>6771</v>
      </c>
    </row>
    <row r="3235" spans="1:2" x14ac:dyDescent="0.25">
      <c r="A3235" t="s">
        <v>6772</v>
      </c>
      <c r="B3235" t="s">
        <v>6773</v>
      </c>
    </row>
    <row r="3236" spans="1:2" x14ac:dyDescent="0.25">
      <c r="A3236" t="s">
        <v>6774</v>
      </c>
      <c r="B3236" t="s">
        <v>6775</v>
      </c>
    </row>
    <row r="3237" spans="1:2" x14ac:dyDescent="0.25">
      <c r="A3237" t="s">
        <v>6776</v>
      </c>
      <c r="B3237" t="s">
        <v>6777</v>
      </c>
    </row>
    <row r="3238" spans="1:2" x14ac:dyDescent="0.25">
      <c r="A3238" t="s">
        <v>6778</v>
      </c>
      <c r="B3238" t="s">
        <v>6779</v>
      </c>
    </row>
    <row r="3239" spans="1:2" x14ac:dyDescent="0.25">
      <c r="A3239" t="s">
        <v>6780</v>
      </c>
      <c r="B3239" t="s">
        <v>6781</v>
      </c>
    </row>
    <row r="3240" spans="1:2" x14ac:dyDescent="0.25">
      <c r="A3240" t="s">
        <v>6782</v>
      </c>
      <c r="B3240" t="s">
        <v>6783</v>
      </c>
    </row>
    <row r="3241" spans="1:2" x14ac:dyDescent="0.25">
      <c r="A3241" t="s">
        <v>6784</v>
      </c>
      <c r="B3241" t="s">
        <v>6785</v>
      </c>
    </row>
    <row r="3242" spans="1:2" x14ac:dyDescent="0.25">
      <c r="A3242" t="s">
        <v>6786</v>
      </c>
      <c r="B3242" t="s">
        <v>6787</v>
      </c>
    </row>
    <row r="3243" spans="1:2" x14ac:dyDescent="0.25">
      <c r="A3243" t="s">
        <v>6788</v>
      </c>
      <c r="B3243" t="s">
        <v>6789</v>
      </c>
    </row>
    <row r="3244" spans="1:2" x14ac:dyDescent="0.25">
      <c r="A3244" t="s">
        <v>6790</v>
      </c>
      <c r="B3244" t="s">
        <v>6791</v>
      </c>
    </row>
    <row r="3245" spans="1:2" x14ac:dyDescent="0.25">
      <c r="A3245" t="s">
        <v>6792</v>
      </c>
      <c r="B3245" t="s">
        <v>6793</v>
      </c>
    </row>
    <row r="3246" spans="1:2" x14ac:dyDescent="0.25">
      <c r="A3246" t="s">
        <v>6794</v>
      </c>
      <c r="B3246" t="s">
        <v>6795</v>
      </c>
    </row>
    <row r="3247" spans="1:2" x14ac:dyDescent="0.25">
      <c r="A3247" t="s">
        <v>6796</v>
      </c>
      <c r="B3247" t="s">
        <v>6797</v>
      </c>
    </row>
    <row r="3248" spans="1:2" x14ac:dyDescent="0.25">
      <c r="A3248" t="s">
        <v>6798</v>
      </c>
      <c r="B3248" t="s">
        <v>6799</v>
      </c>
    </row>
    <row r="3249" spans="1:2" x14ac:dyDescent="0.25">
      <c r="A3249" t="s">
        <v>6800</v>
      </c>
      <c r="B3249" t="s">
        <v>6801</v>
      </c>
    </row>
    <row r="3250" spans="1:2" x14ac:dyDescent="0.25">
      <c r="A3250" t="s">
        <v>6802</v>
      </c>
      <c r="B3250" t="s">
        <v>6803</v>
      </c>
    </row>
    <row r="3251" spans="1:2" x14ac:dyDescent="0.25">
      <c r="A3251" t="s">
        <v>6804</v>
      </c>
      <c r="B3251" t="s">
        <v>6805</v>
      </c>
    </row>
    <row r="3252" spans="1:2" x14ac:dyDescent="0.25">
      <c r="A3252" t="s">
        <v>6806</v>
      </c>
      <c r="B3252" t="s">
        <v>6807</v>
      </c>
    </row>
    <row r="3253" spans="1:2" x14ac:dyDescent="0.25">
      <c r="A3253" t="s">
        <v>6808</v>
      </c>
      <c r="B3253" t="s">
        <v>6809</v>
      </c>
    </row>
    <row r="3254" spans="1:2" x14ac:dyDescent="0.25">
      <c r="A3254" t="s">
        <v>6810</v>
      </c>
      <c r="B3254" t="s">
        <v>6811</v>
      </c>
    </row>
    <row r="3255" spans="1:2" x14ac:dyDescent="0.25">
      <c r="A3255" t="s">
        <v>6812</v>
      </c>
      <c r="B3255" t="s">
        <v>6813</v>
      </c>
    </row>
    <row r="3256" spans="1:2" x14ac:dyDescent="0.25">
      <c r="A3256" t="s">
        <v>6814</v>
      </c>
      <c r="B3256" t="s">
        <v>6815</v>
      </c>
    </row>
    <row r="3257" spans="1:2" x14ac:dyDescent="0.25">
      <c r="A3257" t="s">
        <v>6816</v>
      </c>
      <c r="B3257" t="s">
        <v>6817</v>
      </c>
    </row>
    <row r="3258" spans="1:2" x14ac:dyDescent="0.25">
      <c r="A3258" t="s">
        <v>6818</v>
      </c>
      <c r="B3258" t="s">
        <v>6819</v>
      </c>
    </row>
    <row r="3259" spans="1:2" x14ac:dyDescent="0.25">
      <c r="A3259" t="s">
        <v>6820</v>
      </c>
      <c r="B3259" t="s">
        <v>6821</v>
      </c>
    </row>
    <row r="3260" spans="1:2" x14ac:dyDescent="0.25">
      <c r="A3260" t="s">
        <v>6822</v>
      </c>
      <c r="B3260" t="s">
        <v>6823</v>
      </c>
    </row>
    <row r="3261" spans="1:2" x14ac:dyDescent="0.25">
      <c r="A3261" t="s">
        <v>6824</v>
      </c>
      <c r="B3261" t="s">
        <v>6825</v>
      </c>
    </row>
    <row r="3262" spans="1:2" x14ac:dyDescent="0.25">
      <c r="A3262" t="s">
        <v>6826</v>
      </c>
      <c r="B3262" t="s">
        <v>6827</v>
      </c>
    </row>
    <row r="3263" spans="1:2" x14ac:dyDescent="0.25">
      <c r="A3263" t="s">
        <v>6828</v>
      </c>
      <c r="B3263" t="s">
        <v>6829</v>
      </c>
    </row>
    <row r="3264" spans="1:2" x14ac:dyDescent="0.25">
      <c r="A3264" t="s">
        <v>6830</v>
      </c>
      <c r="B3264" t="s">
        <v>6831</v>
      </c>
    </row>
    <row r="3265" spans="1:2" x14ac:dyDescent="0.25">
      <c r="A3265" t="s">
        <v>6832</v>
      </c>
      <c r="B3265" t="s">
        <v>6833</v>
      </c>
    </row>
    <row r="3266" spans="1:2" x14ac:dyDescent="0.25">
      <c r="A3266" t="s">
        <v>6834</v>
      </c>
      <c r="B3266" t="s">
        <v>6835</v>
      </c>
    </row>
    <row r="3267" spans="1:2" x14ac:dyDescent="0.25">
      <c r="A3267" t="s">
        <v>6836</v>
      </c>
      <c r="B3267" t="s">
        <v>6837</v>
      </c>
    </row>
    <row r="3268" spans="1:2" x14ac:dyDescent="0.25">
      <c r="A3268" t="s">
        <v>6838</v>
      </c>
      <c r="B3268" t="s">
        <v>6839</v>
      </c>
    </row>
    <row r="3269" spans="1:2" x14ac:dyDescent="0.25">
      <c r="A3269" t="s">
        <v>6840</v>
      </c>
      <c r="B3269" t="s">
        <v>6841</v>
      </c>
    </row>
    <row r="3270" spans="1:2" x14ac:dyDescent="0.25">
      <c r="A3270" t="s">
        <v>6842</v>
      </c>
      <c r="B3270" t="s">
        <v>6843</v>
      </c>
    </row>
    <row r="3271" spans="1:2" x14ac:dyDescent="0.25">
      <c r="A3271" t="s">
        <v>6844</v>
      </c>
      <c r="B3271" t="s">
        <v>6845</v>
      </c>
    </row>
    <row r="3272" spans="1:2" x14ac:dyDescent="0.25">
      <c r="A3272" t="s">
        <v>6846</v>
      </c>
      <c r="B3272" t="s">
        <v>6847</v>
      </c>
    </row>
    <row r="3273" spans="1:2" x14ac:dyDescent="0.25">
      <c r="A3273" t="s">
        <v>6848</v>
      </c>
      <c r="B3273" t="s">
        <v>6849</v>
      </c>
    </row>
    <row r="3274" spans="1:2" x14ac:dyDescent="0.25">
      <c r="A3274" t="s">
        <v>6850</v>
      </c>
      <c r="B3274" t="s">
        <v>6851</v>
      </c>
    </row>
    <row r="3275" spans="1:2" x14ac:dyDescent="0.25">
      <c r="A3275" t="s">
        <v>6852</v>
      </c>
      <c r="B3275" t="s">
        <v>6853</v>
      </c>
    </row>
    <row r="3276" spans="1:2" x14ac:dyDescent="0.25">
      <c r="A3276" t="s">
        <v>6854</v>
      </c>
      <c r="B3276" t="s">
        <v>6855</v>
      </c>
    </row>
    <row r="3277" spans="1:2" x14ac:dyDescent="0.25">
      <c r="A3277" t="s">
        <v>6856</v>
      </c>
      <c r="B3277" t="s">
        <v>6857</v>
      </c>
    </row>
    <row r="3278" spans="1:2" x14ac:dyDescent="0.25">
      <c r="A3278" t="s">
        <v>6858</v>
      </c>
      <c r="B3278" t="s">
        <v>6859</v>
      </c>
    </row>
    <row r="3279" spans="1:2" x14ac:dyDescent="0.25">
      <c r="A3279" t="s">
        <v>6860</v>
      </c>
      <c r="B3279" t="s">
        <v>6861</v>
      </c>
    </row>
    <row r="3280" spans="1:2" x14ac:dyDescent="0.25">
      <c r="A3280" t="s">
        <v>6862</v>
      </c>
      <c r="B3280" t="s">
        <v>6863</v>
      </c>
    </row>
    <row r="3281" spans="1:2" x14ac:dyDescent="0.25">
      <c r="A3281" t="s">
        <v>6864</v>
      </c>
      <c r="B3281" t="s">
        <v>6865</v>
      </c>
    </row>
    <row r="3282" spans="1:2" x14ac:dyDescent="0.25">
      <c r="A3282" t="s">
        <v>6866</v>
      </c>
      <c r="B3282" t="s">
        <v>6867</v>
      </c>
    </row>
    <row r="3283" spans="1:2" x14ac:dyDescent="0.25">
      <c r="A3283" t="s">
        <v>6868</v>
      </c>
      <c r="B3283" t="s">
        <v>6869</v>
      </c>
    </row>
    <row r="3284" spans="1:2" x14ac:dyDescent="0.25">
      <c r="A3284" t="s">
        <v>6870</v>
      </c>
      <c r="B3284" t="s">
        <v>6871</v>
      </c>
    </row>
    <row r="3285" spans="1:2" x14ac:dyDescent="0.25">
      <c r="A3285" t="s">
        <v>6872</v>
      </c>
      <c r="B3285" t="s">
        <v>6873</v>
      </c>
    </row>
    <row r="3286" spans="1:2" x14ac:dyDescent="0.25">
      <c r="A3286" t="s">
        <v>6874</v>
      </c>
      <c r="B3286" t="s">
        <v>412</v>
      </c>
    </row>
    <row r="3287" spans="1:2" x14ac:dyDescent="0.25">
      <c r="A3287" t="s">
        <v>6875</v>
      </c>
      <c r="B3287" t="s">
        <v>6876</v>
      </c>
    </row>
    <row r="3288" spans="1:2" x14ac:dyDescent="0.25">
      <c r="A3288" t="s">
        <v>6877</v>
      </c>
      <c r="B3288" t="s">
        <v>6878</v>
      </c>
    </row>
    <row r="3289" spans="1:2" x14ac:dyDescent="0.25">
      <c r="A3289" t="s">
        <v>6879</v>
      </c>
      <c r="B3289" t="s">
        <v>6880</v>
      </c>
    </row>
    <row r="3290" spans="1:2" x14ac:dyDescent="0.25">
      <c r="A3290" t="s">
        <v>6881</v>
      </c>
      <c r="B3290" t="s">
        <v>6882</v>
      </c>
    </row>
    <row r="3291" spans="1:2" x14ac:dyDescent="0.25">
      <c r="A3291" t="s">
        <v>6883</v>
      </c>
      <c r="B3291" t="s">
        <v>6884</v>
      </c>
    </row>
    <row r="3292" spans="1:2" x14ac:dyDescent="0.25">
      <c r="A3292" t="s">
        <v>6885</v>
      </c>
      <c r="B3292" t="s">
        <v>6886</v>
      </c>
    </row>
    <row r="3293" spans="1:2" x14ac:dyDescent="0.25">
      <c r="A3293" t="s">
        <v>6887</v>
      </c>
      <c r="B3293" t="s">
        <v>6888</v>
      </c>
    </row>
    <row r="3294" spans="1:2" x14ac:dyDescent="0.25">
      <c r="A3294" t="s">
        <v>6889</v>
      </c>
      <c r="B3294" t="s">
        <v>6890</v>
      </c>
    </row>
    <row r="3295" spans="1:2" x14ac:dyDescent="0.25">
      <c r="A3295" t="s">
        <v>6891</v>
      </c>
      <c r="B3295" t="s">
        <v>6892</v>
      </c>
    </row>
    <row r="3296" spans="1:2" x14ac:dyDescent="0.25">
      <c r="A3296" t="s">
        <v>6893</v>
      </c>
      <c r="B3296" t="s">
        <v>6894</v>
      </c>
    </row>
    <row r="3297" spans="1:2" x14ac:dyDescent="0.25">
      <c r="A3297" t="s">
        <v>6895</v>
      </c>
      <c r="B3297" t="s">
        <v>6896</v>
      </c>
    </row>
    <row r="3298" spans="1:2" x14ac:dyDescent="0.25">
      <c r="A3298" t="s">
        <v>6897</v>
      </c>
      <c r="B3298" t="s">
        <v>6898</v>
      </c>
    </row>
    <row r="3299" spans="1:2" x14ac:dyDescent="0.25">
      <c r="A3299" t="s">
        <v>6899</v>
      </c>
      <c r="B3299" t="s">
        <v>6900</v>
      </c>
    </row>
    <row r="3300" spans="1:2" x14ac:dyDescent="0.25">
      <c r="A3300" t="s">
        <v>6901</v>
      </c>
      <c r="B3300" t="s">
        <v>6902</v>
      </c>
    </row>
    <row r="3301" spans="1:2" x14ac:dyDescent="0.25">
      <c r="A3301" t="s">
        <v>6903</v>
      </c>
      <c r="B3301" t="s">
        <v>6904</v>
      </c>
    </row>
    <row r="3302" spans="1:2" x14ac:dyDescent="0.25">
      <c r="A3302" t="s">
        <v>6905</v>
      </c>
      <c r="B3302" t="s">
        <v>6906</v>
      </c>
    </row>
    <row r="3303" spans="1:2" x14ac:dyDescent="0.25">
      <c r="A3303" t="s">
        <v>6907</v>
      </c>
      <c r="B3303" t="s">
        <v>6908</v>
      </c>
    </row>
    <row r="3304" spans="1:2" x14ac:dyDescent="0.25">
      <c r="A3304" t="s">
        <v>6909</v>
      </c>
      <c r="B3304" t="s">
        <v>6910</v>
      </c>
    </row>
    <row r="3305" spans="1:2" x14ac:dyDescent="0.25">
      <c r="A3305" t="s">
        <v>6911</v>
      </c>
      <c r="B3305" t="s">
        <v>413</v>
      </c>
    </row>
    <row r="3306" spans="1:2" x14ac:dyDescent="0.25">
      <c r="A3306" t="s">
        <v>6912</v>
      </c>
      <c r="B3306" t="s">
        <v>6913</v>
      </c>
    </row>
    <row r="3307" spans="1:2" x14ac:dyDescent="0.25">
      <c r="A3307" t="s">
        <v>6914</v>
      </c>
      <c r="B3307" t="s">
        <v>6915</v>
      </c>
    </row>
    <row r="3308" spans="1:2" x14ac:dyDescent="0.25">
      <c r="A3308" t="s">
        <v>6916</v>
      </c>
      <c r="B3308" t="s">
        <v>6917</v>
      </c>
    </row>
    <row r="3309" spans="1:2" x14ac:dyDescent="0.25">
      <c r="A3309" t="s">
        <v>6918</v>
      </c>
      <c r="B3309" t="s">
        <v>6919</v>
      </c>
    </row>
    <row r="3310" spans="1:2" x14ac:dyDescent="0.25">
      <c r="A3310" t="s">
        <v>6920</v>
      </c>
      <c r="B3310" t="s">
        <v>6921</v>
      </c>
    </row>
    <row r="3311" spans="1:2" x14ac:dyDescent="0.25">
      <c r="A3311" t="s">
        <v>6922</v>
      </c>
      <c r="B3311" t="s">
        <v>6923</v>
      </c>
    </row>
    <row r="3312" spans="1:2" x14ac:dyDescent="0.25">
      <c r="A3312" t="s">
        <v>6924</v>
      </c>
      <c r="B3312" t="s">
        <v>6925</v>
      </c>
    </row>
    <row r="3313" spans="1:2" x14ac:dyDescent="0.25">
      <c r="A3313" t="s">
        <v>6926</v>
      </c>
      <c r="B3313" t="s">
        <v>414</v>
      </c>
    </row>
    <row r="3314" spans="1:2" x14ac:dyDescent="0.25">
      <c r="A3314" t="s">
        <v>6927</v>
      </c>
      <c r="B3314" t="s">
        <v>6928</v>
      </c>
    </row>
    <row r="3315" spans="1:2" x14ac:dyDescent="0.25">
      <c r="A3315" t="s">
        <v>6929</v>
      </c>
      <c r="B3315" t="s">
        <v>6930</v>
      </c>
    </row>
    <row r="3316" spans="1:2" x14ac:dyDescent="0.25">
      <c r="A3316" t="s">
        <v>6931</v>
      </c>
      <c r="B3316" t="s">
        <v>6932</v>
      </c>
    </row>
    <row r="3317" spans="1:2" x14ac:dyDescent="0.25">
      <c r="A3317" t="s">
        <v>6933</v>
      </c>
      <c r="B3317" t="s">
        <v>6934</v>
      </c>
    </row>
    <row r="3318" spans="1:2" x14ac:dyDescent="0.25">
      <c r="A3318" t="s">
        <v>6935</v>
      </c>
      <c r="B3318" t="s">
        <v>6936</v>
      </c>
    </row>
    <row r="3319" spans="1:2" x14ac:dyDescent="0.25">
      <c r="A3319" t="s">
        <v>6937</v>
      </c>
      <c r="B3319" t="s">
        <v>6938</v>
      </c>
    </row>
    <row r="3320" spans="1:2" x14ac:dyDescent="0.25">
      <c r="A3320" t="s">
        <v>6939</v>
      </c>
      <c r="B3320" t="s">
        <v>6940</v>
      </c>
    </row>
    <row r="3321" spans="1:2" x14ac:dyDescent="0.25">
      <c r="A3321" t="s">
        <v>6941</v>
      </c>
      <c r="B3321" t="s">
        <v>6942</v>
      </c>
    </row>
    <row r="3322" spans="1:2" x14ac:dyDescent="0.25">
      <c r="A3322" t="s">
        <v>6943</v>
      </c>
      <c r="B3322" t="s">
        <v>6944</v>
      </c>
    </row>
    <row r="3323" spans="1:2" x14ac:dyDescent="0.25">
      <c r="A3323" t="s">
        <v>6945</v>
      </c>
      <c r="B3323" t="s">
        <v>6946</v>
      </c>
    </row>
    <row r="3324" spans="1:2" x14ac:dyDescent="0.25">
      <c r="A3324" t="s">
        <v>6947</v>
      </c>
      <c r="B3324" t="s">
        <v>6948</v>
      </c>
    </row>
    <row r="3325" spans="1:2" x14ac:dyDescent="0.25">
      <c r="A3325" t="s">
        <v>6949</v>
      </c>
      <c r="B3325" t="s">
        <v>6950</v>
      </c>
    </row>
    <row r="3326" spans="1:2" x14ac:dyDescent="0.25">
      <c r="A3326" t="s">
        <v>6951</v>
      </c>
      <c r="B3326" t="s">
        <v>6952</v>
      </c>
    </row>
    <row r="3327" spans="1:2" x14ac:dyDescent="0.25">
      <c r="A3327" t="s">
        <v>6953</v>
      </c>
      <c r="B3327" t="s">
        <v>6954</v>
      </c>
    </row>
    <row r="3328" spans="1:2" x14ac:dyDescent="0.25">
      <c r="A3328" t="s">
        <v>6955</v>
      </c>
      <c r="B3328" t="s">
        <v>415</v>
      </c>
    </row>
    <row r="3329" spans="1:2" x14ac:dyDescent="0.25">
      <c r="A3329" t="s">
        <v>6956</v>
      </c>
      <c r="B3329" t="s">
        <v>6957</v>
      </c>
    </row>
    <row r="3330" spans="1:2" x14ac:dyDescent="0.25">
      <c r="A3330" t="s">
        <v>6958</v>
      </c>
      <c r="B3330" t="s">
        <v>6959</v>
      </c>
    </row>
    <row r="3331" spans="1:2" x14ac:dyDescent="0.25">
      <c r="A3331" t="s">
        <v>6960</v>
      </c>
      <c r="B3331" t="s">
        <v>6961</v>
      </c>
    </row>
    <row r="3332" spans="1:2" x14ac:dyDescent="0.25">
      <c r="A3332" t="s">
        <v>6962</v>
      </c>
      <c r="B3332" t="s">
        <v>6963</v>
      </c>
    </row>
    <row r="3333" spans="1:2" x14ac:dyDescent="0.25">
      <c r="A3333" t="s">
        <v>6964</v>
      </c>
      <c r="B3333" t="s">
        <v>6965</v>
      </c>
    </row>
    <row r="3334" spans="1:2" x14ac:dyDescent="0.25">
      <c r="A3334" t="s">
        <v>6966</v>
      </c>
      <c r="B3334" t="s">
        <v>6967</v>
      </c>
    </row>
    <row r="3335" spans="1:2" x14ac:dyDescent="0.25">
      <c r="A3335" t="s">
        <v>6968</v>
      </c>
      <c r="B3335" t="s">
        <v>517</v>
      </c>
    </row>
    <row r="3336" spans="1:2" x14ac:dyDescent="0.25">
      <c r="A3336" t="s">
        <v>6969</v>
      </c>
      <c r="B3336" t="s">
        <v>6970</v>
      </c>
    </row>
    <row r="3337" spans="1:2" x14ac:dyDescent="0.25">
      <c r="A3337" t="s">
        <v>6971</v>
      </c>
      <c r="B3337" t="s">
        <v>6972</v>
      </c>
    </row>
    <row r="3338" spans="1:2" x14ac:dyDescent="0.25">
      <c r="A3338" t="s">
        <v>6973</v>
      </c>
      <c r="B3338" t="s">
        <v>6974</v>
      </c>
    </row>
    <row r="3339" spans="1:2" x14ac:dyDescent="0.25">
      <c r="A3339" t="s">
        <v>6975</v>
      </c>
      <c r="B3339" t="s">
        <v>6976</v>
      </c>
    </row>
    <row r="3340" spans="1:2" x14ac:dyDescent="0.25">
      <c r="A3340" t="s">
        <v>6977</v>
      </c>
      <c r="B3340" t="s">
        <v>6978</v>
      </c>
    </row>
    <row r="3341" spans="1:2" x14ac:dyDescent="0.25">
      <c r="A3341" t="s">
        <v>6979</v>
      </c>
      <c r="B3341" t="s">
        <v>6980</v>
      </c>
    </row>
    <row r="3342" spans="1:2" x14ac:dyDescent="0.25">
      <c r="A3342" t="s">
        <v>6981</v>
      </c>
      <c r="B3342" t="s">
        <v>601</v>
      </c>
    </row>
    <row r="3343" spans="1:2" x14ac:dyDescent="0.25">
      <c r="A3343" t="s">
        <v>6982</v>
      </c>
      <c r="B3343" t="s">
        <v>6983</v>
      </c>
    </row>
    <row r="3344" spans="1:2" x14ac:dyDescent="0.25">
      <c r="A3344" t="s">
        <v>6984</v>
      </c>
      <c r="B3344" t="s">
        <v>6985</v>
      </c>
    </row>
    <row r="3345" spans="1:2" x14ac:dyDescent="0.25">
      <c r="A3345" t="s">
        <v>6986</v>
      </c>
      <c r="B3345" t="s">
        <v>6987</v>
      </c>
    </row>
    <row r="3346" spans="1:2" x14ac:dyDescent="0.25">
      <c r="A3346" t="s">
        <v>6988</v>
      </c>
      <c r="B3346" t="s">
        <v>6989</v>
      </c>
    </row>
    <row r="3347" spans="1:2" x14ac:dyDescent="0.25">
      <c r="A3347" t="s">
        <v>6990</v>
      </c>
      <c r="B3347" t="s">
        <v>6991</v>
      </c>
    </row>
    <row r="3348" spans="1:2" x14ac:dyDescent="0.25">
      <c r="A3348" t="s">
        <v>6992</v>
      </c>
      <c r="B3348" t="s">
        <v>6993</v>
      </c>
    </row>
    <row r="3349" spans="1:2" x14ac:dyDescent="0.25">
      <c r="A3349" t="s">
        <v>6994</v>
      </c>
      <c r="B3349" t="s">
        <v>6995</v>
      </c>
    </row>
    <row r="3350" spans="1:2" x14ac:dyDescent="0.25">
      <c r="A3350" t="s">
        <v>6996</v>
      </c>
      <c r="B3350" t="s">
        <v>6997</v>
      </c>
    </row>
    <row r="3351" spans="1:2" x14ac:dyDescent="0.25">
      <c r="A3351" t="s">
        <v>6998</v>
      </c>
      <c r="B3351" t="s">
        <v>6999</v>
      </c>
    </row>
    <row r="3352" spans="1:2" x14ac:dyDescent="0.25">
      <c r="A3352" t="s">
        <v>7000</v>
      </c>
      <c r="B3352" t="s">
        <v>7001</v>
      </c>
    </row>
    <row r="3353" spans="1:2" x14ac:dyDescent="0.25">
      <c r="A3353" t="s">
        <v>7002</v>
      </c>
      <c r="B3353" t="s">
        <v>7003</v>
      </c>
    </row>
    <row r="3354" spans="1:2" x14ac:dyDescent="0.25">
      <c r="A3354" t="s">
        <v>7004</v>
      </c>
      <c r="B3354" t="s">
        <v>7005</v>
      </c>
    </row>
    <row r="3355" spans="1:2" x14ac:dyDescent="0.25">
      <c r="A3355" t="s">
        <v>7006</v>
      </c>
      <c r="B3355" t="s">
        <v>7007</v>
      </c>
    </row>
    <row r="3356" spans="1:2" x14ac:dyDescent="0.25">
      <c r="A3356" t="s">
        <v>7008</v>
      </c>
      <c r="B3356" t="s">
        <v>7009</v>
      </c>
    </row>
    <row r="3357" spans="1:2" x14ac:dyDescent="0.25">
      <c r="A3357" t="s">
        <v>7010</v>
      </c>
      <c r="B3357" t="s">
        <v>7011</v>
      </c>
    </row>
    <row r="3358" spans="1:2" x14ac:dyDescent="0.25">
      <c r="A3358" t="s">
        <v>7012</v>
      </c>
      <c r="B3358" t="s">
        <v>7013</v>
      </c>
    </row>
    <row r="3359" spans="1:2" x14ac:dyDescent="0.25">
      <c r="A3359" t="s">
        <v>7014</v>
      </c>
      <c r="B3359" t="s">
        <v>7015</v>
      </c>
    </row>
    <row r="3360" spans="1:2" x14ac:dyDescent="0.25">
      <c r="A3360" t="s">
        <v>7016</v>
      </c>
      <c r="B3360" t="s">
        <v>7017</v>
      </c>
    </row>
    <row r="3361" spans="1:2" x14ac:dyDescent="0.25">
      <c r="A3361" t="s">
        <v>7018</v>
      </c>
      <c r="B3361" t="s">
        <v>7019</v>
      </c>
    </row>
    <row r="3362" spans="1:2" x14ac:dyDescent="0.25">
      <c r="A3362" t="s">
        <v>7020</v>
      </c>
      <c r="B3362" t="s">
        <v>7021</v>
      </c>
    </row>
    <row r="3363" spans="1:2" x14ac:dyDescent="0.25">
      <c r="A3363" t="s">
        <v>7022</v>
      </c>
      <c r="B3363" t="s">
        <v>7023</v>
      </c>
    </row>
    <row r="3364" spans="1:2" x14ac:dyDescent="0.25">
      <c r="A3364" t="s">
        <v>7024</v>
      </c>
      <c r="B3364" t="s">
        <v>7025</v>
      </c>
    </row>
    <row r="3365" spans="1:2" x14ac:dyDescent="0.25">
      <c r="A3365" t="s">
        <v>7026</v>
      </c>
      <c r="B3365" t="s">
        <v>7027</v>
      </c>
    </row>
    <row r="3366" spans="1:2" x14ac:dyDescent="0.25">
      <c r="A3366" t="s">
        <v>7028</v>
      </c>
      <c r="B3366" t="s">
        <v>7029</v>
      </c>
    </row>
    <row r="3367" spans="1:2" x14ac:dyDescent="0.25">
      <c r="A3367" t="s">
        <v>7030</v>
      </c>
      <c r="B3367" t="s">
        <v>7031</v>
      </c>
    </row>
    <row r="3368" spans="1:2" x14ac:dyDescent="0.25">
      <c r="A3368" t="s">
        <v>7032</v>
      </c>
      <c r="B3368" t="s">
        <v>7033</v>
      </c>
    </row>
    <row r="3369" spans="1:2" x14ac:dyDescent="0.25">
      <c r="A3369" t="s">
        <v>7034</v>
      </c>
      <c r="B3369" t="s">
        <v>7035</v>
      </c>
    </row>
    <row r="3370" spans="1:2" x14ac:dyDescent="0.25">
      <c r="A3370" t="s">
        <v>7036</v>
      </c>
      <c r="B3370" t="s">
        <v>7037</v>
      </c>
    </row>
    <row r="3371" spans="1:2" x14ac:dyDescent="0.25">
      <c r="A3371" t="s">
        <v>7038</v>
      </c>
      <c r="B3371" t="s">
        <v>754</v>
      </c>
    </row>
    <row r="3372" spans="1:2" x14ac:dyDescent="0.25">
      <c r="A3372" t="s">
        <v>7039</v>
      </c>
      <c r="B3372" t="s">
        <v>7040</v>
      </c>
    </row>
    <row r="3373" spans="1:2" x14ac:dyDescent="0.25">
      <c r="A3373" t="s">
        <v>7041</v>
      </c>
      <c r="B3373" t="s">
        <v>7042</v>
      </c>
    </row>
    <row r="3374" spans="1:2" x14ac:dyDescent="0.25">
      <c r="A3374" t="s">
        <v>7043</v>
      </c>
      <c r="B3374" t="s">
        <v>7044</v>
      </c>
    </row>
    <row r="3375" spans="1:2" x14ac:dyDescent="0.25">
      <c r="A3375" t="s">
        <v>7045</v>
      </c>
      <c r="B3375" t="s">
        <v>7046</v>
      </c>
    </row>
    <row r="3376" spans="1:2" x14ac:dyDescent="0.25">
      <c r="A3376" t="s">
        <v>7047</v>
      </c>
      <c r="B3376" t="s">
        <v>7048</v>
      </c>
    </row>
    <row r="3377" spans="1:2" x14ac:dyDescent="0.25">
      <c r="A3377" t="s">
        <v>7049</v>
      </c>
      <c r="B3377" t="s">
        <v>7050</v>
      </c>
    </row>
    <row r="3378" spans="1:2" x14ac:dyDescent="0.25">
      <c r="A3378" t="s">
        <v>7051</v>
      </c>
      <c r="B3378" t="s">
        <v>7052</v>
      </c>
    </row>
    <row r="3379" spans="1:2" x14ac:dyDescent="0.25">
      <c r="A3379" t="s">
        <v>7053</v>
      </c>
      <c r="B3379" t="s">
        <v>7054</v>
      </c>
    </row>
    <row r="3380" spans="1:2" x14ac:dyDescent="0.25">
      <c r="A3380" t="s">
        <v>7055</v>
      </c>
      <c r="B3380" t="s">
        <v>7056</v>
      </c>
    </row>
    <row r="3381" spans="1:2" x14ac:dyDescent="0.25">
      <c r="A3381" t="s">
        <v>7057</v>
      </c>
      <c r="B3381" t="s">
        <v>7058</v>
      </c>
    </row>
    <row r="3382" spans="1:2" x14ac:dyDescent="0.25">
      <c r="A3382" t="s">
        <v>7059</v>
      </c>
      <c r="B3382" t="s">
        <v>7060</v>
      </c>
    </row>
    <row r="3383" spans="1:2" x14ac:dyDescent="0.25">
      <c r="A3383" t="s">
        <v>7061</v>
      </c>
      <c r="B3383" t="s">
        <v>7062</v>
      </c>
    </row>
    <row r="3384" spans="1:2" x14ac:dyDescent="0.25">
      <c r="A3384" t="s">
        <v>7063</v>
      </c>
      <c r="B3384" t="s">
        <v>286</v>
      </c>
    </row>
    <row r="3385" spans="1:2" x14ac:dyDescent="0.25">
      <c r="A3385" t="s">
        <v>7064</v>
      </c>
      <c r="B3385" t="s">
        <v>7065</v>
      </c>
    </row>
    <row r="3386" spans="1:2" x14ac:dyDescent="0.25">
      <c r="A3386" t="s">
        <v>7066</v>
      </c>
      <c r="B3386" t="s">
        <v>7067</v>
      </c>
    </row>
    <row r="3387" spans="1:2" x14ac:dyDescent="0.25">
      <c r="A3387" t="s">
        <v>7068</v>
      </c>
      <c r="B3387" t="s">
        <v>7069</v>
      </c>
    </row>
    <row r="3388" spans="1:2" x14ac:dyDescent="0.25">
      <c r="A3388" t="s">
        <v>7070</v>
      </c>
      <c r="B3388" t="s">
        <v>7071</v>
      </c>
    </row>
    <row r="3389" spans="1:2" x14ac:dyDescent="0.25">
      <c r="A3389" t="s">
        <v>7072</v>
      </c>
      <c r="B3389" t="s">
        <v>7073</v>
      </c>
    </row>
    <row r="3390" spans="1:2" x14ac:dyDescent="0.25">
      <c r="A3390" t="s">
        <v>7074</v>
      </c>
      <c r="B3390" t="s">
        <v>7075</v>
      </c>
    </row>
    <row r="3391" spans="1:2" x14ac:dyDescent="0.25">
      <c r="A3391" t="s">
        <v>7076</v>
      </c>
      <c r="B3391" t="s">
        <v>7077</v>
      </c>
    </row>
    <row r="3392" spans="1:2" x14ac:dyDescent="0.25">
      <c r="A3392" t="s">
        <v>7078</v>
      </c>
      <c r="B3392" t="s">
        <v>7079</v>
      </c>
    </row>
    <row r="3393" spans="1:2" x14ac:dyDescent="0.25">
      <c r="A3393" t="s">
        <v>7080</v>
      </c>
      <c r="B3393" t="s">
        <v>7081</v>
      </c>
    </row>
    <row r="3394" spans="1:2" x14ac:dyDescent="0.25">
      <c r="A3394" t="s">
        <v>7082</v>
      </c>
      <c r="B3394" t="s">
        <v>7083</v>
      </c>
    </row>
    <row r="3395" spans="1:2" x14ac:dyDescent="0.25">
      <c r="A3395" t="s">
        <v>7084</v>
      </c>
      <c r="B3395" t="s">
        <v>7085</v>
      </c>
    </row>
    <row r="3396" spans="1:2" x14ac:dyDescent="0.25">
      <c r="A3396" t="s">
        <v>7086</v>
      </c>
      <c r="B3396" t="s">
        <v>7087</v>
      </c>
    </row>
    <row r="3397" spans="1:2" x14ac:dyDescent="0.25">
      <c r="A3397" t="s">
        <v>7088</v>
      </c>
      <c r="B3397" t="s">
        <v>7089</v>
      </c>
    </row>
    <row r="3398" spans="1:2" x14ac:dyDescent="0.25">
      <c r="A3398" t="s">
        <v>7090</v>
      </c>
      <c r="B3398" t="s">
        <v>7091</v>
      </c>
    </row>
    <row r="3399" spans="1:2" x14ac:dyDescent="0.25">
      <c r="A3399" t="s">
        <v>7092</v>
      </c>
      <c r="B3399" t="s">
        <v>7093</v>
      </c>
    </row>
    <row r="3400" spans="1:2" x14ac:dyDescent="0.25">
      <c r="A3400" t="s">
        <v>7094</v>
      </c>
      <c r="B3400" t="s">
        <v>7095</v>
      </c>
    </row>
    <row r="3401" spans="1:2" x14ac:dyDescent="0.25">
      <c r="A3401" t="s">
        <v>7096</v>
      </c>
      <c r="B3401" t="s">
        <v>7097</v>
      </c>
    </row>
    <row r="3402" spans="1:2" x14ac:dyDescent="0.25">
      <c r="A3402" t="s">
        <v>7098</v>
      </c>
      <c r="B3402" t="s">
        <v>756</v>
      </c>
    </row>
    <row r="3403" spans="1:2" x14ac:dyDescent="0.25">
      <c r="A3403" t="s">
        <v>7099</v>
      </c>
      <c r="B3403" t="s">
        <v>7100</v>
      </c>
    </row>
    <row r="3404" spans="1:2" x14ac:dyDescent="0.25">
      <c r="A3404" t="s">
        <v>7101</v>
      </c>
      <c r="B3404" t="s">
        <v>7102</v>
      </c>
    </row>
    <row r="3405" spans="1:2" x14ac:dyDescent="0.25">
      <c r="A3405" t="s">
        <v>7103</v>
      </c>
      <c r="B3405" t="s">
        <v>7104</v>
      </c>
    </row>
    <row r="3406" spans="1:2" x14ac:dyDescent="0.25">
      <c r="A3406" t="s">
        <v>7105</v>
      </c>
      <c r="B3406" t="s">
        <v>7106</v>
      </c>
    </row>
    <row r="3407" spans="1:2" x14ac:dyDescent="0.25">
      <c r="A3407" t="s">
        <v>7107</v>
      </c>
      <c r="B3407" t="s">
        <v>7108</v>
      </c>
    </row>
    <row r="3408" spans="1:2" x14ac:dyDescent="0.25">
      <c r="A3408" t="s">
        <v>7109</v>
      </c>
      <c r="B3408" t="s">
        <v>7110</v>
      </c>
    </row>
    <row r="3409" spans="1:2" x14ac:dyDescent="0.25">
      <c r="A3409" t="s">
        <v>7111</v>
      </c>
      <c r="B3409" t="s">
        <v>294</v>
      </c>
    </row>
    <row r="3410" spans="1:2" x14ac:dyDescent="0.25">
      <c r="A3410" t="s">
        <v>7112</v>
      </c>
      <c r="B3410" t="s">
        <v>758</v>
      </c>
    </row>
    <row r="3411" spans="1:2" x14ac:dyDescent="0.25">
      <c r="A3411" t="s">
        <v>7113</v>
      </c>
      <c r="B3411" t="s">
        <v>7114</v>
      </c>
    </row>
    <row r="3412" spans="1:2" x14ac:dyDescent="0.25">
      <c r="A3412" t="s">
        <v>7115</v>
      </c>
      <c r="B3412" t="s">
        <v>7116</v>
      </c>
    </row>
    <row r="3413" spans="1:2" x14ac:dyDescent="0.25">
      <c r="A3413" t="s">
        <v>7117</v>
      </c>
      <c r="B3413" t="s">
        <v>7118</v>
      </c>
    </row>
    <row r="3414" spans="1:2" x14ac:dyDescent="0.25">
      <c r="A3414" t="s">
        <v>7119</v>
      </c>
      <c r="B3414" t="s">
        <v>420</v>
      </c>
    </row>
    <row r="3415" spans="1:2" x14ac:dyDescent="0.25">
      <c r="A3415" t="s">
        <v>7120</v>
      </c>
      <c r="B3415" t="s">
        <v>7121</v>
      </c>
    </row>
    <row r="3416" spans="1:2" x14ac:dyDescent="0.25">
      <c r="A3416" t="s">
        <v>7122</v>
      </c>
      <c r="B3416" t="s">
        <v>7123</v>
      </c>
    </row>
    <row r="3417" spans="1:2" x14ac:dyDescent="0.25">
      <c r="A3417" t="s">
        <v>7124</v>
      </c>
      <c r="B3417" t="s">
        <v>7125</v>
      </c>
    </row>
    <row r="3418" spans="1:2" x14ac:dyDescent="0.25">
      <c r="A3418" t="s">
        <v>7126</v>
      </c>
      <c r="B3418" t="s">
        <v>7127</v>
      </c>
    </row>
    <row r="3419" spans="1:2" x14ac:dyDescent="0.25">
      <c r="A3419" t="s">
        <v>7128</v>
      </c>
      <c r="B3419" t="s">
        <v>570</v>
      </c>
    </row>
    <row r="3420" spans="1:2" x14ac:dyDescent="0.25">
      <c r="A3420" t="s">
        <v>7129</v>
      </c>
      <c r="B3420" t="s">
        <v>7130</v>
      </c>
    </row>
    <row r="3421" spans="1:2" x14ac:dyDescent="0.25">
      <c r="A3421" t="s">
        <v>7131</v>
      </c>
      <c r="B3421" t="s">
        <v>7132</v>
      </c>
    </row>
    <row r="3422" spans="1:2" x14ac:dyDescent="0.25">
      <c r="A3422" t="s">
        <v>7133</v>
      </c>
      <c r="B3422" t="s">
        <v>7134</v>
      </c>
    </row>
    <row r="3423" spans="1:2" x14ac:dyDescent="0.25">
      <c r="A3423" t="s">
        <v>7135</v>
      </c>
      <c r="B3423" t="s">
        <v>7136</v>
      </c>
    </row>
    <row r="3424" spans="1:2" x14ac:dyDescent="0.25">
      <c r="A3424" t="s">
        <v>7137</v>
      </c>
      <c r="B3424" t="s">
        <v>7138</v>
      </c>
    </row>
    <row r="3425" spans="1:2" x14ac:dyDescent="0.25">
      <c r="A3425" t="s">
        <v>7139</v>
      </c>
      <c r="B3425" t="s">
        <v>7140</v>
      </c>
    </row>
    <row r="3426" spans="1:2" x14ac:dyDescent="0.25">
      <c r="A3426" t="s">
        <v>7141</v>
      </c>
      <c r="B3426" t="s">
        <v>7142</v>
      </c>
    </row>
    <row r="3427" spans="1:2" x14ac:dyDescent="0.25">
      <c r="A3427" t="s">
        <v>7143</v>
      </c>
      <c r="B3427" t="s">
        <v>7144</v>
      </c>
    </row>
    <row r="3428" spans="1:2" x14ac:dyDescent="0.25">
      <c r="A3428" t="s">
        <v>7145</v>
      </c>
      <c r="B3428" t="s">
        <v>7146</v>
      </c>
    </row>
    <row r="3429" spans="1:2" x14ac:dyDescent="0.25">
      <c r="A3429" t="s">
        <v>7147</v>
      </c>
      <c r="B3429" t="s">
        <v>7148</v>
      </c>
    </row>
    <row r="3430" spans="1:2" x14ac:dyDescent="0.25">
      <c r="A3430" t="s">
        <v>7149</v>
      </c>
      <c r="B3430" t="s">
        <v>7150</v>
      </c>
    </row>
    <row r="3431" spans="1:2" x14ac:dyDescent="0.25">
      <c r="A3431" t="s">
        <v>7151</v>
      </c>
      <c r="B3431" t="s">
        <v>7152</v>
      </c>
    </row>
    <row r="3432" spans="1:2" x14ac:dyDescent="0.25">
      <c r="A3432" t="s">
        <v>7153</v>
      </c>
      <c r="B3432" t="s">
        <v>7154</v>
      </c>
    </row>
    <row r="3433" spans="1:2" x14ac:dyDescent="0.25">
      <c r="A3433" t="s">
        <v>7155</v>
      </c>
      <c r="B3433" t="s">
        <v>7156</v>
      </c>
    </row>
    <row r="3434" spans="1:2" x14ac:dyDescent="0.25">
      <c r="A3434" t="s">
        <v>7157</v>
      </c>
      <c r="B3434" t="s">
        <v>7158</v>
      </c>
    </row>
    <row r="3435" spans="1:2" x14ac:dyDescent="0.25">
      <c r="A3435" t="s">
        <v>7159</v>
      </c>
      <c r="B3435" t="s">
        <v>7160</v>
      </c>
    </row>
    <row r="3436" spans="1:2" x14ac:dyDescent="0.25">
      <c r="A3436" t="s">
        <v>7161</v>
      </c>
      <c r="B3436" t="s">
        <v>7162</v>
      </c>
    </row>
    <row r="3437" spans="1:2" x14ac:dyDescent="0.25">
      <c r="A3437" t="s">
        <v>7163</v>
      </c>
      <c r="B3437" t="s">
        <v>7164</v>
      </c>
    </row>
    <row r="3438" spans="1:2" x14ac:dyDescent="0.25">
      <c r="A3438" t="s">
        <v>7165</v>
      </c>
      <c r="B3438" t="s">
        <v>7166</v>
      </c>
    </row>
    <row r="3439" spans="1:2" x14ac:dyDescent="0.25">
      <c r="A3439" t="s">
        <v>7167</v>
      </c>
      <c r="B3439" t="s">
        <v>7168</v>
      </c>
    </row>
    <row r="3440" spans="1:2" x14ac:dyDescent="0.25">
      <c r="A3440" t="s">
        <v>7169</v>
      </c>
      <c r="B3440" t="s">
        <v>7170</v>
      </c>
    </row>
    <row r="3441" spans="1:2" x14ac:dyDescent="0.25">
      <c r="A3441" t="s">
        <v>7171</v>
      </c>
      <c r="B3441" t="s">
        <v>7172</v>
      </c>
    </row>
    <row r="3442" spans="1:2" x14ac:dyDescent="0.25">
      <c r="A3442" t="s">
        <v>7173</v>
      </c>
      <c r="B3442" t="s">
        <v>7174</v>
      </c>
    </row>
    <row r="3443" spans="1:2" x14ac:dyDescent="0.25">
      <c r="A3443" t="s">
        <v>7175</v>
      </c>
      <c r="B3443" t="s">
        <v>7176</v>
      </c>
    </row>
    <row r="3444" spans="1:2" x14ac:dyDescent="0.25">
      <c r="A3444" t="s">
        <v>7177</v>
      </c>
      <c r="B3444" t="s">
        <v>7178</v>
      </c>
    </row>
    <row r="3445" spans="1:2" x14ac:dyDescent="0.25">
      <c r="A3445" t="s">
        <v>7179</v>
      </c>
      <c r="B3445" t="s">
        <v>7180</v>
      </c>
    </row>
    <row r="3446" spans="1:2" x14ac:dyDescent="0.25">
      <c r="A3446" t="s">
        <v>7181</v>
      </c>
      <c r="B3446" t="s">
        <v>7182</v>
      </c>
    </row>
    <row r="3447" spans="1:2" x14ac:dyDescent="0.25">
      <c r="A3447" t="s">
        <v>7183</v>
      </c>
      <c r="B3447" t="s">
        <v>7184</v>
      </c>
    </row>
    <row r="3448" spans="1:2" x14ac:dyDescent="0.25">
      <c r="A3448" t="s">
        <v>7185</v>
      </c>
      <c r="B3448" t="s">
        <v>7186</v>
      </c>
    </row>
    <row r="3449" spans="1:2" x14ac:dyDescent="0.25">
      <c r="A3449" t="s">
        <v>7187</v>
      </c>
      <c r="B3449" t="s">
        <v>7188</v>
      </c>
    </row>
    <row r="3450" spans="1:2" x14ac:dyDescent="0.25">
      <c r="A3450" t="s">
        <v>7189</v>
      </c>
      <c r="B3450" t="s">
        <v>421</v>
      </c>
    </row>
    <row r="3451" spans="1:2" x14ac:dyDescent="0.25">
      <c r="A3451" t="s">
        <v>7190</v>
      </c>
      <c r="B3451" t="s">
        <v>7191</v>
      </c>
    </row>
    <row r="3452" spans="1:2" x14ac:dyDescent="0.25">
      <c r="A3452" t="s">
        <v>7192</v>
      </c>
      <c r="B3452" t="s">
        <v>7193</v>
      </c>
    </row>
    <row r="3453" spans="1:2" x14ac:dyDescent="0.25">
      <c r="A3453" t="s">
        <v>7194</v>
      </c>
      <c r="B3453" t="s">
        <v>7195</v>
      </c>
    </row>
    <row r="3454" spans="1:2" x14ac:dyDescent="0.25">
      <c r="A3454" t="s">
        <v>7196</v>
      </c>
      <c r="B3454" t="s">
        <v>7197</v>
      </c>
    </row>
    <row r="3455" spans="1:2" x14ac:dyDescent="0.25">
      <c r="A3455" t="s">
        <v>7198</v>
      </c>
      <c r="B3455" t="s">
        <v>7199</v>
      </c>
    </row>
    <row r="3456" spans="1:2" x14ac:dyDescent="0.25">
      <c r="A3456" t="s">
        <v>7200</v>
      </c>
      <c r="B3456" t="s">
        <v>7201</v>
      </c>
    </row>
    <row r="3457" spans="1:2" x14ac:dyDescent="0.25">
      <c r="A3457" t="s">
        <v>7202</v>
      </c>
      <c r="B3457" t="s">
        <v>7203</v>
      </c>
    </row>
    <row r="3458" spans="1:2" x14ac:dyDescent="0.25">
      <c r="A3458" t="s">
        <v>7204</v>
      </c>
      <c r="B3458" t="s">
        <v>7205</v>
      </c>
    </row>
    <row r="3459" spans="1:2" x14ac:dyDescent="0.25">
      <c r="A3459" t="s">
        <v>7206</v>
      </c>
      <c r="B3459" t="s">
        <v>7207</v>
      </c>
    </row>
    <row r="3460" spans="1:2" x14ac:dyDescent="0.25">
      <c r="A3460" t="s">
        <v>7208</v>
      </c>
      <c r="B3460" t="s">
        <v>7209</v>
      </c>
    </row>
    <row r="3461" spans="1:2" x14ac:dyDescent="0.25">
      <c r="A3461" t="s">
        <v>7210</v>
      </c>
      <c r="B3461" t="s">
        <v>7211</v>
      </c>
    </row>
    <row r="3462" spans="1:2" x14ac:dyDescent="0.25">
      <c r="A3462" t="s">
        <v>7212</v>
      </c>
      <c r="B3462" t="s">
        <v>7213</v>
      </c>
    </row>
    <row r="3463" spans="1:2" x14ac:dyDescent="0.25">
      <c r="A3463" t="s">
        <v>7214</v>
      </c>
      <c r="B3463" t="s">
        <v>7215</v>
      </c>
    </row>
    <row r="3464" spans="1:2" x14ac:dyDescent="0.25">
      <c r="A3464" t="s">
        <v>7216</v>
      </c>
      <c r="B3464" t="s">
        <v>7217</v>
      </c>
    </row>
    <row r="3465" spans="1:2" x14ac:dyDescent="0.25">
      <c r="A3465" t="s">
        <v>7218</v>
      </c>
      <c r="B3465" t="s">
        <v>7219</v>
      </c>
    </row>
    <row r="3466" spans="1:2" x14ac:dyDescent="0.25">
      <c r="A3466" t="s">
        <v>7220</v>
      </c>
      <c r="B3466" t="s">
        <v>7221</v>
      </c>
    </row>
    <row r="3467" spans="1:2" x14ac:dyDescent="0.25">
      <c r="A3467" t="s">
        <v>7222</v>
      </c>
      <c r="B3467" t="s">
        <v>7223</v>
      </c>
    </row>
    <row r="3468" spans="1:2" x14ac:dyDescent="0.25">
      <c r="A3468" t="s">
        <v>7224</v>
      </c>
      <c r="B3468" t="s">
        <v>7225</v>
      </c>
    </row>
    <row r="3469" spans="1:2" x14ac:dyDescent="0.25">
      <c r="A3469" t="s">
        <v>7226</v>
      </c>
      <c r="B3469" t="s">
        <v>7227</v>
      </c>
    </row>
    <row r="3470" spans="1:2" x14ac:dyDescent="0.25">
      <c r="A3470" t="s">
        <v>7228</v>
      </c>
      <c r="B3470" t="s">
        <v>7229</v>
      </c>
    </row>
    <row r="3471" spans="1:2" x14ac:dyDescent="0.25">
      <c r="A3471" t="s">
        <v>7230</v>
      </c>
      <c r="B3471" t="s">
        <v>7231</v>
      </c>
    </row>
    <row r="3472" spans="1:2" x14ac:dyDescent="0.25">
      <c r="A3472" t="s">
        <v>7232</v>
      </c>
      <c r="B3472" t="s">
        <v>7233</v>
      </c>
    </row>
    <row r="3473" spans="1:2" x14ac:dyDescent="0.25">
      <c r="A3473" t="s">
        <v>7234</v>
      </c>
      <c r="B3473" t="s">
        <v>7235</v>
      </c>
    </row>
    <row r="3474" spans="1:2" x14ac:dyDescent="0.25">
      <c r="A3474" t="s">
        <v>7236</v>
      </c>
      <c r="B3474" t="s">
        <v>7237</v>
      </c>
    </row>
    <row r="3475" spans="1:2" x14ac:dyDescent="0.25">
      <c r="A3475" t="s">
        <v>7238</v>
      </c>
      <c r="B3475" t="s">
        <v>7239</v>
      </c>
    </row>
    <row r="3476" spans="1:2" x14ac:dyDescent="0.25">
      <c r="A3476" t="s">
        <v>7240</v>
      </c>
      <c r="B3476" t="s">
        <v>521</v>
      </c>
    </row>
    <row r="3477" spans="1:2" x14ac:dyDescent="0.25">
      <c r="A3477" t="s">
        <v>7241</v>
      </c>
      <c r="B3477" t="s">
        <v>7242</v>
      </c>
    </row>
    <row r="3478" spans="1:2" x14ac:dyDescent="0.25">
      <c r="A3478" t="s">
        <v>7243</v>
      </c>
      <c r="B3478" t="s">
        <v>7244</v>
      </c>
    </row>
    <row r="3479" spans="1:2" x14ac:dyDescent="0.25">
      <c r="A3479" t="s">
        <v>7245</v>
      </c>
      <c r="B3479" t="s">
        <v>7246</v>
      </c>
    </row>
    <row r="3480" spans="1:2" x14ac:dyDescent="0.25">
      <c r="A3480" t="s">
        <v>7247</v>
      </c>
      <c r="B3480" t="s">
        <v>7248</v>
      </c>
    </row>
    <row r="3481" spans="1:2" x14ac:dyDescent="0.25">
      <c r="A3481" t="s">
        <v>7249</v>
      </c>
      <c r="B3481" t="s">
        <v>7250</v>
      </c>
    </row>
    <row r="3482" spans="1:2" x14ac:dyDescent="0.25">
      <c r="A3482" t="s">
        <v>7251</v>
      </c>
      <c r="B3482" t="s">
        <v>7252</v>
      </c>
    </row>
    <row r="3483" spans="1:2" x14ac:dyDescent="0.25">
      <c r="A3483" t="s">
        <v>7253</v>
      </c>
      <c r="B3483" t="s">
        <v>7254</v>
      </c>
    </row>
    <row r="3484" spans="1:2" x14ac:dyDescent="0.25">
      <c r="A3484" t="s">
        <v>7255</v>
      </c>
      <c r="B3484" t="s">
        <v>7256</v>
      </c>
    </row>
    <row r="3485" spans="1:2" x14ac:dyDescent="0.25">
      <c r="A3485" t="s">
        <v>7257</v>
      </c>
      <c r="B3485" t="s">
        <v>7258</v>
      </c>
    </row>
    <row r="3486" spans="1:2" x14ac:dyDescent="0.25">
      <c r="A3486" t="s">
        <v>7259</v>
      </c>
      <c r="B3486" t="s">
        <v>7260</v>
      </c>
    </row>
    <row r="3487" spans="1:2" x14ac:dyDescent="0.25">
      <c r="A3487" t="s">
        <v>7261</v>
      </c>
      <c r="B3487" t="s">
        <v>7262</v>
      </c>
    </row>
    <row r="3488" spans="1:2" x14ac:dyDescent="0.25">
      <c r="A3488" t="s">
        <v>7263</v>
      </c>
      <c r="B3488" t="s">
        <v>7264</v>
      </c>
    </row>
    <row r="3489" spans="1:2" x14ac:dyDescent="0.25">
      <c r="A3489" t="s">
        <v>7265</v>
      </c>
      <c r="B3489" t="s">
        <v>7266</v>
      </c>
    </row>
    <row r="3490" spans="1:2" x14ac:dyDescent="0.25">
      <c r="A3490" t="s">
        <v>7267</v>
      </c>
      <c r="B3490" t="s">
        <v>7268</v>
      </c>
    </row>
    <row r="3491" spans="1:2" x14ac:dyDescent="0.25">
      <c r="A3491" t="s">
        <v>7269</v>
      </c>
      <c r="B3491" t="s">
        <v>7270</v>
      </c>
    </row>
    <row r="3492" spans="1:2" x14ac:dyDescent="0.25">
      <c r="A3492" t="s">
        <v>7271</v>
      </c>
      <c r="B3492" t="s">
        <v>7272</v>
      </c>
    </row>
    <row r="3493" spans="1:2" x14ac:dyDescent="0.25">
      <c r="A3493" t="s">
        <v>7273</v>
      </c>
      <c r="B3493" t="s">
        <v>7274</v>
      </c>
    </row>
    <row r="3494" spans="1:2" x14ac:dyDescent="0.25">
      <c r="A3494" t="s">
        <v>7275</v>
      </c>
      <c r="B3494" t="s">
        <v>7276</v>
      </c>
    </row>
    <row r="3495" spans="1:2" x14ac:dyDescent="0.25">
      <c r="A3495" t="s">
        <v>7277</v>
      </c>
      <c r="B3495" t="s">
        <v>7278</v>
      </c>
    </row>
    <row r="3496" spans="1:2" x14ac:dyDescent="0.25">
      <c r="A3496" t="s">
        <v>7279</v>
      </c>
      <c r="B3496" t="s">
        <v>7280</v>
      </c>
    </row>
    <row r="3497" spans="1:2" x14ac:dyDescent="0.25">
      <c r="A3497" t="s">
        <v>7281</v>
      </c>
      <c r="B3497" t="s">
        <v>7282</v>
      </c>
    </row>
    <row r="3498" spans="1:2" x14ac:dyDescent="0.25">
      <c r="A3498" t="s">
        <v>7283</v>
      </c>
      <c r="B3498" t="s">
        <v>7284</v>
      </c>
    </row>
    <row r="3499" spans="1:2" x14ac:dyDescent="0.25">
      <c r="A3499" t="s">
        <v>7285</v>
      </c>
      <c r="B3499" t="s">
        <v>7286</v>
      </c>
    </row>
    <row r="3500" spans="1:2" x14ac:dyDescent="0.25">
      <c r="A3500" t="s">
        <v>7287</v>
      </c>
      <c r="B3500" t="s">
        <v>7288</v>
      </c>
    </row>
    <row r="3501" spans="1:2" x14ac:dyDescent="0.25">
      <c r="A3501" t="s">
        <v>7289</v>
      </c>
      <c r="B3501" t="s">
        <v>7290</v>
      </c>
    </row>
    <row r="3502" spans="1:2" x14ac:dyDescent="0.25">
      <c r="A3502" t="s">
        <v>7291</v>
      </c>
      <c r="B3502" t="s">
        <v>7292</v>
      </c>
    </row>
    <row r="3503" spans="1:2" x14ac:dyDescent="0.25">
      <c r="A3503" t="s">
        <v>7293</v>
      </c>
      <c r="B3503" t="s">
        <v>7294</v>
      </c>
    </row>
    <row r="3504" spans="1:2" x14ac:dyDescent="0.25">
      <c r="A3504" t="s">
        <v>7295</v>
      </c>
      <c r="B3504" t="s">
        <v>7296</v>
      </c>
    </row>
    <row r="3505" spans="1:2" x14ac:dyDescent="0.25">
      <c r="A3505" t="s">
        <v>7297</v>
      </c>
      <c r="B3505" t="s">
        <v>7298</v>
      </c>
    </row>
    <row r="3506" spans="1:2" x14ac:dyDescent="0.25">
      <c r="A3506" t="s">
        <v>7299</v>
      </c>
      <c r="B3506" t="s">
        <v>7300</v>
      </c>
    </row>
    <row r="3507" spans="1:2" x14ac:dyDescent="0.25">
      <c r="A3507" t="s">
        <v>7301</v>
      </c>
      <c r="B3507" t="s">
        <v>7302</v>
      </c>
    </row>
    <row r="3508" spans="1:2" x14ac:dyDescent="0.25">
      <c r="A3508" t="s">
        <v>7303</v>
      </c>
      <c r="B3508" t="s">
        <v>7304</v>
      </c>
    </row>
    <row r="3509" spans="1:2" x14ac:dyDescent="0.25">
      <c r="A3509" t="s">
        <v>7305</v>
      </c>
      <c r="B3509" t="s">
        <v>7306</v>
      </c>
    </row>
    <row r="3510" spans="1:2" x14ac:dyDescent="0.25">
      <c r="A3510" t="s">
        <v>7307</v>
      </c>
      <c r="B3510" t="s">
        <v>7308</v>
      </c>
    </row>
    <row r="3511" spans="1:2" x14ac:dyDescent="0.25">
      <c r="A3511" t="s">
        <v>7309</v>
      </c>
      <c r="B3511" t="s">
        <v>7310</v>
      </c>
    </row>
    <row r="3512" spans="1:2" x14ac:dyDescent="0.25">
      <c r="A3512" t="s">
        <v>7311</v>
      </c>
      <c r="B3512" t="s">
        <v>7312</v>
      </c>
    </row>
    <row r="3513" spans="1:2" x14ac:dyDescent="0.25">
      <c r="A3513" t="s">
        <v>7313</v>
      </c>
      <c r="B3513" t="s">
        <v>7314</v>
      </c>
    </row>
    <row r="3514" spans="1:2" x14ac:dyDescent="0.25">
      <c r="A3514" t="s">
        <v>7315</v>
      </c>
      <c r="B3514" t="s">
        <v>7316</v>
      </c>
    </row>
    <row r="3515" spans="1:2" x14ac:dyDescent="0.25">
      <c r="A3515" t="s">
        <v>7317</v>
      </c>
      <c r="B3515" t="s">
        <v>7318</v>
      </c>
    </row>
    <row r="3516" spans="1:2" x14ac:dyDescent="0.25">
      <c r="A3516" t="s">
        <v>7319</v>
      </c>
      <c r="B3516" t="s">
        <v>7320</v>
      </c>
    </row>
    <row r="3517" spans="1:2" x14ac:dyDescent="0.25">
      <c r="A3517" t="s">
        <v>7321</v>
      </c>
      <c r="B3517" t="s">
        <v>7322</v>
      </c>
    </row>
    <row r="3518" spans="1:2" x14ac:dyDescent="0.25">
      <c r="A3518" t="s">
        <v>7323</v>
      </c>
      <c r="B3518" t="s">
        <v>7324</v>
      </c>
    </row>
    <row r="3519" spans="1:2" x14ac:dyDescent="0.25">
      <c r="A3519" t="s">
        <v>7325</v>
      </c>
      <c r="B3519" t="s">
        <v>7326</v>
      </c>
    </row>
    <row r="3520" spans="1:2" x14ac:dyDescent="0.25">
      <c r="A3520" t="s">
        <v>7327</v>
      </c>
      <c r="B3520" t="s">
        <v>7328</v>
      </c>
    </row>
    <row r="3521" spans="1:2" x14ac:dyDescent="0.25">
      <c r="A3521" t="s">
        <v>7329</v>
      </c>
      <c r="B3521" t="s">
        <v>7330</v>
      </c>
    </row>
    <row r="3522" spans="1:2" x14ac:dyDescent="0.25">
      <c r="A3522" t="s">
        <v>7331</v>
      </c>
      <c r="B3522" t="s">
        <v>7332</v>
      </c>
    </row>
    <row r="3523" spans="1:2" x14ac:dyDescent="0.25">
      <c r="A3523" t="s">
        <v>7333</v>
      </c>
      <c r="B3523" t="s">
        <v>309</v>
      </c>
    </row>
    <row r="3524" spans="1:2" x14ac:dyDescent="0.25">
      <c r="A3524" t="s">
        <v>7334</v>
      </c>
      <c r="B3524" t="s">
        <v>7335</v>
      </c>
    </row>
    <row r="3525" spans="1:2" x14ac:dyDescent="0.25">
      <c r="A3525" t="s">
        <v>7336</v>
      </c>
      <c r="B3525" t="s">
        <v>7337</v>
      </c>
    </row>
    <row r="3526" spans="1:2" x14ac:dyDescent="0.25">
      <c r="A3526" t="s">
        <v>7338</v>
      </c>
      <c r="B3526" t="s">
        <v>7339</v>
      </c>
    </row>
    <row r="3527" spans="1:2" x14ac:dyDescent="0.25">
      <c r="A3527" t="s">
        <v>7340</v>
      </c>
      <c r="B3527" t="s">
        <v>7341</v>
      </c>
    </row>
    <row r="3528" spans="1:2" x14ac:dyDescent="0.25">
      <c r="A3528" t="s">
        <v>7342</v>
      </c>
      <c r="B3528" t="s">
        <v>7343</v>
      </c>
    </row>
    <row r="3529" spans="1:2" x14ac:dyDescent="0.25">
      <c r="A3529" t="s">
        <v>7344</v>
      </c>
      <c r="B3529" t="s">
        <v>310</v>
      </c>
    </row>
    <row r="3530" spans="1:2" x14ac:dyDescent="0.25">
      <c r="A3530" t="s">
        <v>7345</v>
      </c>
      <c r="B3530" t="s">
        <v>7346</v>
      </c>
    </row>
    <row r="3531" spans="1:2" x14ac:dyDescent="0.25">
      <c r="A3531" t="s">
        <v>7347</v>
      </c>
      <c r="B3531" t="s">
        <v>7348</v>
      </c>
    </row>
    <row r="3532" spans="1:2" x14ac:dyDescent="0.25">
      <c r="A3532" t="s">
        <v>7349</v>
      </c>
      <c r="B3532" t="s">
        <v>7350</v>
      </c>
    </row>
    <row r="3533" spans="1:2" x14ac:dyDescent="0.25">
      <c r="A3533" t="s">
        <v>7351</v>
      </c>
      <c r="B3533" t="s">
        <v>7352</v>
      </c>
    </row>
    <row r="3534" spans="1:2" x14ac:dyDescent="0.25">
      <c r="A3534" t="s">
        <v>7353</v>
      </c>
      <c r="B3534" t="s">
        <v>313</v>
      </c>
    </row>
    <row r="3535" spans="1:2" x14ac:dyDescent="0.25">
      <c r="A3535" t="s">
        <v>7354</v>
      </c>
      <c r="B3535" t="s">
        <v>7355</v>
      </c>
    </row>
    <row r="3536" spans="1:2" x14ac:dyDescent="0.25">
      <c r="A3536" t="s">
        <v>7356</v>
      </c>
      <c r="B3536" t="s">
        <v>7357</v>
      </c>
    </row>
    <row r="3537" spans="1:2" x14ac:dyDescent="0.25">
      <c r="A3537" t="s">
        <v>7358</v>
      </c>
      <c r="B3537" t="s">
        <v>7359</v>
      </c>
    </row>
    <row r="3538" spans="1:2" x14ac:dyDescent="0.25">
      <c r="A3538" t="s">
        <v>7360</v>
      </c>
      <c r="B3538" t="s">
        <v>7361</v>
      </c>
    </row>
    <row r="3539" spans="1:2" x14ac:dyDescent="0.25">
      <c r="A3539" t="s">
        <v>7362</v>
      </c>
      <c r="B3539" t="s">
        <v>7363</v>
      </c>
    </row>
    <row r="3540" spans="1:2" x14ac:dyDescent="0.25">
      <c r="A3540" t="s">
        <v>7364</v>
      </c>
      <c r="B3540" t="s">
        <v>7365</v>
      </c>
    </row>
    <row r="3541" spans="1:2" x14ac:dyDescent="0.25">
      <c r="A3541" t="s">
        <v>7366</v>
      </c>
      <c r="B3541" t="s">
        <v>7367</v>
      </c>
    </row>
    <row r="3542" spans="1:2" x14ac:dyDescent="0.25">
      <c r="A3542" t="s">
        <v>7368</v>
      </c>
      <c r="B3542" t="s">
        <v>7369</v>
      </c>
    </row>
    <row r="3543" spans="1:2" x14ac:dyDescent="0.25">
      <c r="A3543" t="s">
        <v>7370</v>
      </c>
      <c r="B3543" t="s">
        <v>7371</v>
      </c>
    </row>
    <row r="3544" spans="1:2" x14ac:dyDescent="0.25">
      <c r="A3544" t="s">
        <v>7372</v>
      </c>
      <c r="B3544" t="s">
        <v>522</v>
      </c>
    </row>
    <row r="3545" spans="1:2" x14ac:dyDescent="0.25">
      <c r="A3545" t="s">
        <v>7373</v>
      </c>
      <c r="B3545" t="s">
        <v>7374</v>
      </c>
    </row>
    <row r="3546" spans="1:2" x14ac:dyDescent="0.25">
      <c r="A3546" t="s">
        <v>7375</v>
      </c>
      <c r="B3546" t="s">
        <v>7376</v>
      </c>
    </row>
    <row r="3547" spans="1:2" x14ac:dyDescent="0.25">
      <c r="A3547" t="s">
        <v>7377</v>
      </c>
      <c r="B3547" t="s">
        <v>7378</v>
      </c>
    </row>
    <row r="3548" spans="1:2" x14ac:dyDescent="0.25">
      <c r="A3548" t="s">
        <v>7379</v>
      </c>
      <c r="B3548" t="s">
        <v>7380</v>
      </c>
    </row>
    <row r="3549" spans="1:2" x14ac:dyDescent="0.25">
      <c r="A3549" t="s">
        <v>7381</v>
      </c>
      <c r="B3549" t="s">
        <v>7382</v>
      </c>
    </row>
    <row r="3550" spans="1:2" x14ac:dyDescent="0.25">
      <c r="A3550" t="s">
        <v>7383</v>
      </c>
      <c r="B3550" t="s">
        <v>7384</v>
      </c>
    </row>
    <row r="3551" spans="1:2" x14ac:dyDescent="0.25">
      <c r="A3551" t="s">
        <v>7385</v>
      </c>
      <c r="B3551" t="s">
        <v>7386</v>
      </c>
    </row>
    <row r="3552" spans="1:2" x14ac:dyDescent="0.25">
      <c r="A3552" t="s">
        <v>7387</v>
      </c>
      <c r="B3552" t="s">
        <v>7388</v>
      </c>
    </row>
    <row r="3553" spans="1:2" x14ac:dyDescent="0.25">
      <c r="A3553" t="s">
        <v>7389</v>
      </c>
      <c r="B3553" t="s">
        <v>7390</v>
      </c>
    </row>
    <row r="3554" spans="1:2" x14ac:dyDescent="0.25">
      <c r="A3554" t="s">
        <v>7391</v>
      </c>
      <c r="B3554" t="s">
        <v>7392</v>
      </c>
    </row>
    <row r="3555" spans="1:2" x14ac:dyDescent="0.25">
      <c r="A3555" t="s">
        <v>7393</v>
      </c>
      <c r="B3555" t="s">
        <v>7394</v>
      </c>
    </row>
    <row r="3556" spans="1:2" x14ac:dyDescent="0.25">
      <c r="A3556" t="s">
        <v>7395</v>
      </c>
      <c r="B3556" t="s">
        <v>7396</v>
      </c>
    </row>
    <row r="3557" spans="1:2" x14ac:dyDescent="0.25">
      <c r="A3557" t="s">
        <v>7397</v>
      </c>
      <c r="B3557" t="s">
        <v>7398</v>
      </c>
    </row>
    <row r="3558" spans="1:2" x14ac:dyDescent="0.25">
      <c r="A3558" t="s">
        <v>7399</v>
      </c>
      <c r="B3558" t="s">
        <v>7400</v>
      </c>
    </row>
    <row r="3559" spans="1:2" x14ac:dyDescent="0.25">
      <c r="A3559" t="s">
        <v>7401</v>
      </c>
      <c r="B3559" t="s">
        <v>7402</v>
      </c>
    </row>
    <row r="3560" spans="1:2" x14ac:dyDescent="0.25">
      <c r="A3560" t="s">
        <v>7403</v>
      </c>
      <c r="B3560" t="s">
        <v>605</v>
      </c>
    </row>
    <row r="3561" spans="1:2" x14ac:dyDescent="0.25">
      <c r="A3561" t="s">
        <v>7404</v>
      </c>
      <c r="B3561" t="s">
        <v>7405</v>
      </c>
    </row>
    <row r="3562" spans="1:2" x14ac:dyDescent="0.25">
      <c r="A3562" t="s">
        <v>7406</v>
      </c>
      <c r="B3562" t="s">
        <v>7407</v>
      </c>
    </row>
    <row r="3563" spans="1:2" x14ac:dyDescent="0.25">
      <c r="A3563" t="s">
        <v>7408</v>
      </c>
      <c r="B3563" t="s">
        <v>7409</v>
      </c>
    </row>
    <row r="3564" spans="1:2" x14ac:dyDescent="0.25">
      <c r="A3564" t="s">
        <v>7410</v>
      </c>
      <c r="B3564" t="s">
        <v>7411</v>
      </c>
    </row>
    <row r="3565" spans="1:2" x14ac:dyDescent="0.25">
      <c r="A3565" t="s">
        <v>7412</v>
      </c>
      <c r="B3565" t="s">
        <v>7413</v>
      </c>
    </row>
    <row r="3566" spans="1:2" x14ac:dyDescent="0.25">
      <c r="A3566" t="s">
        <v>7414</v>
      </c>
      <c r="B3566" t="s">
        <v>7415</v>
      </c>
    </row>
    <row r="3567" spans="1:2" x14ac:dyDescent="0.25">
      <c r="A3567" t="s">
        <v>7416</v>
      </c>
      <c r="B3567" t="s">
        <v>7417</v>
      </c>
    </row>
    <row r="3568" spans="1:2" x14ac:dyDescent="0.25">
      <c r="A3568" t="s">
        <v>7418</v>
      </c>
      <c r="B3568" t="s">
        <v>7419</v>
      </c>
    </row>
    <row r="3569" spans="1:2" x14ac:dyDescent="0.25">
      <c r="A3569" t="s">
        <v>7420</v>
      </c>
      <c r="B3569" t="s">
        <v>7421</v>
      </c>
    </row>
    <row r="3570" spans="1:2" x14ac:dyDescent="0.25">
      <c r="A3570" t="s">
        <v>7422</v>
      </c>
      <c r="B3570" t="s">
        <v>7423</v>
      </c>
    </row>
    <row r="3571" spans="1:2" x14ac:dyDescent="0.25">
      <c r="A3571" t="s">
        <v>7424</v>
      </c>
      <c r="B3571" t="s">
        <v>7425</v>
      </c>
    </row>
    <row r="3572" spans="1:2" x14ac:dyDescent="0.25">
      <c r="A3572" t="s">
        <v>7426</v>
      </c>
      <c r="B3572" t="s">
        <v>7427</v>
      </c>
    </row>
    <row r="3573" spans="1:2" x14ac:dyDescent="0.25">
      <c r="A3573" t="s">
        <v>7428</v>
      </c>
      <c r="B3573" t="s">
        <v>7429</v>
      </c>
    </row>
    <row r="3574" spans="1:2" x14ac:dyDescent="0.25">
      <c r="A3574" t="s">
        <v>7430</v>
      </c>
      <c r="B3574" t="s">
        <v>7431</v>
      </c>
    </row>
    <row r="3575" spans="1:2" x14ac:dyDescent="0.25">
      <c r="A3575" t="s">
        <v>7432</v>
      </c>
      <c r="B3575" t="s">
        <v>7433</v>
      </c>
    </row>
    <row r="3576" spans="1:2" x14ac:dyDescent="0.25">
      <c r="A3576" t="s">
        <v>7434</v>
      </c>
      <c r="B3576" t="s">
        <v>7435</v>
      </c>
    </row>
    <row r="3577" spans="1:2" x14ac:dyDescent="0.25">
      <c r="A3577" t="s">
        <v>7436</v>
      </c>
      <c r="B3577" t="s">
        <v>7437</v>
      </c>
    </row>
    <row r="3578" spans="1:2" x14ac:dyDescent="0.25">
      <c r="A3578" t="s">
        <v>7438</v>
      </c>
      <c r="B3578" t="s">
        <v>7439</v>
      </c>
    </row>
    <row r="3579" spans="1:2" x14ac:dyDescent="0.25">
      <c r="A3579" t="s">
        <v>7440</v>
      </c>
      <c r="B3579" t="s">
        <v>7441</v>
      </c>
    </row>
    <row r="3580" spans="1:2" x14ac:dyDescent="0.25">
      <c r="A3580" t="s">
        <v>7442</v>
      </c>
      <c r="B3580" t="s">
        <v>7443</v>
      </c>
    </row>
    <row r="3581" spans="1:2" x14ac:dyDescent="0.25">
      <c r="A3581" t="s">
        <v>7444</v>
      </c>
      <c r="B3581" t="s">
        <v>7445</v>
      </c>
    </row>
    <row r="3582" spans="1:2" x14ac:dyDescent="0.25">
      <c r="A3582" t="s">
        <v>7446</v>
      </c>
      <c r="B3582" t="s">
        <v>7447</v>
      </c>
    </row>
    <row r="3583" spans="1:2" x14ac:dyDescent="0.25">
      <c r="A3583" t="s">
        <v>7448</v>
      </c>
      <c r="B3583" t="s">
        <v>7449</v>
      </c>
    </row>
    <row r="3584" spans="1:2" x14ac:dyDescent="0.25">
      <c r="A3584" t="s">
        <v>7450</v>
      </c>
      <c r="B3584" t="s">
        <v>7451</v>
      </c>
    </row>
    <row r="3585" spans="1:2" x14ac:dyDescent="0.25">
      <c r="A3585" t="s">
        <v>7452</v>
      </c>
      <c r="B3585" t="s">
        <v>7453</v>
      </c>
    </row>
    <row r="3586" spans="1:2" x14ac:dyDescent="0.25">
      <c r="A3586" t="s">
        <v>7454</v>
      </c>
      <c r="B3586" t="s">
        <v>7455</v>
      </c>
    </row>
    <row r="3587" spans="1:2" x14ac:dyDescent="0.25">
      <c r="A3587" t="s">
        <v>7456</v>
      </c>
      <c r="B3587" t="s">
        <v>7457</v>
      </c>
    </row>
    <row r="3588" spans="1:2" x14ac:dyDescent="0.25">
      <c r="A3588" t="s">
        <v>7458</v>
      </c>
      <c r="B3588" t="s">
        <v>7459</v>
      </c>
    </row>
    <row r="3589" spans="1:2" x14ac:dyDescent="0.25">
      <c r="A3589" t="s">
        <v>7460</v>
      </c>
      <c r="B3589" t="s">
        <v>7461</v>
      </c>
    </row>
    <row r="3590" spans="1:2" x14ac:dyDescent="0.25">
      <c r="A3590" t="s">
        <v>7462</v>
      </c>
      <c r="B3590" t="s">
        <v>7463</v>
      </c>
    </row>
    <row r="3591" spans="1:2" x14ac:dyDescent="0.25">
      <c r="A3591" t="s">
        <v>7464</v>
      </c>
      <c r="B3591" t="s">
        <v>7465</v>
      </c>
    </row>
    <row r="3592" spans="1:2" x14ac:dyDescent="0.25">
      <c r="A3592" t="s">
        <v>7466</v>
      </c>
      <c r="B3592" t="s">
        <v>7467</v>
      </c>
    </row>
    <row r="3593" spans="1:2" x14ac:dyDescent="0.25">
      <c r="A3593" t="s">
        <v>7468</v>
      </c>
      <c r="B3593" t="s">
        <v>7469</v>
      </c>
    </row>
    <row r="3594" spans="1:2" x14ac:dyDescent="0.25">
      <c r="A3594" t="s">
        <v>7470</v>
      </c>
      <c r="B3594" t="s">
        <v>7471</v>
      </c>
    </row>
    <row r="3595" spans="1:2" x14ac:dyDescent="0.25">
      <c r="A3595" t="s">
        <v>7472</v>
      </c>
      <c r="B3595" t="s">
        <v>7473</v>
      </c>
    </row>
    <row r="3596" spans="1:2" x14ac:dyDescent="0.25">
      <c r="A3596" t="s">
        <v>7474</v>
      </c>
      <c r="B3596" t="s">
        <v>7475</v>
      </c>
    </row>
    <row r="3597" spans="1:2" x14ac:dyDescent="0.25">
      <c r="A3597" t="s">
        <v>7476</v>
      </c>
      <c r="B3597" t="s">
        <v>7477</v>
      </c>
    </row>
    <row r="3598" spans="1:2" x14ac:dyDescent="0.25">
      <c r="A3598" t="s">
        <v>7478</v>
      </c>
      <c r="B3598" t="s">
        <v>7479</v>
      </c>
    </row>
    <row r="3599" spans="1:2" x14ac:dyDescent="0.25">
      <c r="A3599" t="s">
        <v>7480</v>
      </c>
      <c r="B3599" t="s">
        <v>7481</v>
      </c>
    </row>
    <row r="3600" spans="1:2" x14ac:dyDescent="0.25">
      <c r="A3600" t="s">
        <v>7482</v>
      </c>
      <c r="B3600" t="s">
        <v>7483</v>
      </c>
    </row>
    <row r="3601" spans="1:2" x14ac:dyDescent="0.25">
      <c r="A3601" t="s">
        <v>7484</v>
      </c>
      <c r="B3601" t="s">
        <v>7485</v>
      </c>
    </row>
    <row r="3602" spans="1:2" x14ac:dyDescent="0.25">
      <c r="A3602" t="s">
        <v>7486</v>
      </c>
      <c r="B3602" t="s">
        <v>7487</v>
      </c>
    </row>
    <row r="3603" spans="1:2" x14ac:dyDescent="0.25">
      <c r="A3603" t="s">
        <v>7488</v>
      </c>
      <c r="B3603" t="s">
        <v>7489</v>
      </c>
    </row>
    <row r="3604" spans="1:2" x14ac:dyDescent="0.25">
      <c r="A3604" t="s">
        <v>7490</v>
      </c>
      <c r="B3604" t="s">
        <v>7491</v>
      </c>
    </row>
    <row r="3605" spans="1:2" x14ac:dyDescent="0.25">
      <c r="A3605" t="s">
        <v>7492</v>
      </c>
      <c r="B3605" t="s">
        <v>7493</v>
      </c>
    </row>
    <row r="3606" spans="1:2" x14ac:dyDescent="0.25">
      <c r="A3606" t="s">
        <v>7494</v>
      </c>
      <c r="B3606" t="s">
        <v>7495</v>
      </c>
    </row>
    <row r="3607" spans="1:2" x14ac:dyDescent="0.25">
      <c r="A3607" t="s">
        <v>7496</v>
      </c>
      <c r="B3607" t="s">
        <v>7497</v>
      </c>
    </row>
    <row r="3608" spans="1:2" x14ac:dyDescent="0.25">
      <c r="A3608" t="s">
        <v>7498</v>
      </c>
      <c r="B3608" t="s">
        <v>7499</v>
      </c>
    </row>
    <row r="3609" spans="1:2" x14ac:dyDescent="0.25">
      <c r="A3609" t="s">
        <v>7500</v>
      </c>
      <c r="B3609" t="s">
        <v>7501</v>
      </c>
    </row>
    <row r="3610" spans="1:2" x14ac:dyDescent="0.25">
      <c r="A3610" t="s">
        <v>7502</v>
      </c>
      <c r="B3610" t="s">
        <v>7503</v>
      </c>
    </row>
    <row r="3611" spans="1:2" x14ac:dyDescent="0.25">
      <c r="A3611" t="s">
        <v>7504</v>
      </c>
      <c r="B3611" t="s">
        <v>7505</v>
      </c>
    </row>
    <row r="3612" spans="1:2" x14ac:dyDescent="0.25">
      <c r="A3612" t="s">
        <v>7506</v>
      </c>
      <c r="B3612" t="s">
        <v>7507</v>
      </c>
    </row>
    <row r="3613" spans="1:2" x14ac:dyDescent="0.25">
      <c r="A3613" t="s">
        <v>7508</v>
      </c>
      <c r="B3613" t="s">
        <v>7509</v>
      </c>
    </row>
    <row r="3614" spans="1:2" x14ac:dyDescent="0.25">
      <c r="A3614" t="s">
        <v>7510</v>
      </c>
      <c r="B3614" t="s">
        <v>7511</v>
      </c>
    </row>
    <row r="3615" spans="1:2" x14ac:dyDescent="0.25">
      <c r="A3615" t="s">
        <v>7512</v>
      </c>
      <c r="B3615" t="s">
        <v>319</v>
      </c>
    </row>
    <row r="3616" spans="1:2" x14ac:dyDescent="0.25">
      <c r="A3616" t="s">
        <v>7513</v>
      </c>
      <c r="B3616" t="s">
        <v>7514</v>
      </c>
    </row>
    <row r="3617" spans="1:2" x14ac:dyDescent="0.25">
      <c r="A3617" t="s">
        <v>7515</v>
      </c>
      <c r="B3617" t="s">
        <v>7516</v>
      </c>
    </row>
    <row r="3618" spans="1:2" x14ac:dyDescent="0.25">
      <c r="A3618" t="s">
        <v>7517</v>
      </c>
      <c r="B3618" t="s">
        <v>7518</v>
      </c>
    </row>
    <row r="3619" spans="1:2" x14ac:dyDescent="0.25">
      <c r="A3619" t="s">
        <v>7519</v>
      </c>
      <c r="B3619" t="s">
        <v>7520</v>
      </c>
    </row>
    <row r="3620" spans="1:2" x14ac:dyDescent="0.25">
      <c r="A3620" t="s">
        <v>7521</v>
      </c>
      <c r="B3620" t="s">
        <v>7522</v>
      </c>
    </row>
    <row r="3621" spans="1:2" x14ac:dyDescent="0.25">
      <c r="A3621" t="s">
        <v>7523</v>
      </c>
      <c r="B3621" t="s">
        <v>7524</v>
      </c>
    </row>
    <row r="3622" spans="1:2" x14ac:dyDescent="0.25">
      <c r="A3622" t="s">
        <v>7525</v>
      </c>
      <c r="B3622" t="s">
        <v>7526</v>
      </c>
    </row>
    <row r="3623" spans="1:2" x14ac:dyDescent="0.25">
      <c r="A3623" t="s">
        <v>7527</v>
      </c>
      <c r="B3623" t="s">
        <v>7528</v>
      </c>
    </row>
    <row r="3624" spans="1:2" x14ac:dyDescent="0.25">
      <c r="A3624" t="s">
        <v>7529</v>
      </c>
      <c r="B3624" t="s">
        <v>7530</v>
      </c>
    </row>
    <row r="3625" spans="1:2" x14ac:dyDescent="0.25">
      <c r="A3625" t="s">
        <v>7531</v>
      </c>
      <c r="B3625" t="s">
        <v>7532</v>
      </c>
    </row>
    <row r="3626" spans="1:2" x14ac:dyDescent="0.25">
      <c r="A3626" t="s">
        <v>7533</v>
      </c>
      <c r="B3626" t="s">
        <v>7534</v>
      </c>
    </row>
    <row r="3627" spans="1:2" x14ac:dyDescent="0.25">
      <c r="A3627" t="s">
        <v>7535</v>
      </c>
      <c r="B3627" t="s">
        <v>7536</v>
      </c>
    </row>
    <row r="3628" spans="1:2" x14ac:dyDescent="0.25">
      <c r="A3628" t="s">
        <v>7537</v>
      </c>
      <c r="B3628" t="s">
        <v>7538</v>
      </c>
    </row>
    <row r="3629" spans="1:2" x14ac:dyDescent="0.25">
      <c r="A3629" t="s">
        <v>7539</v>
      </c>
      <c r="B3629" t="s">
        <v>7540</v>
      </c>
    </row>
    <row r="3630" spans="1:2" x14ac:dyDescent="0.25">
      <c r="A3630" t="s">
        <v>7541</v>
      </c>
      <c r="B3630" t="s">
        <v>7542</v>
      </c>
    </row>
    <row r="3631" spans="1:2" x14ac:dyDescent="0.25">
      <c r="A3631" t="s">
        <v>7543</v>
      </c>
      <c r="B3631" t="s">
        <v>477</v>
      </c>
    </row>
    <row r="3632" spans="1:2" x14ac:dyDescent="0.25">
      <c r="A3632" t="s">
        <v>7544</v>
      </c>
      <c r="B3632" t="s">
        <v>7545</v>
      </c>
    </row>
    <row r="3633" spans="1:2" x14ac:dyDescent="0.25">
      <c r="A3633" t="s">
        <v>7546</v>
      </c>
      <c r="B3633" t="s">
        <v>7547</v>
      </c>
    </row>
    <row r="3634" spans="1:2" x14ac:dyDescent="0.25">
      <c r="A3634" t="s">
        <v>7548</v>
      </c>
      <c r="B3634" t="s">
        <v>7549</v>
      </c>
    </row>
    <row r="3635" spans="1:2" x14ac:dyDescent="0.25">
      <c r="A3635" t="s">
        <v>7550</v>
      </c>
      <c r="B3635" t="s">
        <v>7551</v>
      </c>
    </row>
    <row r="3636" spans="1:2" x14ac:dyDescent="0.25">
      <c r="A3636" t="s">
        <v>7552</v>
      </c>
      <c r="B3636" t="s">
        <v>7553</v>
      </c>
    </row>
    <row r="3637" spans="1:2" x14ac:dyDescent="0.25">
      <c r="A3637" t="s">
        <v>7554</v>
      </c>
      <c r="B3637" t="s">
        <v>7555</v>
      </c>
    </row>
    <row r="3638" spans="1:2" x14ac:dyDescent="0.25">
      <c r="A3638" t="s">
        <v>7556</v>
      </c>
      <c r="B3638" t="s">
        <v>7557</v>
      </c>
    </row>
    <row r="3639" spans="1:2" x14ac:dyDescent="0.25">
      <c r="A3639" t="s">
        <v>7558</v>
      </c>
      <c r="B3639" t="s">
        <v>7559</v>
      </c>
    </row>
    <row r="3640" spans="1:2" x14ac:dyDescent="0.25">
      <c r="A3640" t="s">
        <v>7560</v>
      </c>
      <c r="B3640" t="s">
        <v>7561</v>
      </c>
    </row>
    <row r="3641" spans="1:2" x14ac:dyDescent="0.25">
      <c r="A3641" t="s">
        <v>7562</v>
      </c>
      <c r="B3641" t="s">
        <v>7563</v>
      </c>
    </row>
    <row r="3642" spans="1:2" x14ac:dyDescent="0.25">
      <c r="A3642" t="s">
        <v>7564</v>
      </c>
      <c r="B3642" t="s">
        <v>7565</v>
      </c>
    </row>
    <row r="3643" spans="1:2" x14ac:dyDescent="0.25">
      <c r="A3643" t="s">
        <v>7566</v>
      </c>
      <c r="B3643" t="s">
        <v>7567</v>
      </c>
    </row>
    <row r="3644" spans="1:2" x14ac:dyDescent="0.25">
      <c r="A3644" t="s">
        <v>7568</v>
      </c>
      <c r="B3644" t="s">
        <v>7569</v>
      </c>
    </row>
    <row r="3645" spans="1:2" x14ac:dyDescent="0.25">
      <c r="A3645" t="s">
        <v>7570</v>
      </c>
      <c r="B3645" t="s">
        <v>7571</v>
      </c>
    </row>
    <row r="3646" spans="1:2" x14ac:dyDescent="0.25">
      <c r="A3646" t="s">
        <v>7572</v>
      </c>
      <c r="B3646" t="s">
        <v>698</v>
      </c>
    </row>
    <row r="3647" spans="1:2" x14ac:dyDescent="0.25">
      <c r="A3647" t="s">
        <v>7573</v>
      </c>
      <c r="B3647" t="s">
        <v>7574</v>
      </c>
    </row>
    <row r="3648" spans="1:2" x14ac:dyDescent="0.25">
      <c r="A3648" t="s">
        <v>7575</v>
      </c>
      <c r="B3648" t="s">
        <v>7576</v>
      </c>
    </row>
    <row r="3649" spans="1:2" x14ac:dyDescent="0.25">
      <c r="A3649" t="s">
        <v>7577</v>
      </c>
      <c r="B3649" t="s">
        <v>7578</v>
      </c>
    </row>
    <row r="3650" spans="1:2" x14ac:dyDescent="0.25">
      <c r="A3650" t="s">
        <v>7579</v>
      </c>
      <c r="B3650" t="s">
        <v>7580</v>
      </c>
    </row>
    <row r="3651" spans="1:2" x14ac:dyDescent="0.25">
      <c r="A3651" t="s">
        <v>7581</v>
      </c>
      <c r="B3651" t="s">
        <v>699</v>
      </c>
    </row>
    <row r="3652" spans="1:2" x14ac:dyDescent="0.25">
      <c r="A3652" t="s">
        <v>7582</v>
      </c>
      <c r="B3652" t="s">
        <v>7583</v>
      </c>
    </row>
    <row r="3653" spans="1:2" x14ac:dyDescent="0.25">
      <c r="A3653" t="s">
        <v>7584</v>
      </c>
      <c r="B3653" t="s">
        <v>7585</v>
      </c>
    </row>
    <row r="3654" spans="1:2" x14ac:dyDescent="0.25">
      <c r="A3654" t="s">
        <v>7586</v>
      </c>
      <c r="B3654" t="s">
        <v>7587</v>
      </c>
    </row>
    <row r="3655" spans="1:2" x14ac:dyDescent="0.25">
      <c r="A3655" t="s">
        <v>7588</v>
      </c>
      <c r="B3655" t="s">
        <v>7589</v>
      </c>
    </row>
    <row r="3656" spans="1:2" x14ac:dyDescent="0.25">
      <c r="A3656" t="s">
        <v>7590</v>
      </c>
      <c r="B3656" t="s">
        <v>7591</v>
      </c>
    </row>
    <row r="3657" spans="1:2" x14ac:dyDescent="0.25">
      <c r="A3657" t="s">
        <v>7592</v>
      </c>
      <c r="B3657" t="s">
        <v>7593</v>
      </c>
    </row>
    <row r="3658" spans="1:2" x14ac:dyDescent="0.25">
      <c r="A3658" t="s">
        <v>7594</v>
      </c>
      <c r="B3658" t="s">
        <v>7595</v>
      </c>
    </row>
    <row r="3659" spans="1:2" x14ac:dyDescent="0.25">
      <c r="A3659" t="s">
        <v>7596</v>
      </c>
      <c r="B3659" t="s">
        <v>7597</v>
      </c>
    </row>
    <row r="3660" spans="1:2" x14ac:dyDescent="0.25">
      <c r="A3660" t="s">
        <v>7598</v>
      </c>
      <c r="B3660" t="s">
        <v>7599</v>
      </c>
    </row>
    <row r="3661" spans="1:2" x14ac:dyDescent="0.25">
      <c r="A3661" t="s">
        <v>7600</v>
      </c>
      <c r="B3661" t="s">
        <v>7601</v>
      </c>
    </row>
    <row r="3662" spans="1:2" x14ac:dyDescent="0.25">
      <c r="A3662" t="s">
        <v>7602</v>
      </c>
      <c r="B3662" t="s">
        <v>7603</v>
      </c>
    </row>
    <row r="3663" spans="1:2" x14ac:dyDescent="0.25">
      <c r="A3663" t="s">
        <v>7604</v>
      </c>
      <c r="B3663" t="s">
        <v>7605</v>
      </c>
    </row>
    <row r="3664" spans="1:2" x14ac:dyDescent="0.25">
      <c r="A3664" t="s">
        <v>7606</v>
      </c>
      <c r="B3664" t="s">
        <v>7607</v>
      </c>
    </row>
    <row r="3665" spans="1:2" x14ac:dyDescent="0.25">
      <c r="A3665" t="s">
        <v>7608</v>
      </c>
      <c r="B3665" t="s">
        <v>7609</v>
      </c>
    </row>
    <row r="3666" spans="1:2" x14ac:dyDescent="0.25">
      <c r="A3666" t="s">
        <v>7610</v>
      </c>
      <c r="B3666" t="s">
        <v>7611</v>
      </c>
    </row>
    <row r="3667" spans="1:2" x14ac:dyDescent="0.25">
      <c r="A3667" t="s">
        <v>7612</v>
      </c>
      <c r="B3667" t="s">
        <v>7613</v>
      </c>
    </row>
    <row r="3668" spans="1:2" x14ac:dyDescent="0.25">
      <c r="A3668" t="s">
        <v>7614</v>
      </c>
      <c r="B3668" t="s">
        <v>7615</v>
      </c>
    </row>
    <row r="3669" spans="1:2" x14ac:dyDescent="0.25">
      <c r="A3669" t="s">
        <v>7616</v>
      </c>
      <c r="B3669" t="s">
        <v>7617</v>
      </c>
    </row>
    <row r="3670" spans="1:2" x14ac:dyDescent="0.25">
      <c r="A3670" t="s">
        <v>7618</v>
      </c>
      <c r="B3670" t="s">
        <v>7619</v>
      </c>
    </row>
    <row r="3671" spans="1:2" x14ac:dyDescent="0.25">
      <c r="A3671" t="s">
        <v>7620</v>
      </c>
      <c r="B3671" t="s">
        <v>7621</v>
      </c>
    </row>
    <row r="3672" spans="1:2" x14ac:dyDescent="0.25">
      <c r="A3672" t="s">
        <v>7622</v>
      </c>
      <c r="B3672" t="s">
        <v>7623</v>
      </c>
    </row>
    <row r="3673" spans="1:2" x14ac:dyDescent="0.25">
      <c r="A3673" t="s">
        <v>7624</v>
      </c>
      <c r="B3673" t="s">
        <v>523</v>
      </c>
    </row>
    <row r="3674" spans="1:2" x14ac:dyDescent="0.25">
      <c r="A3674" t="s">
        <v>7625</v>
      </c>
      <c r="B3674" t="s">
        <v>7626</v>
      </c>
    </row>
    <row r="3675" spans="1:2" x14ac:dyDescent="0.25">
      <c r="A3675" t="s">
        <v>7627</v>
      </c>
      <c r="B3675" t="s">
        <v>7628</v>
      </c>
    </row>
    <row r="3676" spans="1:2" x14ac:dyDescent="0.25">
      <c r="A3676" t="s">
        <v>7629</v>
      </c>
      <c r="B3676" t="s">
        <v>7630</v>
      </c>
    </row>
    <row r="3677" spans="1:2" x14ac:dyDescent="0.25">
      <c r="A3677" t="s">
        <v>7631</v>
      </c>
      <c r="B3677" t="s">
        <v>7632</v>
      </c>
    </row>
    <row r="3678" spans="1:2" x14ac:dyDescent="0.25">
      <c r="A3678" t="s">
        <v>7633</v>
      </c>
      <c r="B3678" t="s">
        <v>7634</v>
      </c>
    </row>
    <row r="3679" spans="1:2" x14ac:dyDescent="0.25">
      <c r="A3679" t="s">
        <v>7635</v>
      </c>
      <c r="B3679" t="s">
        <v>7636</v>
      </c>
    </row>
    <row r="3680" spans="1:2" x14ac:dyDescent="0.25">
      <c r="A3680" t="s">
        <v>7637</v>
      </c>
      <c r="B3680" t="s">
        <v>7638</v>
      </c>
    </row>
    <row r="3681" spans="1:2" x14ac:dyDescent="0.25">
      <c r="A3681" t="s">
        <v>7639</v>
      </c>
      <c r="B3681" t="s">
        <v>7640</v>
      </c>
    </row>
    <row r="3682" spans="1:2" x14ac:dyDescent="0.25">
      <c r="A3682" t="s">
        <v>7641</v>
      </c>
      <c r="B3682" t="s">
        <v>7642</v>
      </c>
    </row>
    <row r="3683" spans="1:2" x14ac:dyDescent="0.25">
      <c r="A3683" t="s">
        <v>7643</v>
      </c>
      <c r="B3683" t="s">
        <v>7644</v>
      </c>
    </row>
    <row r="3684" spans="1:2" x14ac:dyDescent="0.25">
      <c r="A3684" t="s">
        <v>7645</v>
      </c>
      <c r="B3684" t="s">
        <v>7646</v>
      </c>
    </row>
    <row r="3685" spans="1:2" x14ac:dyDescent="0.25">
      <c r="A3685" t="s">
        <v>7647</v>
      </c>
      <c r="B3685" t="s">
        <v>7648</v>
      </c>
    </row>
    <row r="3686" spans="1:2" x14ac:dyDescent="0.25">
      <c r="A3686" t="s">
        <v>7649</v>
      </c>
      <c r="B3686" t="s">
        <v>7650</v>
      </c>
    </row>
    <row r="3687" spans="1:2" x14ac:dyDescent="0.25">
      <c r="A3687" t="s">
        <v>7651</v>
      </c>
      <c r="B3687" t="s">
        <v>7652</v>
      </c>
    </row>
    <row r="3688" spans="1:2" x14ac:dyDescent="0.25">
      <c r="A3688" t="s">
        <v>7653</v>
      </c>
      <c r="B3688" t="s">
        <v>7654</v>
      </c>
    </row>
    <row r="3689" spans="1:2" x14ac:dyDescent="0.25">
      <c r="A3689" t="s">
        <v>7655</v>
      </c>
      <c r="B3689" t="s">
        <v>7656</v>
      </c>
    </row>
    <row r="3690" spans="1:2" x14ac:dyDescent="0.25">
      <c r="A3690" t="s">
        <v>7657</v>
      </c>
      <c r="B3690" t="s">
        <v>7658</v>
      </c>
    </row>
    <row r="3691" spans="1:2" x14ac:dyDescent="0.25">
      <c r="A3691" t="s">
        <v>7659</v>
      </c>
      <c r="B3691" t="s">
        <v>7660</v>
      </c>
    </row>
    <row r="3692" spans="1:2" x14ac:dyDescent="0.25">
      <c r="A3692" t="s">
        <v>7661</v>
      </c>
      <c r="B3692" t="s">
        <v>7662</v>
      </c>
    </row>
    <row r="3693" spans="1:2" x14ac:dyDescent="0.25">
      <c r="A3693" t="s">
        <v>7663</v>
      </c>
      <c r="B3693" t="s">
        <v>7664</v>
      </c>
    </row>
    <row r="3694" spans="1:2" x14ac:dyDescent="0.25">
      <c r="A3694" t="s">
        <v>7665</v>
      </c>
      <c r="B3694" t="s">
        <v>7666</v>
      </c>
    </row>
    <row r="3695" spans="1:2" x14ac:dyDescent="0.25">
      <c r="A3695" t="s">
        <v>7667</v>
      </c>
      <c r="B3695" t="s">
        <v>7668</v>
      </c>
    </row>
    <row r="3696" spans="1:2" x14ac:dyDescent="0.25">
      <c r="A3696" t="s">
        <v>7669</v>
      </c>
      <c r="B3696" t="s">
        <v>7670</v>
      </c>
    </row>
    <row r="3697" spans="1:2" x14ac:dyDescent="0.25">
      <c r="A3697" t="s">
        <v>7671</v>
      </c>
      <c r="B3697" t="s">
        <v>7672</v>
      </c>
    </row>
    <row r="3698" spans="1:2" x14ac:dyDescent="0.25">
      <c r="A3698" t="s">
        <v>7673</v>
      </c>
      <c r="B3698" t="s">
        <v>7674</v>
      </c>
    </row>
    <row r="3699" spans="1:2" x14ac:dyDescent="0.25">
      <c r="A3699" t="s">
        <v>7675</v>
      </c>
      <c r="B3699" t="s">
        <v>7676</v>
      </c>
    </row>
    <row r="3700" spans="1:2" x14ac:dyDescent="0.25">
      <c r="A3700" t="s">
        <v>7677</v>
      </c>
      <c r="B3700" t="s">
        <v>7678</v>
      </c>
    </row>
    <row r="3701" spans="1:2" x14ac:dyDescent="0.25">
      <c r="A3701" t="s">
        <v>7679</v>
      </c>
      <c r="B3701" t="s">
        <v>7680</v>
      </c>
    </row>
    <row r="3702" spans="1:2" x14ac:dyDescent="0.25">
      <c r="A3702" t="s">
        <v>7681</v>
      </c>
      <c r="B3702" t="s">
        <v>7682</v>
      </c>
    </row>
    <row r="3703" spans="1:2" x14ac:dyDescent="0.25">
      <c r="A3703" t="s">
        <v>7683</v>
      </c>
      <c r="B3703" t="s">
        <v>7684</v>
      </c>
    </row>
    <row r="3704" spans="1:2" x14ac:dyDescent="0.25">
      <c r="A3704" t="s">
        <v>7685</v>
      </c>
      <c r="B3704" t="s">
        <v>7686</v>
      </c>
    </row>
    <row r="3705" spans="1:2" x14ac:dyDescent="0.25">
      <c r="A3705" t="s">
        <v>7687</v>
      </c>
      <c r="B3705" t="s">
        <v>7688</v>
      </c>
    </row>
    <row r="3706" spans="1:2" x14ac:dyDescent="0.25">
      <c r="A3706" t="s">
        <v>7689</v>
      </c>
      <c r="B3706" t="s">
        <v>7690</v>
      </c>
    </row>
    <row r="3707" spans="1:2" x14ac:dyDescent="0.25">
      <c r="A3707" t="s">
        <v>7691</v>
      </c>
      <c r="B3707" t="s">
        <v>7692</v>
      </c>
    </row>
    <row r="3708" spans="1:2" x14ac:dyDescent="0.25">
      <c r="A3708" t="s">
        <v>7693</v>
      </c>
      <c r="B3708" t="s">
        <v>7694</v>
      </c>
    </row>
    <row r="3709" spans="1:2" x14ac:dyDescent="0.25">
      <c r="A3709" t="s">
        <v>7695</v>
      </c>
      <c r="B3709" t="s">
        <v>7696</v>
      </c>
    </row>
    <row r="3710" spans="1:2" x14ac:dyDescent="0.25">
      <c r="A3710" t="s">
        <v>7697</v>
      </c>
      <c r="B3710" t="s">
        <v>425</v>
      </c>
    </row>
    <row r="3711" spans="1:2" x14ac:dyDescent="0.25">
      <c r="A3711" t="s">
        <v>7698</v>
      </c>
      <c r="B3711" t="s">
        <v>7699</v>
      </c>
    </row>
    <row r="3712" spans="1:2" x14ac:dyDescent="0.25">
      <c r="A3712" t="s">
        <v>7700</v>
      </c>
      <c r="B3712" t="s">
        <v>7701</v>
      </c>
    </row>
    <row r="3713" spans="1:2" x14ac:dyDescent="0.25">
      <c r="A3713" t="s">
        <v>7702</v>
      </c>
      <c r="B3713" t="s">
        <v>7703</v>
      </c>
    </row>
    <row r="3714" spans="1:2" x14ac:dyDescent="0.25">
      <c r="A3714" t="s">
        <v>7704</v>
      </c>
      <c r="B3714" t="s">
        <v>7705</v>
      </c>
    </row>
    <row r="3715" spans="1:2" x14ac:dyDescent="0.25">
      <c r="A3715" t="s">
        <v>7706</v>
      </c>
      <c r="B3715" t="s">
        <v>7707</v>
      </c>
    </row>
    <row r="3716" spans="1:2" x14ac:dyDescent="0.25">
      <c r="A3716" t="s">
        <v>7708</v>
      </c>
      <c r="B3716" t="s">
        <v>7709</v>
      </c>
    </row>
    <row r="3717" spans="1:2" x14ac:dyDescent="0.25">
      <c r="A3717" t="s">
        <v>7710</v>
      </c>
      <c r="B3717" t="s">
        <v>7711</v>
      </c>
    </row>
    <row r="3718" spans="1:2" x14ac:dyDescent="0.25">
      <c r="A3718" t="s">
        <v>7712</v>
      </c>
      <c r="B3718" t="s">
        <v>7713</v>
      </c>
    </row>
    <row r="3719" spans="1:2" x14ac:dyDescent="0.25">
      <c r="A3719" t="s">
        <v>7714</v>
      </c>
      <c r="B3719" t="s">
        <v>7715</v>
      </c>
    </row>
    <row r="3720" spans="1:2" x14ac:dyDescent="0.25">
      <c r="A3720" t="s">
        <v>7716</v>
      </c>
      <c r="B3720" t="s">
        <v>7717</v>
      </c>
    </row>
    <row r="3721" spans="1:2" x14ac:dyDescent="0.25">
      <c r="A3721" t="s">
        <v>7718</v>
      </c>
      <c r="B3721" t="s">
        <v>7719</v>
      </c>
    </row>
    <row r="3722" spans="1:2" x14ac:dyDescent="0.25">
      <c r="A3722" t="s">
        <v>7720</v>
      </c>
      <c r="B3722" t="s">
        <v>7721</v>
      </c>
    </row>
    <row r="3723" spans="1:2" x14ac:dyDescent="0.25">
      <c r="A3723" t="s">
        <v>7722</v>
      </c>
      <c r="B3723" t="s">
        <v>329</v>
      </c>
    </row>
    <row r="3724" spans="1:2" x14ac:dyDescent="0.25">
      <c r="A3724" t="s">
        <v>7723</v>
      </c>
      <c r="B3724" t="s">
        <v>7724</v>
      </c>
    </row>
    <row r="3725" spans="1:2" x14ac:dyDescent="0.25">
      <c r="A3725" t="s">
        <v>7725</v>
      </c>
      <c r="B3725" t="s">
        <v>7726</v>
      </c>
    </row>
    <row r="3726" spans="1:2" x14ac:dyDescent="0.25">
      <c r="A3726" t="s">
        <v>7727</v>
      </c>
      <c r="B3726" t="s">
        <v>7728</v>
      </c>
    </row>
    <row r="3727" spans="1:2" x14ac:dyDescent="0.25">
      <c r="A3727" t="s">
        <v>7729</v>
      </c>
      <c r="B3727" t="s">
        <v>7730</v>
      </c>
    </row>
    <row r="3728" spans="1:2" x14ac:dyDescent="0.25">
      <c r="A3728" t="s">
        <v>7731</v>
      </c>
      <c r="B3728" t="s">
        <v>7732</v>
      </c>
    </row>
    <row r="3729" spans="1:2" x14ac:dyDescent="0.25">
      <c r="A3729" t="s">
        <v>7733</v>
      </c>
      <c r="B3729" t="s">
        <v>7734</v>
      </c>
    </row>
    <row r="3730" spans="1:2" x14ac:dyDescent="0.25">
      <c r="A3730" t="s">
        <v>7735</v>
      </c>
      <c r="B3730" t="s">
        <v>7736</v>
      </c>
    </row>
    <row r="3731" spans="1:2" x14ac:dyDescent="0.25">
      <c r="A3731" t="s">
        <v>7737</v>
      </c>
      <c r="B3731" t="s">
        <v>7738</v>
      </c>
    </row>
    <row r="3732" spans="1:2" x14ac:dyDescent="0.25">
      <c r="A3732" t="s">
        <v>7739</v>
      </c>
      <c r="B3732" t="s">
        <v>7740</v>
      </c>
    </row>
    <row r="3733" spans="1:2" x14ac:dyDescent="0.25">
      <c r="A3733" t="s">
        <v>7741</v>
      </c>
      <c r="B3733" t="s">
        <v>7742</v>
      </c>
    </row>
    <row r="3734" spans="1:2" x14ac:dyDescent="0.25">
      <c r="A3734" t="s">
        <v>7743</v>
      </c>
      <c r="B3734" t="s">
        <v>7744</v>
      </c>
    </row>
    <row r="3735" spans="1:2" x14ac:dyDescent="0.25">
      <c r="A3735" t="s">
        <v>7745</v>
      </c>
      <c r="B3735" t="s">
        <v>7746</v>
      </c>
    </row>
    <row r="3736" spans="1:2" x14ac:dyDescent="0.25">
      <c r="A3736" t="s">
        <v>7747</v>
      </c>
      <c r="B3736" t="s">
        <v>7748</v>
      </c>
    </row>
    <row r="3737" spans="1:2" x14ac:dyDescent="0.25">
      <c r="A3737" t="s">
        <v>7749</v>
      </c>
      <c r="B3737" t="s">
        <v>7750</v>
      </c>
    </row>
    <row r="3738" spans="1:2" x14ac:dyDescent="0.25">
      <c r="A3738" t="s">
        <v>7751</v>
      </c>
      <c r="B3738" t="s">
        <v>7752</v>
      </c>
    </row>
    <row r="3739" spans="1:2" x14ac:dyDescent="0.25">
      <c r="A3739" t="s">
        <v>7753</v>
      </c>
      <c r="B3739" t="s">
        <v>7754</v>
      </c>
    </row>
    <row r="3740" spans="1:2" x14ac:dyDescent="0.25">
      <c r="A3740" t="s">
        <v>7755</v>
      </c>
      <c r="B3740" t="s">
        <v>7756</v>
      </c>
    </row>
    <row r="3741" spans="1:2" x14ac:dyDescent="0.25">
      <c r="A3741" t="s">
        <v>7757</v>
      </c>
      <c r="B3741" t="s">
        <v>7758</v>
      </c>
    </row>
    <row r="3742" spans="1:2" x14ac:dyDescent="0.25">
      <c r="A3742" t="s">
        <v>7759</v>
      </c>
      <c r="B3742" t="s">
        <v>7760</v>
      </c>
    </row>
    <row r="3743" spans="1:2" x14ac:dyDescent="0.25">
      <c r="A3743" t="s">
        <v>7761</v>
      </c>
      <c r="B3743" t="s">
        <v>7762</v>
      </c>
    </row>
    <row r="3744" spans="1:2" x14ac:dyDescent="0.25">
      <c r="A3744" t="s">
        <v>7763</v>
      </c>
      <c r="B3744" t="s">
        <v>7764</v>
      </c>
    </row>
    <row r="3745" spans="1:2" x14ac:dyDescent="0.25">
      <c r="A3745" t="s">
        <v>7765</v>
      </c>
      <c r="B3745" t="s">
        <v>7766</v>
      </c>
    </row>
    <row r="3746" spans="1:2" x14ac:dyDescent="0.25">
      <c r="A3746" t="s">
        <v>7767</v>
      </c>
      <c r="B3746" t="s">
        <v>336</v>
      </c>
    </row>
    <row r="3747" spans="1:2" x14ac:dyDescent="0.25">
      <c r="A3747" t="s">
        <v>7768</v>
      </c>
      <c r="B3747" t="s">
        <v>7769</v>
      </c>
    </row>
    <row r="3748" spans="1:2" x14ac:dyDescent="0.25">
      <c r="A3748" t="s">
        <v>7770</v>
      </c>
      <c r="B3748" t="s">
        <v>7771</v>
      </c>
    </row>
    <row r="3749" spans="1:2" x14ac:dyDescent="0.25">
      <c r="A3749" t="s">
        <v>7772</v>
      </c>
      <c r="B3749" t="s">
        <v>7773</v>
      </c>
    </row>
    <row r="3750" spans="1:2" x14ac:dyDescent="0.25">
      <c r="A3750" t="s">
        <v>7774</v>
      </c>
      <c r="B3750" t="s">
        <v>7775</v>
      </c>
    </row>
    <row r="3751" spans="1:2" x14ac:dyDescent="0.25">
      <c r="A3751" t="s">
        <v>7776</v>
      </c>
      <c r="B3751" t="s">
        <v>7777</v>
      </c>
    </row>
    <row r="3752" spans="1:2" x14ac:dyDescent="0.25">
      <c r="A3752" t="s">
        <v>7778</v>
      </c>
      <c r="B3752" t="s">
        <v>7779</v>
      </c>
    </row>
    <row r="3753" spans="1:2" x14ac:dyDescent="0.25">
      <c r="A3753" t="s">
        <v>7780</v>
      </c>
      <c r="B3753" t="s">
        <v>7781</v>
      </c>
    </row>
    <row r="3754" spans="1:2" x14ac:dyDescent="0.25">
      <c r="A3754" t="s">
        <v>7782</v>
      </c>
      <c r="B3754" t="s">
        <v>7783</v>
      </c>
    </row>
    <row r="3755" spans="1:2" x14ac:dyDescent="0.25">
      <c r="A3755" t="s">
        <v>7784</v>
      </c>
      <c r="B3755" t="s">
        <v>7785</v>
      </c>
    </row>
    <row r="3756" spans="1:2" x14ac:dyDescent="0.25">
      <c r="A3756" t="s">
        <v>7786</v>
      </c>
      <c r="B3756" t="s">
        <v>429</v>
      </c>
    </row>
    <row r="3757" spans="1:2" x14ac:dyDescent="0.25">
      <c r="A3757" t="s">
        <v>7787</v>
      </c>
      <c r="B3757" t="s">
        <v>7788</v>
      </c>
    </row>
    <row r="3758" spans="1:2" x14ac:dyDescent="0.25">
      <c r="A3758" t="s">
        <v>7789</v>
      </c>
      <c r="B3758" t="s">
        <v>7790</v>
      </c>
    </row>
    <row r="3759" spans="1:2" x14ac:dyDescent="0.25">
      <c r="A3759" t="s">
        <v>7791</v>
      </c>
      <c r="B3759" t="s">
        <v>7792</v>
      </c>
    </row>
    <row r="3760" spans="1:2" x14ac:dyDescent="0.25">
      <c r="A3760" t="s">
        <v>7793</v>
      </c>
      <c r="B3760" t="s">
        <v>7794</v>
      </c>
    </row>
    <row r="3761" spans="1:2" x14ac:dyDescent="0.25">
      <c r="A3761" t="s">
        <v>7795</v>
      </c>
      <c r="B3761" t="s">
        <v>7796</v>
      </c>
    </row>
    <row r="3762" spans="1:2" x14ac:dyDescent="0.25">
      <c r="A3762" t="s">
        <v>7797</v>
      </c>
      <c r="B3762" t="s">
        <v>7798</v>
      </c>
    </row>
    <row r="3763" spans="1:2" x14ac:dyDescent="0.25">
      <c r="A3763" t="s">
        <v>7799</v>
      </c>
      <c r="B3763" t="s">
        <v>7800</v>
      </c>
    </row>
    <row r="3764" spans="1:2" x14ac:dyDescent="0.25">
      <c r="A3764" t="s">
        <v>7801</v>
      </c>
      <c r="B3764" t="s">
        <v>7802</v>
      </c>
    </row>
    <row r="3765" spans="1:2" x14ac:dyDescent="0.25">
      <c r="A3765" t="s">
        <v>7803</v>
      </c>
      <c r="B3765" t="s">
        <v>7804</v>
      </c>
    </row>
    <row r="3766" spans="1:2" x14ac:dyDescent="0.25">
      <c r="A3766" t="s">
        <v>7805</v>
      </c>
      <c r="B3766" t="s">
        <v>7806</v>
      </c>
    </row>
    <row r="3767" spans="1:2" x14ac:dyDescent="0.25">
      <c r="A3767" t="s">
        <v>7807</v>
      </c>
      <c r="B3767" t="s">
        <v>7808</v>
      </c>
    </row>
    <row r="3768" spans="1:2" x14ac:dyDescent="0.25">
      <c r="A3768" t="s">
        <v>7809</v>
      </c>
      <c r="B3768" t="s">
        <v>7810</v>
      </c>
    </row>
    <row r="3769" spans="1:2" x14ac:dyDescent="0.25">
      <c r="A3769" t="s">
        <v>7811</v>
      </c>
      <c r="B3769" t="s">
        <v>7812</v>
      </c>
    </row>
    <row r="3770" spans="1:2" x14ac:dyDescent="0.25">
      <c r="A3770" t="s">
        <v>7813</v>
      </c>
      <c r="B3770" t="s">
        <v>7814</v>
      </c>
    </row>
    <row r="3771" spans="1:2" x14ac:dyDescent="0.25">
      <c r="A3771" t="s">
        <v>7815</v>
      </c>
      <c r="B3771" t="s">
        <v>7816</v>
      </c>
    </row>
    <row r="3772" spans="1:2" x14ac:dyDescent="0.25">
      <c r="A3772" t="s">
        <v>7817</v>
      </c>
      <c r="B3772" t="s">
        <v>7818</v>
      </c>
    </row>
    <row r="3773" spans="1:2" x14ac:dyDescent="0.25">
      <c r="A3773" t="s">
        <v>7819</v>
      </c>
      <c r="B3773" t="s">
        <v>7820</v>
      </c>
    </row>
    <row r="3774" spans="1:2" x14ac:dyDescent="0.25">
      <c r="A3774" t="s">
        <v>7821</v>
      </c>
      <c r="B3774" t="s">
        <v>7822</v>
      </c>
    </row>
    <row r="3775" spans="1:2" x14ac:dyDescent="0.25">
      <c r="A3775" t="s">
        <v>7823</v>
      </c>
      <c r="B3775" t="s">
        <v>7824</v>
      </c>
    </row>
    <row r="3776" spans="1:2" x14ac:dyDescent="0.25">
      <c r="A3776" t="s">
        <v>7825</v>
      </c>
      <c r="B3776" t="s">
        <v>7826</v>
      </c>
    </row>
    <row r="3777" spans="1:2" x14ac:dyDescent="0.25">
      <c r="A3777" t="s">
        <v>7827</v>
      </c>
      <c r="B3777" t="s">
        <v>7828</v>
      </c>
    </row>
    <row r="3778" spans="1:2" x14ac:dyDescent="0.25">
      <c r="A3778" t="s">
        <v>7829</v>
      </c>
      <c r="B3778" t="s">
        <v>7830</v>
      </c>
    </row>
    <row r="3779" spans="1:2" x14ac:dyDescent="0.25">
      <c r="A3779" t="s">
        <v>7831</v>
      </c>
      <c r="B3779" t="s">
        <v>7832</v>
      </c>
    </row>
    <row r="3780" spans="1:2" x14ac:dyDescent="0.25">
      <c r="A3780" t="s">
        <v>7833</v>
      </c>
      <c r="B3780" t="s">
        <v>527</v>
      </c>
    </row>
    <row r="3781" spans="1:2" x14ac:dyDescent="0.25">
      <c r="A3781" t="s">
        <v>7834</v>
      </c>
      <c r="B3781" t="s">
        <v>7835</v>
      </c>
    </row>
    <row r="3782" spans="1:2" x14ac:dyDescent="0.25">
      <c r="A3782" t="s">
        <v>7836</v>
      </c>
      <c r="B3782" t="s">
        <v>7837</v>
      </c>
    </row>
    <row r="3783" spans="1:2" x14ac:dyDescent="0.25">
      <c r="A3783" t="s">
        <v>7838</v>
      </c>
      <c r="B3783" t="s">
        <v>7839</v>
      </c>
    </row>
    <row r="3784" spans="1:2" x14ac:dyDescent="0.25">
      <c r="A3784" t="s">
        <v>7840</v>
      </c>
      <c r="B3784" t="s">
        <v>7841</v>
      </c>
    </row>
    <row r="3785" spans="1:2" x14ac:dyDescent="0.25">
      <c r="A3785" t="s">
        <v>7842</v>
      </c>
      <c r="B3785" t="s">
        <v>7843</v>
      </c>
    </row>
    <row r="3786" spans="1:2" x14ac:dyDescent="0.25">
      <c r="A3786" t="s">
        <v>7844</v>
      </c>
      <c r="B3786" t="s">
        <v>7845</v>
      </c>
    </row>
    <row r="3787" spans="1:2" x14ac:dyDescent="0.25">
      <c r="A3787" t="s">
        <v>7846</v>
      </c>
      <c r="B3787" t="s">
        <v>7847</v>
      </c>
    </row>
    <row r="3788" spans="1:2" x14ac:dyDescent="0.25">
      <c r="A3788" t="s">
        <v>7848</v>
      </c>
      <c r="B3788" t="s">
        <v>430</v>
      </c>
    </row>
    <row r="3789" spans="1:2" x14ac:dyDescent="0.25">
      <c r="A3789" t="s">
        <v>7849</v>
      </c>
      <c r="B3789" t="s">
        <v>7850</v>
      </c>
    </row>
    <row r="3790" spans="1:2" x14ac:dyDescent="0.25">
      <c r="A3790" t="s">
        <v>7851</v>
      </c>
      <c r="B3790" t="s">
        <v>7852</v>
      </c>
    </row>
    <row r="3791" spans="1:2" x14ac:dyDescent="0.25">
      <c r="A3791" t="s">
        <v>7853</v>
      </c>
      <c r="B3791" t="s">
        <v>7854</v>
      </c>
    </row>
    <row r="3792" spans="1:2" x14ac:dyDescent="0.25">
      <c r="A3792" t="s">
        <v>7855</v>
      </c>
      <c r="B3792" t="s">
        <v>7856</v>
      </c>
    </row>
    <row r="3793" spans="1:2" x14ac:dyDescent="0.25">
      <c r="A3793" t="s">
        <v>7857</v>
      </c>
      <c r="B3793" t="s">
        <v>7858</v>
      </c>
    </row>
    <row r="3794" spans="1:2" x14ac:dyDescent="0.25">
      <c r="A3794" t="s">
        <v>7859</v>
      </c>
      <c r="B3794" t="s">
        <v>7860</v>
      </c>
    </row>
    <row r="3795" spans="1:2" x14ac:dyDescent="0.25">
      <c r="A3795" t="s">
        <v>7861</v>
      </c>
      <c r="B3795" t="s">
        <v>7862</v>
      </c>
    </row>
    <row r="3796" spans="1:2" x14ac:dyDescent="0.25">
      <c r="A3796" t="s">
        <v>7863</v>
      </c>
      <c r="B3796" t="s">
        <v>7864</v>
      </c>
    </row>
    <row r="3797" spans="1:2" x14ac:dyDescent="0.25">
      <c r="A3797" t="s">
        <v>7865</v>
      </c>
      <c r="B3797" t="s">
        <v>7866</v>
      </c>
    </row>
    <row r="3798" spans="1:2" x14ac:dyDescent="0.25">
      <c r="A3798" t="s">
        <v>7867</v>
      </c>
      <c r="B3798" t="s">
        <v>339</v>
      </c>
    </row>
    <row r="3799" spans="1:2" x14ac:dyDescent="0.25">
      <c r="A3799" t="s">
        <v>7868</v>
      </c>
      <c r="B3799" t="s">
        <v>572</v>
      </c>
    </row>
    <row r="3800" spans="1:2" x14ac:dyDescent="0.25">
      <c r="A3800" t="s">
        <v>7869</v>
      </c>
      <c r="B3800" t="s">
        <v>7870</v>
      </c>
    </row>
    <row r="3801" spans="1:2" x14ac:dyDescent="0.25">
      <c r="A3801" t="s">
        <v>7871</v>
      </c>
      <c r="B3801" t="s">
        <v>7872</v>
      </c>
    </row>
    <row r="3802" spans="1:2" x14ac:dyDescent="0.25">
      <c r="A3802" t="s">
        <v>7873</v>
      </c>
      <c r="B3802" t="s">
        <v>7874</v>
      </c>
    </row>
    <row r="3803" spans="1:2" x14ac:dyDescent="0.25">
      <c r="A3803" t="s">
        <v>7875</v>
      </c>
      <c r="B3803" t="s">
        <v>573</v>
      </c>
    </row>
    <row r="3804" spans="1:2" x14ac:dyDescent="0.25">
      <c r="A3804" t="s">
        <v>7876</v>
      </c>
      <c r="B3804" t="s">
        <v>7877</v>
      </c>
    </row>
    <row r="3805" spans="1:2" x14ac:dyDescent="0.25">
      <c r="A3805" t="s">
        <v>7878</v>
      </c>
      <c r="B3805" t="s">
        <v>7879</v>
      </c>
    </row>
    <row r="3806" spans="1:2" x14ac:dyDescent="0.25">
      <c r="A3806" t="s">
        <v>7880</v>
      </c>
      <c r="B3806" t="s">
        <v>7881</v>
      </c>
    </row>
    <row r="3807" spans="1:2" x14ac:dyDescent="0.25">
      <c r="A3807" t="s">
        <v>7882</v>
      </c>
      <c r="B3807" t="s">
        <v>7883</v>
      </c>
    </row>
    <row r="3808" spans="1:2" x14ac:dyDescent="0.25">
      <c r="A3808" t="s">
        <v>7884</v>
      </c>
      <c r="B3808" t="s">
        <v>7885</v>
      </c>
    </row>
    <row r="3809" spans="1:2" x14ac:dyDescent="0.25">
      <c r="A3809" t="s">
        <v>7886</v>
      </c>
      <c r="B3809" t="s">
        <v>528</v>
      </c>
    </row>
    <row r="3810" spans="1:2" x14ac:dyDescent="0.25">
      <c r="A3810" t="s">
        <v>7887</v>
      </c>
      <c r="B3810" t="s">
        <v>7888</v>
      </c>
    </row>
    <row r="3811" spans="1:2" x14ac:dyDescent="0.25">
      <c r="A3811" t="s">
        <v>7889</v>
      </c>
      <c r="B3811" t="s">
        <v>7890</v>
      </c>
    </row>
    <row r="3812" spans="1:2" x14ac:dyDescent="0.25">
      <c r="A3812" t="s">
        <v>7891</v>
      </c>
      <c r="B3812" t="s">
        <v>7892</v>
      </c>
    </row>
    <row r="3813" spans="1:2" x14ac:dyDescent="0.25">
      <c r="A3813" t="s">
        <v>7893</v>
      </c>
      <c r="B3813" t="s">
        <v>7894</v>
      </c>
    </row>
    <row r="3814" spans="1:2" x14ac:dyDescent="0.25">
      <c r="A3814" t="s">
        <v>7895</v>
      </c>
      <c r="B3814" t="s">
        <v>7896</v>
      </c>
    </row>
    <row r="3815" spans="1:2" x14ac:dyDescent="0.25">
      <c r="A3815" t="s">
        <v>7897</v>
      </c>
      <c r="B3815" t="s">
        <v>7898</v>
      </c>
    </row>
    <row r="3816" spans="1:2" x14ac:dyDescent="0.25">
      <c r="A3816" t="s">
        <v>7899</v>
      </c>
      <c r="B3816" t="s">
        <v>7900</v>
      </c>
    </row>
    <row r="3817" spans="1:2" x14ac:dyDescent="0.25">
      <c r="A3817" t="s">
        <v>7901</v>
      </c>
      <c r="B3817" t="s">
        <v>7902</v>
      </c>
    </row>
    <row r="3818" spans="1:2" x14ac:dyDescent="0.25">
      <c r="A3818" t="s">
        <v>7903</v>
      </c>
      <c r="B3818" t="s">
        <v>7904</v>
      </c>
    </row>
    <row r="3819" spans="1:2" x14ac:dyDescent="0.25">
      <c r="A3819" t="s">
        <v>7905</v>
      </c>
      <c r="B3819" t="s">
        <v>7906</v>
      </c>
    </row>
    <row r="3820" spans="1:2" x14ac:dyDescent="0.25">
      <c r="A3820" t="s">
        <v>7907</v>
      </c>
      <c r="B3820" t="s">
        <v>7908</v>
      </c>
    </row>
    <row r="3821" spans="1:2" x14ac:dyDescent="0.25">
      <c r="A3821" t="s">
        <v>7909</v>
      </c>
      <c r="B3821" t="s">
        <v>7910</v>
      </c>
    </row>
    <row r="3822" spans="1:2" x14ac:dyDescent="0.25">
      <c r="A3822" t="s">
        <v>7911</v>
      </c>
      <c r="B3822" t="s">
        <v>7912</v>
      </c>
    </row>
    <row r="3823" spans="1:2" x14ac:dyDescent="0.25">
      <c r="A3823" t="s">
        <v>7913</v>
      </c>
      <c r="B3823" t="s">
        <v>7914</v>
      </c>
    </row>
    <row r="3824" spans="1:2" x14ac:dyDescent="0.25">
      <c r="A3824" t="s">
        <v>7915</v>
      </c>
      <c r="B3824" t="s">
        <v>7916</v>
      </c>
    </row>
    <row r="3825" spans="1:2" x14ac:dyDescent="0.25">
      <c r="A3825" t="s">
        <v>7917</v>
      </c>
      <c r="B3825" t="s">
        <v>7918</v>
      </c>
    </row>
    <row r="3826" spans="1:2" x14ac:dyDescent="0.25">
      <c r="A3826" t="s">
        <v>7919</v>
      </c>
      <c r="B3826" t="s">
        <v>7920</v>
      </c>
    </row>
    <row r="3827" spans="1:2" x14ac:dyDescent="0.25">
      <c r="A3827" t="s">
        <v>7921</v>
      </c>
      <c r="B3827" t="s">
        <v>7922</v>
      </c>
    </row>
    <row r="3828" spans="1:2" x14ac:dyDescent="0.25">
      <c r="A3828" t="s">
        <v>7923</v>
      </c>
      <c r="B3828" t="s">
        <v>7924</v>
      </c>
    </row>
    <row r="3829" spans="1:2" x14ac:dyDescent="0.25">
      <c r="A3829" t="s">
        <v>7925</v>
      </c>
      <c r="B3829" t="s">
        <v>7926</v>
      </c>
    </row>
    <row r="3830" spans="1:2" x14ac:dyDescent="0.25">
      <c r="A3830" t="s">
        <v>7927</v>
      </c>
      <c r="B3830" t="s">
        <v>7928</v>
      </c>
    </row>
    <row r="3831" spans="1:2" x14ac:dyDescent="0.25">
      <c r="A3831" t="s">
        <v>7929</v>
      </c>
      <c r="B3831" t="s">
        <v>7930</v>
      </c>
    </row>
    <row r="3832" spans="1:2" x14ac:dyDescent="0.25">
      <c r="A3832" t="s">
        <v>7931</v>
      </c>
      <c r="B3832" t="s">
        <v>7932</v>
      </c>
    </row>
    <row r="3833" spans="1:2" x14ac:dyDescent="0.25">
      <c r="A3833" t="s">
        <v>7933</v>
      </c>
      <c r="B3833" t="s">
        <v>7934</v>
      </c>
    </row>
    <row r="3834" spans="1:2" x14ac:dyDescent="0.25">
      <c r="A3834" t="s">
        <v>7935</v>
      </c>
      <c r="B3834" t="s">
        <v>7936</v>
      </c>
    </row>
    <row r="3835" spans="1:2" x14ac:dyDescent="0.25">
      <c r="A3835" t="s">
        <v>7937</v>
      </c>
      <c r="B3835" t="s">
        <v>7938</v>
      </c>
    </row>
    <row r="3836" spans="1:2" x14ac:dyDescent="0.25">
      <c r="A3836" t="s">
        <v>7939</v>
      </c>
      <c r="B3836" t="s">
        <v>7940</v>
      </c>
    </row>
    <row r="3837" spans="1:2" x14ac:dyDescent="0.25">
      <c r="A3837" t="s">
        <v>7941</v>
      </c>
      <c r="B3837" t="s">
        <v>7942</v>
      </c>
    </row>
    <row r="3838" spans="1:2" x14ac:dyDescent="0.25">
      <c r="A3838" t="s">
        <v>7943</v>
      </c>
      <c r="B3838" t="s">
        <v>7944</v>
      </c>
    </row>
    <row r="3839" spans="1:2" x14ac:dyDescent="0.25">
      <c r="A3839" t="s">
        <v>7945</v>
      </c>
      <c r="B3839" t="s">
        <v>7946</v>
      </c>
    </row>
    <row r="3840" spans="1:2" x14ac:dyDescent="0.25">
      <c r="A3840" t="s">
        <v>7947</v>
      </c>
      <c r="B3840" t="s">
        <v>7948</v>
      </c>
    </row>
    <row r="3841" spans="1:2" x14ac:dyDescent="0.25">
      <c r="A3841" t="s">
        <v>7949</v>
      </c>
      <c r="B3841" t="s">
        <v>7950</v>
      </c>
    </row>
    <row r="3842" spans="1:2" x14ac:dyDescent="0.25">
      <c r="A3842" t="s">
        <v>7951</v>
      </c>
      <c r="B3842" t="s">
        <v>7952</v>
      </c>
    </row>
    <row r="3843" spans="1:2" x14ac:dyDescent="0.25">
      <c r="A3843" t="s">
        <v>7953</v>
      </c>
      <c r="B3843" t="s">
        <v>7954</v>
      </c>
    </row>
    <row r="3844" spans="1:2" x14ac:dyDescent="0.25">
      <c r="A3844" t="s">
        <v>7955</v>
      </c>
      <c r="B3844" t="s">
        <v>7956</v>
      </c>
    </row>
    <row r="3845" spans="1:2" x14ac:dyDescent="0.25">
      <c r="A3845" t="s">
        <v>7957</v>
      </c>
      <c r="B3845" t="s">
        <v>7958</v>
      </c>
    </row>
    <row r="3846" spans="1:2" x14ac:dyDescent="0.25">
      <c r="A3846" t="s">
        <v>7959</v>
      </c>
      <c r="B3846" t="s">
        <v>7960</v>
      </c>
    </row>
    <row r="3847" spans="1:2" x14ac:dyDescent="0.25">
      <c r="A3847" t="s">
        <v>7961</v>
      </c>
      <c r="B3847" t="s">
        <v>7962</v>
      </c>
    </row>
    <row r="3848" spans="1:2" x14ac:dyDescent="0.25">
      <c r="A3848" t="s">
        <v>7963</v>
      </c>
      <c r="B3848" t="s">
        <v>7964</v>
      </c>
    </row>
    <row r="3849" spans="1:2" x14ac:dyDescent="0.25">
      <c r="A3849" t="s">
        <v>7965</v>
      </c>
      <c r="B3849" t="s">
        <v>346</v>
      </c>
    </row>
    <row r="3850" spans="1:2" x14ac:dyDescent="0.25">
      <c r="A3850" t="s">
        <v>7966</v>
      </c>
      <c r="B3850" t="s">
        <v>7967</v>
      </c>
    </row>
    <row r="3851" spans="1:2" x14ac:dyDescent="0.25">
      <c r="A3851" t="s">
        <v>7968</v>
      </c>
      <c r="B3851" t="s">
        <v>7969</v>
      </c>
    </row>
    <row r="3852" spans="1:2" x14ac:dyDescent="0.25">
      <c r="A3852" t="s">
        <v>7970</v>
      </c>
      <c r="B3852" t="s">
        <v>7971</v>
      </c>
    </row>
    <row r="3853" spans="1:2" x14ac:dyDescent="0.25">
      <c r="A3853" t="s">
        <v>7972</v>
      </c>
      <c r="B3853" t="s">
        <v>7973</v>
      </c>
    </row>
    <row r="3854" spans="1:2" x14ac:dyDescent="0.25">
      <c r="A3854" t="s">
        <v>7974</v>
      </c>
      <c r="B3854" t="s">
        <v>7975</v>
      </c>
    </row>
    <row r="3855" spans="1:2" x14ac:dyDescent="0.25">
      <c r="A3855" t="s">
        <v>7976</v>
      </c>
      <c r="B3855" t="s">
        <v>7977</v>
      </c>
    </row>
    <row r="3856" spans="1:2" x14ac:dyDescent="0.25">
      <c r="A3856" t="s">
        <v>7978</v>
      </c>
      <c r="B3856" t="s">
        <v>7979</v>
      </c>
    </row>
    <row r="3857" spans="1:2" x14ac:dyDescent="0.25">
      <c r="A3857" t="s">
        <v>7980</v>
      </c>
      <c r="B3857" t="s">
        <v>7981</v>
      </c>
    </row>
    <row r="3858" spans="1:2" x14ac:dyDescent="0.25">
      <c r="A3858" t="s">
        <v>7982</v>
      </c>
      <c r="B3858" t="s">
        <v>7983</v>
      </c>
    </row>
    <row r="3859" spans="1:2" x14ac:dyDescent="0.25">
      <c r="A3859" t="s">
        <v>7984</v>
      </c>
      <c r="B3859" t="s">
        <v>7985</v>
      </c>
    </row>
    <row r="3860" spans="1:2" x14ac:dyDescent="0.25">
      <c r="A3860" t="s">
        <v>7986</v>
      </c>
      <c r="B3860" t="s">
        <v>7987</v>
      </c>
    </row>
    <row r="3861" spans="1:2" x14ac:dyDescent="0.25">
      <c r="A3861" t="s">
        <v>7988</v>
      </c>
      <c r="B3861" t="s">
        <v>7989</v>
      </c>
    </row>
    <row r="3862" spans="1:2" x14ac:dyDescent="0.25">
      <c r="A3862" t="s">
        <v>7990</v>
      </c>
      <c r="B3862" t="s">
        <v>7991</v>
      </c>
    </row>
    <row r="3863" spans="1:2" x14ac:dyDescent="0.25">
      <c r="A3863" t="s">
        <v>7992</v>
      </c>
      <c r="B3863" t="s">
        <v>7993</v>
      </c>
    </row>
    <row r="3864" spans="1:2" x14ac:dyDescent="0.25">
      <c r="A3864" t="s">
        <v>7994</v>
      </c>
      <c r="B3864" t="s">
        <v>7995</v>
      </c>
    </row>
    <row r="3865" spans="1:2" x14ac:dyDescent="0.25">
      <c r="A3865" t="s">
        <v>7996</v>
      </c>
      <c r="B3865" t="s">
        <v>7997</v>
      </c>
    </row>
    <row r="3866" spans="1:2" x14ac:dyDescent="0.25">
      <c r="A3866" t="s">
        <v>7998</v>
      </c>
      <c r="B3866" t="s">
        <v>7999</v>
      </c>
    </row>
    <row r="3867" spans="1:2" x14ac:dyDescent="0.25">
      <c r="A3867" t="s">
        <v>8000</v>
      </c>
      <c r="B3867" t="s">
        <v>8001</v>
      </c>
    </row>
    <row r="3868" spans="1:2" x14ac:dyDescent="0.25">
      <c r="A3868" t="s">
        <v>8002</v>
      </c>
      <c r="B3868" t="s">
        <v>8003</v>
      </c>
    </row>
    <row r="3869" spans="1:2" x14ac:dyDescent="0.25">
      <c r="A3869" t="s">
        <v>8004</v>
      </c>
      <c r="B3869" t="s">
        <v>8005</v>
      </c>
    </row>
    <row r="3870" spans="1:2" x14ac:dyDescent="0.25">
      <c r="A3870" t="s">
        <v>8006</v>
      </c>
      <c r="B3870" t="s">
        <v>8007</v>
      </c>
    </row>
    <row r="3871" spans="1:2" x14ac:dyDescent="0.25">
      <c r="A3871" t="s">
        <v>8008</v>
      </c>
      <c r="B3871" t="s">
        <v>8009</v>
      </c>
    </row>
    <row r="3872" spans="1:2" x14ac:dyDescent="0.25">
      <c r="A3872" t="s">
        <v>8010</v>
      </c>
      <c r="B3872" t="s">
        <v>8011</v>
      </c>
    </row>
    <row r="3873" spans="1:2" x14ac:dyDescent="0.25">
      <c r="A3873" t="s">
        <v>8012</v>
      </c>
      <c r="B3873" t="s">
        <v>8013</v>
      </c>
    </row>
    <row r="3874" spans="1:2" x14ac:dyDescent="0.25">
      <c r="A3874" t="s">
        <v>8014</v>
      </c>
      <c r="B3874" t="s">
        <v>8015</v>
      </c>
    </row>
    <row r="3875" spans="1:2" x14ac:dyDescent="0.25">
      <c r="A3875" t="s">
        <v>8016</v>
      </c>
      <c r="B3875" t="s">
        <v>8017</v>
      </c>
    </row>
    <row r="3876" spans="1:2" x14ac:dyDescent="0.25">
      <c r="A3876" t="s">
        <v>8018</v>
      </c>
      <c r="B3876" t="s">
        <v>8019</v>
      </c>
    </row>
    <row r="3877" spans="1:2" x14ac:dyDescent="0.25">
      <c r="A3877" t="s">
        <v>8020</v>
      </c>
      <c r="B3877" t="s">
        <v>8021</v>
      </c>
    </row>
    <row r="3878" spans="1:2" x14ac:dyDescent="0.25">
      <c r="A3878" t="s">
        <v>8022</v>
      </c>
      <c r="B3878" t="s">
        <v>8023</v>
      </c>
    </row>
    <row r="3879" spans="1:2" x14ac:dyDescent="0.25">
      <c r="A3879" t="s">
        <v>8024</v>
      </c>
      <c r="B3879" t="s">
        <v>8025</v>
      </c>
    </row>
    <row r="3880" spans="1:2" x14ac:dyDescent="0.25">
      <c r="A3880" t="s">
        <v>8026</v>
      </c>
      <c r="B3880" t="s">
        <v>8027</v>
      </c>
    </row>
    <row r="3881" spans="1:2" x14ac:dyDescent="0.25">
      <c r="A3881" t="s">
        <v>8028</v>
      </c>
      <c r="B3881" t="s">
        <v>8029</v>
      </c>
    </row>
    <row r="3882" spans="1:2" x14ac:dyDescent="0.25">
      <c r="A3882" t="s">
        <v>8030</v>
      </c>
      <c r="B3882" t="s">
        <v>8031</v>
      </c>
    </row>
    <row r="3883" spans="1:2" x14ac:dyDescent="0.25">
      <c r="A3883" t="s">
        <v>8032</v>
      </c>
      <c r="B3883" t="s">
        <v>8033</v>
      </c>
    </row>
    <row r="3884" spans="1:2" x14ac:dyDescent="0.25">
      <c r="A3884" t="s">
        <v>8034</v>
      </c>
      <c r="B3884" t="s">
        <v>8035</v>
      </c>
    </row>
    <row r="3885" spans="1:2" x14ac:dyDescent="0.25">
      <c r="A3885" t="s">
        <v>8036</v>
      </c>
      <c r="B3885" t="s">
        <v>8037</v>
      </c>
    </row>
    <row r="3886" spans="1:2" x14ac:dyDescent="0.25">
      <c r="A3886" t="s">
        <v>8038</v>
      </c>
      <c r="B3886" t="s">
        <v>8039</v>
      </c>
    </row>
    <row r="3887" spans="1:2" x14ac:dyDescent="0.25">
      <c r="A3887" t="s">
        <v>8040</v>
      </c>
      <c r="B3887" t="s">
        <v>8041</v>
      </c>
    </row>
    <row r="3888" spans="1:2" x14ac:dyDescent="0.25">
      <c r="A3888" t="s">
        <v>8042</v>
      </c>
      <c r="B3888" t="s">
        <v>8043</v>
      </c>
    </row>
    <row r="3889" spans="1:2" x14ac:dyDescent="0.25">
      <c r="A3889" t="s">
        <v>8044</v>
      </c>
      <c r="B3889" t="s">
        <v>8045</v>
      </c>
    </row>
    <row r="3890" spans="1:2" x14ac:dyDescent="0.25">
      <c r="A3890" t="s">
        <v>8046</v>
      </c>
      <c r="B3890" t="s">
        <v>8047</v>
      </c>
    </row>
    <row r="3891" spans="1:2" x14ac:dyDescent="0.25">
      <c r="A3891" t="s">
        <v>8048</v>
      </c>
      <c r="B3891" t="s">
        <v>8049</v>
      </c>
    </row>
    <row r="3892" spans="1:2" x14ac:dyDescent="0.25">
      <c r="A3892" t="s">
        <v>8050</v>
      </c>
      <c r="B3892" t="s">
        <v>8051</v>
      </c>
    </row>
    <row r="3893" spans="1:2" x14ac:dyDescent="0.25">
      <c r="A3893" t="s">
        <v>8052</v>
      </c>
      <c r="B3893" t="s">
        <v>8053</v>
      </c>
    </row>
    <row r="3894" spans="1:2" x14ac:dyDescent="0.25">
      <c r="A3894" t="s">
        <v>8054</v>
      </c>
      <c r="B3894" t="s">
        <v>8055</v>
      </c>
    </row>
    <row r="3895" spans="1:2" x14ac:dyDescent="0.25">
      <c r="A3895" t="s">
        <v>8056</v>
      </c>
      <c r="B3895" t="s">
        <v>8057</v>
      </c>
    </row>
    <row r="3896" spans="1:2" x14ac:dyDescent="0.25">
      <c r="A3896" t="s">
        <v>8058</v>
      </c>
      <c r="B3896" t="s">
        <v>8059</v>
      </c>
    </row>
    <row r="3897" spans="1:2" x14ac:dyDescent="0.25">
      <c r="A3897" t="s">
        <v>8060</v>
      </c>
      <c r="B3897" t="s">
        <v>8061</v>
      </c>
    </row>
    <row r="3898" spans="1:2" x14ac:dyDescent="0.25">
      <c r="A3898" t="s">
        <v>8062</v>
      </c>
      <c r="B3898" t="s">
        <v>8063</v>
      </c>
    </row>
    <row r="3899" spans="1:2" x14ac:dyDescent="0.25">
      <c r="A3899" t="s">
        <v>8064</v>
      </c>
      <c r="B3899" t="s">
        <v>8065</v>
      </c>
    </row>
    <row r="3900" spans="1:2" x14ac:dyDescent="0.25">
      <c r="A3900" t="s">
        <v>8066</v>
      </c>
      <c r="B3900" t="s">
        <v>8067</v>
      </c>
    </row>
    <row r="3901" spans="1:2" x14ac:dyDescent="0.25">
      <c r="A3901" t="s">
        <v>8068</v>
      </c>
      <c r="B3901" t="s">
        <v>8069</v>
      </c>
    </row>
    <row r="3902" spans="1:2" x14ac:dyDescent="0.25">
      <c r="A3902" t="s">
        <v>8070</v>
      </c>
      <c r="B3902" t="s">
        <v>8071</v>
      </c>
    </row>
    <row r="3903" spans="1:2" x14ac:dyDescent="0.25">
      <c r="A3903" t="s">
        <v>8072</v>
      </c>
      <c r="B3903" t="s">
        <v>8073</v>
      </c>
    </row>
    <row r="3904" spans="1:2" x14ac:dyDescent="0.25">
      <c r="A3904" t="s">
        <v>8074</v>
      </c>
      <c r="B3904" t="s">
        <v>8075</v>
      </c>
    </row>
    <row r="3905" spans="1:2" x14ac:dyDescent="0.25">
      <c r="A3905" t="s">
        <v>8076</v>
      </c>
      <c r="B3905" t="s">
        <v>8077</v>
      </c>
    </row>
    <row r="3906" spans="1:2" x14ac:dyDescent="0.25">
      <c r="A3906" t="s">
        <v>8078</v>
      </c>
      <c r="B3906" t="s">
        <v>8079</v>
      </c>
    </row>
    <row r="3907" spans="1:2" x14ac:dyDescent="0.25">
      <c r="A3907" t="s">
        <v>8080</v>
      </c>
      <c r="B3907" t="s">
        <v>8081</v>
      </c>
    </row>
    <row r="3908" spans="1:2" x14ac:dyDescent="0.25">
      <c r="A3908" t="s">
        <v>8082</v>
      </c>
      <c r="B3908" t="s">
        <v>8083</v>
      </c>
    </row>
    <row r="3909" spans="1:2" x14ac:dyDescent="0.25">
      <c r="A3909" t="s">
        <v>8084</v>
      </c>
      <c r="B3909" t="s">
        <v>8085</v>
      </c>
    </row>
    <row r="3910" spans="1:2" x14ac:dyDescent="0.25">
      <c r="A3910" t="s">
        <v>8086</v>
      </c>
      <c r="B3910" t="s">
        <v>8087</v>
      </c>
    </row>
    <row r="3911" spans="1:2" x14ac:dyDescent="0.25">
      <c r="A3911" t="s">
        <v>8088</v>
      </c>
      <c r="B3911" t="s">
        <v>8089</v>
      </c>
    </row>
    <row r="3912" spans="1:2" x14ac:dyDescent="0.25">
      <c r="A3912" t="s">
        <v>8090</v>
      </c>
      <c r="B3912" t="s">
        <v>8091</v>
      </c>
    </row>
    <row r="3913" spans="1:2" x14ac:dyDescent="0.25">
      <c r="A3913" t="s">
        <v>8092</v>
      </c>
      <c r="B3913" t="s">
        <v>8093</v>
      </c>
    </row>
    <row r="3914" spans="1:2" x14ac:dyDescent="0.25">
      <c r="A3914" t="s">
        <v>8094</v>
      </c>
      <c r="B3914" t="s">
        <v>8095</v>
      </c>
    </row>
    <row r="3915" spans="1:2" x14ac:dyDescent="0.25">
      <c r="A3915" t="s">
        <v>8096</v>
      </c>
      <c r="B3915" t="s">
        <v>8097</v>
      </c>
    </row>
    <row r="3916" spans="1:2" x14ac:dyDescent="0.25">
      <c r="A3916" t="s">
        <v>8098</v>
      </c>
      <c r="B3916" t="s">
        <v>8099</v>
      </c>
    </row>
    <row r="3917" spans="1:2" x14ac:dyDescent="0.25">
      <c r="A3917" t="s">
        <v>8100</v>
      </c>
      <c r="B3917" t="s">
        <v>8101</v>
      </c>
    </row>
    <row r="3918" spans="1:2" x14ac:dyDescent="0.25">
      <c r="A3918" t="s">
        <v>8102</v>
      </c>
      <c r="B3918" t="s">
        <v>8103</v>
      </c>
    </row>
    <row r="3919" spans="1:2" x14ac:dyDescent="0.25">
      <c r="A3919" t="s">
        <v>8104</v>
      </c>
      <c r="B3919" t="s">
        <v>8105</v>
      </c>
    </row>
    <row r="3920" spans="1:2" x14ac:dyDescent="0.25">
      <c r="A3920" t="s">
        <v>8106</v>
      </c>
      <c r="B3920" t="s">
        <v>8107</v>
      </c>
    </row>
    <row r="3921" spans="1:2" x14ac:dyDescent="0.25">
      <c r="A3921" t="s">
        <v>8108</v>
      </c>
      <c r="B3921" t="s">
        <v>8109</v>
      </c>
    </row>
    <row r="3922" spans="1:2" x14ac:dyDescent="0.25">
      <c r="A3922" t="s">
        <v>8110</v>
      </c>
      <c r="B3922" t="s">
        <v>8111</v>
      </c>
    </row>
    <row r="3923" spans="1:2" x14ac:dyDescent="0.25">
      <c r="A3923" t="s">
        <v>8112</v>
      </c>
      <c r="B3923" t="s">
        <v>8113</v>
      </c>
    </row>
    <row r="3924" spans="1:2" x14ac:dyDescent="0.25">
      <c r="A3924" t="s">
        <v>8114</v>
      </c>
      <c r="B3924" t="s">
        <v>8115</v>
      </c>
    </row>
    <row r="3925" spans="1:2" x14ac:dyDescent="0.25">
      <c r="A3925" t="s">
        <v>8116</v>
      </c>
      <c r="B3925" t="s">
        <v>8117</v>
      </c>
    </row>
    <row r="3926" spans="1:2" x14ac:dyDescent="0.25">
      <c r="A3926" t="s">
        <v>8118</v>
      </c>
      <c r="B3926" t="s">
        <v>8119</v>
      </c>
    </row>
    <row r="3927" spans="1:2" x14ac:dyDescent="0.25">
      <c r="A3927" t="s">
        <v>8120</v>
      </c>
      <c r="B3927" t="s">
        <v>8121</v>
      </c>
    </row>
    <row r="3928" spans="1:2" x14ac:dyDescent="0.25">
      <c r="A3928" t="s">
        <v>8122</v>
      </c>
      <c r="B3928" t="s">
        <v>8123</v>
      </c>
    </row>
    <row r="3929" spans="1:2" x14ac:dyDescent="0.25">
      <c r="A3929" t="s">
        <v>8124</v>
      </c>
      <c r="B3929" t="s">
        <v>8125</v>
      </c>
    </row>
    <row r="3930" spans="1:2" x14ac:dyDescent="0.25">
      <c r="A3930" t="s">
        <v>8126</v>
      </c>
      <c r="B3930" t="s">
        <v>8127</v>
      </c>
    </row>
    <row r="3931" spans="1:2" x14ac:dyDescent="0.25">
      <c r="A3931" t="s">
        <v>8128</v>
      </c>
      <c r="B3931" t="s">
        <v>8129</v>
      </c>
    </row>
    <row r="3932" spans="1:2" x14ac:dyDescent="0.25">
      <c r="A3932" t="s">
        <v>8130</v>
      </c>
      <c r="B3932" t="s">
        <v>8131</v>
      </c>
    </row>
    <row r="3933" spans="1:2" x14ac:dyDescent="0.25">
      <c r="A3933" t="s">
        <v>8132</v>
      </c>
      <c r="B3933" t="s">
        <v>8133</v>
      </c>
    </row>
    <row r="3934" spans="1:2" x14ac:dyDescent="0.25">
      <c r="A3934" t="s">
        <v>8134</v>
      </c>
      <c r="B3934" t="s">
        <v>8135</v>
      </c>
    </row>
    <row r="3935" spans="1:2" x14ac:dyDescent="0.25">
      <c r="A3935" t="s">
        <v>8136</v>
      </c>
      <c r="B3935" t="s">
        <v>8137</v>
      </c>
    </row>
    <row r="3936" spans="1:2" x14ac:dyDescent="0.25">
      <c r="A3936" t="s">
        <v>8138</v>
      </c>
      <c r="B3936" t="s">
        <v>8139</v>
      </c>
    </row>
    <row r="3937" spans="1:2" x14ac:dyDescent="0.25">
      <c r="A3937" t="s">
        <v>8140</v>
      </c>
      <c r="B3937" t="s">
        <v>8141</v>
      </c>
    </row>
    <row r="3938" spans="1:2" x14ac:dyDescent="0.25">
      <c r="A3938" t="s">
        <v>8142</v>
      </c>
      <c r="B3938" t="s">
        <v>8143</v>
      </c>
    </row>
    <row r="3939" spans="1:2" x14ac:dyDescent="0.25">
      <c r="A3939" t="s">
        <v>8144</v>
      </c>
      <c r="B3939" t="s">
        <v>8145</v>
      </c>
    </row>
    <row r="3940" spans="1:2" x14ac:dyDescent="0.25">
      <c r="A3940" t="s">
        <v>8146</v>
      </c>
      <c r="B3940" t="s">
        <v>8147</v>
      </c>
    </row>
    <row r="3941" spans="1:2" x14ac:dyDescent="0.25">
      <c r="A3941" t="s">
        <v>8148</v>
      </c>
      <c r="B3941" t="s">
        <v>8149</v>
      </c>
    </row>
    <row r="3942" spans="1:2" x14ac:dyDescent="0.25">
      <c r="A3942" t="s">
        <v>8150</v>
      </c>
      <c r="B3942" t="s">
        <v>8151</v>
      </c>
    </row>
    <row r="3943" spans="1:2" x14ac:dyDescent="0.25">
      <c r="A3943" t="s">
        <v>8152</v>
      </c>
      <c r="B3943" t="s">
        <v>8153</v>
      </c>
    </row>
    <row r="3944" spans="1:2" x14ac:dyDescent="0.25">
      <c r="A3944" t="s">
        <v>8154</v>
      </c>
      <c r="B3944" t="s">
        <v>8155</v>
      </c>
    </row>
    <row r="3945" spans="1:2" x14ac:dyDescent="0.25">
      <c r="A3945" t="s">
        <v>8156</v>
      </c>
      <c r="B3945" t="s">
        <v>8157</v>
      </c>
    </row>
    <row r="3946" spans="1:2" x14ac:dyDescent="0.25">
      <c r="A3946" t="s">
        <v>8158</v>
      </c>
      <c r="B3946" t="s">
        <v>8159</v>
      </c>
    </row>
    <row r="3947" spans="1:2" x14ac:dyDescent="0.25">
      <c r="A3947" t="s">
        <v>8160</v>
      </c>
      <c r="B3947" t="s">
        <v>8161</v>
      </c>
    </row>
    <row r="3948" spans="1:2" x14ac:dyDescent="0.25">
      <c r="A3948" t="s">
        <v>8162</v>
      </c>
      <c r="B3948" t="s">
        <v>8163</v>
      </c>
    </row>
    <row r="3949" spans="1:2" x14ac:dyDescent="0.25">
      <c r="A3949" t="s">
        <v>8164</v>
      </c>
      <c r="B3949" t="s">
        <v>8165</v>
      </c>
    </row>
    <row r="3950" spans="1:2" x14ac:dyDescent="0.25">
      <c r="A3950" t="s">
        <v>8166</v>
      </c>
      <c r="B3950" t="s">
        <v>8167</v>
      </c>
    </row>
    <row r="3951" spans="1:2" x14ac:dyDescent="0.25">
      <c r="A3951" t="s">
        <v>8168</v>
      </c>
      <c r="B3951" t="s">
        <v>8169</v>
      </c>
    </row>
    <row r="3952" spans="1:2" x14ac:dyDescent="0.25">
      <c r="A3952" t="s">
        <v>8170</v>
      </c>
      <c r="B3952" t="s">
        <v>8171</v>
      </c>
    </row>
    <row r="3953" spans="1:2" x14ac:dyDescent="0.25">
      <c r="A3953" t="s">
        <v>8172</v>
      </c>
      <c r="B3953" t="s">
        <v>8173</v>
      </c>
    </row>
    <row r="3954" spans="1:2" x14ac:dyDescent="0.25">
      <c r="A3954" t="s">
        <v>8174</v>
      </c>
      <c r="B3954" t="s">
        <v>8175</v>
      </c>
    </row>
    <row r="3955" spans="1:2" x14ac:dyDescent="0.25">
      <c r="A3955" t="s">
        <v>8176</v>
      </c>
      <c r="B3955" t="s">
        <v>8177</v>
      </c>
    </row>
    <row r="3956" spans="1:2" x14ac:dyDescent="0.25">
      <c r="A3956" t="s">
        <v>8178</v>
      </c>
      <c r="B3956" t="s">
        <v>8179</v>
      </c>
    </row>
    <row r="3957" spans="1:2" x14ac:dyDescent="0.25">
      <c r="A3957" t="s">
        <v>8180</v>
      </c>
      <c r="B3957" t="s">
        <v>8181</v>
      </c>
    </row>
    <row r="3958" spans="1:2" x14ac:dyDescent="0.25">
      <c r="A3958" t="s">
        <v>8182</v>
      </c>
      <c r="B3958" t="s">
        <v>8183</v>
      </c>
    </row>
    <row r="3959" spans="1:2" x14ac:dyDescent="0.25">
      <c r="A3959" t="s">
        <v>8184</v>
      </c>
      <c r="B3959" t="s">
        <v>8185</v>
      </c>
    </row>
    <row r="3960" spans="1:2" x14ac:dyDescent="0.25">
      <c r="A3960" t="s">
        <v>8186</v>
      </c>
      <c r="B3960" t="s">
        <v>8187</v>
      </c>
    </row>
    <row r="3961" spans="1:2" x14ac:dyDescent="0.25">
      <c r="A3961" t="s">
        <v>8188</v>
      </c>
      <c r="B3961" t="s">
        <v>8189</v>
      </c>
    </row>
    <row r="3962" spans="1:2" x14ac:dyDescent="0.25">
      <c r="A3962" t="s">
        <v>8190</v>
      </c>
      <c r="B3962" t="s">
        <v>8191</v>
      </c>
    </row>
    <row r="3963" spans="1:2" x14ac:dyDescent="0.25">
      <c r="A3963" t="s">
        <v>8192</v>
      </c>
      <c r="B3963" t="s">
        <v>8193</v>
      </c>
    </row>
    <row r="3964" spans="1:2" x14ac:dyDescent="0.25">
      <c r="A3964" t="s">
        <v>8194</v>
      </c>
      <c r="B3964" t="s">
        <v>8195</v>
      </c>
    </row>
    <row r="3965" spans="1:2" x14ac:dyDescent="0.25">
      <c r="A3965" t="s">
        <v>8196</v>
      </c>
      <c r="B3965" t="s">
        <v>8197</v>
      </c>
    </row>
    <row r="3966" spans="1:2" x14ac:dyDescent="0.25">
      <c r="A3966" t="s">
        <v>8198</v>
      </c>
      <c r="B3966" t="s">
        <v>8199</v>
      </c>
    </row>
    <row r="3967" spans="1:2" x14ac:dyDescent="0.25">
      <c r="A3967" t="s">
        <v>8200</v>
      </c>
      <c r="B3967" t="s">
        <v>8201</v>
      </c>
    </row>
    <row r="3968" spans="1:2" x14ac:dyDescent="0.25">
      <c r="A3968" t="s">
        <v>8202</v>
      </c>
      <c r="B3968" t="s">
        <v>8203</v>
      </c>
    </row>
    <row r="3969" spans="1:2" x14ac:dyDescent="0.25">
      <c r="A3969" t="s">
        <v>8204</v>
      </c>
      <c r="B3969" t="s">
        <v>8205</v>
      </c>
    </row>
    <row r="3970" spans="1:2" x14ac:dyDescent="0.25">
      <c r="A3970" t="s">
        <v>8206</v>
      </c>
      <c r="B3970" t="s">
        <v>8207</v>
      </c>
    </row>
    <row r="3971" spans="1:2" x14ac:dyDescent="0.25">
      <c r="A3971" t="s">
        <v>8208</v>
      </c>
      <c r="B3971" t="s">
        <v>8209</v>
      </c>
    </row>
    <row r="3972" spans="1:2" x14ac:dyDescent="0.25">
      <c r="A3972" t="s">
        <v>8210</v>
      </c>
      <c r="B3972" t="s">
        <v>8211</v>
      </c>
    </row>
    <row r="3973" spans="1:2" x14ac:dyDescent="0.25">
      <c r="A3973" t="s">
        <v>8212</v>
      </c>
      <c r="B3973" t="s">
        <v>8213</v>
      </c>
    </row>
    <row r="3974" spans="1:2" x14ac:dyDescent="0.25">
      <c r="A3974" t="s">
        <v>8214</v>
      </c>
      <c r="B3974" t="s">
        <v>8215</v>
      </c>
    </row>
    <row r="3975" spans="1:2" x14ac:dyDescent="0.25">
      <c r="A3975" t="s">
        <v>8216</v>
      </c>
      <c r="B3975" t="s">
        <v>8217</v>
      </c>
    </row>
    <row r="3976" spans="1:2" x14ac:dyDescent="0.25">
      <c r="A3976" t="s">
        <v>8218</v>
      </c>
      <c r="B3976" t="s">
        <v>8219</v>
      </c>
    </row>
    <row r="3977" spans="1:2" x14ac:dyDescent="0.25">
      <c r="A3977" t="s">
        <v>8220</v>
      </c>
      <c r="B3977" t="s">
        <v>434</v>
      </c>
    </row>
    <row r="3978" spans="1:2" x14ac:dyDescent="0.25">
      <c r="A3978" t="s">
        <v>8221</v>
      </c>
      <c r="B3978" t="s">
        <v>8222</v>
      </c>
    </row>
    <row r="3979" spans="1:2" x14ac:dyDescent="0.25">
      <c r="A3979" t="s">
        <v>8223</v>
      </c>
      <c r="B3979" t="s">
        <v>8224</v>
      </c>
    </row>
    <row r="3980" spans="1:2" x14ac:dyDescent="0.25">
      <c r="A3980" t="s">
        <v>8225</v>
      </c>
      <c r="B3980" t="s">
        <v>8226</v>
      </c>
    </row>
    <row r="3981" spans="1:2" x14ac:dyDescent="0.25">
      <c r="A3981" t="s">
        <v>8227</v>
      </c>
      <c r="B3981" t="s">
        <v>8228</v>
      </c>
    </row>
    <row r="3982" spans="1:2" x14ac:dyDescent="0.25">
      <c r="A3982" t="s">
        <v>8229</v>
      </c>
      <c r="B3982" t="s">
        <v>8230</v>
      </c>
    </row>
    <row r="3983" spans="1:2" x14ac:dyDescent="0.25">
      <c r="A3983" t="s">
        <v>8231</v>
      </c>
      <c r="B3983" t="s">
        <v>8232</v>
      </c>
    </row>
    <row r="3984" spans="1:2" x14ac:dyDescent="0.25">
      <c r="A3984" t="s">
        <v>8233</v>
      </c>
      <c r="B3984" t="s">
        <v>8234</v>
      </c>
    </row>
    <row r="3985" spans="1:2" x14ac:dyDescent="0.25">
      <c r="A3985" t="s">
        <v>8235</v>
      </c>
      <c r="B3985" t="s">
        <v>8236</v>
      </c>
    </row>
    <row r="3986" spans="1:2" x14ac:dyDescent="0.25">
      <c r="A3986" t="s">
        <v>8237</v>
      </c>
      <c r="B3986" t="s">
        <v>8238</v>
      </c>
    </row>
    <row r="3987" spans="1:2" x14ac:dyDescent="0.25">
      <c r="A3987" t="s">
        <v>8239</v>
      </c>
      <c r="B3987" t="s">
        <v>8240</v>
      </c>
    </row>
    <row r="3988" spans="1:2" x14ac:dyDescent="0.25">
      <c r="A3988" t="s">
        <v>8241</v>
      </c>
      <c r="B3988" t="s">
        <v>371</v>
      </c>
    </row>
    <row r="3989" spans="1:2" x14ac:dyDescent="0.25">
      <c r="A3989" t="s">
        <v>8242</v>
      </c>
      <c r="B3989" t="s">
        <v>8243</v>
      </c>
    </row>
    <row r="3990" spans="1:2" x14ac:dyDescent="0.25">
      <c r="A3990" t="s">
        <v>8244</v>
      </c>
      <c r="B3990" t="s">
        <v>8245</v>
      </c>
    </row>
    <row r="3991" spans="1:2" x14ac:dyDescent="0.25">
      <c r="A3991" t="s">
        <v>8246</v>
      </c>
      <c r="B3991" t="s">
        <v>8247</v>
      </c>
    </row>
    <row r="3992" spans="1:2" x14ac:dyDescent="0.25">
      <c r="A3992" t="s">
        <v>8248</v>
      </c>
      <c r="B3992" t="s">
        <v>372</v>
      </c>
    </row>
    <row r="3993" spans="1:2" x14ac:dyDescent="0.25">
      <c r="A3993" t="s">
        <v>8249</v>
      </c>
      <c r="B3993" t="s">
        <v>8250</v>
      </c>
    </row>
    <row r="3994" spans="1:2" x14ac:dyDescent="0.25">
      <c r="A3994" t="s">
        <v>8251</v>
      </c>
      <c r="B3994" t="s">
        <v>8252</v>
      </c>
    </row>
    <row r="3995" spans="1:2" x14ac:dyDescent="0.25">
      <c r="A3995" t="s">
        <v>8253</v>
      </c>
      <c r="B3995" t="s">
        <v>8254</v>
      </c>
    </row>
    <row r="3996" spans="1:2" x14ac:dyDescent="0.25">
      <c r="A3996" t="s">
        <v>8255</v>
      </c>
      <c r="B3996" t="s">
        <v>8256</v>
      </c>
    </row>
    <row r="3997" spans="1:2" x14ac:dyDescent="0.25">
      <c r="A3997" t="s">
        <v>8257</v>
      </c>
      <c r="B3997" t="s">
        <v>8258</v>
      </c>
    </row>
    <row r="3998" spans="1:2" x14ac:dyDescent="0.25">
      <c r="A3998" t="s">
        <v>8259</v>
      </c>
      <c r="B3998" t="s">
        <v>8260</v>
      </c>
    </row>
    <row r="3999" spans="1:2" x14ac:dyDescent="0.25">
      <c r="A3999" t="s">
        <v>8261</v>
      </c>
      <c r="B3999" t="s">
        <v>8262</v>
      </c>
    </row>
    <row r="4000" spans="1:2" x14ac:dyDescent="0.25">
      <c r="A4000" t="s">
        <v>8263</v>
      </c>
      <c r="B4000" t="s">
        <v>8264</v>
      </c>
    </row>
    <row r="4001" spans="1:2" x14ac:dyDescent="0.25">
      <c r="A4001" t="s">
        <v>8265</v>
      </c>
      <c r="B4001" t="s">
        <v>8266</v>
      </c>
    </row>
    <row r="4002" spans="1:2" x14ac:dyDescent="0.25">
      <c r="A4002" t="s">
        <v>8267</v>
      </c>
      <c r="B4002" t="s">
        <v>8268</v>
      </c>
    </row>
    <row r="4003" spans="1:2" x14ac:dyDescent="0.25">
      <c r="A4003" t="s">
        <v>8269</v>
      </c>
      <c r="B4003" t="s">
        <v>8270</v>
      </c>
    </row>
    <row r="4004" spans="1:2" x14ac:dyDescent="0.25">
      <c r="A4004" t="s">
        <v>8271</v>
      </c>
      <c r="B4004" t="s">
        <v>8272</v>
      </c>
    </row>
    <row r="4005" spans="1:2" x14ac:dyDescent="0.25">
      <c r="A4005" t="s">
        <v>8273</v>
      </c>
      <c r="B4005" t="s">
        <v>8274</v>
      </c>
    </row>
    <row r="4006" spans="1:2" x14ac:dyDescent="0.25">
      <c r="A4006" t="s">
        <v>8275</v>
      </c>
      <c r="B4006" t="s">
        <v>537</v>
      </c>
    </row>
    <row r="4007" spans="1:2" x14ac:dyDescent="0.25">
      <c r="A4007" t="s">
        <v>8276</v>
      </c>
      <c r="B4007" t="s">
        <v>8277</v>
      </c>
    </row>
    <row r="4008" spans="1:2" x14ac:dyDescent="0.25">
      <c r="A4008" t="s">
        <v>8278</v>
      </c>
      <c r="B4008" t="s">
        <v>8279</v>
      </c>
    </row>
    <row r="4009" spans="1:2" x14ac:dyDescent="0.25">
      <c r="A4009" t="s">
        <v>8280</v>
      </c>
      <c r="B4009" t="s">
        <v>8281</v>
      </c>
    </row>
    <row r="4010" spans="1:2" x14ac:dyDescent="0.25">
      <c r="A4010" t="s">
        <v>8282</v>
      </c>
      <c r="B4010" t="s">
        <v>8283</v>
      </c>
    </row>
    <row r="4011" spans="1:2" x14ac:dyDescent="0.25">
      <c r="A4011" t="s">
        <v>8284</v>
      </c>
      <c r="B4011" t="s">
        <v>8285</v>
      </c>
    </row>
    <row r="4012" spans="1:2" x14ac:dyDescent="0.25">
      <c r="A4012" t="s">
        <v>8286</v>
      </c>
      <c r="B4012" t="s">
        <v>8287</v>
      </c>
    </row>
    <row r="4013" spans="1:2" x14ac:dyDescent="0.25">
      <c r="A4013" t="s">
        <v>8288</v>
      </c>
      <c r="B4013" t="s">
        <v>8289</v>
      </c>
    </row>
    <row r="4014" spans="1:2" x14ac:dyDescent="0.25">
      <c r="A4014" t="s">
        <v>8290</v>
      </c>
      <c r="B4014" t="s">
        <v>8291</v>
      </c>
    </row>
    <row r="4015" spans="1:2" x14ac:dyDescent="0.25">
      <c r="A4015" t="s">
        <v>8292</v>
      </c>
      <c r="B4015" t="s">
        <v>8293</v>
      </c>
    </row>
    <row r="4016" spans="1:2" x14ac:dyDescent="0.25">
      <c r="A4016" t="s">
        <v>8294</v>
      </c>
      <c r="B4016" t="s">
        <v>8295</v>
      </c>
    </row>
    <row r="4017" spans="1:2" x14ac:dyDescent="0.25">
      <c r="A4017" t="s">
        <v>8296</v>
      </c>
      <c r="B4017" t="s">
        <v>8297</v>
      </c>
    </row>
    <row r="4018" spans="1:2" x14ac:dyDescent="0.25">
      <c r="A4018" t="s">
        <v>8298</v>
      </c>
      <c r="B4018" t="s">
        <v>8299</v>
      </c>
    </row>
    <row r="4019" spans="1:2" x14ac:dyDescent="0.25">
      <c r="A4019" t="s">
        <v>8300</v>
      </c>
      <c r="B4019" t="s">
        <v>8301</v>
      </c>
    </row>
    <row r="4020" spans="1:2" x14ac:dyDescent="0.25">
      <c r="A4020" t="s">
        <v>8302</v>
      </c>
      <c r="B4020" t="s">
        <v>8303</v>
      </c>
    </row>
    <row r="4021" spans="1:2" x14ac:dyDescent="0.25">
      <c r="A4021" t="s">
        <v>8304</v>
      </c>
      <c r="B4021" t="s">
        <v>8305</v>
      </c>
    </row>
    <row r="4022" spans="1:2" x14ac:dyDescent="0.25">
      <c r="A4022" t="s">
        <v>8306</v>
      </c>
      <c r="B4022" t="s">
        <v>8307</v>
      </c>
    </row>
    <row r="4023" spans="1:2" x14ac:dyDescent="0.25">
      <c r="A4023" t="s">
        <v>8308</v>
      </c>
      <c r="B4023" t="s">
        <v>8309</v>
      </c>
    </row>
    <row r="4024" spans="1:2" x14ac:dyDescent="0.25">
      <c r="A4024" t="s">
        <v>8310</v>
      </c>
      <c r="B4024" t="s">
        <v>8311</v>
      </c>
    </row>
    <row r="4025" spans="1:2" x14ac:dyDescent="0.25">
      <c r="A4025" t="s">
        <v>8312</v>
      </c>
      <c r="B4025" t="s">
        <v>8313</v>
      </c>
    </row>
    <row r="4026" spans="1:2" x14ac:dyDescent="0.25">
      <c r="A4026" t="s">
        <v>8314</v>
      </c>
      <c r="B4026" t="s">
        <v>8315</v>
      </c>
    </row>
    <row r="4027" spans="1:2" x14ac:dyDescent="0.25">
      <c r="A4027" t="s">
        <v>8316</v>
      </c>
      <c r="B4027" t="s">
        <v>8317</v>
      </c>
    </row>
    <row r="4028" spans="1:2" x14ac:dyDescent="0.25">
      <c r="A4028" t="s">
        <v>8318</v>
      </c>
      <c r="B4028" t="s">
        <v>578</v>
      </c>
    </row>
    <row r="4029" spans="1:2" x14ac:dyDescent="0.25">
      <c r="A4029" t="s">
        <v>8319</v>
      </c>
      <c r="B4029" t="s">
        <v>8320</v>
      </c>
    </row>
    <row r="4030" spans="1:2" x14ac:dyDescent="0.25">
      <c r="A4030" t="s">
        <v>8321</v>
      </c>
      <c r="B4030" t="s">
        <v>582</v>
      </c>
    </row>
    <row r="4031" spans="1:2" x14ac:dyDescent="0.25">
      <c r="A4031" t="s">
        <v>8322</v>
      </c>
      <c r="B4031" t="s">
        <v>655</v>
      </c>
    </row>
    <row r="4032" spans="1:2" x14ac:dyDescent="0.25">
      <c r="A4032" t="s">
        <v>8323</v>
      </c>
      <c r="B4032" t="s">
        <v>583</v>
      </c>
    </row>
    <row r="4033" spans="1:2" x14ac:dyDescent="0.25">
      <c r="A4033" t="s">
        <v>8324</v>
      </c>
      <c r="B4033" t="s">
        <v>8325</v>
      </c>
    </row>
    <row r="4034" spans="1:2" x14ac:dyDescent="0.25">
      <c r="A4034" t="s">
        <v>8326</v>
      </c>
      <c r="B4034" t="s">
        <v>8327</v>
      </c>
    </row>
    <row r="4035" spans="1:2" x14ac:dyDescent="0.25">
      <c r="A4035" t="s">
        <v>8328</v>
      </c>
      <c r="B4035" t="s">
        <v>8329</v>
      </c>
    </row>
    <row r="4036" spans="1:2" x14ac:dyDescent="0.25">
      <c r="A4036" t="s">
        <v>8330</v>
      </c>
      <c r="B4036" t="s">
        <v>8331</v>
      </c>
    </row>
    <row r="4037" spans="1:2" x14ac:dyDescent="0.25">
      <c r="A4037" t="s">
        <v>8332</v>
      </c>
      <c r="B4037" t="s">
        <v>591</v>
      </c>
    </row>
    <row r="4038" spans="1:2" x14ac:dyDescent="0.25">
      <c r="A4038" t="s">
        <v>8333</v>
      </c>
      <c r="B4038" t="s">
        <v>8334</v>
      </c>
    </row>
    <row r="4039" spans="1:2" x14ac:dyDescent="0.25">
      <c r="A4039" t="s">
        <v>8335</v>
      </c>
      <c r="B4039" t="s">
        <v>584</v>
      </c>
    </row>
    <row r="4040" spans="1:2" x14ac:dyDescent="0.25">
      <c r="A4040" t="s">
        <v>8336</v>
      </c>
      <c r="B4040" t="s">
        <v>8337</v>
      </c>
    </row>
    <row r="4041" spans="1:2" x14ac:dyDescent="0.25">
      <c r="A4041" t="s">
        <v>8338</v>
      </c>
      <c r="B4041" t="s">
        <v>8339</v>
      </c>
    </row>
    <row r="4042" spans="1:2" x14ac:dyDescent="0.25">
      <c r="A4042" t="s">
        <v>8340</v>
      </c>
      <c r="B4042" t="s">
        <v>8341</v>
      </c>
    </row>
    <row r="4043" spans="1:2" x14ac:dyDescent="0.25">
      <c r="A4043" t="s">
        <v>8342</v>
      </c>
      <c r="B4043" t="s">
        <v>8343</v>
      </c>
    </row>
    <row r="4044" spans="1:2" x14ac:dyDescent="0.25">
      <c r="A4044" t="s">
        <v>8344</v>
      </c>
      <c r="B4044" t="s">
        <v>8345</v>
      </c>
    </row>
    <row r="4045" spans="1:2" x14ac:dyDescent="0.25">
      <c r="A4045" t="s">
        <v>8346</v>
      </c>
      <c r="B4045" t="s">
        <v>8347</v>
      </c>
    </row>
    <row r="4046" spans="1:2" x14ac:dyDescent="0.25">
      <c r="A4046" t="s">
        <v>8348</v>
      </c>
      <c r="B4046" t="s">
        <v>604</v>
      </c>
    </row>
    <row r="4047" spans="1:2" x14ac:dyDescent="0.25">
      <c r="A4047" t="s">
        <v>8349</v>
      </c>
      <c r="B4047" t="s">
        <v>8350</v>
      </c>
    </row>
    <row r="4048" spans="1:2" x14ac:dyDescent="0.25">
      <c r="A4048" t="s">
        <v>8351</v>
      </c>
      <c r="B4048" t="s">
        <v>8352</v>
      </c>
    </row>
    <row r="4049" spans="1:2" x14ac:dyDescent="0.25">
      <c r="A4049" t="s">
        <v>8353</v>
      </c>
      <c r="B4049" t="s">
        <v>8354</v>
      </c>
    </row>
    <row r="4050" spans="1:2" x14ac:dyDescent="0.25">
      <c r="A4050" t="s">
        <v>8355</v>
      </c>
      <c r="B4050" t="s">
        <v>8356</v>
      </c>
    </row>
    <row r="4051" spans="1:2" x14ac:dyDescent="0.25">
      <c r="A4051" t="s">
        <v>8357</v>
      </c>
      <c r="B4051" t="s">
        <v>8358</v>
      </c>
    </row>
    <row r="4052" spans="1:2" x14ac:dyDescent="0.25">
      <c r="A4052" t="s">
        <v>8359</v>
      </c>
      <c r="B4052" t="s">
        <v>8360</v>
      </c>
    </row>
    <row r="4053" spans="1:2" x14ac:dyDescent="0.25">
      <c r="A4053" t="s">
        <v>8361</v>
      </c>
      <c r="B4053" t="s">
        <v>8362</v>
      </c>
    </row>
    <row r="4054" spans="1:2" x14ac:dyDescent="0.25">
      <c r="A4054" t="s">
        <v>8363</v>
      </c>
      <c r="B4054" t="s">
        <v>8364</v>
      </c>
    </row>
    <row r="4055" spans="1:2" x14ac:dyDescent="0.25">
      <c r="A4055" t="s">
        <v>8365</v>
      </c>
      <c r="B4055" t="s">
        <v>8366</v>
      </c>
    </row>
    <row r="4056" spans="1:2" x14ac:dyDescent="0.25">
      <c r="A4056" t="s">
        <v>8367</v>
      </c>
      <c r="B4056" t="s">
        <v>8368</v>
      </c>
    </row>
    <row r="4057" spans="1:2" x14ac:dyDescent="0.25">
      <c r="A4057" t="s">
        <v>8369</v>
      </c>
      <c r="B4057" t="s">
        <v>8370</v>
      </c>
    </row>
    <row r="4058" spans="1:2" x14ac:dyDescent="0.25">
      <c r="A4058" t="s">
        <v>8371</v>
      </c>
      <c r="B4058" t="s">
        <v>8372</v>
      </c>
    </row>
    <row r="4059" spans="1:2" x14ac:dyDescent="0.25">
      <c r="A4059" t="s">
        <v>8373</v>
      </c>
      <c r="B4059" t="s">
        <v>8374</v>
      </c>
    </row>
    <row r="4060" spans="1:2" x14ac:dyDescent="0.25">
      <c r="A4060" t="s">
        <v>8375</v>
      </c>
      <c r="B4060" t="s">
        <v>8376</v>
      </c>
    </row>
    <row r="4061" spans="1:2" x14ac:dyDescent="0.25">
      <c r="A4061" t="s">
        <v>8377</v>
      </c>
      <c r="B4061" t="s">
        <v>8378</v>
      </c>
    </row>
    <row r="4062" spans="1:2" x14ac:dyDescent="0.25">
      <c r="A4062" t="s">
        <v>8379</v>
      </c>
      <c r="B4062" t="s">
        <v>8380</v>
      </c>
    </row>
    <row r="4063" spans="1:2" x14ac:dyDescent="0.25">
      <c r="A4063" t="s">
        <v>8381</v>
      </c>
      <c r="B4063" t="s">
        <v>8382</v>
      </c>
    </row>
    <row r="4064" spans="1:2" x14ac:dyDescent="0.25">
      <c r="A4064" t="s">
        <v>8383</v>
      </c>
      <c r="B4064" t="s">
        <v>8384</v>
      </c>
    </row>
    <row r="4065" spans="1:2" x14ac:dyDescent="0.25">
      <c r="A4065" t="s">
        <v>8385</v>
      </c>
      <c r="B4065" t="s">
        <v>8386</v>
      </c>
    </row>
    <row r="4066" spans="1:2" x14ac:dyDescent="0.25">
      <c r="A4066" t="s">
        <v>8387</v>
      </c>
      <c r="B4066" t="s">
        <v>8388</v>
      </c>
    </row>
    <row r="4067" spans="1:2" x14ac:dyDescent="0.25">
      <c r="A4067" t="s">
        <v>8389</v>
      </c>
      <c r="B4067" t="s">
        <v>8390</v>
      </c>
    </row>
    <row r="4068" spans="1:2" x14ac:dyDescent="0.25">
      <c r="A4068" t="s">
        <v>8391</v>
      </c>
      <c r="B4068" t="s">
        <v>8392</v>
      </c>
    </row>
    <row r="4069" spans="1:2" x14ac:dyDescent="0.25">
      <c r="A4069" t="s">
        <v>8393</v>
      </c>
      <c r="B4069" t="s">
        <v>8394</v>
      </c>
    </row>
    <row r="4070" spans="1:2" x14ac:dyDescent="0.25">
      <c r="A4070" t="s">
        <v>8395</v>
      </c>
      <c r="B4070" t="s">
        <v>8396</v>
      </c>
    </row>
    <row r="4071" spans="1:2" x14ac:dyDescent="0.25">
      <c r="A4071" t="s">
        <v>8397</v>
      </c>
      <c r="B4071" t="s">
        <v>8398</v>
      </c>
    </row>
    <row r="4072" spans="1:2" x14ac:dyDescent="0.25">
      <c r="A4072" t="s">
        <v>8399</v>
      </c>
      <c r="B4072" t="s">
        <v>8400</v>
      </c>
    </row>
    <row r="4073" spans="1:2" x14ac:dyDescent="0.25">
      <c r="A4073" t="s">
        <v>8401</v>
      </c>
      <c r="B4073" t="s">
        <v>8402</v>
      </c>
    </row>
    <row r="4074" spans="1:2" x14ac:dyDescent="0.25">
      <c r="A4074" t="s">
        <v>8403</v>
      </c>
      <c r="B4074" t="s">
        <v>8404</v>
      </c>
    </row>
    <row r="4075" spans="1:2" x14ac:dyDescent="0.25">
      <c r="A4075" t="s">
        <v>8405</v>
      </c>
      <c r="B4075" t="s">
        <v>8406</v>
      </c>
    </row>
    <row r="4076" spans="1:2" x14ac:dyDescent="0.25">
      <c r="A4076" t="s">
        <v>8407</v>
      </c>
      <c r="B4076" t="s">
        <v>8408</v>
      </c>
    </row>
    <row r="4077" spans="1:2" x14ac:dyDescent="0.25">
      <c r="A4077" t="s">
        <v>8409</v>
      </c>
      <c r="B4077" t="s">
        <v>8410</v>
      </c>
    </row>
    <row r="4078" spans="1:2" x14ac:dyDescent="0.25">
      <c r="A4078" t="s">
        <v>8411</v>
      </c>
      <c r="B4078" t="s">
        <v>8412</v>
      </c>
    </row>
    <row r="4079" spans="1:2" x14ac:dyDescent="0.25">
      <c r="A4079" t="s">
        <v>8413</v>
      </c>
      <c r="B4079" t="s">
        <v>8414</v>
      </c>
    </row>
    <row r="4080" spans="1:2" x14ac:dyDescent="0.25">
      <c r="A4080" t="s">
        <v>8415</v>
      </c>
      <c r="B4080" t="s">
        <v>8416</v>
      </c>
    </row>
    <row r="4081" spans="1:2" x14ac:dyDescent="0.25">
      <c r="A4081" t="s">
        <v>8417</v>
      </c>
      <c r="B4081" t="s">
        <v>8418</v>
      </c>
    </row>
    <row r="4082" spans="1:2" x14ac:dyDescent="0.25">
      <c r="A4082" t="s">
        <v>8419</v>
      </c>
      <c r="B4082" t="s">
        <v>8420</v>
      </c>
    </row>
    <row r="4083" spans="1:2" x14ac:dyDescent="0.25">
      <c r="A4083" t="s">
        <v>8421</v>
      </c>
      <c r="B4083" t="s">
        <v>8422</v>
      </c>
    </row>
    <row r="4084" spans="1:2" x14ac:dyDescent="0.25">
      <c r="A4084" t="s">
        <v>8423</v>
      </c>
      <c r="B4084" t="s">
        <v>8424</v>
      </c>
    </row>
    <row r="4085" spans="1:2" x14ac:dyDescent="0.25">
      <c r="A4085" t="s">
        <v>8425</v>
      </c>
      <c r="B4085" t="s">
        <v>8426</v>
      </c>
    </row>
    <row r="4086" spans="1:2" x14ac:dyDescent="0.25">
      <c r="A4086" t="s">
        <v>8427</v>
      </c>
      <c r="B4086" t="s">
        <v>8428</v>
      </c>
    </row>
    <row r="4087" spans="1:2" x14ac:dyDescent="0.25">
      <c r="A4087" t="s">
        <v>8429</v>
      </c>
      <c r="B4087" t="s">
        <v>8430</v>
      </c>
    </row>
    <row r="4088" spans="1:2" x14ac:dyDescent="0.25">
      <c r="A4088" t="s">
        <v>8431</v>
      </c>
      <c r="B4088" t="s">
        <v>8432</v>
      </c>
    </row>
    <row r="4089" spans="1:2" x14ac:dyDescent="0.25">
      <c r="A4089" t="s">
        <v>8433</v>
      </c>
      <c r="B4089" t="s">
        <v>8434</v>
      </c>
    </row>
    <row r="4090" spans="1:2" x14ac:dyDescent="0.25">
      <c r="A4090" t="s">
        <v>8435</v>
      </c>
      <c r="B4090" t="s">
        <v>8436</v>
      </c>
    </row>
    <row r="4091" spans="1:2" x14ac:dyDescent="0.25">
      <c r="A4091" t="s">
        <v>8437</v>
      </c>
      <c r="B4091" t="s">
        <v>8438</v>
      </c>
    </row>
    <row r="4092" spans="1:2" x14ac:dyDescent="0.25">
      <c r="A4092" t="s">
        <v>8439</v>
      </c>
      <c r="B4092" t="s">
        <v>8440</v>
      </c>
    </row>
    <row r="4093" spans="1:2" x14ac:dyDescent="0.25">
      <c r="A4093" t="s">
        <v>8441</v>
      </c>
      <c r="B4093" t="s">
        <v>8442</v>
      </c>
    </row>
    <row r="4094" spans="1:2" x14ac:dyDescent="0.25">
      <c r="A4094" t="s">
        <v>8443</v>
      </c>
      <c r="B4094" t="s">
        <v>8444</v>
      </c>
    </row>
    <row r="4095" spans="1:2" x14ac:dyDescent="0.25">
      <c r="A4095" t="s">
        <v>8445</v>
      </c>
      <c r="B4095" t="s">
        <v>598</v>
      </c>
    </row>
    <row r="4096" spans="1:2" x14ac:dyDescent="0.25">
      <c r="A4096" t="s">
        <v>8446</v>
      </c>
      <c r="B4096" t="s">
        <v>8447</v>
      </c>
    </row>
    <row r="4097" spans="1:2" x14ac:dyDescent="0.25">
      <c r="A4097" t="s">
        <v>8448</v>
      </c>
      <c r="B4097" t="s">
        <v>8449</v>
      </c>
    </row>
    <row r="4098" spans="1:2" x14ac:dyDescent="0.25">
      <c r="A4098" t="s">
        <v>8450</v>
      </c>
      <c r="B4098" t="s">
        <v>8451</v>
      </c>
    </row>
    <row r="4099" spans="1:2" x14ac:dyDescent="0.25">
      <c r="A4099" t="s">
        <v>8452</v>
      </c>
      <c r="B4099" t="s">
        <v>8453</v>
      </c>
    </row>
    <row r="4100" spans="1:2" x14ac:dyDescent="0.25">
      <c r="A4100" t="s">
        <v>8454</v>
      </c>
      <c r="B4100" t="s">
        <v>8455</v>
      </c>
    </row>
    <row r="4101" spans="1:2" x14ac:dyDescent="0.25">
      <c r="A4101" t="s">
        <v>8456</v>
      </c>
      <c r="B4101" t="s">
        <v>8457</v>
      </c>
    </row>
    <row r="4102" spans="1:2" x14ac:dyDescent="0.25">
      <c r="A4102" t="s">
        <v>8458</v>
      </c>
      <c r="B4102" t="s">
        <v>8459</v>
      </c>
    </row>
    <row r="4103" spans="1:2" x14ac:dyDescent="0.25">
      <c r="A4103" t="s">
        <v>8460</v>
      </c>
      <c r="B4103" t="s">
        <v>8461</v>
      </c>
    </row>
    <row r="4104" spans="1:2" x14ac:dyDescent="0.25">
      <c r="A4104" t="s">
        <v>8462</v>
      </c>
      <c r="B4104" t="s">
        <v>8463</v>
      </c>
    </row>
    <row r="4105" spans="1:2" x14ac:dyDescent="0.25">
      <c r="A4105" t="s">
        <v>8464</v>
      </c>
      <c r="B4105" t="s">
        <v>8465</v>
      </c>
    </row>
    <row r="4106" spans="1:2" x14ac:dyDescent="0.25">
      <c r="A4106" t="s">
        <v>8466</v>
      </c>
      <c r="B4106" t="s">
        <v>8467</v>
      </c>
    </row>
    <row r="4107" spans="1:2" x14ac:dyDescent="0.25">
      <c r="A4107" t="s">
        <v>8468</v>
      </c>
      <c r="B4107" t="s">
        <v>8469</v>
      </c>
    </row>
    <row r="4108" spans="1:2" x14ac:dyDescent="0.25">
      <c r="A4108" t="s">
        <v>8470</v>
      </c>
      <c r="B4108" t="s">
        <v>8471</v>
      </c>
    </row>
    <row r="4109" spans="1:2" x14ac:dyDescent="0.25">
      <c r="A4109" t="s">
        <v>8472</v>
      </c>
      <c r="B4109" t="s">
        <v>623</v>
      </c>
    </row>
    <row r="4110" spans="1:2" x14ac:dyDescent="0.25">
      <c r="A4110" t="s">
        <v>8473</v>
      </c>
      <c r="B4110" t="s">
        <v>8474</v>
      </c>
    </row>
    <row r="4111" spans="1:2" x14ac:dyDescent="0.25">
      <c r="A4111" t="s">
        <v>8475</v>
      </c>
      <c r="B4111" t="s">
        <v>8476</v>
      </c>
    </row>
    <row r="4112" spans="1:2" x14ac:dyDescent="0.25">
      <c r="A4112" t="s">
        <v>8477</v>
      </c>
      <c r="B4112" t="s">
        <v>8478</v>
      </c>
    </row>
    <row r="4113" spans="1:2" x14ac:dyDescent="0.25">
      <c r="A4113" t="s">
        <v>8479</v>
      </c>
      <c r="B4113" t="s">
        <v>8480</v>
      </c>
    </row>
    <row r="4114" spans="1:2" x14ac:dyDescent="0.25">
      <c r="A4114" t="s">
        <v>8481</v>
      </c>
      <c r="B4114" t="s">
        <v>8482</v>
      </c>
    </row>
    <row r="4115" spans="1:2" x14ac:dyDescent="0.25">
      <c r="A4115" t="s">
        <v>8483</v>
      </c>
      <c r="B4115" t="s">
        <v>8484</v>
      </c>
    </row>
    <row r="4116" spans="1:2" x14ac:dyDescent="0.25">
      <c r="A4116" t="s">
        <v>8485</v>
      </c>
      <c r="B4116" t="s">
        <v>8486</v>
      </c>
    </row>
    <row r="4117" spans="1:2" x14ac:dyDescent="0.25">
      <c r="A4117" t="s">
        <v>8487</v>
      </c>
      <c r="B4117" t="s">
        <v>8488</v>
      </c>
    </row>
    <row r="4118" spans="1:2" x14ac:dyDescent="0.25">
      <c r="A4118" t="s">
        <v>8489</v>
      </c>
      <c r="B4118" t="s">
        <v>8490</v>
      </c>
    </row>
    <row r="4119" spans="1:2" x14ac:dyDescent="0.25">
      <c r="A4119" t="s">
        <v>8491</v>
      </c>
      <c r="B4119" t="s">
        <v>600</v>
      </c>
    </row>
    <row r="4120" spans="1:2" x14ac:dyDescent="0.25">
      <c r="A4120" t="s">
        <v>8492</v>
      </c>
      <c r="B4120" t="s">
        <v>8493</v>
      </c>
    </row>
    <row r="4121" spans="1:2" x14ac:dyDescent="0.25">
      <c r="A4121" t="s">
        <v>8494</v>
      </c>
      <c r="B4121" t="s">
        <v>8495</v>
      </c>
    </row>
    <row r="4122" spans="1:2" x14ac:dyDescent="0.25">
      <c r="A4122" t="s">
        <v>8496</v>
      </c>
      <c r="B4122" t="s">
        <v>8497</v>
      </c>
    </row>
    <row r="4123" spans="1:2" x14ac:dyDescent="0.25">
      <c r="A4123" t="s">
        <v>8498</v>
      </c>
      <c r="B4123" t="s">
        <v>8499</v>
      </c>
    </row>
    <row r="4124" spans="1:2" x14ac:dyDescent="0.25">
      <c r="A4124" t="s">
        <v>8500</v>
      </c>
      <c r="B4124" t="s">
        <v>8501</v>
      </c>
    </row>
    <row r="4125" spans="1:2" x14ac:dyDescent="0.25">
      <c r="A4125" t="s">
        <v>8502</v>
      </c>
      <c r="B4125" t="s">
        <v>8503</v>
      </c>
    </row>
    <row r="4126" spans="1:2" x14ac:dyDescent="0.25">
      <c r="A4126" t="s">
        <v>8504</v>
      </c>
      <c r="B4126" t="s">
        <v>8505</v>
      </c>
    </row>
    <row r="4127" spans="1:2" x14ac:dyDescent="0.25">
      <c r="A4127" t="s">
        <v>8506</v>
      </c>
      <c r="B4127" t="s">
        <v>8507</v>
      </c>
    </row>
    <row r="4128" spans="1:2" x14ac:dyDescent="0.25">
      <c r="A4128" t="s">
        <v>8508</v>
      </c>
      <c r="B4128" t="s">
        <v>8509</v>
      </c>
    </row>
    <row r="4129" spans="1:2" x14ac:dyDescent="0.25">
      <c r="A4129" t="s">
        <v>8510</v>
      </c>
      <c r="B4129" t="s">
        <v>8511</v>
      </c>
    </row>
    <row r="4130" spans="1:2" x14ac:dyDescent="0.25">
      <c r="A4130" t="s">
        <v>8512</v>
      </c>
      <c r="B4130" t="s">
        <v>8513</v>
      </c>
    </row>
    <row r="4131" spans="1:2" x14ac:dyDescent="0.25">
      <c r="A4131" t="s">
        <v>8514</v>
      </c>
      <c r="B4131" t="s">
        <v>8515</v>
      </c>
    </row>
    <row r="4132" spans="1:2" x14ac:dyDescent="0.25">
      <c r="A4132" t="s">
        <v>8516</v>
      </c>
      <c r="B4132" t="s">
        <v>8517</v>
      </c>
    </row>
    <row r="4133" spans="1:2" x14ac:dyDescent="0.25">
      <c r="A4133" t="s">
        <v>8518</v>
      </c>
      <c r="B4133" t="s">
        <v>8519</v>
      </c>
    </row>
    <row r="4134" spans="1:2" x14ac:dyDescent="0.25">
      <c r="A4134" t="s">
        <v>8520</v>
      </c>
      <c r="B4134" t="s">
        <v>8521</v>
      </c>
    </row>
    <row r="4135" spans="1:2" x14ac:dyDescent="0.25">
      <c r="A4135" t="s">
        <v>8522</v>
      </c>
      <c r="B4135" t="s">
        <v>8523</v>
      </c>
    </row>
    <row r="4136" spans="1:2" x14ac:dyDescent="0.25">
      <c r="A4136" t="s">
        <v>8524</v>
      </c>
      <c r="B4136" t="s">
        <v>8525</v>
      </c>
    </row>
    <row r="4137" spans="1:2" x14ac:dyDescent="0.25">
      <c r="A4137" t="s">
        <v>8526</v>
      </c>
      <c r="B4137" t="s">
        <v>8527</v>
      </c>
    </row>
    <row r="4138" spans="1:2" x14ac:dyDescent="0.25">
      <c r="A4138" t="s">
        <v>8528</v>
      </c>
      <c r="B4138" t="s">
        <v>8529</v>
      </c>
    </row>
    <row r="4139" spans="1:2" x14ac:dyDescent="0.25">
      <c r="A4139" t="s">
        <v>8530</v>
      </c>
      <c r="B4139" t="s">
        <v>8531</v>
      </c>
    </row>
    <row r="4140" spans="1:2" x14ac:dyDescent="0.25">
      <c r="A4140" t="s">
        <v>8532</v>
      </c>
      <c r="B4140" t="s">
        <v>8533</v>
      </c>
    </row>
    <row r="4141" spans="1:2" x14ac:dyDescent="0.25">
      <c r="A4141" t="s">
        <v>8534</v>
      </c>
      <c r="B4141" t="s">
        <v>8535</v>
      </c>
    </row>
    <row r="4142" spans="1:2" x14ac:dyDescent="0.25">
      <c r="A4142" t="s">
        <v>8536</v>
      </c>
      <c r="B4142" t="s">
        <v>8537</v>
      </c>
    </row>
    <row r="4143" spans="1:2" x14ac:dyDescent="0.25">
      <c r="A4143" t="s">
        <v>8538</v>
      </c>
      <c r="B4143" t="s">
        <v>8539</v>
      </c>
    </row>
    <row r="4144" spans="1:2" x14ac:dyDescent="0.25">
      <c r="A4144" t="s">
        <v>8540</v>
      </c>
      <c r="B4144" t="s">
        <v>8541</v>
      </c>
    </row>
    <row r="4145" spans="1:2" x14ac:dyDescent="0.25">
      <c r="A4145" t="s">
        <v>8542</v>
      </c>
      <c r="B4145" t="s">
        <v>8543</v>
      </c>
    </row>
    <row r="4146" spans="1:2" x14ac:dyDescent="0.25">
      <c r="A4146" t="s">
        <v>8544</v>
      </c>
      <c r="B4146" t="s">
        <v>8545</v>
      </c>
    </row>
    <row r="4147" spans="1:2" x14ac:dyDescent="0.25">
      <c r="A4147" t="s">
        <v>8546</v>
      </c>
      <c r="B4147" t="s">
        <v>8547</v>
      </c>
    </row>
    <row r="4148" spans="1:2" x14ac:dyDescent="0.25">
      <c r="A4148" t="s">
        <v>8548</v>
      </c>
      <c r="B4148" t="s">
        <v>8549</v>
      </c>
    </row>
    <row r="4149" spans="1:2" x14ac:dyDescent="0.25">
      <c r="A4149" t="s">
        <v>8550</v>
      </c>
      <c r="B4149" t="s">
        <v>8551</v>
      </c>
    </row>
    <row r="4150" spans="1:2" x14ac:dyDescent="0.25">
      <c r="A4150" t="s">
        <v>8552</v>
      </c>
      <c r="B4150" t="s">
        <v>765</v>
      </c>
    </row>
    <row r="4151" spans="1:2" x14ac:dyDescent="0.25">
      <c r="A4151" t="s">
        <v>8553</v>
      </c>
      <c r="B4151" t="s">
        <v>8554</v>
      </c>
    </row>
    <row r="4152" spans="1:2" x14ac:dyDescent="0.25">
      <c r="A4152" t="s">
        <v>8555</v>
      </c>
      <c r="B4152" t="s">
        <v>8556</v>
      </c>
    </row>
    <row r="4153" spans="1:2" x14ac:dyDescent="0.25">
      <c r="A4153" t="s">
        <v>8557</v>
      </c>
      <c r="B4153" t="s">
        <v>8558</v>
      </c>
    </row>
    <row r="4154" spans="1:2" x14ac:dyDescent="0.25">
      <c r="A4154" t="s">
        <v>8559</v>
      </c>
      <c r="B4154" t="s">
        <v>8560</v>
      </c>
    </row>
    <row r="4155" spans="1:2" x14ac:dyDescent="0.25">
      <c r="A4155" t="s">
        <v>8561</v>
      </c>
      <c r="B4155" t="s">
        <v>8562</v>
      </c>
    </row>
    <row r="4156" spans="1:2" x14ac:dyDescent="0.25">
      <c r="A4156" t="s">
        <v>8563</v>
      </c>
      <c r="B4156" t="s">
        <v>596</v>
      </c>
    </row>
    <row r="4157" spans="1:2" x14ac:dyDescent="0.25">
      <c r="A4157" t="s">
        <v>8564</v>
      </c>
      <c r="B4157" t="s">
        <v>8565</v>
      </c>
    </row>
    <row r="4158" spans="1:2" x14ac:dyDescent="0.25">
      <c r="A4158" t="s">
        <v>8566</v>
      </c>
      <c r="B4158" t="s">
        <v>8567</v>
      </c>
    </row>
    <row r="4159" spans="1:2" x14ac:dyDescent="0.25">
      <c r="A4159" t="s">
        <v>8568</v>
      </c>
      <c r="B4159" t="s">
        <v>8569</v>
      </c>
    </row>
    <row r="4160" spans="1:2" x14ac:dyDescent="0.25">
      <c r="A4160" t="s">
        <v>8570</v>
      </c>
      <c r="B4160" t="s">
        <v>8571</v>
      </c>
    </row>
    <row r="4161" spans="1:2" x14ac:dyDescent="0.25">
      <c r="A4161" t="s">
        <v>8572</v>
      </c>
      <c r="B4161" t="s">
        <v>8573</v>
      </c>
    </row>
    <row r="4162" spans="1:2" x14ac:dyDescent="0.25">
      <c r="A4162" t="s">
        <v>8574</v>
      </c>
      <c r="B4162" t="s">
        <v>602</v>
      </c>
    </row>
    <row r="4163" spans="1:2" x14ac:dyDescent="0.25">
      <c r="A4163" t="s">
        <v>8575</v>
      </c>
      <c r="B4163" t="s">
        <v>8576</v>
      </c>
    </row>
    <row r="4164" spans="1:2" x14ac:dyDescent="0.25">
      <c r="A4164" t="s">
        <v>8577</v>
      </c>
      <c r="B4164" t="s">
        <v>8578</v>
      </c>
    </row>
    <row r="4165" spans="1:2" x14ac:dyDescent="0.25">
      <c r="A4165" t="s">
        <v>8579</v>
      </c>
      <c r="B4165" t="s">
        <v>8580</v>
      </c>
    </row>
    <row r="4166" spans="1:2" x14ac:dyDescent="0.25">
      <c r="A4166" t="s">
        <v>8581</v>
      </c>
      <c r="B4166" t="s">
        <v>8582</v>
      </c>
    </row>
    <row r="4167" spans="1:2" x14ac:dyDescent="0.25">
      <c r="A4167" t="s">
        <v>8583</v>
      </c>
      <c r="B4167" t="s">
        <v>8584</v>
      </c>
    </row>
    <row r="4168" spans="1:2" x14ac:dyDescent="0.25">
      <c r="A4168" t="s">
        <v>8585</v>
      </c>
      <c r="B4168" t="s">
        <v>8586</v>
      </c>
    </row>
    <row r="4169" spans="1:2" x14ac:dyDescent="0.25">
      <c r="A4169" t="s">
        <v>8587</v>
      </c>
      <c r="B4169" t="s">
        <v>8588</v>
      </c>
    </row>
    <row r="4170" spans="1:2" x14ac:dyDescent="0.25">
      <c r="A4170" t="s">
        <v>8589</v>
      </c>
      <c r="B4170" t="s">
        <v>608</v>
      </c>
    </row>
    <row r="4171" spans="1:2" x14ac:dyDescent="0.25">
      <c r="A4171" t="s">
        <v>8590</v>
      </c>
      <c r="B4171" t="s">
        <v>8591</v>
      </c>
    </row>
    <row r="4172" spans="1:2" x14ac:dyDescent="0.25">
      <c r="A4172" t="s">
        <v>8592</v>
      </c>
      <c r="B4172" t="s">
        <v>8593</v>
      </c>
    </row>
    <row r="4173" spans="1:2" x14ac:dyDescent="0.25">
      <c r="A4173" t="s">
        <v>8594</v>
      </c>
      <c r="B4173" t="s">
        <v>8595</v>
      </c>
    </row>
    <row r="4174" spans="1:2" x14ac:dyDescent="0.25">
      <c r="A4174" t="s">
        <v>8596</v>
      </c>
      <c r="B4174" t="s">
        <v>8597</v>
      </c>
    </row>
    <row r="4175" spans="1:2" x14ac:dyDescent="0.25">
      <c r="A4175" t="s">
        <v>8598</v>
      </c>
      <c r="B4175" t="s">
        <v>8599</v>
      </c>
    </row>
    <row r="4176" spans="1:2" x14ac:dyDescent="0.25">
      <c r="A4176" t="s">
        <v>8600</v>
      </c>
      <c r="B4176" t="s">
        <v>8601</v>
      </c>
    </row>
    <row r="4177" spans="1:2" x14ac:dyDescent="0.25">
      <c r="A4177" t="s">
        <v>8602</v>
      </c>
      <c r="B4177" t="s">
        <v>8603</v>
      </c>
    </row>
    <row r="4178" spans="1:2" x14ac:dyDescent="0.25">
      <c r="A4178" t="s">
        <v>8604</v>
      </c>
      <c r="B4178" t="s">
        <v>8605</v>
      </c>
    </row>
    <row r="4179" spans="1:2" x14ac:dyDescent="0.25">
      <c r="A4179" t="s">
        <v>8606</v>
      </c>
      <c r="B4179" t="s">
        <v>8607</v>
      </c>
    </row>
    <row r="4180" spans="1:2" x14ac:dyDescent="0.25">
      <c r="A4180" t="s">
        <v>8608</v>
      </c>
      <c r="B4180" t="s">
        <v>8609</v>
      </c>
    </row>
    <row r="4181" spans="1:2" x14ac:dyDescent="0.25">
      <c r="A4181" t="s">
        <v>8610</v>
      </c>
      <c r="B4181" t="s">
        <v>8611</v>
      </c>
    </row>
    <row r="4182" spans="1:2" x14ac:dyDescent="0.25">
      <c r="A4182" t="s">
        <v>8612</v>
      </c>
      <c r="B4182" t="s">
        <v>621</v>
      </c>
    </row>
    <row r="4183" spans="1:2" x14ac:dyDescent="0.25">
      <c r="A4183" t="s">
        <v>8613</v>
      </c>
      <c r="B4183" t="s">
        <v>629</v>
      </c>
    </row>
    <row r="4184" spans="1:2" x14ac:dyDescent="0.25">
      <c r="A4184" t="s">
        <v>8614</v>
      </c>
      <c r="B4184" t="s">
        <v>634</v>
      </c>
    </row>
    <row r="4185" spans="1:2" x14ac:dyDescent="0.25">
      <c r="A4185" t="s">
        <v>8615</v>
      </c>
      <c r="B4185" t="s">
        <v>8616</v>
      </c>
    </row>
    <row r="4186" spans="1:2" x14ac:dyDescent="0.25">
      <c r="A4186" t="s">
        <v>8617</v>
      </c>
      <c r="B4186" t="s">
        <v>8618</v>
      </c>
    </row>
    <row r="4187" spans="1:2" x14ac:dyDescent="0.25">
      <c r="A4187" t="s">
        <v>8619</v>
      </c>
      <c r="B4187" t="s">
        <v>8620</v>
      </c>
    </row>
    <row r="4188" spans="1:2" x14ac:dyDescent="0.25">
      <c r="A4188" t="s">
        <v>8621</v>
      </c>
      <c r="B4188" t="s">
        <v>615</v>
      </c>
    </row>
    <row r="4189" spans="1:2" x14ac:dyDescent="0.25">
      <c r="A4189" t="s">
        <v>8622</v>
      </c>
      <c r="B4189" t="s">
        <v>625</v>
      </c>
    </row>
    <row r="4190" spans="1:2" x14ac:dyDescent="0.25">
      <c r="A4190" t="s">
        <v>8623</v>
      </c>
      <c r="B4190" t="s">
        <v>642</v>
      </c>
    </row>
    <row r="4191" spans="1:2" x14ac:dyDescent="0.25">
      <c r="A4191" t="s">
        <v>8624</v>
      </c>
      <c r="B4191" t="s">
        <v>8625</v>
      </c>
    </row>
    <row r="4192" spans="1:2" x14ac:dyDescent="0.25">
      <c r="A4192" t="s">
        <v>8626</v>
      </c>
      <c r="B4192" t="s">
        <v>646</v>
      </c>
    </row>
    <row r="4193" spans="1:2" x14ac:dyDescent="0.25">
      <c r="A4193" t="s">
        <v>8627</v>
      </c>
      <c r="B4193" t="s">
        <v>641</v>
      </c>
    </row>
    <row r="4194" spans="1:2" x14ac:dyDescent="0.25">
      <c r="A4194" t="s">
        <v>8628</v>
      </c>
      <c r="B4194" t="s">
        <v>8629</v>
      </c>
    </row>
    <row r="4195" spans="1:2" x14ac:dyDescent="0.25">
      <c r="A4195" t="s">
        <v>8630</v>
      </c>
      <c r="B4195" t="s">
        <v>8631</v>
      </c>
    </row>
    <row r="4196" spans="1:2" x14ac:dyDescent="0.25">
      <c r="A4196" t="s">
        <v>8632</v>
      </c>
      <c r="B4196" t="s">
        <v>8633</v>
      </c>
    </row>
    <row r="4197" spans="1:2" x14ac:dyDescent="0.25">
      <c r="A4197" t="s">
        <v>8634</v>
      </c>
      <c r="B4197" t="s">
        <v>8635</v>
      </c>
    </row>
    <row r="4198" spans="1:2" x14ac:dyDescent="0.25">
      <c r="A4198" t="s">
        <v>8636</v>
      </c>
      <c r="B4198" t="s">
        <v>8637</v>
      </c>
    </row>
    <row r="4199" spans="1:2" x14ac:dyDescent="0.25">
      <c r="A4199" t="s">
        <v>8638</v>
      </c>
      <c r="B4199" t="s">
        <v>8639</v>
      </c>
    </row>
    <row r="4200" spans="1:2" x14ac:dyDescent="0.25">
      <c r="A4200" t="s">
        <v>8640</v>
      </c>
      <c r="B4200" t="s">
        <v>8641</v>
      </c>
    </row>
    <row r="4201" spans="1:2" x14ac:dyDescent="0.25">
      <c r="A4201" t="s">
        <v>8642</v>
      </c>
      <c r="B4201" t="s">
        <v>8643</v>
      </c>
    </row>
    <row r="4202" spans="1:2" x14ac:dyDescent="0.25">
      <c r="A4202" t="s">
        <v>8644</v>
      </c>
      <c r="B4202" t="s">
        <v>8645</v>
      </c>
    </row>
    <row r="4203" spans="1:2" x14ac:dyDescent="0.25">
      <c r="A4203" t="s">
        <v>8646</v>
      </c>
      <c r="B4203" t="s">
        <v>8647</v>
      </c>
    </row>
    <row r="4204" spans="1:2" x14ac:dyDescent="0.25">
      <c r="A4204" t="s">
        <v>8648</v>
      </c>
      <c r="B4204" t="s">
        <v>8649</v>
      </c>
    </row>
    <row r="4205" spans="1:2" x14ac:dyDescent="0.25">
      <c r="A4205" t="s">
        <v>8650</v>
      </c>
      <c r="B4205" t="s">
        <v>8651</v>
      </c>
    </row>
    <row r="4206" spans="1:2" x14ac:dyDescent="0.25">
      <c r="A4206" t="s">
        <v>8652</v>
      </c>
      <c r="B4206" t="s">
        <v>8653</v>
      </c>
    </row>
    <row r="4207" spans="1:2" x14ac:dyDescent="0.25">
      <c r="A4207" t="s">
        <v>8654</v>
      </c>
      <c r="B4207" t="s">
        <v>8655</v>
      </c>
    </row>
    <row r="4208" spans="1:2" x14ac:dyDescent="0.25">
      <c r="A4208" t="s">
        <v>8656</v>
      </c>
      <c r="B4208" t="s">
        <v>8657</v>
      </c>
    </row>
    <row r="4209" spans="1:2" x14ac:dyDescent="0.25">
      <c r="A4209" t="s">
        <v>8658</v>
      </c>
      <c r="B4209" t="s">
        <v>8659</v>
      </c>
    </row>
    <row r="4210" spans="1:2" x14ac:dyDescent="0.25">
      <c r="A4210" t="s">
        <v>8660</v>
      </c>
      <c r="B4210" t="s">
        <v>8661</v>
      </c>
    </row>
    <row r="4211" spans="1:2" x14ac:dyDescent="0.25">
      <c r="A4211" t="s">
        <v>8662</v>
      </c>
      <c r="B4211" t="s">
        <v>8663</v>
      </c>
    </row>
    <row r="4212" spans="1:2" x14ac:dyDescent="0.25">
      <c r="A4212" t="s">
        <v>8664</v>
      </c>
      <c r="B4212" t="s">
        <v>8665</v>
      </c>
    </row>
    <row r="4213" spans="1:2" x14ac:dyDescent="0.25">
      <c r="A4213" t="s">
        <v>8666</v>
      </c>
      <c r="B4213" t="s">
        <v>8667</v>
      </c>
    </row>
    <row r="4214" spans="1:2" x14ac:dyDescent="0.25">
      <c r="A4214" t="s">
        <v>8668</v>
      </c>
      <c r="B4214" t="s">
        <v>8669</v>
      </c>
    </row>
    <row r="4215" spans="1:2" x14ac:dyDescent="0.25">
      <c r="A4215" t="s">
        <v>8670</v>
      </c>
      <c r="B4215" t="s">
        <v>8671</v>
      </c>
    </row>
    <row r="4216" spans="1:2" x14ac:dyDescent="0.25">
      <c r="A4216" t="s">
        <v>8672</v>
      </c>
      <c r="B4216" t="s">
        <v>8673</v>
      </c>
    </row>
    <row r="4217" spans="1:2" x14ac:dyDescent="0.25">
      <c r="A4217" t="s">
        <v>8674</v>
      </c>
      <c r="B4217" t="s">
        <v>8675</v>
      </c>
    </row>
    <row r="4218" spans="1:2" x14ac:dyDescent="0.25">
      <c r="A4218" t="s">
        <v>8676</v>
      </c>
      <c r="B4218" t="s">
        <v>8677</v>
      </c>
    </row>
    <row r="4219" spans="1:2" x14ac:dyDescent="0.25">
      <c r="A4219" t="s">
        <v>8678</v>
      </c>
      <c r="B4219" t="s">
        <v>8679</v>
      </c>
    </row>
    <row r="4220" spans="1:2" x14ac:dyDescent="0.25">
      <c r="A4220" t="s">
        <v>8680</v>
      </c>
      <c r="B4220" t="s">
        <v>8681</v>
      </c>
    </row>
    <row r="4221" spans="1:2" x14ac:dyDescent="0.25">
      <c r="A4221" t="s">
        <v>8682</v>
      </c>
      <c r="B4221" t="s">
        <v>8683</v>
      </c>
    </row>
    <row r="4222" spans="1:2" x14ac:dyDescent="0.25">
      <c r="A4222" t="s">
        <v>8684</v>
      </c>
      <c r="B4222" t="s">
        <v>8685</v>
      </c>
    </row>
    <row r="4223" spans="1:2" x14ac:dyDescent="0.25">
      <c r="A4223" t="s">
        <v>8686</v>
      </c>
      <c r="B4223" t="s">
        <v>8687</v>
      </c>
    </row>
    <row r="4224" spans="1:2" x14ac:dyDescent="0.25">
      <c r="A4224" t="s">
        <v>8688</v>
      </c>
      <c r="B4224" t="s">
        <v>8689</v>
      </c>
    </row>
    <row r="4225" spans="1:2" x14ac:dyDescent="0.25">
      <c r="A4225" t="s">
        <v>8690</v>
      </c>
      <c r="B4225" t="s">
        <v>691</v>
      </c>
    </row>
    <row r="4226" spans="1:2" x14ac:dyDescent="0.25">
      <c r="A4226" t="s">
        <v>8691</v>
      </c>
      <c r="B4226" t="s">
        <v>8692</v>
      </c>
    </row>
    <row r="4227" spans="1:2" x14ac:dyDescent="0.25">
      <c r="A4227" t="s">
        <v>8693</v>
      </c>
      <c r="B4227" t="s">
        <v>8694</v>
      </c>
    </row>
    <row r="4228" spans="1:2" x14ac:dyDescent="0.25">
      <c r="A4228" t="s">
        <v>8695</v>
      </c>
      <c r="B4228" t="s">
        <v>8696</v>
      </c>
    </row>
    <row r="4229" spans="1:2" x14ac:dyDescent="0.25">
      <c r="A4229" t="s">
        <v>8697</v>
      </c>
      <c r="B4229" t="s">
        <v>8698</v>
      </c>
    </row>
    <row r="4230" spans="1:2" x14ac:dyDescent="0.25">
      <c r="A4230" t="s">
        <v>8699</v>
      </c>
      <c r="B4230" t="s">
        <v>650</v>
      </c>
    </row>
    <row r="4231" spans="1:2" x14ac:dyDescent="0.25">
      <c r="A4231" t="s">
        <v>8700</v>
      </c>
      <c r="B4231" t="s">
        <v>8701</v>
      </c>
    </row>
    <row r="4232" spans="1:2" x14ac:dyDescent="0.25">
      <c r="A4232" t="s">
        <v>8702</v>
      </c>
      <c r="B4232" t="s">
        <v>8703</v>
      </c>
    </row>
    <row r="4233" spans="1:2" x14ac:dyDescent="0.25">
      <c r="A4233" t="s">
        <v>8704</v>
      </c>
      <c r="B4233" t="s">
        <v>8705</v>
      </c>
    </row>
    <row r="4234" spans="1:2" x14ac:dyDescent="0.25">
      <c r="A4234" t="s">
        <v>8706</v>
      </c>
      <c r="B4234" t="s">
        <v>8707</v>
      </c>
    </row>
    <row r="4235" spans="1:2" x14ac:dyDescent="0.25">
      <c r="A4235" t="s">
        <v>8708</v>
      </c>
      <c r="B4235" t="s">
        <v>8709</v>
      </c>
    </row>
    <row r="4236" spans="1:2" x14ac:dyDescent="0.25">
      <c r="A4236" t="s">
        <v>8710</v>
      </c>
      <c r="B4236" t="s">
        <v>8711</v>
      </c>
    </row>
    <row r="4237" spans="1:2" x14ac:dyDescent="0.25">
      <c r="A4237" t="s">
        <v>8712</v>
      </c>
      <c r="B4237" t="s">
        <v>8713</v>
      </c>
    </row>
    <row r="4238" spans="1:2" x14ac:dyDescent="0.25">
      <c r="A4238" t="s">
        <v>8714</v>
      </c>
      <c r="B4238" t="s">
        <v>8715</v>
      </c>
    </row>
    <row r="4239" spans="1:2" x14ac:dyDescent="0.25">
      <c r="A4239" t="s">
        <v>8716</v>
      </c>
      <c r="B4239" t="s">
        <v>8717</v>
      </c>
    </row>
    <row r="4240" spans="1:2" x14ac:dyDescent="0.25">
      <c r="A4240" t="s">
        <v>8718</v>
      </c>
      <c r="B4240" t="s">
        <v>8719</v>
      </c>
    </row>
    <row r="4241" spans="1:2" x14ac:dyDescent="0.25">
      <c r="A4241" t="s">
        <v>8720</v>
      </c>
      <c r="B4241" t="s">
        <v>8721</v>
      </c>
    </row>
    <row r="4242" spans="1:2" x14ac:dyDescent="0.25">
      <c r="A4242" t="s">
        <v>8722</v>
      </c>
      <c r="B4242" t="s">
        <v>8723</v>
      </c>
    </row>
    <row r="4243" spans="1:2" x14ac:dyDescent="0.25">
      <c r="A4243" t="s">
        <v>8724</v>
      </c>
      <c r="B4243" t="s">
        <v>8725</v>
      </c>
    </row>
    <row r="4244" spans="1:2" x14ac:dyDescent="0.25">
      <c r="A4244" t="s">
        <v>8726</v>
      </c>
      <c r="B4244" t="s">
        <v>8727</v>
      </c>
    </row>
    <row r="4245" spans="1:2" x14ac:dyDescent="0.25">
      <c r="A4245" t="s">
        <v>8728</v>
      </c>
      <c r="B4245" t="s">
        <v>8729</v>
      </c>
    </row>
    <row r="4246" spans="1:2" x14ac:dyDescent="0.25">
      <c r="A4246" t="s">
        <v>8730</v>
      </c>
      <c r="B4246" t="s">
        <v>8731</v>
      </c>
    </row>
    <row r="4247" spans="1:2" x14ac:dyDescent="0.25">
      <c r="A4247" t="s">
        <v>8732</v>
      </c>
      <c r="B4247" t="s">
        <v>8733</v>
      </c>
    </row>
    <row r="4248" spans="1:2" x14ac:dyDescent="0.25">
      <c r="A4248" t="s">
        <v>8734</v>
      </c>
      <c r="B4248" t="s">
        <v>8735</v>
      </c>
    </row>
    <row r="4249" spans="1:2" x14ac:dyDescent="0.25">
      <c r="A4249" t="s">
        <v>8736</v>
      </c>
      <c r="B4249" t="s">
        <v>8737</v>
      </c>
    </row>
    <row r="4250" spans="1:2" x14ac:dyDescent="0.25">
      <c r="A4250" t="s">
        <v>8738</v>
      </c>
      <c r="B4250" t="s">
        <v>8739</v>
      </c>
    </row>
    <row r="4251" spans="1:2" x14ac:dyDescent="0.25">
      <c r="A4251" t="s">
        <v>8740</v>
      </c>
      <c r="B4251" t="s">
        <v>8741</v>
      </c>
    </row>
    <row r="4252" spans="1:2" x14ac:dyDescent="0.25">
      <c r="A4252" t="s">
        <v>8742</v>
      </c>
      <c r="B4252" t="s">
        <v>8743</v>
      </c>
    </row>
    <row r="4253" spans="1:2" x14ac:dyDescent="0.25">
      <c r="A4253" t="s">
        <v>8744</v>
      </c>
      <c r="B4253" t="s">
        <v>8745</v>
      </c>
    </row>
    <row r="4254" spans="1:2" x14ac:dyDescent="0.25">
      <c r="A4254" t="s">
        <v>8746</v>
      </c>
      <c r="B4254" t="s">
        <v>8747</v>
      </c>
    </row>
    <row r="4255" spans="1:2" x14ac:dyDescent="0.25">
      <c r="A4255" t="s">
        <v>8748</v>
      </c>
      <c r="B4255" t="s">
        <v>8749</v>
      </c>
    </row>
    <row r="4256" spans="1:2" x14ac:dyDescent="0.25">
      <c r="A4256" t="s">
        <v>8750</v>
      </c>
      <c r="B4256" t="s">
        <v>8751</v>
      </c>
    </row>
    <row r="4257" spans="1:2" x14ac:dyDescent="0.25">
      <c r="A4257" t="s">
        <v>8752</v>
      </c>
      <c r="B4257" t="s">
        <v>8753</v>
      </c>
    </row>
    <row r="4258" spans="1:2" x14ac:dyDescent="0.25">
      <c r="A4258" t="s">
        <v>8754</v>
      </c>
      <c r="B4258" t="s">
        <v>8755</v>
      </c>
    </row>
    <row r="4259" spans="1:2" x14ac:dyDescent="0.25">
      <c r="A4259" t="s">
        <v>8756</v>
      </c>
      <c r="B4259" t="s">
        <v>8757</v>
      </c>
    </row>
    <row r="4260" spans="1:2" x14ac:dyDescent="0.25">
      <c r="A4260" t="s">
        <v>8758</v>
      </c>
      <c r="B4260" t="s">
        <v>8759</v>
      </c>
    </row>
    <row r="4261" spans="1:2" x14ac:dyDescent="0.25">
      <c r="A4261" t="s">
        <v>8760</v>
      </c>
      <c r="B4261" t="s">
        <v>8761</v>
      </c>
    </row>
    <row r="4262" spans="1:2" x14ac:dyDescent="0.25">
      <c r="A4262" t="s">
        <v>8762</v>
      </c>
      <c r="B4262" t="s">
        <v>8763</v>
      </c>
    </row>
    <row r="4263" spans="1:2" x14ac:dyDescent="0.25">
      <c r="A4263" t="s">
        <v>8764</v>
      </c>
      <c r="B4263" t="s">
        <v>8765</v>
      </c>
    </row>
    <row r="4264" spans="1:2" x14ac:dyDescent="0.25">
      <c r="A4264" t="s">
        <v>8766</v>
      </c>
      <c r="B4264" t="s">
        <v>8767</v>
      </c>
    </row>
    <row r="4265" spans="1:2" x14ac:dyDescent="0.25">
      <c r="A4265" t="s">
        <v>8768</v>
      </c>
      <c r="B4265" t="s">
        <v>8769</v>
      </c>
    </row>
    <row r="4266" spans="1:2" x14ac:dyDescent="0.25">
      <c r="A4266" t="s">
        <v>8770</v>
      </c>
      <c r="B4266" t="s">
        <v>8771</v>
      </c>
    </row>
    <row r="4267" spans="1:2" x14ac:dyDescent="0.25">
      <c r="A4267" t="s">
        <v>8772</v>
      </c>
      <c r="B4267" t="s">
        <v>8773</v>
      </c>
    </row>
    <row r="4268" spans="1:2" x14ac:dyDescent="0.25">
      <c r="A4268" t="s">
        <v>8774</v>
      </c>
      <c r="B4268" t="s">
        <v>8775</v>
      </c>
    </row>
    <row r="4269" spans="1:2" x14ac:dyDescent="0.25">
      <c r="A4269" t="s">
        <v>8776</v>
      </c>
      <c r="B4269" t="s">
        <v>705</v>
      </c>
    </row>
    <row r="4270" spans="1:2" x14ac:dyDescent="0.25">
      <c r="A4270" t="s">
        <v>8777</v>
      </c>
      <c r="B4270" t="s">
        <v>793</v>
      </c>
    </row>
    <row r="4271" spans="1:2" x14ac:dyDescent="0.25">
      <c r="A4271" t="s">
        <v>8778</v>
      </c>
      <c r="B4271" t="s">
        <v>677</v>
      </c>
    </row>
    <row r="4272" spans="1:2" x14ac:dyDescent="0.25">
      <c r="A4272" t="s">
        <v>8779</v>
      </c>
      <c r="B4272" t="s">
        <v>675</v>
      </c>
    </row>
    <row r="4273" spans="1:2" x14ac:dyDescent="0.25">
      <c r="A4273" t="s">
        <v>8780</v>
      </c>
      <c r="B4273" t="s">
        <v>652</v>
      </c>
    </row>
    <row r="4274" spans="1:2" x14ac:dyDescent="0.25">
      <c r="A4274" t="s">
        <v>8781</v>
      </c>
      <c r="B4274" t="s">
        <v>8782</v>
      </c>
    </row>
    <row r="4275" spans="1:2" x14ac:dyDescent="0.25">
      <c r="A4275" t="s">
        <v>8783</v>
      </c>
      <c r="B4275" t="s">
        <v>8784</v>
      </c>
    </row>
    <row r="4276" spans="1:2" x14ac:dyDescent="0.25">
      <c r="A4276" t="s">
        <v>8785</v>
      </c>
      <c r="B4276" t="s">
        <v>8786</v>
      </c>
    </row>
    <row r="4277" spans="1:2" x14ac:dyDescent="0.25">
      <c r="A4277" t="s">
        <v>8787</v>
      </c>
      <c r="B4277" t="s">
        <v>661</v>
      </c>
    </row>
    <row r="4278" spans="1:2" x14ac:dyDescent="0.25">
      <c r="A4278" t="s">
        <v>8788</v>
      </c>
      <c r="B4278" t="s">
        <v>8789</v>
      </c>
    </row>
    <row r="4279" spans="1:2" x14ac:dyDescent="0.25">
      <c r="A4279" t="s">
        <v>8790</v>
      </c>
      <c r="B4279" t="s">
        <v>8791</v>
      </c>
    </row>
    <row r="4280" spans="1:2" x14ac:dyDescent="0.25">
      <c r="A4280" t="s">
        <v>8792</v>
      </c>
      <c r="B4280" t="s">
        <v>696</v>
      </c>
    </row>
    <row r="4281" spans="1:2" x14ac:dyDescent="0.25">
      <c r="A4281" t="s">
        <v>8793</v>
      </c>
      <c r="B4281" t="s">
        <v>8794</v>
      </c>
    </row>
    <row r="4282" spans="1:2" x14ac:dyDescent="0.25">
      <c r="A4282" t="s">
        <v>8795</v>
      </c>
      <c r="B4282" t="s">
        <v>8796</v>
      </c>
    </row>
    <row r="4283" spans="1:2" x14ac:dyDescent="0.25">
      <c r="A4283" t="s">
        <v>8797</v>
      </c>
      <c r="B4283" t="s">
        <v>8798</v>
      </c>
    </row>
    <row r="4284" spans="1:2" x14ac:dyDescent="0.25">
      <c r="A4284" t="s">
        <v>8799</v>
      </c>
      <c r="B4284" t="s">
        <v>8800</v>
      </c>
    </row>
    <row r="4285" spans="1:2" x14ac:dyDescent="0.25">
      <c r="A4285" t="s">
        <v>8801</v>
      </c>
      <c r="B4285" t="s">
        <v>8802</v>
      </c>
    </row>
    <row r="4286" spans="1:2" x14ac:dyDescent="0.25">
      <c r="A4286" t="s">
        <v>8803</v>
      </c>
      <c r="B4286" t="s">
        <v>8804</v>
      </c>
    </row>
    <row r="4287" spans="1:2" x14ac:dyDescent="0.25">
      <c r="A4287" t="s">
        <v>8805</v>
      </c>
      <c r="B4287" t="s">
        <v>671</v>
      </c>
    </row>
    <row r="4288" spans="1:2" x14ac:dyDescent="0.25">
      <c r="A4288" t="s">
        <v>8806</v>
      </c>
      <c r="B4288" t="s">
        <v>8807</v>
      </c>
    </row>
    <row r="4289" spans="1:2" x14ac:dyDescent="0.25">
      <c r="A4289" t="s">
        <v>8808</v>
      </c>
      <c r="B4289" t="s">
        <v>8809</v>
      </c>
    </row>
    <row r="4290" spans="1:2" x14ac:dyDescent="0.25">
      <c r="A4290" t="s">
        <v>8810</v>
      </c>
      <c r="B4290" t="s">
        <v>8811</v>
      </c>
    </row>
    <row r="4291" spans="1:2" x14ac:dyDescent="0.25">
      <c r="A4291" t="s">
        <v>8812</v>
      </c>
      <c r="B4291" t="s">
        <v>8813</v>
      </c>
    </row>
    <row r="4292" spans="1:2" x14ac:dyDescent="0.25">
      <c r="A4292" t="s">
        <v>8814</v>
      </c>
      <c r="B4292" t="s">
        <v>8815</v>
      </c>
    </row>
    <row r="4293" spans="1:2" x14ac:dyDescent="0.25">
      <c r="A4293" t="s">
        <v>8816</v>
      </c>
      <c r="B4293" t="s">
        <v>8817</v>
      </c>
    </row>
    <row r="4294" spans="1:2" x14ac:dyDescent="0.25">
      <c r="A4294" t="s">
        <v>8818</v>
      </c>
      <c r="B4294" t="s">
        <v>8819</v>
      </c>
    </row>
    <row r="4295" spans="1:2" x14ac:dyDescent="0.25">
      <c r="A4295" t="s">
        <v>8820</v>
      </c>
      <c r="B4295" t="s">
        <v>8821</v>
      </c>
    </row>
    <row r="4296" spans="1:2" x14ac:dyDescent="0.25">
      <c r="A4296" t="s">
        <v>8822</v>
      </c>
      <c r="B4296" t="s">
        <v>8823</v>
      </c>
    </row>
    <row r="4297" spans="1:2" x14ac:dyDescent="0.25">
      <c r="A4297" t="s">
        <v>8824</v>
      </c>
      <c r="B4297" t="s">
        <v>8825</v>
      </c>
    </row>
    <row r="4298" spans="1:2" x14ac:dyDescent="0.25">
      <c r="A4298" t="s">
        <v>8826</v>
      </c>
      <c r="B4298" t="s">
        <v>678</v>
      </c>
    </row>
    <row r="4299" spans="1:2" x14ac:dyDescent="0.25">
      <c r="A4299" t="s">
        <v>8827</v>
      </c>
      <c r="B4299" t="s">
        <v>8828</v>
      </c>
    </row>
    <row r="4300" spans="1:2" x14ac:dyDescent="0.25">
      <c r="A4300" t="s">
        <v>8829</v>
      </c>
      <c r="B4300" t="s">
        <v>8830</v>
      </c>
    </row>
    <row r="4301" spans="1:2" x14ac:dyDescent="0.25">
      <c r="A4301" t="s">
        <v>8831</v>
      </c>
      <c r="B4301" t="s">
        <v>8832</v>
      </c>
    </row>
    <row r="4302" spans="1:2" x14ac:dyDescent="0.25">
      <c r="A4302" t="s">
        <v>8833</v>
      </c>
      <c r="B4302" t="s">
        <v>688</v>
      </c>
    </row>
    <row r="4303" spans="1:2" x14ac:dyDescent="0.25">
      <c r="A4303" t="s">
        <v>8834</v>
      </c>
      <c r="B4303" t="s">
        <v>8835</v>
      </c>
    </row>
    <row r="4304" spans="1:2" x14ac:dyDescent="0.25">
      <c r="A4304" t="s">
        <v>8836</v>
      </c>
      <c r="B4304" t="s">
        <v>8837</v>
      </c>
    </row>
    <row r="4305" spans="1:2" x14ac:dyDescent="0.25">
      <c r="A4305" t="s">
        <v>8838</v>
      </c>
      <c r="B4305" t="s">
        <v>8839</v>
      </c>
    </row>
    <row r="4306" spans="1:2" x14ac:dyDescent="0.25">
      <c r="A4306" t="s">
        <v>8840</v>
      </c>
      <c r="B4306" t="s">
        <v>8841</v>
      </c>
    </row>
    <row r="4307" spans="1:2" x14ac:dyDescent="0.25">
      <c r="A4307" t="s">
        <v>8842</v>
      </c>
      <c r="B4307" t="s">
        <v>8843</v>
      </c>
    </row>
    <row r="4308" spans="1:2" x14ac:dyDescent="0.25">
      <c r="A4308" t="s">
        <v>8844</v>
      </c>
      <c r="B4308" t="s">
        <v>682</v>
      </c>
    </row>
    <row r="4309" spans="1:2" x14ac:dyDescent="0.25">
      <c r="A4309" t="s">
        <v>8845</v>
      </c>
      <c r="B4309" t="s">
        <v>656</v>
      </c>
    </row>
    <row r="4310" spans="1:2" x14ac:dyDescent="0.25">
      <c r="A4310" t="s">
        <v>8846</v>
      </c>
      <c r="B4310" t="s">
        <v>665</v>
      </c>
    </row>
    <row r="4311" spans="1:2" x14ac:dyDescent="0.25">
      <c r="A4311" t="s">
        <v>8847</v>
      </c>
      <c r="B4311" t="s">
        <v>8848</v>
      </c>
    </row>
    <row r="4312" spans="1:2" x14ac:dyDescent="0.25">
      <c r="A4312" t="s">
        <v>8849</v>
      </c>
      <c r="B4312" t="s">
        <v>657</v>
      </c>
    </row>
    <row r="4313" spans="1:2" x14ac:dyDescent="0.25">
      <c r="A4313" t="s">
        <v>8850</v>
      </c>
      <c r="B4313" t="s">
        <v>680</v>
      </c>
    </row>
    <row r="4314" spans="1:2" x14ac:dyDescent="0.25">
      <c r="A4314" t="s">
        <v>8851</v>
      </c>
      <c r="B4314" t="s">
        <v>8852</v>
      </c>
    </row>
    <row r="4315" spans="1:2" x14ac:dyDescent="0.25">
      <c r="A4315" t="s">
        <v>8853</v>
      </c>
      <c r="B4315" t="s">
        <v>8854</v>
      </c>
    </row>
    <row r="4316" spans="1:2" x14ac:dyDescent="0.25">
      <c r="A4316" t="s">
        <v>8855</v>
      </c>
      <c r="B4316" t="s">
        <v>8856</v>
      </c>
    </row>
    <row r="4317" spans="1:2" x14ac:dyDescent="0.25">
      <c r="A4317" t="s">
        <v>8857</v>
      </c>
      <c r="B4317" t="s">
        <v>8858</v>
      </c>
    </row>
    <row r="4318" spans="1:2" x14ac:dyDescent="0.25">
      <c r="A4318" t="s">
        <v>8859</v>
      </c>
      <c r="B4318" t="s">
        <v>8860</v>
      </c>
    </row>
    <row r="4319" spans="1:2" x14ac:dyDescent="0.25">
      <c r="A4319" t="s">
        <v>8861</v>
      </c>
      <c r="B4319" t="s">
        <v>8862</v>
      </c>
    </row>
    <row r="4320" spans="1:2" x14ac:dyDescent="0.25">
      <c r="A4320" t="s">
        <v>8863</v>
      </c>
      <c r="B4320" t="s">
        <v>648</v>
      </c>
    </row>
    <row r="4321" spans="1:2" x14ac:dyDescent="0.25">
      <c r="A4321" t="s">
        <v>8864</v>
      </c>
      <c r="B4321" t="s">
        <v>666</v>
      </c>
    </row>
    <row r="4322" spans="1:2" x14ac:dyDescent="0.25">
      <c r="A4322" t="s">
        <v>8865</v>
      </c>
      <c r="B4322" t="s">
        <v>649</v>
      </c>
    </row>
    <row r="4323" spans="1:2" x14ac:dyDescent="0.25">
      <c r="A4323" t="s">
        <v>8866</v>
      </c>
      <c r="B4323" t="s">
        <v>686</v>
      </c>
    </row>
    <row r="4324" spans="1:2" x14ac:dyDescent="0.25">
      <c r="A4324" t="s">
        <v>8867</v>
      </c>
      <c r="B4324" t="s">
        <v>702</v>
      </c>
    </row>
    <row r="4325" spans="1:2" x14ac:dyDescent="0.25">
      <c r="A4325" t="s">
        <v>8868</v>
      </c>
      <c r="B4325" t="s">
        <v>8869</v>
      </c>
    </row>
    <row r="4326" spans="1:2" x14ac:dyDescent="0.25">
      <c r="A4326" t="s">
        <v>8870</v>
      </c>
      <c r="B4326" t="s">
        <v>8871</v>
      </c>
    </row>
    <row r="4327" spans="1:2" x14ac:dyDescent="0.25">
      <c r="A4327" t="s">
        <v>8872</v>
      </c>
      <c r="B4327" t="s">
        <v>8873</v>
      </c>
    </row>
    <row r="4328" spans="1:2" x14ac:dyDescent="0.25">
      <c r="A4328" t="s">
        <v>8874</v>
      </c>
      <c r="B4328" t="s">
        <v>8875</v>
      </c>
    </row>
    <row r="4329" spans="1:2" x14ac:dyDescent="0.25">
      <c r="A4329" t="s">
        <v>8876</v>
      </c>
      <c r="B4329" t="s">
        <v>8877</v>
      </c>
    </row>
    <row r="4330" spans="1:2" x14ac:dyDescent="0.25">
      <c r="A4330" t="s">
        <v>8878</v>
      </c>
      <c r="B4330" t="s">
        <v>8879</v>
      </c>
    </row>
    <row r="4331" spans="1:2" x14ac:dyDescent="0.25">
      <c r="A4331" t="s">
        <v>8880</v>
      </c>
      <c r="B4331" t="s">
        <v>8881</v>
      </c>
    </row>
    <row r="4332" spans="1:2" x14ac:dyDescent="0.25">
      <c r="A4332" t="s">
        <v>8882</v>
      </c>
      <c r="B4332" t="s">
        <v>8883</v>
      </c>
    </row>
    <row r="4333" spans="1:2" x14ac:dyDescent="0.25">
      <c r="A4333" t="s">
        <v>8884</v>
      </c>
      <c r="B4333" t="s">
        <v>8885</v>
      </c>
    </row>
    <row r="4334" spans="1:2" x14ac:dyDescent="0.25">
      <c r="A4334" t="s">
        <v>8886</v>
      </c>
      <c r="B4334" t="s">
        <v>8887</v>
      </c>
    </row>
    <row r="4335" spans="1:2" x14ac:dyDescent="0.25">
      <c r="A4335" t="s">
        <v>8888</v>
      </c>
      <c r="B4335" t="s">
        <v>8889</v>
      </c>
    </row>
    <row r="4336" spans="1:2" x14ac:dyDescent="0.25">
      <c r="A4336" t="s">
        <v>8890</v>
      </c>
      <c r="B4336" t="s">
        <v>8891</v>
      </c>
    </row>
    <row r="4337" spans="1:2" x14ac:dyDescent="0.25">
      <c r="A4337" t="s">
        <v>8892</v>
      </c>
      <c r="B4337" t="s">
        <v>8893</v>
      </c>
    </row>
    <row r="4338" spans="1:2" x14ac:dyDescent="0.25">
      <c r="A4338" t="s">
        <v>8894</v>
      </c>
      <c r="B4338" t="s">
        <v>8895</v>
      </c>
    </row>
    <row r="4339" spans="1:2" x14ac:dyDescent="0.25">
      <c r="A4339" t="s">
        <v>8896</v>
      </c>
      <c r="B4339" t="s">
        <v>8897</v>
      </c>
    </row>
    <row r="4340" spans="1:2" x14ac:dyDescent="0.25">
      <c r="A4340" t="s">
        <v>8898</v>
      </c>
      <c r="B4340" t="s">
        <v>794</v>
      </c>
    </row>
    <row r="4341" spans="1:2" x14ac:dyDescent="0.25">
      <c r="A4341" t="s">
        <v>8899</v>
      </c>
      <c r="B4341" t="s">
        <v>8900</v>
      </c>
    </row>
    <row r="4342" spans="1:2" x14ac:dyDescent="0.25">
      <c r="A4342" t="s">
        <v>8901</v>
      </c>
      <c r="B4342" t="s">
        <v>8902</v>
      </c>
    </row>
    <row r="4343" spans="1:2" x14ac:dyDescent="0.25">
      <c r="A4343" t="s">
        <v>8903</v>
      </c>
      <c r="B4343" t="s">
        <v>8904</v>
      </c>
    </row>
    <row r="4344" spans="1:2" x14ac:dyDescent="0.25">
      <c r="A4344" t="s">
        <v>8905</v>
      </c>
      <c r="B4344" t="s">
        <v>8906</v>
      </c>
    </row>
    <row r="4345" spans="1:2" x14ac:dyDescent="0.25">
      <c r="A4345" t="s">
        <v>8907</v>
      </c>
      <c r="B4345" t="s">
        <v>8908</v>
      </c>
    </row>
    <row r="4346" spans="1:2" x14ac:dyDescent="0.25">
      <c r="A4346" t="s">
        <v>8909</v>
      </c>
      <c r="B4346" t="s">
        <v>8910</v>
      </c>
    </row>
    <row r="4347" spans="1:2" x14ac:dyDescent="0.25">
      <c r="A4347" t="s">
        <v>8911</v>
      </c>
      <c r="B4347" t="s">
        <v>8912</v>
      </c>
    </row>
    <row r="4348" spans="1:2" x14ac:dyDescent="0.25">
      <c r="A4348" t="s">
        <v>8913</v>
      </c>
      <c r="B4348" t="s">
        <v>8914</v>
      </c>
    </row>
    <row r="4349" spans="1:2" x14ac:dyDescent="0.25">
      <c r="A4349" t="s">
        <v>8915</v>
      </c>
      <c r="B4349" t="s">
        <v>8916</v>
      </c>
    </row>
    <row r="4350" spans="1:2" x14ac:dyDescent="0.25">
      <c r="A4350" t="s">
        <v>8917</v>
      </c>
      <c r="B4350" t="s">
        <v>8918</v>
      </c>
    </row>
    <row r="4351" spans="1:2" x14ac:dyDescent="0.25">
      <c r="A4351" t="s">
        <v>8919</v>
      </c>
      <c r="B4351" t="s">
        <v>8920</v>
      </c>
    </row>
    <row r="4352" spans="1:2" x14ac:dyDescent="0.25">
      <c r="A4352" t="s">
        <v>8921</v>
      </c>
      <c r="B4352" t="s">
        <v>8922</v>
      </c>
    </row>
    <row r="4353" spans="1:2" x14ac:dyDescent="0.25">
      <c r="A4353" t="s">
        <v>8923</v>
      </c>
      <c r="B4353" t="s">
        <v>8924</v>
      </c>
    </row>
    <row r="4354" spans="1:2" x14ac:dyDescent="0.25">
      <c r="A4354" t="s">
        <v>8925</v>
      </c>
      <c r="B4354" t="s">
        <v>8926</v>
      </c>
    </row>
    <row r="4355" spans="1:2" x14ac:dyDescent="0.25">
      <c r="A4355" t="s">
        <v>8927</v>
      </c>
      <c r="B4355" t="s">
        <v>8928</v>
      </c>
    </row>
    <row r="4356" spans="1:2" x14ac:dyDescent="0.25">
      <c r="A4356" t="s">
        <v>8929</v>
      </c>
      <c r="B4356" t="s">
        <v>8930</v>
      </c>
    </row>
    <row r="4357" spans="1:2" x14ac:dyDescent="0.25">
      <c r="A4357" t="s">
        <v>8931</v>
      </c>
      <c r="B4357" t="s">
        <v>8932</v>
      </c>
    </row>
    <row r="4358" spans="1:2" x14ac:dyDescent="0.25">
      <c r="A4358" t="s">
        <v>8933</v>
      </c>
      <c r="B4358" t="s">
        <v>8934</v>
      </c>
    </row>
    <row r="4359" spans="1:2" x14ac:dyDescent="0.25">
      <c r="A4359" t="s">
        <v>8935</v>
      </c>
      <c r="B4359" t="s">
        <v>8936</v>
      </c>
    </row>
    <row r="4360" spans="1:2" x14ac:dyDescent="0.25">
      <c r="A4360" t="s">
        <v>8937</v>
      </c>
      <c r="B4360" t="s">
        <v>8938</v>
      </c>
    </row>
    <row r="4361" spans="1:2" x14ac:dyDescent="0.25">
      <c r="A4361" t="s">
        <v>8939</v>
      </c>
      <c r="B4361" t="s">
        <v>8940</v>
      </c>
    </row>
    <row r="4362" spans="1:2" x14ac:dyDescent="0.25">
      <c r="A4362" t="s">
        <v>8941</v>
      </c>
      <c r="B4362" t="s">
        <v>8942</v>
      </c>
    </row>
    <row r="4363" spans="1:2" x14ac:dyDescent="0.25">
      <c r="A4363" t="s">
        <v>8943</v>
      </c>
      <c r="B4363" t="s">
        <v>8944</v>
      </c>
    </row>
    <row r="4364" spans="1:2" x14ac:dyDescent="0.25">
      <c r="A4364" t="s">
        <v>8945</v>
      </c>
      <c r="B4364" t="s">
        <v>8946</v>
      </c>
    </row>
    <row r="4365" spans="1:2" x14ac:dyDescent="0.25">
      <c r="A4365" t="s">
        <v>8947</v>
      </c>
      <c r="B4365" t="s">
        <v>8948</v>
      </c>
    </row>
    <row r="4366" spans="1:2" x14ac:dyDescent="0.25">
      <c r="A4366" t="s">
        <v>8949</v>
      </c>
      <c r="B4366" t="s">
        <v>8950</v>
      </c>
    </row>
    <row r="4367" spans="1:2" x14ac:dyDescent="0.25">
      <c r="A4367" t="s">
        <v>8951</v>
      </c>
      <c r="B4367" t="s">
        <v>913</v>
      </c>
    </row>
    <row r="4368" spans="1:2" x14ac:dyDescent="0.25">
      <c r="A4368" t="s">
        <v>8952</v>
      </c>
      <c r="B4368" t="s">
        <v>8953</v>
      </c>
    </row>
    <row r="4369" spans="1:2" x14ac:dyDescent="0.25">
      <c r="A4369" t="s">
        <v>8954</v>
      </c>
      <c r="B4369" t="s">
        <v>8955</v>
      </c>
    </row>
    <row r="4370" spans="1:2" x14ac:dyDescent="0.25">
      <c r="A4370" t="s">
        <v>8956</v>
      </c>
      <c r="B4370" t="s">
        <v>8957</v>
      </c>
    </row>
    <row r="4371" spans="1:2" x14ac:dyDescent="0.25">
      <c r="A4371" t="s">
        <v>8958</v>
      </c>
      <c r="B4371" t="s">
        <v>8959</v>
      </c>
    </row>
    <row r="4372" spans="1:2" x14ac:dyDescent="0.25">
      <c r="A4372" t="s">
        <v>8960</v>
      </c>
      <c r="B4372" t="s">
        <v>8961</v>
      </c>
    </row>
    <row r="4373" spans="1:2" x14ac:dyDescent="0.25">
      <c r="A4373" t="s">
        <v>8962</v>
      </c>
      <c r="B4373" t="s">
        <v>8963</v>
      </c>
    </row>
    <row r="4374" spans="1:2" x14ac:dyDescent="0.25">
      <c r="A4374" t="s">
        <v>8964</v>
      </c>
      <c r="B4374" t="s">
        <v>8965</v>
      </c>
    </row>
    <row r="4375" spans="1:2" x14ac:dyDescent="0.25">
      <c r="A4375" t="s">
        <v>8966</v>
      </c>
      <c r="B4375" t="s">
        <v>8967</v>
      </c>
    </row>
    <row r="4376" spans="1:2" x14ac:dyDescent="0.25">
      <c r="A4376" t="s">
        <v>8968</v>
      </c>
      <c r="B4376" t="s">
        <v>8969</v>
      </c>
    </row>
    <row r="4377" spans="1:2" x14ac:dyDescent="0.25">
      <c r="A4377" t="s">
        <v>8970</v>
      </c>
      <c r="B4377" t="s">
        <v>8971</v>
      </c>
    </row>
    <row r="4378" spans="1:2" x14ac:dyDescent="0.25">
      <c r="A4378" t="s">
        <v>8972</v>
      </c>
      <c r="B4378" t="s">
        <v>8973</v>
      </c>
    </row>
    <row r="4379" spans="1:2" x14ac:dyDescent="0.25">
      <c r="A4379" t="s">
        <v>8974</v>
      </c>
      <c r="B4379" t="s">
        <v>8975</v>
      </c>
    </row>
    <row r="4380" spans="1:2" x14ac:dyDescent="0.25">
      <c r="A4380" t="s">
        <v>8976</v>
      </c>
      <c r="B4380" t="s">
        <v>8977</v>
      </c>
    </row>
    <row r="4381" spans="1:2" x14ac:dyDescent="0.25">
      <c r="A4381" t="s">
        <v>8978</v>
      </c>
      <c r="B4381" t="s">
        <v>8979</v>
      </c>
    </row>
    <row r="4382" spans="1:2" x14ac:dyDescent="0.25">
      <c r="A4382" t="s">
        <v>8980</v>
      </c>
      <c r="B4382" t="s">
        <v>8981</v>
      </c>
    </row>
    <row r="4383" spans="1:2" x14ac:dyDescent="0.25">
      <c r="A4383" t="s">
        <v>8982</v>
      </c>
      <c r="B4383" t="s">
        <v>8983</v>
      </c>
    </row>
    <row r="4384" spans="1:2" x14ac:dyDescent="0.25">
      <c r="A4384" t="s">
        <v>8984</v>
      </c>
      <c r="B4384" t="s">
        <v>8985</v>
      </c>
    </row>
    <row r="4385" spans="1:2" x14ac:dyDescent="0.25">
      <c r="A4385" t="s">
        <v>8986</v>
      </c>
      <c r="B4385" t="s">
        <v>8987</v>
      </c>
    </row>
    <row r="4386" spans="1:2" x14ac:dyDescent="0.25">
      <c r="A4386" t="s">
        <v>8988</v>
      </c>
      <c r="B4386" t="s">
        <v>8989</v>
      </c>
    </row>
    <row r="4387" spans="1:2" x14ac:dyDescent="0.25">
      <c r="A4387" t="s">
        <v>8990</v>
      </c>
      <c r="B4387" t="s">
        <v>8991</v>
      </c>
    </row>
    <row r="4388" spans="1:2" x14ac:dyDescent="0.25">
      <c r="A4388" t="s">
        <v>8992</v>
      </c>
      <c r="B4388" t="s">
        <v>8993</v>
      </c>
    </row>
    <row r="4389" spans="1:2" x14ac:dyDescent="0.25">
      <c r="A4389" t="s">
        <v>8994</v>
      </c>
      <c r="B4389" t="s">
        <v>8995</v>
      </c>
    </row>
    <row r="4390" spans="1:2" x14ac:dyDescent="0.25">
      <c r="A4390" t="s">
        <v>8996</v>
      </c>
      <c r="B4390" t="s">
        <v>8997</v>
      </c>
    </row>
    <row r="4391" spans="1:2" x14ac:dyDescent="0.25">
      <c r="A4391" t="s">
        <v>8998</v>
      </c>
      <c r="B4391" t="s">
        <v>8999</v>
      </c>
    </row>
    <row r="4392" spans="1:2" x14ac:dyDescent="0.25">
      <c r="A4392" t="s">
        <v>9000</v>
      </c>
      <c r="B4392" t="s">
        <v>9001</v>
      </c>
    </row>
    <row r="4393" spans="1:2" x14ac:dyDescent="0.25">
      <c r="A4393" t="s">
        <v>9002</v>
      </c>
      <c r="B4393" t="s">
        <v>9003</v>
      </c>
    </row>
    <row r="4394" spans="1:2" x14ac:dyDescent="0.25">
      <c r="A4394" t="s">
        <v>9004</v>
      </c>
      <c r="B4394" t="s">
        <v>9005</v>
      </c>
    </row>
    <row r="4395" spans="1:2" x14ac:dyDescent="0.25">
      <c r="A4395" t="s">
        <v>9006</v>
      </c>
      <c r="B4395" t="s">
        <v>9007</v>
      </c>
    </row>
    <row r="4396" spans="1:2" x14ac:dyDescent="0.25">
      <c r="A4396" t="s">
        <v>9008</v>
      </c>
      <c r="B4396" t="s">
        <v>9009</v>
      </c>
    </row>
    <row r="4397" spans="1:2" x14ac:dyDescent="0.25">
      <c r="A4397" t="s">
        <v>9010</v>
      </c>
      <c r="B4397" t="s">
        <v>9011</v>
      </c>
    </row>
    <row r="4398" spans="1:2" x14ac:dyDescent="0.25">
      <c r="A4398" t="s">
        <v>9012</v>
      </c>
      <c r="B4398" t="s">
        <v>9013</v>
      </c>
    </row>
    <row r="4399" spans="1:2" x14ac:dyDescent="0.25">
      <c r="A4399" t="s">
        <v>9014</v>
      </c>
      <c r="B4399" t="s">
        <v>9015</v>
      </c>
    </row>
    <row r="4400" spans="1:2" x14ac:dyDescent="0.25">
      <c r="A4400" t="s">
        <v>9016</v>
      </c>
      <c r="B4400" t="s">
        <v>748</v>
      </c>
    </row>
    <row r="4401" spans="1:2" x14ac:dyDescent="0.25">
      <c r="A4401" t="s">
        <v>9017</v>
      </c>
      <c r="B4401" t="s">
        <v>9018</v>
      </c>
    </row>
    <row r="4402" spans="1:2" x14ac:dyDescent="0.25">
      <c r="A4402" t="s">
        <v>9019</v>
      </c>
      <c r="B4402" t="s">
        <v>9020</v>
      </c>
    </row>
    <row r="4403" spans="1:2" x14ac:dyDescent="0.25">
      <c r="A4403" t="s">
        <v>9021</v>
      </c>
      <c r="B4403" t="s">
        <v>9022</v>
      </c>
    </row>
    <row r="4404" spans="1:2" x14ac:dyDescent="0.25">
      <c r="A4404" t="s">
        <v>9023</v>
      </c>
      <c r="B4404" t="s">
        <v>9024</v>
      </c>
    </row>
    <row r="4405" spans="1:2" x14ac:dyDescent="0.25">
      <c r="A4405" t="s">
        <v>9025</v>
      </c>
      <c r="B4405" t="s">
        <v>9026</v>
      </c>
    </row>
    <row r="4406" spans="1:2" x14ac:dyDescent="0.25">
      <c r="A4406" t="s">
        <v>9027</v>
      </c>
      <c r="B4406" t="s">
        <v>9028</v>
      </c>
    </row>
    <row r="4407" spans="1:2" x14ac:dyDescent="0.25">
      <c r="A4407" t="s">
        <v>9029</v>
      </c>
      <c r="B4407" t="s">
        <v>9030</v>
      </c>
    </row>
    <row r="4408" spans="1:2" x14ac:dyDescent="0.25">
      <c r="A4408" t="s">
        <v>9031</v>
      </c>
      <c r="B4408" t="s">
        <v>9032</v>
      </c>
    </row>
    <row r="4409" spans="1:2" x14ac:dyDescent="0.25">
      <c r="A4409" t="s">
        <v>9033</v>
      </c>
      <c r="B4409" t="s">
        <v>9034</v>
      </c>
    </row>
    <row r="4410" spans="1:2" x14ac:dyDescent="0.25">
      <c r="A4410" t="s">
        <v>9035</v>
      </c>
      <c r="B4410" t="s">
        <v>9036</v>
      </c>
    </row>
    <row r="4411" spans="1:2" x14ac:dyDescent="0.25">
      <c r="A4411" t="s">
        <v>9037</v>
      </c>
      <c r="B4411" t="s">
        <v>9038</v>
      </c>
    </row>
    <row r="4412" spans="1:2" x14ac:dyDescent="0.25">
      <c r="A4412" t="s">
        <v>9039</v>
      </c>
      <c r="B4412" t="s">
        <v>795</v>
      </c>
    </row>
    <row r="4413" spans="1:2" x14ac:dyDescent="0.25">
      <c r="A4413" t="s">
        <v>9040</v>
      </c>
      <c r="B4413" t="s">
        <v>9041</v>
      </c>
    </row>
    <row r="4414" spans="1:2" x14ac:dyDescent="0.25">
      <c r="A4414" t="s">
        <v>9042</v>
      </c>
      <c r="B4414" t="s">
        <v>9043</v>
      </c>
    </row>
    <row r="4415" spans="1:2" x14ac:dyDescent="0.25">
      <c r="A4415" t="s">
        <v>9044</v>
      </c>
      <c r="B4415" t="s">
        <v>9045</v>
      </c>
    </row>
    <row r="4416" spans="1:2" x14ac:dyDescent="0.25">
      <c r="A4416" t="s">
        <v>9046</v>
      </c>
      <c r="B4416" t="s">
        <v>9047</v>
      </c>
    </row>
    <row r="4417" spans="1:2" x14ac:dyDescent="0.25">
      <c r="A4417" t="s">
        <v>9048</v>
      </c>
      <c r="B4417" t="s">
        <v>709</v>
      </c>
    </row>
    <row r="4418" spans="1:2" x14ac:dyDescent="0.25">
      <c r="A4418" t="s">
        <v>9049</v>
      </c>
      <c r="B4418" t="s">
        <v>718</v>
      </c>
    </row>
    <row r="4419" spans="1:2" x14ac:dyDescent="0.25">
      <c r="A4419" t="s">
        <v>9050</v>
      </c>
      <c r="B4419" t="s">
        <v>743</v>
      </c>
    </row>
    <row r="4420" spans="1:2" x14ac:dyDescent="0.25">
      <c r="A4420" t="s">
        <v>9051</v>
      </c>
      <c r="B4420" t="s">
        <v>717</v>
      </c>
    </row>
    <row r="4421" spans="1:2" x14ac:dyDescent="0.25">
      <c r="A4421" t="s">
        <v>9052</v>
      </c>
      <c r="B4421" t="s">
        <v>707</v>
      </c>
    </row>
    <row r="4422" spans="1:2" x14ac:dyDescent="0.25">
      <c r="A4422" t="s">
        <v>9053</v>
      </c>
      <c r="B4422" t="s">
        <v>762</v>
      </c>
    </row>
    <row r="4423" spans="1:2" x14ac:dyDescent="0.25">
      <c r="A4423" t="s">
        <v>9054</v>
      </c>
      <c r="B4423" t="s">
        <v>715</v>
      </c>
    </row>
    <row r="4424" spans="1:2" x14ac:dyDescent="0.25">
      <c r="A4424" t="s">
        <v>9055</v>
      </c>
      <c r="B4424" t="s">
        <v>9056</v>
      </c>
    </row>
    <row r="4425" spans="1:2" x14ac:dyDescent="0.25">
      <c r="A4425" t="s">
        <v>9057</v>
      </c>
      <c r="B4425" t="s">
        <v>747</v>
      </c>
    </row>
    <row r="4426" spans="1:2" x14ac:dyDescent="0.25">
      <c r="A4426" t="s">
        <v>9058</v>
      </c>
      <c r="B4426" t="s">
        <v>764</v>
      </c>
    </row>
    <row r="4427" spans="1:2" x14ac:dyDescent="0.25">
      <c r="A4427" t="s">
        <v>9059</v>
      </c>
      <c r="B4427" t="s">
        <v>726</v>
      </c>
    </row>
    <row r="4428" spans="1:2" x14ac:dyDescent="0.25">
      <c r="A4428" t="s">
        <v>9060</v>
      </c>
      <c r="B4428" t="s">
        <v>745</v>
      </c>
    </row>
    <row r="4429" spans="1:2" x14ac:dyDescent="0.25">
      <c r="A4429" t="s">
        <v>9061</v>
      </c>
      <c r="B4429" t="s">
        <v>738</v>
      </c>
    </row>
    <row r="4430" spans="1:2" x14ac:dyDescent="0.25">
      <c r="A4430" t="s">
        <v>9062</v>
      </c>
      <c r="B4430" t="s">
        <v>744</v>
      </c>
    </row>
    <row r="4431" spans="1:2" x14ac:dyDescent="0.25">
      <c r="A4431" t="s">
        <v>9063</v>
      </c>
      <c r="B4431" t="s">
        <v>740</v>
      </c>
    </row>
    <row r="4432" spans="1:2" x14ac:dyDescent="0.25">
      <c r="A4432" t="s">
        <v>9064</v>
      </c>
      <c r="B4432" t="s">
        <v>752</v>
      </c>
    </row>
    <row r="4433" spans="1:2" x14ac:dyDescent="0.25">
      <c r="A4433" t="s">
        <v>9065</v>
      </c>
      <c r="B4433" t="s">
        <v>755</v>
      </c>
    </row>
    <row r="4434" spans="1:2" x14ac:dyDescent="0.25">
      <c r="A4434" t="s">
        <v>9066</v>
      </c>
      <c r="B4434" t="s">
        <v>732</v>
      </c>
    </row>
    <row r="4435" spans="1:2" x14ac:dyDescent="0.25">
      <c r="A4435" t="s">
        <v>9067</v>
      </c>
      <c r="B4435" t="s">
        <v>760</v>
      </c>
    </row>
    <row r="4436" spans="1:2" x14ac:dyDescent="0.25">
      <c r="A4436" t="s">
        <v>9068</v>
      </c>
      <c r="B4436" t="s">
        <v>771</v>
      </c>
    </row>
    <row r="4437" spans="1:2" x14ac:dyDescent="0.25">
      <c r="A4437" t="s">
        <v>9069</v>
      </c>
      <c r="B4437" t="s">
        <v>739</v>
      </c>
    </row>
    <row r="4438" spans="1:2" x14ac:dyDescent="0.25">
      <c r="A4438" t="s">
        <v>9070</v>
      </c>
      <c r="B4438" t="s">
        <v>750</v>
      </c>
    </row>
    <row r="4439" spans="1:2" x14ac:dyDescent="0.25">
      <c r="A4439" t="s">
        <v>9071</v>
      </c>
      <c r="B4439" t="s">
        <v>734</v>
      </c>
    </row>
    <row r="4440" spans="1:2" x14ac:dyDescent="0.25">
      <c r="A4440" t="s">
        <v>9072</v>
      </c>
      <c r="B4440" t="s">
        <v>721</v>
      </c>
    </row>
    <row r="4441" spans="1:2" x14ac:dyDescent="0.25">
      <c r="A4441" t="s">
        <v>9073</v>
      </c>
      <c r="B4441" t="s">
        <v>714</v>
      </c>
    </row>
    <row r="4442" spans="1:2" x14ac:dyDescent="0.25">
      <c r="A4442" t="s">
        <v>9074</v>
      </c>
      <c r="B4442" t="s">
        <v>761</v>
      </c>
    </row>
    <row r="4443" spans="1:2" x14ac:dyDescent="0.25">
      <c r="A4443" t="s">
        <v>9075</v>
      </c>
      <c r="B4443" t="s">
        <v>766</v>
      </c>
    </row>
    <row r="4444" spans="1:2" x14ac:dyDescent="0.25">
      <c r="A4444" t="s">
        <v>9076</v>
      </c>
      <c r="B4444" t="s">
        <v>736</v>
      </c>
    </row>
    <row r="4445" spans="1:2" x14ac:dyDescent="0.25">
      <c r="A4445" t="s">
        <v>9077</v>
      </c>
      <c r="B4445" t="s">
        <v>719</v>
      </c>
    </row>
    <row r="4446" spans="1:2" x14ac:dyDescent="0.25">
      <c r="A4446" t="s">
        <v>9078</v>
      </c>
      <c r="B4446" t="s">
        <v>746</v>
      </c>
    </row>
    <row r="4447" spans="1:2" x14ac:dyDescent="0.25">
      <c r="A4447" t="s">
        <v>9079</v>
      </c>
      <c r="B4447" t="s">
        <v>724</v>
      </c>
    </row>
    <row r="4448" spans="1:2" x14ac:dyDescent="0.25">
      <c r="A4448" t="s">
        <v>9080</v>
      </c>
      <c r="B4448" t="s">
        <v>711</v>
      </c>
    </row>
    <row r="4449" spans="1:2" x14ac:dyDescent="0.25">
      <c r="A4449" t="s">
        <v>9081</v>
      </c>
      <c r="B4449" t="s">
        <v>768</v>
      </c>
    </row>
    <row r="4450" spans="1:2" x14ac:dyDescent="0.25">
      <c r="A4450" t="s">
        <v>9082</v>
      </c>
      <c r="B4450" t="s">
        <v>742</v>
      </c>
    </row>
    <row r="4451" spans="1:2" x14ac:dyDescent="0.25">
      <c r="A4451" t="s">
        <v>9083</v>
      </c>
      <c r="B4451" t="s">
        <v>720</v>
      </c>
    </row>
    <row r="4452" spans="1:2" x14ac:dyDescent="0.25">
      <c r="A4452" t="s">
        <v>9084</v>
      </c>
      <c r="B4452" t="s">
        <v>9085</v>
      </c>
    </row>
    <row r="4453" spans="1:2" x14ac:dyDescent="0.25">
      <c r="A4453" t="s">
        <v>9086</v>
      </c>
      <c r="B4453" t="s">
        <v>770</v>
      </c>
    </row>
    <row r="4454" spans="1:2" x14ac:dyDescent="0.25">
      <c r="A4454" t="s">
        <v>9087</v>
      </c>
      <c r="B4454" t="s">
        <v>9088</v>
      </c>
    </row>
    <row r="4455" spans="1:2" x14ac:dyDescent="0.25">
      <c r="A4455" t="s">
        <v>9089</v>
      </c>
      <c r="B4455" t="s">
        <v>9090</v>
      </c>
    </row>
    <row r="4456" spans="1:2" x14ac:dyDescent="0.25">
      <c r="A4456" t="s">
        <v>9091</v>
      </c>
      <c r="B4456" t="s">
        <v>9092</v>
      </c>
    </row>
    <row r="4457" spans="1:2" x14ac:dyDescent="0.25">
      <c r="A4457" t="s">
        <v>9093</v>
      </c>
      <c r="B4457" t="s">
        <v>9094</v>
      </c>
    </row>
    <row r="4458" spans="1:2" x14ac:dyDescent="0.25">
      <c r="A4458" t="s">
        <v>9095</v>
      </c>
      <c r="B4458" t="s">
        <v>9096</v>
      </c>
    </row>
    <row r="4459" spans="1:2" x14ac:dyDescent="0.25">
      <c r="A4459" t="s">
        <v>9097</v>
      </c>
      <c r="B4459" t="s">
        <v>9098</v>
      </c>
    </row>
    <row r="4460" spans="1:2" x14ac:dyDescent="0.25">
      <c r="A4460" t="s">
        <v>9099</v>
      </c>
      <c r="B4460" t="s">
        <v>9100</v>
      </c>
    </row>
    <row r="4461" spans="1:2" x14ac:dyDescent="0.25">
      <c r="A4461" t="s">
        <v>9101</v>
      </c>
      <c r="B4461" t="s">
        <v>9102</v>
      </c>
    </row>
    <row r="4462" spans="1:2" x14ac:dyDescent="0.25">
      <c r="A4462" t="s">
        <v>9103</v>
      </c>
      <c r="B4462" t="s">
        <v>9104</v>
      </c>
    </row>
    <row r="4463" spans="1:2" x14ac:dyDescent="0.25">
      <c r="A4463" t="s">
        <v>9105</v>
      </c>
      <c r="B4463" t="s">
        <v>9106</v>
      </c>
    </row>
    <row r="4464" spans="1:2" x14ac:dyDescent="0.25">
      <c r="A4464" t="s">
        <v>9107</v>
      </c>
      <c r="B4464" t="s">
        <v>9108</v>
      </c>
    </row>
    <row r="4465" spans="1:2" x14ac:dyDescent="0.25">
      <c r="A4465" t="s">
        <v>9109</v>
      </c>
      <c r="B4465" t="s">
        <v>9110</v>
      </c>
    </row>
    <row r="4466" spans="1:2" x14ac:dyDescent="0.25">
      <c r="A4466" t="s">
        <v>9111</v>
      </c>
      <c r="B4466" t="s">
        <v>9112</v>
      </c>
    </row>
    <row r="4467" spans="1:2" x14ac:dyDescent="0.25">
      <c r="A4467" t="s">
        <v>9113</v>
      </c>
      <c r="B4467" t="s">
        <v>9114</v>
      </c>
    </row>
    <row r="4468" spans="1:2" x14ac:dyDescent="0.25">
      <c r="A4468" t="s">
        <v>9115</v>
      </c>
      <c r="B4468" t="s">
        <v>796</v>
      </c>
    </row>
    <row r="4469" spans="1:2" x14ac:dyDescent="0.25">
      <c r="A4469" t="s">
        <v>9116</v>
      </c>
      <c r="B4469" t="s">
        <v>9117</v>
      </c>
    </row>
    <row r="4470" spans="1:2" x14ac:dyDescent="0.25">
      <c r="A4470" t="s">
        <v>9118</v>
      </c>
      <c r="B4470" t="s">
        <v>9119</v>
      </c>
    </row>
    <row r="4471" spans="1:2" x14ac:dyDescent="0.25">
      <c r="A4471" t="s">
        <v>9120</v>
      </c>
      <c r="B4471" t="s">
        <v>9121</v>
      </c>
    </row>
    <row r="4472" spans="1:2" x14ac:dyDescent="0.25">
      <c r="A4472" t="s">
        <v>9122</v>
      </c>
      <c r="B4472" t="s">
        <v>9123</v>
      </c>
    </row>
    <row r="4473" spans="1:2" x14ac:dyDescent="0.25">
      <c r="A4473" t="s">
        <v>9124</v>
      </c>
      <c r="B4473" t="s">
        <v>9125</v>
      </c>
    </row>
    <row r="4474" spans="1:2" x14ac:dyDescent="0.25">
      <c r="A4474" t="s">
        <v>9126</v>
      </c>
      <c r="B4474" t="s">
        <v>9127</v>
      </c>
    </row>
    <row r="4475" spans="1:2" x14ac:dyDescent="0.25">
      <c r="A4475" t="s">
        <v>9128</v>
      </c>
      <c r="B4475" t="s">
        <v>9129</v>
      </c>
    </row>
    <row r="4476" spans="1:2" x14ac:dyDescent="0.25">
      <c r="A4476" t="s">
        <v>9130</v>
      </c>
      <c r="B4476" t="s">
        <v>9131</v>
      </c>
    </row>
    <row r="4477" spans="1:2" x14ac:dyDescent="0.25">
      <c r="A4477" t="s">
        <v>9132</v>
      </c>
      <c r="B4477" t="s">
        <v>797</v>
      </c>
    </row>
    <row r="4478" spans="1:2" x14ac:dyDescent="0.25">
      <c r="A4478" t="s">
        <v>9133</v>
      </c>
      <c r="B4478" t="s">
        <v>9134</v>
      </c>
    </row>
    <row r="4479" spans="1:2" x14ac:dyDescent="0.25">
      <c r="A4479" t="s">
        <v>9135</v>
      </c>
      <c r="B4479" t="s">
        <v>9136</v>
      </c>
    </row>
    <row r="4480" spans="1:2" x14ac:dyDescent="0.25">
      <c r="A4480" t="s">
        <v>9137</v>
      </c>
      <c r="B4480" t="s">
        <v>798</v>
      </c>
    </row>
    <row r="4481" spans="1:2" x14ac:dyDescent="0.25">
      <c r="A4481" t="s">
        <v>9138</v>
      </c>
      <c r="B4481" t="s">
        <v>9139</v>
      </c>
    </row>
    <row r="4482" spans="1:2" x14ac:dyDescent="0.25">
      <c r="A4482" t="s">
        <v>9140</v>
      </c>
      <c r="B4482" t="s">
        <v>9141</v>
      </c>
    </row>
    <row r="4483" spans="1:2" x14ac:dyDescent="0.25">
      <c r="A4483" t="s">
        <v>9142</v>
      </c>
      <c r="B4483" t="s">
        <v>9143</v>
      </c>
    </row>
    <row r="4484" spans="1:2" x14ac:dyDescent="0.25">
      <c r="A4484" t="s">
        <v>9144</v>
      </c>
      <c r="B4484" t="s">
        <v>9145</v>
      </c>
    </row>
    <row r="4485" spans="1:2" x14ac:dyDescent="0.25">
      <c r="A4485" t="s">
        <v>9146</v>
      </c>
      <c r="B4485" t="s">
        <v>9147</v>
      </c>
    </row>
    <row r="4486" spans="1:2" x14ac:dyDescent="0.25">
      <c r="A4486" t="s">
        <v>9148</v>
      </c>
      <c r="B4486" t="s">
        <v>9149</v>
      </c>
    </row>
    <row r="4487" spans="1:2" x14ac:dyDescent="0.25">
      <c r="A4487" t="s">
        <v>9150</v>
      </c>
      <c r="B4487" t="s">
        <v>9151</v>
      </c>
    </row>
    <row r="4488" spans="1:2" x14ac:dyDescent="0.25">
      <c r="A4488" t="s">
        <v>9152</v>
      </c>
      <c r="B4488" t="s">
        <v>9153</v>
      </c>
    </row>
    <row r="4489" spans="1:2" x14ac:dyDescent="0.25">
      <c r="A4489" t="s">
        <v>9154</v>
      </c>
      <c r="B4489" t="s">
        <v>9155</v>
      </c>
    </row>
    <row r="4490" spans="1:2" x14ac:dyDescent="0.25">
      <c r="A4490" t="s">
        <v>9156</v>
      </c>
      <c r="B4490" t="s">
        <v>9157</v>
      </c>
    </row>
    <row r="4491" spans="1:2" x14ac:dyDescent="0.25">
      <c r="A4491" t="s">
        <v>9158</v>
      </c>
      <c r="B4491" t="s">
        <v>9159</v>
      </c>
    </row>
    <row r="4492" spans="1:2" x14ac:dyDescent="0.25">
      <c r="A4492" t="s">
        <v>9160</v>
      </c>
      <c r="B4492" t="s">
        <v>9161</v>
      </c>
    </row>
    <row r="4493" spans="1:2" x14ac:dyDescent="0.25">
      <c r="A4493" t="s">
        <v>9162</v>
      </c>
      <c r="B4493" t="s">
        <v>9163</v>
      </c>
    </row>
    <row r="4494" spans="1:2" x14ac:dyDescent="0.25">
      <c r="A4494" t="s">
        <v>9164</v>
      </c>
      <c r="B4494" t="s">
        <v>9165</v>
      </c>
    </row>
    <row r="4495" spans="1:2" x14ac:dyDescent="0.25">
      <c r="A4495" t="s">
        <v>9166</v>
      </c>
      <c r="B4495" t="s">
        <v>9167</v>
      </c>
    </row>
    <row r="4496" spans="1:2" x14ac:dyDescent="0.25">
      <c r="A4496" t="s">
        <v>9168</v>
      </c>
      <c r="B4496" t="s">
        <v>799</v>
      </c>
    </row>
    <row r="4497" spans="1:2" x14ac:dyDescent="0.25">
      <c r="A4497" t="s">
        <v>9169</v>
      </c>
      <c r="B4497" t="s">
        <v>732</v>
      </c>
    </row>
    <row r="4498" spans="1:2" x14ac:dyDescent="0.25">
      <c r="A4498" t="s">
        <v>9170</v>
      </c>
      <c r="B4498" t="s">
        <v>800</v>
      </c>
    </row>
    <row r="4499" spans="1:2" x14ac:dyDescent="0.25">
      <c r="A4499" t="s">
        <v>9171</v>
      </c>
      <c r="B4499" t="s">
        <v>9172</v>
      </c>
    </row>
    <row r="4500" spans="1:2" x14ac:dyDescent="0.25">
      <c r="A4500" t="s">
        <v>9173</v>
      </c>
      <c r="B4500" t="s">
        <v>9174</v>
      </c>
    </row>
    <row r="4501" spans="1:2" x14ac:dyDescent="0.25">
      <c r="A4501" t="s">
        <v>9175</v>
      </c>
      <c r="B4501" t="s">
        <v>9176</v>
      </c>
    </row>
    <row r="4502" spans="1:2" x14ac:dyDescent="0.25">
      <c r="A4502" t="s">
        <v>9177</v>
      </c>
      <c r="B4502" t="s">
        <v>9178</v>
      </c>
    </row>
    <row r="4503" spans="1:2" x14ac:dyDescent="0.25">
      <c r="A4503" t="s">
        <v>9179</v>
      </c>
      <c r="B4503" t="s">
        <v>9180</v>
      </c>
    </row>
    <row r="4504" spans="1:2" x14ac:dyDescent="0.25">
      <c r="A4504" t="s">
        <v>9181</v>
      </c>
      <c r="B4504" t="s">
        <v>9182</v>
      </c>
    </row>
    <row r="4505" spans="1:2" x14ac:dyDescent="0.25">
      <c r="A4505" t="s">
        <v>9183</v>
      </c>
      <c r="B4505" t="s">
        <v>9184</v>
      </c>
    </row>
    <row r="4506" spans="1:2" x14ac:dyDescent="0.25">
      <c r="A4506" t="s">
        <v>9185</v>
      </c>
      <c r="B4506" t="s">
        <v>795</v>
      </c>
    </row>
    <row r="4507" spans="1:2" x14ac:dyDescent="0.25">
      <c r="A4507" t="s">
        <v>9186</v>
      </c>
      <c r="B4507" t="s">
        <v>9187</v>
      </c>
    </row>
    <row r="4508" spans="1:2" x14ac:dyDescent="0.25">
      <c r="A4508" t="s">
        <v>9188</v>
      </c>
      <c r="B4508" t="s">
        <v>9189</v>
      </c>
    </row>
    <row r="4509" spans="1:2" x14ac:dyDescent="0.25">
      <c r="A4509" t="s">
        <v>9190</v>
      </c>
      <c r="B4509" t="s">
        <v>9191</v>
      </c>
    </row>
    <row r="4510" spans="1:2" x14ac:dyDescent="0.25">
      <c r="A4510" t="s">
        <v>9192</v>
      </c>
      <c r="B4510" t="s">
        <v>9193</v>
      </c>
    </row>
    <row r="4511" spans="1:2" x14ac:dyDescent="0.25">
      <c r="A4511" t="s">
        <v>9194</v>
      </c>
      <c r="B4511" t="s">
        <v>9195</v>
      </c>
    </row>
    <row r="4512" spans="1:2" x14ac:dyDescent="0.25">
      <c r="A4512" t="s">
        <v>9196</v>
      </c>
      <c r="B4512" t="s">
        <v>9197</v>
      </c>
    </row>
    <row r="4513" spans="1:2" x14ac:dyDescent="0.25">
      <c r="A4513" t="s">
        <v>9198</v>
      </c>
      <c r="B4513" t="s">
        <v>926</v>
      </c>
    </row>
    <row r="4514" spans="1:2" x14ac:dyDescent="0.25">
      <c r="A4514" t="s">
        <v>9199</v>
      </c>
      <c r="B4514" t="s">
        <v>9200</v>
      </c>
    </row>
    <row r="4515" spans="1:2" x14ac:dyDescent="0.25">
      <c r="A4515" t="s">
        <v>9201</v>
      </c>
      <c r="B4515" t="s">
        <v>8924</v>
      </c>
    </row>
    <row r="4516" spans="1:2" x14ac:dyDescent="0.25">
      <c r="A4516" t="s">
        <v>9202</v>
      </c>
      <c r="B4516" t="s">
        <v>9203</v>
      </c>
    </row>
    <row r="4517" spans="1:2" x14ac:dyDescent="0.25">
      <c r="A4517" t="s">
        <v>9204</v>
      </c>
      <c r="B4517" t="s">
        <v>9205</v>
      </c>
    </row>
    <row r="4518" spans="1:2" x14ac:dyDescent="0.25">
      <c r="A4518" t="s">
        <v>9206</v>
      </c>
      <c r="B4518" t="s">
        <v>8835</v>
      </c>
    </row>
    <row r="4519" spans="1:2" x14ac:dyDescent="0.25">
      <c r="A4519" t="s">
        <v>9207</v>
      </c>
      <c r="B4519" t="s">
        <v>9208</v>
      </c>
    </row>
    <row r="4520" spans="1:2" x14ac:dyDescent="0.25">
      <c r="A4520" t="s">
        <v>9209</v>
      </c>
      <c r="B4520" t="s">
        <v>801</v>
      </c>
    </row>
    <row r="4521" spans="1:2" x14ac:dyDescent="0.25">
      <c r="A4521" t="s">
        <v>9210</v>
      </c>
      <c r="B4521" t="s">
        <v>9211</v>
      </c>
    </row>
    <row r="4522" spans="1:2" x14ac:dyDescent="0.25">
      <c r="A4522" t="s">
        <v>9212</v>
      </c>
      <c r="B4522" t="s">
        <v>9213</v>
      </c>
    </row>
    <row r="4523" spans="1:2" x14ac:dyDescent="0.25">
      <c r="A4523" t="s">
        <v>9214</v>
      </c>
      <c r="B4523" t="s">
        <v>9215</v>
      </c>
    </row>
    <row r="4524" spans="1:2" x14ac:dyDescent="0.25">
      <c r="A4524" t="s">
        <v>9216</v>
      </c>
      <c r="B4524" t="s">
        <v>9217</v>
      </c>
    </row>
    <row r="4525" spans="1:2" x14ac:dyDescent="0.25">
      <c r="A4525" t="s">
        <v>9218</v>
      </c>
      <c r="B4525" t="s">
        <v>9219</v>
      </c>
    </row>
    <row r="4526" spans="1:2" x14ac:dyDescent="0.25">
      <c r="A4526" t="s">
        <v>9220</v>
      </c>
      <c r="B4526" t="s">
        <v>9221</v>
      </c>
    </row>
    <row r="4527" spans="1:2" x14ac:dyDescent="0.25">
      <c r="A4527" t="s">
        <v>9222</v>
      </c>
      <c r="B4527" t="s">
        <v>9223</v>
      </c>
    </row>
    <row r="4528" spans="1:2" x14ac:dyDescent="0.25">
      <c r="A4528" t="s">
        <v>9224</v>
      </c>
      <c r="B4528" t="s">
        <v>9225</v>
      </c>
    </row>
    <row r="4529" spans="1:2" x14ac:dyDescent="0.25">
      <c r="A4529" t="s">
        <v>9226</v>
      </c>
      <c r="B4529" t="s">
        <v>9227</v>
      </c>
    </row>
    <row r="4530" spans="1:2" x14ac:dyDescent="0.25">
      <c r="A4530" t="s">
        <v>9228</v>
      </c>
      <c r="B4530" t="s">
        <v>9229</v>
      </c>
    </row>
    <row r="4531" spans="1:2" x14ac:dyDescent="0.25">
      <c r="A4531" t="s">
        <v>9230</v>
      </c>
      <c r="B4531" t="s">
        <v>746</v>
      </c>
    </row>
    <row r="4532" spans="1:2" x14ac:dyDescent="0.25">
      <c r="A4532" t="s">
        <v>9231</v>
      </c>
      <c r="B4532" t="s">
        <v>9232</v>
      </c>
    </row>
    <row r="4533" spans="1:2" x14ac:dyDescent="0.25">
      <c r="A4533" t="s">
        <v>9233</v>
      </c>
      <c r="B4533" t="s">
        <v>9234</v>
      </c>
    </row>
    <row r="4534" spans="1:2" x14ac:dyDescent="0.25">
      <c r="A4534" t="s">
        <v>9235</v>
      </c>
      <c r="B4534" t="s">
        <v>9236</v>
      </c>
    </row>
    <row r="4535" spans="1:2" x14ac:dyDescent="0.25">
      <c r="A4535" t="s">
        <v>9237</v>
      </c>
      <c r="B4535" t="s">
        <v>9238</v>
      </c>
    </row>
    <row r="4536" spans="1:2" x14ac:dyDescent="0.25">
      <c r="A4536" t="s">
        <v>9239</v>
      </c>
      <c r="B4536" t="s">
        <v>9240</v>
      </c>
    </row>
    <row r="4537" spans="1:2" x14ac:dyDescent="0.25">
      <c r="A4537" t="s">
        <v>9241</v>
      </c>
      <c r="B4537" t="s">
        <v>9242</v>
      </c>
    </row>
    <row r="4538" spans="1:2" x14ac:dyDescent="0.25">
      <c r="A4538" t="s">
        <v>9243</v>
      </c>
      <c r="B4538" t="s">
        <v>9244</v>
      </c>
    </row>
    <row r="4539" spans="1:2" x14ac:dyDescent="0.25">
      <c r="A4539" t="s">
        <v>9245</v>
      </c>
      <c r="B4539" t="s">
        <v>9246</v>
      </c>
    </row>
    <row r="4540" spans="1:2" x14ac:dyDescent="0.25">
      <c r="A4540" t="s">
        <v>9247</v>
      </c>
      <c r="B4540" t="s">
        <v>9248</v>
      </c>
    </row>
    <row r="4541" spans="1:2" x14ac:dyDescent="0.25">
      <c r="A4541" t="s">
        <v>9249</v>
      </c>
      <c r="B4541" t="s">
        <v>677</v>
      </c>
    </row>
    <row r="4542" spans="1:2" x14ac:dyDescent="0.25">
      <c r="A4542" t="s">
        <v>9250</v>
      </c>
      <c r="B4542" t="s">
        <v>9251</v>
      </c>
    </row>
    <row r="4543" spans="1:2" x14ac:dyDescent="0.25">
      <c r="A4543" t="s">
        <v>9252</v>
      </c>
      <c r="B4543" t="s">
        <v>802</v>
      </c>
    </row>
    <row r="4544" spans="1:2" x14ac:dyDescent="0.25">
      <c r="A4544" t="s">
        <v>9253</v>
      </c>
      <c r="B4544" t="s">
        <v>9254</v>
      </c>
    </row>
    <row r="4545" spans="1:2" x14ac:dyDescent="0.25">
      <c r="A4545" t="s">
        <v>9255</v>
      </c>
      <c r="B4545" t="s">
        <v>9256</v>
      </c>
    </row>
    <row r="4546" spans="1:2" x14ac:dyDescent="0.25">
      <c r="A4546" t="s">
        <v>9257</v>
      </c>
      <c r="B4546" t="s">
        <v>9085</v>
      </c>
    </row>
    <row r="4547" spans="1:2" x14ac:dyDescent="0.25">
      <c r="A4547" t="s">
        <v>9258</v>
      </c>
      <c r="B4547" t="s">
        <v>9259</v>
      </c>
    </row>
    <row r="4548" spans="1:2" x14ac:dyDescent="0.25">
      <c r="A4548" t="s">
        <v>9260</v>
      </c>
      <c r="B4548" t="s">
        <v>9261</v>
      </c>
    </row>
    <row r="4549" spans="1:2" x14ac:dyDescent="0.25">
      <c r="A4549" t="s">
        <v>9262</v>
      </c>
      <c r="B4549" t="s">
        <v>8673</v>
      </c>
    </row>
    <row r="4550" spans="1:2" x14ac:dyDescent="0.25">
      <c r="A4550" t="s">
        <v>9263</v>
      </c>
      <c r="B4550" t="s">
        <v>9264</v>
      </c>
    </row>
    <row r="4551" spans="1:2" x14ac:dyDescent="0.25">
      <c r="A4551" t="s">
        <v>9265</v>
      </c>
      <c r="B4551" t="s">
        <v>9266</v>
      </c>
    </row>
    <row r="4552" spans="1:2" x14ac:dyDescent="0.25">
      <c r="A4552" t="s">
        <v>9267</v>
      </c>
      <c r="B4552" t="s">
        <v>9268</v>
      </c>
    </row>
    <row r="4553" spans="1:2" x14ac:dyDescent="0.25">
      <c r="A4553" t="s">
        <v>9269</v>
      </c>
      <c r="B4553" t="s">
        <v>9270</v>
      </c>
    </row>
    <row r="4554" spans="1:2" x14ac:dyDescent="0.25">
      <c r="A4554" t="s">
        <v>9271</v>
      </c>
      <c r="B4554" t="s">
        <v>883</v>
      </c>
    </row>
    <row r="4555" spans="1:2" x14ac:dyDescent="0.25">
      <c r="A4555" t="s">
        <v>9272</v>
      </c>
      <c r="B4555" t="s">
        <v>9273</v>
      </c>
    </row>
    <row r="4556" spans="1:2" x14ac:dyDescent="0.25">
      <c r="A4556" t="s">
        <v>9274</v>
      </c>
      <c r="B4556" t="s">
        <v>9275</v>
      </c>
    </row>
    <row r="4557" spans="1:2" x14ac:dyDescent="0.25">
      <c r="A4557" t="s">
        <v>9276</v>
      </c>
      <c r="B4557" t="s">
        <v>9277</v>
      </c>
    </row>
    <row r="4558" spans="1:2" x14ac:dyDescent="0.25">
      <c r="A4558" t="s">
        <v>9278</v>
      </c>
      <c r="B4558" t="s">
        <v>9279</v>
      </c>
    </row>
    <row r="4559" spans="1:2" x14ac:dyDescent="0.25">
      <c r="A4559" t="s">
        <v>9280</v>
      </c>
      <c r="B4559" t="s">
        <v>3967</v>
      </c>
    </row>
    <row r="4560" spans="1:2" x14ac:dyDescent="0.25">
      <c r="A4560" t="s">
        <v>9281</v>
      </c>
      <c r="B4560" t="s">
        <v>9282</v>
      </c>
    </row>
    <row r="4561" spans="1:2" x14ac:dyDescent="0.25">
      <c r="A4561" t="s">
        <v>9283</v>
      </c>
      <c r="B4561" t="s">
        <v>9284</v>
      </c>
    </row>
    <row r="4562" spans="1:2" x14ac:dyDescent="0.25">
      <c r="A4562" t="s">
        <v>9285</v>
      </c>
      <c r="B4562" t="s">
        <v>9286</v>
      </c>
    </row>
    <row r="4563" spans="1:2" x14ac:dyDescent="0.25">
      <c r="A4563" t="s">
        <v>9287</v>
      </c>
      <c r="B4563" t="s">
        <v>9288</v>
      </c>
    </row>
    <row r="4564" spans="1:2" x14ac:dyDescent="0.25">
      <c r="A4564" t="s">
        <v>9289</v>
      </c>
      <c r="B4564" t="s">
        <v>9290</v>
      </c>
    </row>
    <row r="4565" spans="1:2" x14ac:dyDescent="0.25">
      <c r="A4565" t="s">
        <v>9291</v>
      </c>
      <c r="B4565" t="s">
        <v>9292</v>
      </c>
    </row>
    <row r="4566" spans="1:2" x14ac:dyDescent="0.25">
      <c r="A4566" t="s">
        <v>9293</v>
      </c>
      <c r="B4566" t="s">
        <v>9294</v>
      </c>
    </row>
    <row r="4567" spans="1:2" x14ac:dyDescent="0.25">
      <c r="A4567" t="s">
        <v>9295</v>
      </c>
      <c r="B4567" t="s">
        <v>9296</v>
      </c>
    </row>
    <row r="4568" spans="1:2" x14ac:dyDescent="0.25">
      <c r="A4568" t="s">
        <v>9297</v>
      </c>
      <c r="B4568" t="s">
        <v>9298</v>
      </c>
    </row>
    <row r="4569" spans="1:2" x14ac:dyDescent="0.25">
      <c r="A4569" t="s">
        <v>9299</v>
      </c>
      <c r="B4569" t="s">
        <v>9300</v>
      </c>
    </row>
    <row r="4570" spans="1:2" x14ac:dyDescent="0.25">
      <c r="A4570" t="s">
        <v>9301</v>
      </c>
      <c r="B4570" t="s">
        <v>9302</v>
      </c>
    </row>
    <row r="4571" spans="1:2" x14ac:dyDescent="0.25">
      <c r="A4571" t="s">
        <v>9303</v>
      </c>
      <c r="B4571" t="s">
        <v>9304</v>
      </c>
    </row>
    <row r="4572" spans="1:2" x14ac:dyDescent="0.25">
      <c r="A4572" t="s">
        <v>9305</v>
      </c>
      <c r="B4572" t="s">
        <v>9306</v>
      </c>
    </row>
    <row r="4573" spans="1:2" x14ac:dyDescent="0.25">
      <c r="A4573" t="s">
        <v>9307</v>
      </c>
      <c r="B4573" t="s">
        <v>9308</v>
      </c>
    </row>
    <row r="4574" spans="1:2" x14ac:dyDescent="0.25">
      <c r="A4574" t="s">
        <v>9309</v>
      </c>
      <c r="B4574" t="s">
        <v>9310</v>
      </c>
    </row>
    <row r="4575" spans="1:2" x14ac:dyDescent="0.25">
      <c r="A4575" t="s">
        <v>9311</v>
      </c>
      <c r="B4575" t="s">
        <v>9312</v>
      </c>
    </row>
    <row r="4576" spans="1:2" x14ac:dyDescent="0.25">
      <c r="A4576" t="s">
        <v>9313</v>
      </c>
      <c r="B4576" t="s">
        <v>9314</v>
      </c>
    </row>
    <row r="4577" spans="1:2" x14ac:dyDescent="0.25">
      <c r="A4577" t="s">
        <v>9315</v>
      </c>
      <c r="B4577" t="s">
        <v>9316</v>
      </c>
    </row>
    <row r="4578" spans="1:2" x14ac:dyDescent="0.25">
      <c r="A4578" t="s">
        <v>9317</v>
      </c>
      <c r="B4578" t="s">
        <v>9318</v>
      </c>
    </row>
    <row r="4579" spans="1:2" x14ac:dyDescent="0.25">
      <c r="A4579" t="s">
        <v>9319</v>
      </c>
      <c r="B4579" t="s">
        <v>9320</v>
      </c>
    </row>
    <row r="4580" spans="1:2" x14ac:dyDescent="0.25">
      <c r="A4580" t="s">
        <v>9321</v>
      </c>
      <c r="B4580" t="s">
        <v>9322</v>
      </c>
    </row>
    <row r="4581" spans="1:2" x14ac:dyDescent="0.25">
      <c r="A4581" t="s">
        <v>9323</v>
      </c>
      <c r="B4581" t="s">
        <v>9324</v>
      </c>
    </row>
    <row r="4582" spans="1:2" x14ac:dyDescent="0.25">
      <c r="A4582" t="s">
        <v>9325</v>
      </c>
      <c r="B4582" t="s">
        <v>9326</v>
      </c>
    </row>
    <row r="4583" spans="1:2" x14ac:dyDescent="0.25">
      <c r="A4583" t="s">
        <v>9327</v>
      </c>
      <c r="B4583" t="s">
        <v>937</v>
      </c>
    </row>
    <row r="4584" spans="1:2" x14ac:dyDescent="0.25">
      <c r="A4584" t="s">
        <v>9328</v>
      </c>
      <c r="B4584" t="s">
        <v>9329</v>
      </c>
    </row>
    <row r="4585" spans="1:2" x14ac:dyDescent="0.25">
      <c r="A4585" t="s">
        <v>9330</v>
      </c>
      <c r="B4585" t="s">
        <v>9331</v>
      </c>
    </row>
    <row r="4586" spans="1:2" x14ac:dyDescent="0.25">
      <c r="A4586" t="s">
        <v>9332</v>
      </c>
      <c r="B4586" t="s">
        <v>9333</v>
      </c>
    </row>
    <row r="4587" spans="1:2" x14ac:dyDescent="0.25">
      <c r="A4587" t="s">
        <v>9334</v>
      </c>
      <c r="B4587" t="s">
        <v>9335</v>
      </c>
    </row>
    <row r="4588" spans="1:2" x14ac:dyDescent="0.25">
      <c r="A4588" t="s">
        <v>9336</v>
      </c>
      <c r="B4588" t="s">
        <v>9337</v>
      </c>
    </row>
    <row r="4589" spans="1:2" x14ac:dyDescent="0.25">
      <c r="A4589" t="s">
        <v>9338</v>
      </c>
      <c r="B4589" t="s">
        <v>9339</v>
      </c>
    </row>
    <row r="4590" spans="1:2" x14ac:dyDescent="0.25">
      <c r="A4590" t="s">
        <v>9340</v>
      </c>
      <c r="B4590" t="s">
        <v>9341</v>
      </c>
    </row>
    <row r="4591" spans="1:2" x14ac:dyDescent="0.25">
      <c r="A4591" t="s">
        <v>9342</v>
      </c>
      <c r="B4591" t="s">
        <v>9343</v>
      </c>
    </row>
    <row r="4592" spans="1:2" x14ac:dyDescent="0.25">
      <c r="A4592" t="s">
        <v>9344</v>
      </c>
      <c r="B4592" t="s">
        <v>9345</v>
      </c>
    </row>
    <row r="4593" spans="1:2" x14ac:dyDescent="0.25">
      <c r="A4593" t="s">
        <v>9346</v>
      </c>
      <c r="B4593" t="s">
        <v>9347</v>
      </c>
    </row>
    <row r="4594" spans="1:2" x14ac:dyDescent="0.25">
      <c r="A4594" t="s">
        <v>9348</v>
      </c>
      <c r="B4594" t="s">
        <v>9349</v>
      </c>
    </row>
    <row r="4595" spans="1:2" x14ac:dyDescent="0.25">
      <c r="A4595" t="s">
        <v>9350</v>
      </c>
      <c r="B4595" t="s">
        <v>9351</v>
      </c>
    </row>
    <row r="4596" spans="1:2" x14ac:dyDescent="0.25">
      <c r="A4596" t="s">
        <v>9352</v>
      </c>
      <c r="B4596" t="s">
        <v>803</v>
      </c>
    </row>
    <row r="4597" spans="1:2" x14ac:dyDescent="0.25">
      <c r="A4597" t="s">
        <v>9353</v>
      </c>
      <c r="B4597" t="s">
        <v>804</v>
      </c>
    </row>
    <row r="4598" spans="1:2" x14ac:dyDescent="0.25">
      <c r="A4598" t="s">
        <v>9354</v>
      </c>
      <c r="B4598" t="s">
        <v>9355</v>
      </c>
    </row>
    <row r="4599" spans="1:2" x14ac:dyDescent="0.25">
      <c r="A4599" t="s">
        <v>9356</v>
      </c>
      <c r="B4599" t="s">
        <v>9357</v>
      </c>
    </row>
    <row r="4600" spans="1:2" x14ac:dyDescent="0.25">
      <c r="A4600" t="s">
        <v>9358</v>
      </c>
      <c r="B4600" t="s">
        <v>9359</v>
      </c>
    </row>
    <row r="4601" spans="1:2" x14ac:dyDescent="0.25">
      <c r="A4601" t="s">
        <v>9360</v>
      </c>
      <c r="B4601" t="s">
        <v>9361</v>
      </c>
    </row>
    <row r="4602" spans="1:2" x14ac:dyDescent="0.25">
      <c r="A4602" t="s">
        <v>9362</v>
      </c>
      <c r="B4602" t="s">
        <v>9363</v>
      </c>
    </row>
    <row r="4603" spans="1:2" x14ac:dyDescent="0.25">
      <c r="A4603" t="s">
        <v>9364</v>
      </c>
      <c r="B4603" t="s">
        <v>9365</v>
      </c>
    </row>
    <row r="4604" spans="1:2" x14ac:dyDescent="0.25">
      <c r="A4604" t="s">
        <v>9366</v>
      </c>
      <c r="B4604" t="s">
        <v>9367</v>
      </c>
    </row>
    <row r="4605" spans="1:2" x14ac:dyDescent="0.25">
      <c r="A4605" t="s">
        <v>9368</v>
      </c>
      <c r="B4605" t="s">
        <v>9369</v>
      </c>
    </row>
    <row r="4606" spans="1:2" x14ac:dyDescent="0.25">
      <c r="A4606" t="s">
        <v>9370</v>
      </c>
      <c r="B4606" t="s">
        <v>9371</v>
      </c>
    </row>
    <row r="4607" spans="1:2" x14ac:dyDescent="0.25">
      <c r="A4607" t="s">
        <v>9372</v>
      </c>
      <c r="B4607" t="s">
        <v>9373</v>
      </c>
    </row>
    <row r="4608" spans="1:2" x14ac:dyDescent="0.25">
      <c r="A4608" t="s">
        <v>9374</v>
      </c>
      <c r="B4608" t="s">
        <v>9375</v>
      </c>
    </row>
    <row r="4609" spans="1:2" x14ac:dyDescent="0.25">
      <c r="A4609" t="s">
        <v>9376</v>
      </c>
      <c r="B4609" t="s">
        <v>9377</v>
      </c>
    </row>
    <row r="4610" spans="1:2" x14ac:dyDescent="0.25">
      <c r="A4610" t="s">
        <v>9378</v>
      </c>
      <c r="B4610" t="s">
        <v>9379</v>
      </c>
    </row>
    <row r="4611" spans="1:2" x14ac:dyDescent="0.25">
      <c r="A4611" t="s">
        <v>9380</v>
      </c>
      <c r="B4611" t="s">
        <v>9381</v>
      </c>
    </row>
    <row r="4612" spans="1:2" x14ac:dyDescent="0.25">
      <c r="A4612" t="s">
        <v>9382</v>
      </c>
      <c r="B4612" t="s">
        <v>9383</v>
      </c>
    </row>
    <row r="4613" spans="1:2" x14ac:dyDescent="0.25">
      <c r="A4613" t="s">
        <v>9384</v>
      </c>
      <c r="B4613" t="s">
        <v>9385</v>
      </c>
    </row>
    <row r="4614" spans="1:2" x14ac:dyDescent="0.25">
      <c r="A4614" t="s">
        <v>9386</v>
      </c>
      <c r="B4614" t="s">
        <v>9387</v>
      </c>
    </row>
    <row r="4615" spans="1:2" x14ac:dyDescent="0.25">
      <c r="A4615" t="s">
        <v>9388</v>
      </c>
      <c r="B4615" t="s">
        <v>805</v>
      </c>
    </row>
    <row r="4616" spans="1:2" x14ac:dyDescent="0.25">
      <c r="A4616" t="s">
        <v>9389</v>
      </c>
      <c r="B4616" t="s">
        <v>9390</v>
      </c>
    </row>
    <row r="4617" spans="1:2" x14ac:dyDescent="0.25">
      <c r="A4617" t="s">
        <v>9391</v>
      </c>
      <c r="B4617" t="s">
        <v>9392</v>
      </c>
    </row>
    <row r="4618" spans="1:2" x14ac:dyDescent="0.25">
      <c r="A4618" t="s">
        <v>9393</v>
      </c>
      <c r="B4618" t="s">
        <v>9394</v>
      </c>
    </row>
    <row r="4619" spans="1:2" x14ac:dyDescent="0.25">
      <c r="A4619" t="s">
        <v>9395</v>
      </c>
      <c r="B4619" t="s">
        <v>9396</v>
      </c>
    </row>
    <row r="4620" spans="1:2" x14ac:dyDescent="0.25">
      <c r="A4620" t="s">
        <v>9397</v>
      </c>
      <c r="B4620" t="s">
        <v>9398</v>
      </c>
    </row>
    <row r="4621" spans="1:2" x14ac:dyDescent="0.25">
      <c r="A4621" t="s">
        <v>9399</v>
      </c>
      <c r="B4621" t="s">
        <v>9400</v>
      </c>
    </row>
    <row r="4622" spans="1:2" x14ac:dyDescent="0.25">
      <c r="A4622" t="s">
        <v>9401</v>
      </c>
      <c r="B4622" t="s">
        <v>9402</v>
      </c>
    </row>
    <row r="4623" spans="1:2" x14ac:dyDescent="0.25">
      <c r="A4623" t="s">
        <v>9403</v>
      </c>
      <c r="B4623" t="s">
        <v>9404</v>
      </c>
    </row>
    <row r="4624" spans="1:2" x14ac:dyDescent="0.25">
      <c r="A4624" t="s">
        <v>9405</v>
      </c>
      <c r="B4624" t="s">
        <v>9406</v>
      </c>
    </row>
    <row r="4625" spans="1:2" x14ac:dyDescent="0.25">
      <c r="A4625" t="s">
        <v>9407</v>
      </c>
      <c r="B4625" t="s">
        <v>9408</v>
      </c>
    </row>
    <row r="4626" spans="1:2" x14ac:dyDescent="0.25">
      <c r="A4626" t="s">
        <v>9409</v>
      </c>
      <c r="B4626" t="s">
        <v>9410</v>
      </c>
    </row>
    <row r="4627" spans="1:2" x14ac:dyDescent="0.25">
      <c r="A4627" t="s">
        <v>9411</v>
      </c>
      <c r="B4627" t="s">
        <v>9412</v>
      </c>
    </row>
    <row r="4628" spans="1:2" x14ac:dyDescent="0.25">
      <c r="A4628" t="s">
        <v>9413</v>
      </c>
      <c r="B4628" t="s">
        <v>9414</v>
      </c>
    </row>
    <row r="4629" spans="1:2" x14ac:dyDescent="0.25">
      <c r="A4629" t="s">
        <v>9415</v>
      </c>
      <c r="B4629" t="s">
        <v>9020</v>
      </c>
    </row>
    <row r="4630" spans="1:2" x14ac:dyDescent="0.25">
      <c r="A4630" t="s">
        <v>9416</v>
      </c>
      <c r="B4630" t="s">
        <v>9417</v>
      </c>
    </row>
    <row r="4631" spans="1:2" x14ac:dyDescent="0.25">
      <c r="A4631" t="s">
        <v>9418</v>
      </c>
      <c r="B4631" t="s">
        <v>9419</v>
      </c>
    </row>
    <row r="4632" spans="1:2" x14ac:dyDescent="0.25">
      <c r="A4632" t="s">
        <v>9420</v>
      </c>
      <c r="B4632" t="s">
        <v>9421</v>
      </c>
    </row>
    <row r="4633" spans="1:2" x14ac:dyDescent="0.25">
      <c r="A4633" t="s">
        <v>9422</v>
      </c>
      <c r="B4633" t="s">
        <v>806</v>
      </c>
    </row>
    <row r="4634" spans="1:2" x14ac:dyDescent="0.25">
      <c r="A4634" t="s">
        <v>9423</v>
      </c>
      <c r="B4634" t="s">
        <v>857</v>
      </c>
    </row>
    <row r="4635" spans="1:2" x14ac:dyDescent="0.25">
      <c r="A4635" t="s">
        <v>9424</v>
      </c>
      <c r="B4635" t="s">
        <v>9425</v>
      </c>
    </row>
    <row r="4636" spans="1:2" x14ac:dyDescent="0.25">
      <c r="A4636" t="s">
        <v>9426</v>
      </c>
      <c r="B4636" t="s">
        <v>9427</v>
      </c>
    </row>
    <row r="4637" spans="1:2" x14ac:dyDescent="0.25">
      <c r="A4637" t="s">
        <v>9428</v>
      </c>
      <c r="B4637" t="s">
        <v>807</v>
      </c>
    </row>
    <row r="4638" spans="1:2" x14ac:dyDescent="0.25">
      <c r="A4638" t="s">
        <v>9429</v>
      </c>
      <c r="B4638" t="s">
        <v>9430</v>
      </c>
    </row>
    <row r="4639" spans="1:2" x14ac:dyDescent="0.25">
      <c r="A4639" t="s">
        <v>9431</v>
      </c>
      <c r="B4639" t="s">
        <v>9432</v>
      </c>
    </row>
    <row r="4640" spans="1:2" x14ac:dyDescent="0.25">
      <c r="A4640" t="s">
        <v>9433</v>
      </c>
      <c r="B4640" t="s">
        <v>9434</v>
      </c>
    </row>
    <row r="4641" spans="1:2" x14ac:dyDescent="0.25">
      <c r="A4641" t="s">
        <v>9435</v>
      </c>
      <c r="B4641" t="s">
        <v>9436</v>
      </c>
    </row>
    <row r="4642" spans="1:2" x14ac:dyDescent="0.25">
      <c r="A4642" t="s">
        <v>9437</v>
      </c>
      <c r="B4642" t="s">
        <v>9438</v>
      </c>
    </row>
    <row r="4643" spans="1:2" x14ac:dyDescent="0.25">
      <c r="A4643" t="s">
        <v>9439</v>
      </c>
      <c r="B4643" t="s">
        <v>808</v>
      </c>
    </row>
    <row r="4644" spans="1:2" x14ac:dyDescent="0.25">
      <c r="A4644" t="s">
        <v>9440</v>
      </c>
      <c r="B4644" t="s">
        <v>809</v>
      </c>
    </row>
    <row r="4645" spans="1:2" x14ac:dyDescent="0.25">
      <c r="A4645" t="s">
        <v>9441</v>
      </c>
      <c r="B4645" t="s">
        <v>9442</v>
      </c>
    </row>
    <row r="4646" spans="1:2" x14ac:dyDescent="0.25">
      <c r="A4646" t="s">
        <v>9443</v>
      </c>
      <c r="B4646" t="s">
        <v>810</v>
      </c>
    </row>
    <row r="4647" spans="1:2" x14ac:dyDescent="0.25">
      <c r="A4647" t="s">
        <v>9444</v>
      </c>
      <c r="B4647" t="s">
        <v>811</v>
      </c>
    </row>
    <row r="4648" spans="1:2" x14ac:dyDescent="0.25">
      <c r="A4648" t="s">
        <v>9445</v>
      </c>
      <c r="B4648" t="s">
        <v>812</v>
      </c>
    </row>
    <row r="4649" spans="1:2" x14ac:dyDescent="0.25">
      <c r="A4649" t="s">
        <v>9446</v>
      </c>
      <c r="B4649" t="s">
        <v>9447</v>
      </c>
    </row>
    <row r="4650" spans="1:2" x14ac:dyDescent="0.25">
      <c r="A4650" t="s">
        <v>9448</v>
      </c>
      <c r="B4650" t="s">
        <v>813</v>
      </c>
    </row>
    <row r="4651" spans="1:2" x14ac:dyDescent="0.25">
      <c r="A4651" t="s">
        <v>9449</v>
      </c>
      <c r="B4651" t="s">
        <v>9450</v>
      </c>
    </row>
    <row r="4652" spans="1:2" x14ac:dyDescent="0.25">
      <c r="A4652" t="s">
        <v>9451</v>
      </c>
      <c r="B4652" t="s">
        <v>814</v>
      </c>
    </row>
    <row r="4653" spans="1:2" x14ac:dyDescent="0.25">
      <c r="A4653" t="s">
        <v>9452</v>
      </c>
      <c r="B4653" t="s">
        <v>9453</v>
      </c>
    </row>
    <row r="4654" spans="1:2" x14ac:dyDescent="0.25">
      <c r="A4654" t="s">
        <v>9454</v>
      </c>
      <c r="B4654" t="s">
        <v>9455</v>
      </c>
    </row>
    <row r="4655" spans="1:2" x14ac:dyDescent="0.25">
      <c r="A4655" t="s">
        <v>9456</v>
      </c>
      <c r="B4655" t="s">
        <v>9457</v>
      </c>
    </row>
    <row r="4656" spans="1:2" x14ac:dyDescent="0.25">
      <c r="A4656" t="s">
        <v>9458</v>
      </c>
      <c r="B4656" t="s">
        <v>9459</v>
      </c>
    </row>
    <row r="4657" spans="1:2" x14ac:dyDescent="0.25">
      <c r="A4657" t="s">
        <v>9460</v>
      </c>
      <c r="B4657" t="s">
        <v>9461</v>
      </c>
    </row>
    <row r="4658" spans="1:2" x14ac:dyDescent="0.25">
      <c r="A4658" t="s">
        <v>9462</v>
      </c>
      <c r="B4658" t="s">
        <v>9463</v>
      </c>
    </row>
    <row r="4659" spans="1:2" x14ac:dyDescent="0.25">
      <c r="A4659" t="s">
        <v>9464</v>
      </c>
      <c r="B4659" t="s">
        <v>9465</v>
      </c>
    </row>
    <row r="4660" spans="1:2" x14ac:dyDescent="0.25">
      <c r="A4660" t="s">
        <v>9466</v>
      </c>
      <c r="B4660" t="s">
        <v>9467</v>
      </c>
    </row>
    <row r="4661" spans="1:2" x14ac:dyDescent="0.25">
      <c r="A4661" t="s">
        <v>9468</v>
      </c>
      <c r="B4661" t="s">
        <v>9469</v>
      </c>
    </row>
    <row r="4662" spans="1:2" x14ac:dyDescent="0.25">
      <c r="A4662" t="s">
        <v>9470</v>
      </c>
      <c r="B4662" t="s">
        <v>9471</v>
      </c>
    </row>
    <row r="4663" spans="1:2" x14ac:dyDescent="0.25">
      <c r="A4663" t="s">
        <v>9472</v>
      </c>
      <c r="B4663" t="s">
        <v>8889</v>
      </c>
    </row>
    <row r="4664" spans="1:2" x14ac:dyDescent="0.25">
      <c r="A4664" t="s">
        <v>9473</v>
      </c>
      <c r="B4664" t="s">
        <v>9474</v>
      </c>
    </row>
    <row r="4665" spans="1:2" x14ac:dyDescent="0.25">
      <c r="A4665" t="s">
        <v>9475</v>
      </c>
      <c r="B4665" t="s">
        <v>9476</v>
      </c>
    </row>
    <row r="4666" spans="1:2" x14ac:dyDescent="0.25">
      <c r="A4666" t="s">
        <v>9477</v>
      </c>
      <c r="B4666" t="s">
        <v>9478</v>
      </c>
    </row>
    <row r="4667" spans="1:2" x14ac:dyDescent="0.25">
      <c r="A4667" t="s">
        <v>9479</v>
      </c>
      <c r="B4667" t="s">
        <v>9480</v>
      </c>
    </row>
    <row r="4668" spans="1:2" x14ac:dyDescent="0.25">
      <c r="A4668" t="s">
        <v>9481</v>
      </c>
      <c r="B4668" t="s">
        <v>9482</v>
      </c>
    </row>
    <row r="4669" spans="1:2" x14ac:dyDescent="0.25">
      <c r="A4669" t="s">
        <v>9483</v>
      </c>
      <c r="B4669" t="s">
        <v>9484</v>
      </c>
    </row>
    <row r="4670" spans="1:2" x14ac:dyDescent="0.25">
      <c r="A4670" t="s">
        <v>9485</v>
      </c>
      <c r="B4670" t="s">
        <v>815</v>
      </c>
    </row>
    <row r="4671" spans="1:2" x14ac:dyDescent="0.25">
      <c r="A4671" t="s">
        <v>9486</v>
      </c>
      <c r="B4671" t="s">
        <v>9487</v>
      </c>
    </row>
    <row r="4672" spans="1:2" x14ac:dyDescent="0.25">
      <c r="A4672" t="s">
        <v>9488</v>
      </c>
      <c r="B4672" t="s">
        <v>9489</v>
      </c>
    </row>
    <row r="4673" spans="1:2" x14ac:dyDescent="0.25">
      <c r="A4673" t="s">
        <v>9490</v>
      </c>
      <c r="B4673" t="s">
        <v>9491</v>
      </c>
    </row>
    <row r="4674" spans="1:2" x14ac:dyDescent="0.25">
      <c r="A4674" t="s">
        <v>9492</v>
      </c>
      <c r="B4674" t="s">
        <v>9493</v>
      </c>
    </row>
    <row r="4675" spans="1:2" x14ac:dyDescent="0.25">
      <c r="A4675" t="s">
        <v>9494</v>
      </c>
      <c r="B4675" t="s">
        <v>9495</v>
      </c>
    </row>
    <row r="4676" spans="1:2" x14ac:dyDescent="0.25">
      <c r="A4676" t="s">
        <v>9496</v>
      </c>
      <c r="B4676" t="s">
        <v>9497</v>
      </c>
    </row>
    <row r="4677" spans="1:2" x14ac:dyDescent="0.25">
      <c r="A4677" t="s">
        <v>9498</v>
      </c>
      <c r="B4677" t="s">
        <v>9499</v>
      </c>
    </row>
    <row r="4678" spans="1:2" x14ac:dyDescent="0.25">
      <c r="A4678" t="s">
        <v>9500</v>
      </c>
      <c r="B4678" t="s">
        <v>9501</v>
      </c>
    </row>
    <row r="4679" spans="1:2" x14ac:dyDescent="0.25">
      <c r="A4679" t="s">
        <v>9502</v>
      </c>
      <c r="B4679" t="s">
        <v>816</v>
      </c>
    </row>
    <row r="4680" spans="1:2" x14ac:dyDescent="0.25">
      <c r="A4680" t="s">
        <v>9503</v>
      </c>
      <c r="B4680" t="s">
        <v>9504</v>
      </c>
    </row>
    <row r="4681" spans="1:2" x14ac:dyDescent="0.25">
      <c r="A4681" t="s">
        <v>9505</v>
      </c>
      <c r="B4681" t="s">
        <v>9506</v>
      </c>
    </row>
    <row r="4682" spans="1:2" x14ac:dyDescent="0.25">
      <c r="A4682" t="s">
        <v>9507</v>
      </c>
      <c r="B4682" t="s">
        <v>9508</v>
      </c>
    </row>
    <row r="4683" spans="1:2" x14ac:dyDescent="0.25">
      <c r="A4683" t="s">
        <v>9509</v>
      </c>
      <c r="B4683" t="s">
        <v>9510</v>
      </c>
    </row>
    <row r="4684" spans="1:2" x14ac:dyDescent="0.25">
      <c r="A4684" t="s">
        <v>9511</v>
      </c>
      <c r="B4684" t="s">
        <v>9512</v>
      </c>
    </row>
    <row r="4685" spans="1:2" x14ac:dyDescent="0.25">
      <c r="A4685" t="s">
        <v>9513</v>
      </c>
      <c r="B4685" t="s">
        <v>9514</v>
      </c>
    </row>
    <row r="4686" spans="1:2" x14ac:dyDescent="0.25">
      <c r="A4686" t="s">
        <v>9515</v>
      </c>
      <c r="B4686" t="s">
        <v>9516</v>
      </c>
    </row>
    <row r="4687" spans="1:2" x14ac:dyDescent="0.25">
      <c r="A4687" t="s">
        <v>9517</v>
      </c>
      <c r="B4687" t="s">
        <v>817</v>
      </c>
    </row>
    <row r="4688" spans="1:2" x14ac:dyDescent="0.25">
      <c r="A4688" t="s">
        <v>9518</v>
      </c>
      <c r="B4688" t="s">
        <v>9519</v>
      </c>
    </row>
    <row r="4689" spans="1:2" x14ac:dyDescent="0.25">
      <c r="A4689" t="s">
        <v>9520</v>
      </c>
      <c r="B4689" t="s">
        <v>9521</v>
      </c>
    </row>
    <row r="4690" spans="1:2" x14ac:dyDescent="0.25">
      <c r="A4690" t="s">
        <v>9522</v>
      </c>
      <c r="B4690" t="s">
        <v>9523</v>
      </c>
    </row>
    <row r="4691" spans="1:2" x14ac:dyDescent="0.25">
      <c r="A4691" t="s">
        <v>9524</v>
      </c>
      <c r="B4691" t="s">
        <v>818</v>
      </c>
    </row>
    <row r="4692" spans="1:2" x14ac:dyDescent="0.25">
      <c r="A4692" t="s">
        <v>9525</v>
      </c>
      <c r="B4692" t="s">
        <v>9526</v>
      </c>
    </row>
    <row r="4693" spans="1:2" x14ac:dyDescent="0.25">
      <c r="A4693" t="s">
        <v>9527</v>
      </c>
      <c r="B4693" t="s">
        <v>9528</v>
      </c>
    </row>
    <row r="4694" spans="1:2" x14ac:dyDescent="0.25">
      <c r="A4694" t="s">
        <v>9529</v>
      </c>
      <c r="B4694" t="s">
        <v>886</v>
      </c>
    </row>
    <row r="4695" spans="1:2" x14ac:dyDescent="0.25">
      <c r="A4695" t="s">
        <v>9530</v>
      </c>
      <c r="B4695" t="s">
        <v>819</v>
      </c>
    </row>
    <row r="4696" spans="1:2" x14ac:dyDescent="0.25">
      <c r="A4696" t="s">
        <v>9531</v>
      </c>
      <c r="B4696" t="s">
        <v>9532</v>
      </c>
    </row>
    <row r="4697" spans="1:2" x14ac:dyDescent="0.25">
      <c r="A4697" t="s">
        <v>9533</v>
      </c>
      <c r="B4697" t="s">
        <v>820</v>
      </c>
    </row>
    <row r="4698" spans="1:2" x14ac:dyDescent="0.25">
      <c r="A4698" t="s">
        <v>9534</v>
      </c>
      <c r="B4698" t="s">
        <v>9535</v>
      </c>
    </row>
    <row r="4699" spans="1:2" x14ac:dyDescent="0.25">
      <c r="A4699" t="s">
        <v>9536</v>
      </c>
      <c r="B4699" t="s">
        <v>9537</v>
      </c>
    </row>
    <row r="4700" spans="1:2" x14ac:dyDescent="0.25">
      <c r="A4700" t="s">
        <v>9538</v>
      </c>
      <c r="B4700" t="s">
        <v>9539</v>
      </c>
    </row>
    <row r="4701" spans="1:2" x14ac:dyDescent="0.25">
      <c r="A4701" t="s">
        <v>9540</v>
      </c>
      <c r="B4701" t="s">
        <v>9541</v>
      </c>
    </row>
    <row r="4702" spans="1:2" x14ac:dyDescent="0.25">
      <c r="A4702" t="s">
        <v>9542</v>
      </c>
      <c r="B4702" t="s">
        <v>9543</v>
      </c>
    </row>
    <row r="4703" spans="1:2" x14ac:dyDescent="0.25">
      <c r="A4703" t="s">
        <v>9544</v>
      </c>
      <c r="B4703" t="s">
        <v>9545</v>
      </c>
    </row>
    <row r="4704" spans="1:2" x14ac:dyDescent="0.25">
      <c r="A4704" t="s">
        <v>9546</v>
      </c>
      <c r="B4704" t="s">
        <v>9547</v>
      </c>
    </row>
    <row r="4705" spans="1:2" x14ac:dyDescent="0.25">
      <c r="A4705" t="s">
        <v>9548</v>
      </c>
      <c r="B4705" t="s">
        <v>821</v>
      </c>
    </row>
    <row r="4706" spans="1:2" x14ac:dyDescent="0.25">
      <c r="A4706" t="s">
        <v>9549</v>
      </c>
      <c r="B4706" t="s">
        <v>9550</v>
      </c>
    </row>
    <row r="4707" spans="1:2" x14ac:dyDescent="0.25">
      <c r="A4707" t="s">
        <v>9551</v>
      </c>
      <c r="B4707" t="s">
        <v>822</v>
      </c>
    </row>
    <row r="4708" spans="1:2" x14ac:dyDescent="0.25">
      <c r="A4708" t="s">
        <v>9552</v>
      </c>
      <c r="B4708" t="s">
        <v>9553</v>
      </c>
    </row>
    <row r="4709" spans="1:2" x14ac:dyDescent="0.25">
      <c r="A4709" t="s">
        <v>9554</v>
      </c>
      <c r="B4709" t="s">
        <v>8709</v>
      </c>
    </row>
    <row r="4710" spans="1:2" x14ac:dyDescent="0.25">
      <c r="A4710" t="s">
        <v>9555</v>
      </c>
      <c r="B4710" t="s">
        <v>823</v>
      </c>
    </row>
    <row r="4711" spans="1:2" x14ac:dyDescent="0.25">
      <c r="A4711" t="s">
        <v>9556</v>
      </c>
      <c r="B4711" t="s">
        <v>9557</v>
      </c>
    </row>
    <row r="4712" spans="1:2" x14ac:dyDescent="0.25">
      <c r="A4712" t="s">
        <v>9558</v>
      </c>
      <c r="B4712" t="s">
        <v>9559</v>
      </c>
    </row>
    <row r="4713" spans="1:2" x14ac:dyDescent="0.25">
      <c r="A4713" t="s">
        <v>9560</v>
      </c>
      <c r="B4713" t="s">
        <v>9561</v>
      </c>
    </row>
    <row r="4714" spans="1:2" x14ac:dyDescent="0.25">
      <c r="A4714" t="s">
        <v>9562</v>
      </c>
      <c r="B4714" t="s">
        <v>9563</v>
      </c>
    </row>
    <row r="4715" spans="1:2" x14ac:dyDescent="0.25">
      <c r="A4715" t="s">
        <v>9564</v>
      </c>
      <c r="B4715" t="s">
        <v>9565</v>
      </c>
    </row>
    <row r="4716" spans="1:2" x14ac:dyDescent="0.25">
      <c r="A4716" t="s">
        <v>9566</v>
      </c>
      <c r="B4716" t="s">
        <v>9567</v>
      </c>
    </row>
    <row r="4717" spans="1:2" x14ac:dyDescent="0.25">
      <c r="A4717" t="s">
        <v>9568</v>
      </c>
      <c r="B4717" t="s">
        <v>9569</v>
      </c>
    </row>
    <row r="4718" spans="1:2" x14ac:dyDescent="0.25">
      <c r="A4718" t="s">
        <v>9570</v>
      </c>
      <c r="B4718" t="s">
        <v>9571</v>
      </c>
    </row>
    <row r="4719" spans="1:2" x14ac:dyDescent="0.25">
      <c r="A4719" t="s">
        <v>9572</v>
      </c>
      <c r="B4719" t="s">
        <v>9573</v>
      </c>
    </row>
    <row r="4720" spans="1:2" x14ac:dyDescent="0.25">
      <c r="A4720" t="s">
        <v>9574</v>
      </c>
      <c r="B4720" t="s">
        <v>824</v>
      </c>
    </row>
    <row r="4721" spans="1:2" x14ac:dyDescent="0.25">
      <c r="A4721" t="s">
        <v>9575</v>
      </c>
      <c r="B4721" t="s">
        <v>825</v>
      </c>
    </row>
    <row r="4722" spans="1:2" x14ac:dyDescent="0.25">
      <c r="A4722" t="s">
        <v>9576</v>
      </c>
      <c r="B4722" t="s">
        <v>9577</v>
      </c>
    </row>
    <row r="4723" spans="1:2" x14ac:dyDescent="0.25">
      <c r="A4723" t="s">
        <v>9578</v>
      </c>
      <c r="B4723" t="s">
        <v>826</v>
      </c>
    </row>
    <row r="4724" spans="1:2" x14ac:dyDescent="0.25">
      <c r="A4724" t="s">
        <v>9579</v>
      </c>
      <c r="B4724" t="s">
        <v>9580</v>
      </c>
    </row>
    <row r="4725" spans="1:2" x14ac:dyDescent="0.25">
      <c r="A4725" t="s">
        <v>9581</v>
      </c>
      <c r="B4725" t="s">
        <v>9582</v>
      </c>
    </row>
    <row r="4726" spans="1:2" x14ac:dyDescent="0.25">
      <c r="A4726" t="s">
        <v>9583</v>
      </c>
      <c r="B4726" t="s">
        <v>9584</v>
      </c>
    </row>
    <row r="4727" spans="1:2" x14ac:dyDescent="0.25">
      <c r="A4727" t="s">
        <v>9585</v>
      </c>
      <c r="B4727" t="s">
        <v>9586</v>
      </c>
    </row>
    <row r="4728" spans="1:2" x14ac:dyDescent="0.25">
      <c r="A4728" t="s">
        <v>9587</v>
      </c>
      <c r="B4728" t="s">
        <v>827</v>
      </c>
    </row>
    <row r="4729" spans="1:2" x14ac:dyDescent="0.25">
      <c r="A4729" t="s">
        <v>9588</v>
      </c>
      <c r="B4729" t="s">
        <v>9589</v>
      </c>
    </row>
    <row r="4730" spans="1:2" x14ac:dyDescent="0.25">
      <c r="A4730" t="s">
        <v>9590</v>
      </c>
      <c r="B4730" t="s">
        <v>9591</v>
      </c>
    </row>
    <row r="4731" spans="1:2" x14ac:dyDescent="0.25">
      <c r="A4731" t="s">
        <v>9592</v>
      </c>
      <c r="B4731" t="s">
        <v>9593</v>
      </c>
    </row>
    <row r="4732" spans="1:2" x14ac:dyDescent="0.25">
      <c r="A4732" t="s">
        <v>9594</v>
      </c>
      <c r="B4732" t="s">
        <v>9595</v>
      </c>
    </row>
    <row r="4733" spans="1:2" x14ac:dyDescent="0.25">
      <c r="A4733" t="s">
        <v>9596</v>
      </c>
      <c r="B4733" t="s">
        <v>9597</v>
      </c>
    </row>
    <row r="4734" spans="1:2" x14ac:dyDescent="0.25">
      <c r="A4734" t="s">
        <v>9598</v>
      </c>
      <c r="B4734" t="s">
        <v>9599</v>
      </c>
    </row>
    <row r="4735" spans="1:2" x14ac:dyDescent="0.25">
      <c r="A4735" t="s">
        <v>9600</v>
      </c>
      <c r="B4735" t="s">
        <v>828</v>
      </c>
    </row>
    <row r="4736" spans="1:2" x14ac:dyDescent="0.25">
      <c r="A4736" t="s">
        <v>9601</v>
      </c>
      <c r="B4736" t="s">
        <v>9602</v>
      </c>
    </row>
    <row r="4737" spans="1:2" x14ac:dyDescent="0.25">
      <c r="A4737" t="s">
        <v>9603</v>
      </c>
      <c r="B4737" t="s">
        <v>9604</v>
      </c>
    </row>
    <row r="4738" spans="1:2" x14ac:dyDescent="0.25">
      <c r="A4738" t="s">
        <v>9605</v>
      </c>
      <c r="B4738" t="s">
        <v>9606</v>
      </c>
    </row>
    <row r="4739" spans="1:2" x14ac:dyDescent="0.25">
      <c r="A4739" t="s">
        <v>9607</v>
      </c>
      <c r="B4739" t="s">
        <v>829</v>
      </c>
    </row>
    <row r="4740" spans="1:2" x14ac:dyDescent="0.25">
      <c r="A4740" t="s">
        <v>9608</v>
      </c>
      <c r="B4740" t="s">
        <v>9609</v>
      </c>
    </row>
    <row r="4741" spans="1:2" x14ac:dyDescent="0.25">
      <c r="A4741" t="s">
        <v>9610</v>
      </c>
      <c r="B4741" t="s">
        <v>9611</v>
      </c>
    </row>
    <row r="4742" spans="1:2" x14ac:dyDescent="0.25">
      <c r="A4742" t="s">
        <v>9612</v>
      </c>
      <c r="B4742" t="s">
        <v>764</v>
      </c>
    </row>
    <row r="4743" spans="1:2" x14ac:dyDescent="0.25">
      <c r="A4743" t="s">
        <v>9613</v>
      </c>
      <c r="B4743" t="s">
        <v>9614</v>
      </c>
    </row>
    <row r="4744" spans="1:2" x14ac:dyDescent="0.25">
      <c r="A4744" t="s">
        <v>9615</v>
      </c>
      <c r="B4744" t="s">
        <v>9616</v>
      </c>
    </row>
    <row r="4745" spans="1:2" x14ac:dyDescent="0.25">
      <c r="A4745" t="s">
        <v>9617</v>
      </c>
      <c r="B4745" t="s">
        <v>9618</v>
      </c>
    </row>
    <row r="4746" spans="1:2" x14ac:dyDescent="0.25">
      <c r="A4746" t="s">
        <v>9619</v>
      </c>
      <c r="B4746" t="s">
        <v>830</v>
      </c>
    </row>
    <row r="4747" spans="1:2" x14ac:dyDescent="0.25">
      <c r="A4747" t="s">
        <v>9620</v>
      </c>
      <c r="B4747" t="s">
        <v>831</v>
      </c>
    </row>
    <row r="4748" spans="1:2" x14ac:dyDescent="0.25">
      <c r="A4748" t="s">
        <v>9621</v>
      </c>
      <c r="B4748" t="s">
        <v>832</v>
      </c>
    </row>
    <row r="4749" spans="1:2" x14ac:dyDescent="0.25">
      <c r="A4749" t="s">
        <v>9622</v>
      </c>
      <c r="B4749" t="s">
        <v>833</v>
      </c>
    </row>
    <row r="4750" spans="1:2" x14ac:dyDescent="0.25">
      <c r="A4750" t="s">
        <v>9623</v>
      </c>
      <c r="B4750" t="s">
        <v>834</v>
      </c>
    </row>
    <row r="4751" spans="1:2" x14ac:dyDescent="0.25">
      <c r="A4751" t="s">
        <v>9624</v>
      </c>
      <c r="B4751" t="s">
        <v>835</v>
      </c>
    </row>
    <row r="4752" spans="1:2" x14ac:dyDescent="0.25">
      <c r="A4752" t="s">
        <v>9625</v>
      </c>
      <c r="B4752" t="s">
        <v>836</v>
      </c>
    </row>
    <row r="4753" spans="1:2" x14ac:dyDescent="0.25">
      <c r="A4753" t="s">
        <v>9626</v>
      </c>
      <c r="B4753" t="s">
        <v>837</v>
      </c>
    </row>
    <row r="4754" spans="1:2" x14ac:dyDescent="0.25">
      <c r="A4754" t="s">
        <v>9627</v>
      </c>
      <c r="B4754" t="s">
        <v>838</v>
      </c>
    </row>
    <row r="4755" spans="1:2" x14ac:dyDescent="0.25">
      <c r="A4755" t="s">
        <v>9628</v>
      </c>
      <c r="B4755" t="s">
        <v>858</v>
      </c>
    </row>
    <row r="4756" spans="1:2" x14ac:dyDescent="0.25">
      <c r="A4756" t="s">
        <v>9629</v>
      </c>
      <c r="B4756" t="s">
        <v>859</v>
      </c>
    </row>
    <row r="4757" spans="1:2" x14ac:dyDescent="0.25">
      <c r="A4757" t="s">
        <v>9630</v>
      </c>
      <c r="B4757" t="s">
        <v>9631</v>
      </c>
    </row>
    <row r="4758" spans="1:2" x14ac:dyDescent="0.25">
      <c r="A4758" t="s">
        <v>9632</v>
      </c>
      <c r="B4758" t="s">
        <v>9633</v>
      </c>
    </row>
    <row r="4759" spans="1:2" x14ac:dyDescent="0.25">
      <c r="A4759" t="s">
        <v>9634</v>
      </c>
      <c r="B4759" t="s">
        <v>9635</v>
      </c>
    </row>
    <row r="4760" spans="1:2" x14ac:dyDescent="0.25">
      <c r="A4760" t="s">
        <v>9636</v>
      </c>
      <c r="B4760" t="s">
        <v>9637</v>
      </c>
    </row>
    <row r="4761" spans="1:2" x14ac:dyDescent="0.25">
      <c r="A4761" t="s">
        <v>9638</v>
      </c>
      <c r="B4761" t="s">
        <v>9639</v>
      </c>
    </row>
    <row r="4762" spans="1:2" x14ac:dyDescent="0.25">
      <c r="A4762" t="s">
        <v>9640</v>
      </c>
      <c r="B4762" t="s">
        <v>9641</v>
      </c>
    </row>
    <row r="4763" spans="1:2" x14ac:dyDescent="0.25">
      <c r="A4763" t="s">
        <v>9642</v>
      </c>
      <c r="B4763" t="s">
        <v>860</v>
      </c>
    </row>
    <row r="4764" spans="1:2" x14ac:dyDescent="0.25">
      <c r="A4764" t="s">
        <v>9643</v>
      </c>
      <c r="B4764" t="s">
        <v>9644</v>
      </c>
    </row>
    <row r="4765" spans="1:2" x14ac:dyDescent="0.25">
      <c r="A4765" t="s">
        <v>9645</v>
      </c>
      <c r="B4765" t="s">
        <v>9646</v>
      </c>
    </row>
    <row r="4766" spans="1:2" x14ac:dyDescent="0.25">
      <c r="A4766" t="s">
        <v>9647</v>
      </c>
      <c r="B4766" t="s">
        <v>9648</v>
      </c>
    </row>
    <row r="4767" spans="1:2" x14ac:dyDescent="0.25">
      <c r="A4767" t="s">
        <v>9649</v>
      </c>
      <c r="B4767" t="s">
        <v>861</v>
      </c>
    </row>
    <row r="4768" spans="1:2" x14ac:dyDescent="0.25">
      <c r="A4768" t="s">
        <v>9650</v>
      </c>
      <c r="B4768" t="s">
        <v>9651</v>
      </c>
    </row>
    <row r="4769" spans="1:2" x14ac:dyDescent="0.25">
      <c r="A4769" t="s">
        <v>9652</v>
      </c>
      <c r="B4769" t="s">
        <v>869</v>
      </c>
    </row>
    <row r="4770" spans="1:2" x14ac:dyDescent="0.25">
      <c r="A4770" t="s">
        <v>9653</v>
      </c>
      <c r="B4770" t="s">
        <v>9654</v>
      </c>
    </row>
    <row r="4771" spans="1:2" x14ac:dyDescent="0.25">
      <c r="A4771" t="s">
        <v>9655</v>
      </c>
      <c r="B4771" t="s">
        <v>862</v>
      </c>
    </row>
    <row r="4772" spans="1:2" x14ac:dyDescent="0.25">
      <c r="A4772" t="s">
        <v>9656</v>
      </c>
      <c r="B4772" t="s">
        <v>9657</v>
      </c>
    </row>
    <row r="4773" spans="1:2" x14ac:dyDescent="0.25">
      <c r="A4773" t="s">
        <v>9658</v>
      </c>
      <c r="B4773" t="s">
        <v>9659</v>
      </c>
    </row>
    <row r="4774" spans="1:2" x14ac:dyDescent="0.25">
      <c r="A4774" t="s">
        <v>9660</v>
      </c>
      <c r="B4774" t="s">
        <v>9661</v>
      </c>
    </row>
    <row r="4775" spans="1:2" x14ac:dyDescent="0.25">
      <c r="A4775" t="s">
        <v>9662</v>
      </c>
      <c r="B4775" t="s">
        <v>8946</v>
      </c>
    </row>
    <row r="4776" spans="1:2" x14ac:dyDescent="0.25">
      <c r="A4776" t="s">
        <v>9663</v>
      </c>
      <c r="B4776" t="s">
        <v>9664</v>
      </c>
    </row>
    <row r="4777" spans="1:2" x14ac:dyDescent="0.25">
      <c r="A4777" t="s">
        <v>9665</v>
      </c>
      <c r="B4777" t="s">
        <v>9666</v>
      </c>
    </row>
    <row r="4778" spans="1:2" x14ac:dyDescent="0.25">
      <c r="A4778" t="s">
        <v>9667</v>
      </c>
      <c r="B4778" t="s">
        <v>9668</v>
      </c>
    </row>
    <row r="4779" spans="1:2" x14ac:dyDescent="0.25">
      <c r="A4779" t="s">
        <v>9669</v>
      </c>
      <c r="B4779" t="s">
        <v>9670</v>
      </c>
    </row>
    <row r="4780" spans="1:2" x14ac:dyDescent="0.25">
      <c r="A4780" t="s">
        <v>9671</v>
      </c>
      <c r="B4780" t="s">
        <v>863</v>
      </c>
    </row>
    <row r="4781" spans="1:2" x14ac:dyDescent="0.25">
      <c r="A4781" t="s">
        <v>9672</v>
      </c>
      <c r="B4781" t="s">
        <v>9673</v>
      </c>
    </row>
    <row r="4782" spans="1:2" x14ac:dyDescent="0.25">
      <c r="A4782" t="s">
        <v>9674</v>
      </c>
      <c r="B4782" t="s">
        <v>9675</v>
      </c>
    </row>
    <row r="4783" spans="1:2" x14ac:dyDescent="0.25">
      <c r="A4783" t="s">
        <v>9676</v>
      </c>
      <c r="B4783" t="s">
        <v>9677</v>
      </c>
    </row>
    <row r="4784" spans="1:2" x14ac:dyDescent="0.25">
      <c r="A4784" t="s">
        <v>9678</v>
      </c>
      <c r="B4784" t="s">
        <v>9679</v>
      </c>
    </row>
    <row r="4785" spans="1:2" x14ac:dyDescent="0.25">
      <c r="A4785" t="s">
        <v>9680</v>
      </c>
      <c r="B4785" t="s">
        <v>9681</v>
      </c>
    </row>
    <row r="4786" spans="1:2" x14ac:dyDescent="0.25">
      <c r="A4786" t="s">
        <v>9682</v>
      </c>
      <c r="B4786" t="s">
        <v>9683</v>
      </c>
    </row>
    <row r="4787" spans="1:2" x14ac:dyDescent="0.25">
      <c r="A4787" t="s">
        <v>9684</v>
      </c>
      <c r="B4787" t="s">
        <v>9685</v>
      </c>
    </row>
    <row r="4788" spans="1:2" x14ac:dyDescent="0.25">
      <c r="A4788" t="s">
        <v>9686</v>
      </c>
      <c r="B4788" t="s">
        <v>9687</v>
      </c>
    </row>
    <row r="4789" spans="1:2" x14ac:dyDescent="0.25">
      <c r="A4789" t="s">
        <v>9688</v>
      </c>
      <c r="B4789" t="s">
        <v>9689</v>
      </c>
    </row>
    <row r="4790" spans="1:2" x14ac:dyDescent="0.25">
      <c r="A4790" t="s">
        <v>9690</v>
      </c>
      <c r="B4790" t="s">
        <v>9691</v>
      </c>
    </row>
    <row r="4791" spans="1:2" x14ac:dyDescent="0.25">
      <c r="A4791" t="s">
        <v>9692</v>
      </c>
      <c r="B4791" t="s">
        <v>9693</v>
      </c>
    </row>
    <row r="4792" spans="1:2" x14ac:dyDescent="0.25">
      <c r="A4792" t="s">
        <v>9694</v>
      </c>
      <c r="B4792" t="s">
        <v>9695</v>
      </c>
    </row>
    <row r="4793" spans="1:2" x14ac:dyDescent="0.25">
      <c r="A4793" t="s">
        <v>9696</v>
      </c>
      <c r="B4793" t="s">
        <v>9697</v>
      </c>
    </row>
    <row r="4794" spans="1:2" x14ac:dyDescent="0.25">
      <c r="A4794" t="s">
        <v>9698</v>
      </c>
      <c r="B4794" t="s">
        <v>9699</v>
      </c>
    </row>
    <row r="4795" spans="1:2" x14ac:dyDescent="0.25">
      <c r="A4795" t="s">
        <v>9700</v>
      </c>
      <c r="B4795" t="s">
        <v>9701</v>
      </c>
    </row>
    <row r="4796" spans="1:2" x14ac:dyDescent="0.25">
      <c r="A4796" t="s">
        <v>9702</v>
      </c>
      <c r="B4796" t="s">
        <v>9703</v>
      </c>
    </row>
    <row r="4797" spans="1:2" x14ac:dyDescent="0.25">
      <c r="A4797" t="s">
        <v>9704</v>
      </c>
      <c r="B4797" t="s">
        <v>9705</v>
      </c>
    </row>
    <row r="4798" spans="1:2" x14ac:dyDescent="0.25">
      <c r="A4798" t="s">
        <v>9706</v>
      </c>
      <c r="B4798" t="s">
        <v>9707</v>
      </c>
    </row>
    <row r="4799" spans="1:2" x14ac:dyDescent="0.25">
      <c r="A4799" t="s">
        <v>9708</v>
      </c>
      <c r="B4799" t="s">
        <v>9709</v>
      </c>
    </row>
    <row r="4800" spans="1:2" x14ac:dyDescent="0.25">
      <c r="A4800" t="s">
        <v>9710</v>
      </c>
      <c r="B4800" t="s">
        <v>9711</v>
      </c>
    </row>
    <row r="4801" spans="1:2" x14ac:dyDescent="0.25">
      <c r="A4801" t="s">
        <v>9712</v>
      </c>
      <c r="B4801" t="s">
        <v>9713</v>
      </c>
    </row>
    <row r="4802" spans="1:2" x14ac:dyDescent="0.25">
      <c r="A4802" t="s">
        <v>9714</v>
      </c>
      <c r="B4802" t="s">
        <v>739</v>
      </c>
    </row>
    <row r="4803" spans="1:2" x14ac:dyDescent="0.25">
      <c r="A4803" t="s">
        <v>9715</v>
      </c>
      <c r="B4803" t="s">
        <v>9716</v>
      </c>
    </row>
    <row r="4804" spans="1:2" x14ac:dyDescent="0.25">
      <c r="A4804" t="s">
        <v>9717</v>
      </c>
      <c r="B4804" t="s">
        <v>9718</v>
      </c>
    </row>
    <row r="4805" spans="1:2" x14ac:dyDescent="0.25">
      <c r="A4805" t="s">
        <v>9719</v>
      </c>
      <c r="B4805" t="s">
        <v>870</v>
      </c>
    </row>
    <row r="4806" spans="1:2" x14ac:dyDescent="0.25">
      <c r="A4806" t="s">
        <v>9720</v>
      </c>
      <c r="B4806" t="s">
        <v>9721</v>
      </c>
    </row>
    <row r="4807" spans="1:2" x14ac:dyDescent="0.25">
      <c r="A4807" t="s">
        <v>9722</v>
      </c>
      <c r="B4807" t="s">
        <v>9723</v>
      </c>
    </row>
    <row r="4808" spans="1:2" x14ac:dyDescent="0.25">
      <c r="A4808" t="s">
        <v>9724</v>
      </c>
      <c r="B4808" t="s">
        <v>9725</v>
      </c>
    </row>
    <row r="4809" spans="1:2" x14ac:dyDescent="0.25">
      <c r="A4809" t="s">
        <v>9726</v>
      </c>
      <c r="B4809" t="s">
        <v>913</v>
      </c>
    </row>
    <row r="4810" spans="1:2" x14ac:dyDescent="0.25">
      <c r="A4810" t="s">
        <v>9727</v>
      </c>
      <c r="B4810" t="s">
        <v>9728</v>
      </c>
    </row>
    <row r="4811" spans="1:2" x14ac:dyDescent="0.25">
      <c r="A4811" t="s">
        <v>9729</v>
      </c>
      <c r="B4811" t="s">
        <v>9730</v>
      </c>
    </row>
    <row r="4812" spans="1:2" x14ac:dyDescent="0.25">
      <c r="A4812" t="s">
        <v>9731</v>
      </c>
      <c r="B4812" t="s">
        <v>9732</v>
      </c>
    </row>
    <row r="4813" spans="1:2" x14ac:dyDescent="0.25">
      <c r="A4813" t="s">
        <v>9733</v>
      </c>
      <c r="B4813" t="s">
        <v>881</v>
      </c>
    </row>
    <row r="4814" spans="1:2" x14ac:dyDescent="0.25">
      <c r="A4814" t="s">
        <v>9734</v>
      </c>
      <c r="B4814" t="s">
        <v>9735</v>
      </c>
    </row>
    <row r="4815" spans="1:2" x14ac:dyDescent="0.25">
      <c r="A4815" t="s">
        <v>9736</v>
      </c>
      <c r="B4815" t="s">
        <v>9737</v>
      </c>
    </row>
    <row r="4816" spans="1:2" x14ac:dyDescent="0.25">
      <c r="A4816" t="s">
        <v>9738</v>
      </c>
      <c r="B4816" t="s">
        <v>9739</v>
      </c>
    </row>
    <row r="4817" spans="1:2" x14ac:dyDescent="0.25">
      <c r="A4817" t="s">
        <v>9740</v>
      </c>
      <c r="B4817" t="s">
        <v>9741</v>
      </c>
    </row>
    <row r="4818" spans="1:2" x14ac:dyDescent="0.25">
      <c r="A4818" t="s">
        <v>9742</v>
      </c>
      <c r="B4818" t="s">
        <v>9743</v>
      </c>
    </row>
    <row r="4819" spans="1:2" x14ac:dyDescent="0.25">
      <c r="A4819" t="s">
        <v>9744</v>
      </c>
      <c r="B4819" t="s">
        <v>873</v>
      </c>
    </row>
    <row r="4820" spans="1:2" x14ac:dyDescent="0.25">
      <c r="A4820" t="s">
        <v>9745</v>
      </c>
      <c r="B4820" t="s">
        <v>9746</v>
      </c>
    </row>
    <row r="4821" spans="1:2" x14ac:dyDescent="0.25">
      <c r="A4821" t="s">
        <v>9747</v>
      </c>
      <c r="B4821" t="s">
        <v>9748</v>
      </c>
    </row>
    <row r="4822" spans="1:2" x14ac:dyDescent="0.25">
      <c r="A4822" t="s">
        <v>9749</v>
      </c>
      <c r="B4822" t="s">
        <v>950</v>
      </c>
    </row>
    <row r="4823" spans="1:2" x14ac:dyDescent="0.25">
      <c r="A4823" t="s">
        <v>9750</v>
      </c>
      <c r="B4823" t="s">
        <v>9751</v>
      </c>
    </row>
    <row r="4824" spans="1:2" x14ac:dyDescent="0.25">
      <c r="A4824" t="s">
        <v>9752</v>
      </c>
      <c r="B4824" t="s">
        <v>9753</v>
      </c>
    </row>
    <row r="4825" spans="1:2" x14ac:dyDescent="0.25">
      <c r="A4825" t="s">
        <v>9754</v>
      </c>
      <c r="B4825" t="s">
        <v>871</v>
      </c>
    </row>
    <row r="4826" spans="1:2" x14ac:dyDescent="0.25">
      <c r="A4826" t="s">
        <v>9755</v>
      </c>
      <c r="B4826" t="s">
        <v>9756</v>
      </c>
    </row>
    <row r="4827" spans="1:2" x14ac:dyDescent="0.25">
      <c r="A4827" t="s">
        <v>9757</v>
      </c>
      <c r="B4827" t="s">
        <v>9758</v>
      </c>
    </row>
    <row r="4828" spans="1:2" x14ac:dyDescent="0.25">
      <c r="A4828" t="s">
        <v>9759</v>
      </c>
      <c r="B4828" t="s">
        <v>9760</v>
      </c>
    </row>
    <row r="4829" spans="1:2" x14ac:dyDescent="0.25">
      <c r="A4829" t="s">
        <v>9761</v>
      </c>
      <c r="B4829" t="s">
        <v>9762</v>
      </c>
    </row>
    <row r="4830" spans="1:2" x14ac:dyDescent="0.25">
      <c r="A4830" t="s">
        <v>9763</v>
      </c>
      <c r="B4830" t="s">
        <v>878</v>
      </c>
    </row>
    <row r="4831" spans="1:2" x14ac:dyDescent="0.25">
      <c r="A4831" t="s">
        <v>9764</v>
      </c>
      <c r="B4831" t="s">
        <v>9765</v>
      </c>
    </row>
    <row r="4832" spans="1:2" x14ac:dyDescent="0.25">
      <c r="A4832" t="s">
        <v>9766</v>
      </c>
      <c r="B4832" t="s">
        <v>9767</v>
      </c>
    </row>
    <row r="4833" spans="1:2" x14ac:dyDescent="0.25">
      <c r="A4833" t="s">
        <v>9768</v>
      </c>
      <c r="B4833" t="s">
        <v>9769</v>
      </c>
    </row>
    <row r="4834" spans="1:2" x14ac:dyDescent="0.25">
      <c r="A4834" t="s">
        <v>9770</v>
      </c>
      <c r="B4834" t="s">
        <v>9771</v>
      </c>
    </row>
    <row r="4835" spans="1:2" x14ac:dyDescent="0.25">
      <c r="A4835" t="s">
        <v>9772</v>
      </c>
      <c r="B4835" t="s">
        <v>9773</v>
      </c>
    </row>
    <row r="4836" spans="1:2" x14ac:dyDescent="0.25">
      <c r="A4836" t="s">
        <v>9774</v>
      </c>
      <c r="B4836" t="s">
        <v>9775</v>
      </c>
    </row>
    <row r="4837" spans="1:2" x14ac:dyDescent="0.25">
      <c r="A4837" t="s">
        <v>9776</v>
      </c>
      <c r="B4837" t="s">
        <v>9777</v>
      </c>
    </row>
    <row r="4838" spans="1:2" x14ac:dyDescent="0.25">
      <c r="A4838" t="s">
        <v>9778</v>
      </c>
      <c r="B4838" t="s">
        <v>9779</v>
      </c>
    </row>
    <row r="4839" spans="1:2" x14ac:dyDescent="0.25">
      <c r="A4839" t="s">
        <v>9780</v>
      </c>
      <c r="B4839" t="s">
        <v>9781</v>
      </c>
    </row>
    <row r="4840" spans="1:2" x14ac:dyDescent="0.25">
      <c r="A4840" t="s">
        <v>9782</v>
      </c>
      <c r="B4840" t="s">
        <v>9783</v>
      </c>
    </row>
    <row r="4841" spans="1:2" x14ac:dyDescent="0.25">
      <c r="A4841" t="s">
        <v>9784</v>
      </c>
      <c r="B4841" t="s">
        <v>9785</v>
      </c>
    </row>
    <row r="4842" spans="1:2" x14ac:dyDescent="0.25">
      <c r="A4842" t="s">
        <v>9786</v>
      </c>
      <c r="B4842" t="s">
        <v>9787</v>
      </c>
    </row>
    <row r="4843" spans="1:2" x14ac:dyDescent="0.25">
      <c r="A4843" t="s">
        <v>9788</v>
      </c>
      <c r="B4843" t="s">
        <v>9789</v>
      </c>
    </row>
    <row r="4844" spans="1:2" x14ac:dyDescent="0.25">
      <c r="A4844" t="s">
        <v>9790</v>
      </c>
      <c r="B4844" t="s">
        <v>9791</v>
      </c>
    </row>
    <row r="4845" spans="1:2" x14ac:dyDescent="0.25">
      <c r="A4845" t="s">
        <v>9792</v>
      </c>
      <c r="B4845" t="s">
        <v>9793</v>
      </c>
    </row>
    <row r="4846" spans="1:2" x14ac:dyDescent="0.25">
      <c r="A4846" t="s">
        <v>9794</v>
      </c>
      <c r="B4846" t="s">
        <v>9795</v>
      </c>
    </row>
    <row r="4847" spans="1:2" x14ac:dyDescent="0.25">
      <c r="A4847" t="s">
        <v>9796</v>
      </c>
      <c r="B4847" t="s">
        <v>9797</v>
      </c>
    </row>
    <row r="4848" spans="1:2" x14ac:dyDescent="0.25">
      <c r="A4848" t="s">
        <v>9798</v>
      </c>
      <c r="B4848" t="s">
        <v>9799</v>
      </c>
    </row>
    <row r="4849" spans="1:2" x14ac:dyDescent="0.25">
      <c r="A4849" t="s">
        <v>9800</v>
      </c>
      <c r="B4849" t="s">
        <v>9801</v>
      </c>
    </row>
    <row r="4850" spans="1:2" x14ac:dyDescent="0.25">
      <c r="A4850" t="s">
        <v>9802</v>
      </c>
      <c r="B4850" t="s">
        <v>9803</v>
      </c>
    </row>
    <row r="4851" spans="1:2" x14ac:dyDescent="0.25">
      <c r="A4851" t="s">
        <v>9804</v>
      </c>
      <c r="B4851" t="s">
        <v>9805</v>
      </c>
    </row>
    <row r="4852" spans="1:2" x14ac:dyDescent="0.25">
      <c r="A4852" t="s">
        <v>9806</v>
      </c>
      <c r="B4852" t="s">
        <v>9807</v>
      </c>
    </row>
    <row r="4853" spans="1:2" x14ac:dyDescent="0.25">
      <c r="A4853" t="s">
        <v>9808</v>
      </c>
      <c r="B4853" t="s">
        <v>9809</v>
      </c>
    </row>
    <row r="4854" spans="1:2" x14ac:dyDescent="0.25">
      <c r="A4854" t="s">
        <v>9810</v>
      </c>
      <c r="B4854" t="s">
        <v>9811</v>
      </c>
    </row>
    <row r="4855" spans="1:2" x14ac:dyDescent="0.25">
      <c r="A4855" t="s">
        <v>9812</v>
      </c>
      <c r="B4855" t="s">
        <v>9813</v>
      </c>
    </row>
    <row r="4856" spans="1:2" x14ac:dyDescent="0.25">
      <c r="A4856" t="s">
        <v>9814</v>
      </c>
      <c r="B4856" t="s">
        <v>9815</v>
      </c>
    </row>
    <row r="4857" spans="1:2" x14ac:dyDescent="0.25">
      <c r="A4857" t="s">
        <v>9816</v>
      </c>
      <c r="B4857" t="s">
        <v>916</v>
      </c>
    </row>
    <row r="4858" spans="1:2" x14ac:dyDescent="0.25">
      <c r="A4858" t="s">
        <v>9817</v>
      </c>
      <c r="B4858" t="s">
        <v>936</v>
      </c>
    </row>
    <row r="4859" spans="1:2" x14ac:dyDescent="0.25">
      <c r="A4859" t="s">
        <v>9818</v>
      </c>
      <c r="B4859" t="s">
        <v>8862</v>
      </c>
    </row>
    <row r="4860" spans="1:2" x14ac:dyDescent="0.25">
      <c r="A4860" t="s">
        <v>9819</v>
      </c>
      <c r="B4860" t="s">
        <v>9820</v>
      </c>
    </row>
    <row r="4861" spans="1:2" x14ac:dyDescent="0.25">
      <c r="A4861" t="s">
        <v>9821</v>
      </c>
      <c r="B4861" t="s">
        <v>9822</v>
      </c>
    </row>
    <row r="4862" spans="1:2" x14ac:dyDescent="0.25">
      <c r="A4862" t="s">
        <v>9823</v>
      </c>
      <c r="B4862" t="s">
        <v>887</v>
      </c>
    </row>
    <row r="4863" spans="1:2" x14ac:dyDescent="0.25">
      <c r="A4863" t="s">
        <v>9824</v>
      </c>
      <c r="B4863" t="s">
        <v>9825</v>
      </c>
    </row>
    <row r="4864" spans="1:2" x14ac:dyDescent="0.25">
      <c r="A4864" t="s">
        <v>9826</v>
      </c>
      <c r="B4864" t="s">
        <v>9827</v>
      </c>
    </row>
    <row r="4865" spans="1:2" x14ac:dyDescent="0.25">
      <c r="A4865" t="s">
        <v>9828</v>
      </c>
      <c r="B4865" t="s">
        <v>9829</v>
      </c>
    </row>
    <row r="4866" spans="1:2" x14ac:dyDescent="0.25">
      <c r="A4866" t="s">
        <v>9830</v>
      </c>
      <c r="B4866" t="s">
        <v>9831</v>
      </c>
    </row>
    <row r="4867" spans="1:2" x14ac:dyDescent="0.25">
      <c r="A4867" t="s">
        <v>9832</v>
      </c>
      <c r="B4867" t="s">
        <v>9833</v>
      </c>
    </row>
    <row r="4868" spans="1:2" x14ac:dyDescent="0.25">
      <c r="A4868" t="s">
        <v>9834</v>
      </c>
      <c r="B4868" t="s">
        <v>9835</v>
      </c>
    </row>
    <row r="4869" spans="1:2" x14ac:dyDescent="0.25">
      <c r="A4869" t="s">
        <v>9836</v>
      </c>
      <c r="B4869" t="s">
        <v>9837</v>
      </c>
    </row>
    <row r="4870" spans="1:2" x14ac:dyDescent="0.25">
      <c r="A4870" t="s">
        <v>9838</v>
      </c>
      <c r="B4870" t="s">
        <v>9839</v>
      </c>
    </row>
    <row r="4871" spans="1:2" x14ac:dyDescent="0.25">
      <c r="A4871" t="s">
        <v>9840</v>
      </c>
      <c r="B4871" t="s">
        <v>9841</v>
      </c>
    </row>
    <row r="4872" spans="1:2" x14ac:dyDescent="0.25">
      <c r="A4872" t="s">
        <v>9842</v>
      </c>
      <c r="B4872" t="s">
        <v>9843</v>
      </c>
    </row>
    <row r="4873" spans="1:2" x14ac:dyDescent="0.25">
      <c r="A4873" t="s">
        <v>9844</v>
      </c>
      <c r="B4873" t="s">
        <v>964</v>
      </c>
    </row>
    <row r="4874" spans="1:2" x14ac:dyDescent="0.25">
      <c r="A4874" t="s">
        <v>9845</v>
      </c>
      <c r="B4874" t="s">
        <v>9846</v>
      </c>
    </row>
    <row r="4875" spans="1:2" x14ac:dyDescent="0.25">
      <c r="A4875" t="s">
        <v>9847</v>
      </c>
      <c r="B4875" t="s">
        <v>9848</v>
      </c>
    </row>
    <row r="4876" spans="1:2" x14ac:dyDescent="0.25">
      <c r="A4876" t="s">
        <v>9849</v>
      </c>
      <c r="B4876" t="s">
        <v>9850</v>
      </c>
    </row>
    <row r="4877" spans="1:2" x14ac:dyDescent="0.25">
      <c r="A4877" t="s">
        <v>9851</v>
      </c>
      <c r="B4877" t="s">
        <v>9852</v>
      </c>
    </row>
    <row r="4878" spans="1:2" x14ac:dyDescent="0.25">
      <c r="A4878" t="s">
        <v>9853</v>
      </c>
      <c r="B4878" t="s">
        <v>9854</v>
      </c>
    </row>
    <row r="4879" spans="1:2" x14ac:dyDescent="0.25">
      <c r="A4879" t="s">
        <v>9855</v>
      </c>
      <c r="B4879" t="s">
        <v>9856</v>
      </c>
    </row>
    <row r="4880" spans="1:2" x14ac:dyDescent="0.25">
      <c r="A4880" t="s">
        <v>9857</v>
      </c>
      <c r="B4880" t="s">
        <v>9858</v>
      </c>
    </row>
    <row r="4881" spans="1:2" x14ac:dyDescent="0.25">
      <c r="A4881" t="s">
        <v>9859</v>
      </c>
      <c r="B4881" t="s">
        <v>966</v>
      </c>
    </row>
    <row r="4882" spans="1:2" x14ac:dyDescent="0.25">
      <c r="A4882" t="s">
        <v>9860</v>
      </c>
      <c r="B4882" t="s">
        <v>885</v>
      </c>
    </row>
    <row r="4883" spans="1:2" x14ac:dyDescent="0.25">
      <c r="A4883" t="s">
        <v>9861</v>
      </c>
      <c r="B4883" t="s">
        <v>9862</v>
      </c>
    </row>
    <row r="4884" spans="1:2" x14ac:dyDescent="0.25">
      <c r="A4884" t="s">
        <v>9863</v>
      </c>
      <c r="B4884" t="s">
        <v>9864</v>
      </c>
    </row>
    <row r="4885" spans="1:2" x14ac:dyDescent="0.25">
      <c r="A4885" t="s">
        <v>9865</v>
      </c>
      <c r="B4885" t="s">
        <v>9866</v>
      </c>
    </row>
    <row r="4886" spans="1:2" x14ac:dyDescent="0.25">
      <c r="A4886" t="s">
        <v>9867</v>
      </c>
      <c r="B4886" t="s">
        <v>8918</v>
      </c>
    </row>
    <row r="4887" spans="1:2" x14ac:dyDescent="0.25">
      <c r="A4887" t="s">
        <v>9868</v>
      </c>
      <c r="B4887" t="s">
        <v>9869</v>
      </c>
    </row>
    <row r="4888" spans="1:2" x14ac:dyDescent="0.25">
      <c r="A4888" t="s">
        <v>9870</v>
      </c>
      <c r="B4888" t="s">
        <v>9871</v>
      </c>
    </row>
    <row r="4889" spans="1:2" x14ac:dyDescent="0.25">
      <c r="A4889" t="s">
        <v>9872</v>
      </c>
      <c r="B4889" t="s">
        <v>9873</v>
      </c>
    </row>
    <row r="4890" spans="1:2" x14ac:dyDescent="0.25">
      <c r="A4890" t="s">
        <v>9874</v>
      </c>
      <c r="B4890" t="s">
        <v>9875</v>
      </c>
    </row>
    <row r="4891" spans="1:2" x14ac:dyDescent="0.25">
      <c r="A4891" t="s">
        <v>9876</v>
      </c>
      <c r="B4891" t="s">
        <v>9877</v>
      </c>
    </row>
    <row r="4892" spans="1:2" x14ac:dyDescent="0.25">
      <c r="A4892" t="s">
        <v>9878</v>
      </c>
      <c r="B4892" t="s">
        <v>9879</v>
      </c>
    </row>
    <row r="4893" spans="1:2" x14ac:dyDescent="0.25">
      <c r="A4893" t="s">
        <v>9880</v>
      </c>
      <c r="B4893" t="s">
        <v>9881</v>
      </c>
    </row>
    <row r="4894" spans="1:2" x14ac:dyDescent="0.25">
      <c r="A4894" t="s">
        <v>9882</v>
      </c>
      <c r="B4894" t="s">
        <v>956</v>
      </c>
    </row>
    <row r="4895" spans="1:2" x14ac:dyDescent="0.25">
      <c r="A4895" t="s">
        <v>9883</v>
      </c>
      <c r="B4895" t="s">
        <v>9884</v>
      </c>
    </row>
    <row r="4896" spans="1:2" x14ac:dyDescent="0.25">
      <c r="A4896" t="s">
        <v>9885</v>
      </c>
      <c r="B4896" t="s">
        <v>9886</v>
      </c>
    </row>
    <row r="4897" spans="1:2" x14ac:dyDescent="0.25">
      <c r="A4897" t="s">
        <v>9887</v>
      </c>
      <c r="B4897" t="s">
        <v>9888</v>
      </c>
    </row>
    <row r="4898" spans="1:2" x14ac:dyDescent="0.25">
      <c r="A4898" t="s">
        <v>9889</v>
      </c>
      <c r="B4898" t="s">
        <v>9890</v>
      </c>
    </row>
    <row r="4899" spans="1:2" x14ac:dyDescent="0.25">
      <c r="A4899" t="s">
        <v>9891</v>
      </c>
      <c r="B4899" t="s">
        <v>9892</v>
      </c>
    </row>
    <row r="4900" spans="1:2" x14ac:dyDescent="0.25">
      <c r="A4900" t="s">
        <v>9893</v>
      </c>
      <c r="B4900" t="s">
        <v>9894</v>
      </c>
    </row>
    <row r="4901" spans="1:2" x14ac:dyDescent="0.25">
      <c r="A4901" t="s">
        <v>9895</v>
      </c>
      <c r="B4901" t="s">
        <v>9896</v>
      </c>
    </row>
    <row r="4902" spans="1:2" x14ac:dyDescent="0.25">
      <c r="A4902" t="s">
        <v>9897</v>
      </c>
      <c r="B4902" t="s">
        <v>9898</v>
      </c>
    </row>
    <row r="4903" spans="1:2" x14ac:dyDescent="0.25">
      <c r="A4903" t="s">
        <v>9899</v>
      </c>
      <c r="B4903" t="s">
        <v>9900</v>
      </c>
    </row>
    <row r="4904" spans="1:2" x14ac:dyDescent="0.25">
      <c r="A4904" t="s">
        <v>9901</v>
      </c>
      <c r="B4904" t="s">
        <v>9902</v>
      </c>
    </row>
    <row r="4905" spans="1:2" x14ac:dyDescent="0.25">
      <c r="A4905" t="s">
        <v>9903</v>
      </c>
      <c r="B4905" t="s">
        <v>9904</v>
      </c>
    </row>
    <row r="4906" spans="1:2" x14ac:dyDescent="0.25">
      <c r="A4906" t="s">
        <v>9905</v>
      </c>
      <c r="B4906" t="s">
        <v>9906</v>
      </c>
    </row>
    <row r="4907" spans="1:2" x14ac:dyDescent="0.25">
      <c r="A4907" t="s">
        <v>9907</v>
      </c>
      <c r="B4907" t="s">
        <v>9908</v>
      </c>
    </row>
    <row r="4908" spans="1:2" x14ac:dyDescent="0.25">
      <c r="A4908" t="s">
        <v>9909</v>
      </c>
      <c r="B4908" t="s">
        <v>877</v>
      </c>
    </row>
    <row r="4909" spans="1:2" x14ac:dyDescent="0.25">
      <c r="A4909" t="s">
        <v>9910</v>
      </c>
      <c r="B4909" t="s">
        <v>8651</v>
      </c>
    </row>
    <row r="4910" spans="1:2" x14ac:dyDescent="0.25">
      <c r="A4910" t="s">
        <v>9911</v>
      </c>
      <c r="B4910" t="s">
        <v>954</v>
      </c>
    </row>
    <row r="4911" spans="1:2" x14ac:dyDescent="0.25">
      <c r="A4911" t="s">
        <v>9912</v>
      </c>
      <c r="B4911" t="s">
        <v>9913</v>
      </c>
    </row>
    <row r="4912" spans="1:2" x14ac:dyDescent="0.25">
      <c r="A4912" t="s">
        <v>9914</v>
      </c>
      <c r="B4912" t="s">
        <v>9915</v>
      </c>
    </row>
    <row r="4913" spans="1:2" x14ac:dyDescent="0.25">
      <c r="A4913" t="s">
        <v>9916</v>
      </c>
      <c r="B4913" t="s">
        <v>9917</v>
      </c>
    </row>
    <row r="4914" spans="1:2" x14ac:dyDescent="0.25">
      <c r="A4914" t="s">
        <v>9918</v>
      </c>
      <c r="B4914" t="s">
        <v>9919</v>
      </c>
    </row>
    <row r="4915" spans="1:2" x14ac:dyDescent="0.25">
      <c r="A4915" t="s">
        <v>9920</v>
      </c>
      <c r="B4915" t="s">
        <v>9921</v>
      </c>
    </row>
    <row r="4916" spans="1:2" x14ac:dyDescent="0.25">
      <c r="A4916" t="s">
        <v>9922</v>
      </c>
      <c r="B4916" t="s">
        <v>9923</v>
      </c>
    </row>
    <row r="4917" spans="1:2" x14ac:dyDescent="0.25">
      <c r="A4917" t="s">
        <v>9924</v>
      </c>
      <c r="B4917" t="s">
        <v>9925</v>
      </c>
    </row>
    <row r="4918" spans="1:2" x14ac:dyDescent="0.25">
      <c r="A4918" t="s">
        <v>9926</v>
      </c>
      <c r="B4918" t="s">
        <v>872</v>
      </c>
    </row>
    <row r="4919" spans="1:2" x14ac:dyDescent="0.25">
      <c r="A4919" t="s">
        <v>9927</v>
      </c>
      <c r="B4919" t="s">
        <v>868</v>
      </c>
    </row>
    <row r="4920" spans="1:2" x14ac:dyDescent="0.25">
      <c r="A4920" t="s">
        <v>9928</v>
      </c>
      <c r="B4920" t="s">
        <v>865</v>
      </c>
    </row>
    <row r="4921" spans="1:2" x14ac:dyDescent="0.25">
      <c r="A4921" t="s">
        <v>9929</v>
      </c>
      <c r="B4921" t="s">
        <v>9930</v>
      </c>
    </row>
    <row r="4922" spans="1:2" x14ac:dyDescent="0.25">
      <c r="A4922" t="s">
        <v>9931</v>
      </c>
      <c r="B4922" t="s">
        <v>9932</v>
      </c>
    </row>
    <row r="4923" spans="1:2" x14ac:dyDescent="0.25">
      <c r="A4923" t="s">
        <v>9933</v>
      </c>
      <c r="B4923" t="s">
        <v>9934</v>
      </c>
    </row>
    <row r="4924" spans="1:2" x14ac:dyDescent="0.25">
      <c r="A4924" t="s">
        <v>9935</v>
      </c>
      <c r="B4924" t="s">
        <v>867</v>
      </c>
    </row>
    <row r="4925" spans="1:2" x14ac:dyDescent="0.25">
      <c r="A4925" t="s">
        <v>9936</v>
      </c>
      <c r="B4925" t="s">
        <v>9937</v>
      </c>
    </row>
    <row r="4926" spans="1:2" x14ac:dyDescent="0.25">
      <c r="A4926" t="s">
        <v>9938</v>
      </c>
      <c r="B4926" t="s">
        <v>9939</v>
      </c>
    </row>
    <row r="4927" spans="1:2" x14ac:dyDescent="0.25">
      <c r="A4927" t="s">
        <v>9940</v>
      </c>
      <c r="B4927" t="s">
        <v>9941</v>
      </c>
    </row>
    <row r="4928" spans="1:2" x14ac:dyDescent="0.25">
      <c r="A4928" t="s">
        <v>9942</v>
      </c>
      <c r="B4928" t="s">
        <v>9943</v>
      </c>
    </row>
    <row r="4929" spans="1:2" x14ac:dyDescent="0.25">
      <c r="A4929" t="s">
        <v>9944</v>
      </c>
      <c r="B4929" t="s">
        <v>9945</v>
      </c>
    </row>
    <row r="4930" spans="1:2" x14ac:dyDescent="0.25">
      <c r="A4930" t="s">
        <v>9946</v>
      </c>
      <c r="B4930" t="s">
        <v>9947</v>
      </c>
    </row>
    <row r="4931" spans="1:2" x14ac:dyDescent="0.25">
      <c r="A4931" t="s">
        <v>9948</v>
      </c>
      <c r="B4931" t="s">
        <v>9949</v>
      </c>
    </row>
    <row r="4932" spans="1:2" x14ac:dyDescent="0.25">
      <c r="A4932" t="s">
        <v>9950</v>
      </c>
      <c r="B4932" t="s">
        <v>9951</v>
      </c>
    </row>
    <row r="4933" spans="1:2" x14ac:dyDescent="0.25">
      <c r="A4933" t="s">
        <v>9952</v>
      </c>
      <c r="B4933" t="s">
        <v>958</v>
      </c>
    </row>
    <row r="4934" spans="1:2" x14ac:dyDescent="0.25">
      <c r="A4934" t="s">
        <v>9953</v>
      </c>
      <c r="B4934" t="s">
        <v>9954</v>
      </c>
    </row>
    <row r="4935" spans="1:2" x14ac:dyDescent="0.25">
      <c r="A4935" t="s">
        <v>9955</v>
      </c>
      <c r="B4935" t="s">
        <v>9956</v>
      </c>
    </row>
    <row r="4936" spans="1:2" x14ac:dyDescent="0.25">
      <c r="A4936" t="s">
        <v>9957</v>
      </c>
      <c r="B4936" t="s">
        <v>9958</v>
      </c>
    </row>
    <row r="4937" spans="1:2" x14ac:dyDescent="0.25">
      <c r="A4937" t="s">
        <v>9959</v>
      </c>
      <c r="B4937" t="s">
        <v>9960</v>
      </c>
    </row>
    <row r="4938" spans="1:2" x14ac:dyDescent="0.25">
      <c r="A4938" t="s">
        <v>9961</v>
      </c>
      <c r="B4938" t="s">
        <v>9962</v>
      </c>
    </row>
    <row r="4939" spans="1:2" x14ac:dyDescent="0.25">
      <c r="A4939" t="s">
        <v>9963</v>
      </c>
      <c r="B4939" t="s">
        <v>9964</v>
      </c>
    </row>
    <row r="4940" spans="1:2" x14ac:dyDescent="0.25">
      <c r="A4940" t="s">
        <v>9965</v>
      </c>
      <c r="B4940" t="s">
        <v>9966</v>
      </c>
    </row>
    <row r="4941" spans="1:2" x14ac:dyDescent="0.25">
      <c r="A4941" t="s">
        <v>9967</v>
      </c>
      <c r="B4941" t="s">
        <v>9968</v>
      </c>
    </row>
    <row r="4942" spans="1:2" x14ac:dyDescent="0.25">
      <c r="A4942" t="s">
        <v>9969</v>
      </c>
      <c r="B4942" t="s">
        <v>9970</v>
      </c>
    </row>
    <row r="4943" spans="1:2" x14ac:dyDescent="0.25">
      <c r="A4943" t="s">
        <v>9971</v>
      </c>
      <c r="B4943" t="s">
        <v>9972</v>
      </c>
    </row>
    <row r="4944" spans="1:2" x14ac:dyDescent="0.25">
      <c r="A4944" t="s">
        <v>9973</v>
      </c>
      <c r="B4944" t="s">
        <v>9974</v>
      </c>
    </row>
    <row r="4945" spans="1:2" x14ac:dyDescent="0.25">
      <c r="A4945" t="s">
        <v>9975</v>
      </c>
      <c r="B4945" t="s">
        <v>9976</v>
      </c>
    </row>
    <row r="4946" spans="1:2" x14ac:dyDescent="0.25">
      <c r="A4946" t="s">
        <v>9977</v>
      </c>
      <c r="B4946" t="s">
        <v>9978</v>
      </c>
    </row>
    <row r="4947" spans="1:2" x14ac:dyDescent="0.25">
      <c r="A4947" t="s">
        <v>9979</v>
      </c>
      <c r="B4947" t="s">
        <v>9980</v>
      </c>
    </row>
    <row r="4948" spans="1:2" x14ac:dyDescent="0.25">
      <c r="A4948" t="s">
        <v>9981</v>
      </c>
      <c r="B4948" t="s">
        <v>9982</v>
      </c>
    </row>
    <row r="4949" spans="1:2" x14ac:dyDescent="0.25">
      <c r="A4949" t="s">
        <v>9983</v>
      </c>
      <c r="B4949" t="s">
        <v>9984</v>
      </c>
    </row>
    <row r="4950" spans="1:2" x14ac:dyDescent="0.25">
      <c r="A4950" t="s">
        <v>9985</v>
      </c>
      <c r="B4950" t="s">
        <v>9986</v>
      </c>
    </row>
    <row r="4951" spans="1:2" x14ac:dyDescent="0.25">
      <c r="A4951" t="s">
        <v>9987</v>
      </c>
      <c r="B4951" t="s">
        <v>918</v>
      </c>
    </row>
    <row r="4952" spans="1:2" x14ac:dyDescent="0.25">
      <c r="A4952" t="s">
        <v>9988</v>
      </c>
      <c r="B4952" t="s">
        <v>9989</v>
      </c>
    </row>
    <row r="4953" spans="1:2" x14ac:dyDescent="0.25">
      <c r="A4953" t="s">
        <v>9990</v>
      </c>
      <c r="B4953" t="s">
        <v>9991</v>
      </c>
    </row>
    <row r="4954" spans="1:2" x14ac:dyDescent="0.25">
      <c r="A4954" t="s">
        <v>9992</v>
      </c>
      <c r="B4954" t="s">
        <v>9993</v>
      </c>
    </row>
    <row r="4955" spans="1:2" x14ac:dyDescent="0.25">
      <c r="A4955" t="s">
        <v>9994</v>
      </c>
      <c r="B4955" t="s">
        <v>9995</v>
      </c>
    </row>
    <row r="4956" spans="1:2" x14ac:dyDescent="0.25">
      <c r="A4956" t="s">
        <v>9996</v>
      </c>
      <c r="B4956" t="s">
        <v>9997</v>
      </c>
    </row>
    <row r="4957" spans="1:2" x14ac:dyDescent="0.25">
      <c r="A4957" t="s">
        <v>9998</v>
      </c>
      <c r="B4957" t="s">
        <v>9999</v>
      </c>
    </row>
    <row r="4958" spans="1:2" x14ac:dyDescent="0.25">
      <c r="A4958" t="s">
        <v>10000</v>
      </c>
      <c r="B4958" t="s">
        <v>10001</v>
      </c>
    </row>
    <row r="4959" spans="1:2" x14ac:dyDescent="0.25">
      <c r="A4959" t="s">
        <v>10002</v>
      </c>
      <c r="B4959" t="s">
        <v>10003</v>
      </c>
    </row>
    <row r="4960" spans="1:2" x14ac:dyDescent="0.25">
      <c r="A4960" t="s">
        <v>10004</v>
      </c>
      <c r="B4960" t="s">
        <v>10005</v>
      </c>
    </row>
    <row r="4961" spans="1:2" x14ac:dyDescent="0.25">
      <c r="A4961" t="s">
        <v>10006</v>
      </c>
      <c r="B4961" t="s">
        <v>10007</v>
      </c>
    </row>
    <row r="4962" spans="1:2" x14ac:dyDescent="0.25">
      <c r="A4962" t="s">
        <v>10008</v>
      </c>
      <c r="B4962" t="s">
        <v>10009</v>
      </c>
    </row>
    <row r="4963" spans="1:2" x14ac:dyDescent="0.25">
      <c r="A4963" t="s">
        <v>10010</v>
      </c>
      <c r="B4963" t="s">
        <v>10011</v>
      </c>
    </row>
    <row r="4964" spans="1:2" x14ac:dyDescent="0.25">
      <c r="A4964" t="s">
        <v>10012</v>
      </c>
      <c r="B4964" t="s">
        <v>10013</v>
      </c>
    </row>
    <row r="4965" spans="1:2" x14ac:dyDescent="0.25">
      <c r="A4965" t="s">
        <v>10014</v>
      </c>
      <c r="B4965" t="s">
        <v>10015</v>
      </c>
    </row>
    <row r="4966" spans="1:2" x14ac:dyDescent="0.25">
      <c r="A4966" t="s">
        <v>10016</v>
      </c>
      <c r="B4966" t="s">
        <v>10017</v>
      </c>
    </row>
    <row r="4967" spans="1:2" x14ac:dyDescent="0.25">
      <c r="A4967" t="s">
        <v>10018</v>
      </c>
      <c r="B4967" t="s">
        <v>10019</v>
      </c>
    </row>
    <row r="4968" spans="1:2" x14ac:dyDescent="0.25">
      <c r="A4968" t="s">
        <v>10020</v>
      </c>
      <c r="B4968" t="s">
        <v>10021</v>
      </c>
    </row>
    <row r="4969" spans="1:2" x14ac:dyDescent="0.25">
      <c r="A4969" t="s">
        <v>10022</v>
      </c>
      <c r="B4969" t="s">
        <v>10023</v>
      </c>
    </row>
    <row r="4970" spans="1:2" x14ac:dyDescent="0.25">
      <c r="A4970" t="s">
        <v>10024</v>
      </c>
      <c r="B4970" t="s">
        <v>10025</v>
      </c>
    </row>
    <row r="4971" spans="1:2" x14ac:dyDescent="0.25">
      <c r="A4971" t="s">
        <v>10026</v>
      </c>
      <c r="B4971" t="s">
        <v>10027</v>
      </c>
    </row>
    <row r="4972" spans="1:2" x14ac:dyDescent="0.25">
      <c r="A4972" t="s">
        <v>10028</v>
      </c>
      <c r="B4972" t="s">
        <v>10029</v>
      </c>
    </row>
    <row r="4973" spans="1:2" x14ac:dyDescent="0.25">
      <c r="A4973" t="s">
        <v>10030</v>
      </c>
      <c r="B4973" t="s">
        <v>10031</v>
      </c>
    </row>
    <row r="4974" spans="1:2" x14ac:dyDescent="0.25">
      <c r="A4974" t="s">
        <v>10032</v>
      </c>
      <c r="B4974" t="s">
        <v>10033</v>
      </c>
    </row>
    <row r="4975" spans="1:2" x14ac:dyDescent="0.25">
      <c r="A4975" t="s">
        <v>10034</v>
      </c>
      <c r="B4975" t="s">
        <v>891</v>
      </c>
    </row>
    <row r="4976" spans="1:2" x14ac:dyDescent="0.25">
      <c r="A4976" t="s">
        <v>10035</v>
      </c>
      <c r="B4976" t="s">
        <v>10036</v>
      </c>
    </row>
    <row r="4977" spans="1:2" x14ac:dyDescent="0.25">
      <c r="A4977" t="s">
        <v>10037</v>
      </c>
      <c r="B4977" t="s">
        <v>10038</v>
      </c>
    </row>
    <row r="4978" spans="1:2" x14ac:dyDescent="0.25">
      <c r="A4978" t="s">
        <v>10039</v>
      </c>
      <c r="B4978" t="s">
        <v>10040</v>
      </c>
    </row>
    <row r="4979" spans="1:2" x14ac:dyDescent="0.25">
      <c r="A4979" t="s">
        <v>10041</v>
      </c>
      <c r="B4979" t="s">
        <v>10042</v>
      </c>
    </row>
    <row r="4980" spans="1:2" x14ac:dyDescent="0.25">
      <c r="A4980" t="s">
        <v>10043</v>
      </c>
      <c r="B4980" t="s">
        <v>10044</v>
      </c>
    </row>
    <row r="4981" spans="1:2" x14ac:dyDescent="0.25">
      <c r="A4981" t="s">
        <v>10045</v>
      </c>
      <c r="B4981" t="s">
        <v>10046</v>
      </c>
    </row>
    <row r="4982" spans="1:2" x14ac:dyDescent="0.25">
      <c r="A4982" t="s">
        <v>10047</v>
      </c>
      <c r="B4982" t="s">
        <v>10048</v>
      </c>
    </row>
    <row r="4983" spans="1:2" x14ac:dyDescent="0.25">
      <c r="A4983" t="s">
        <v>10049</v>
      </c>
      <c r="B4983" t="s">
        <v>945</v>
      </c>
    </row>
    <row r="4984" spans="1:2" x14ac:dyDescent="0.25">
      <c r="A4984" t="s">
        <v>10050</v>
      </c>
      <c r="B4984" t="s">
        <v>10051</v>
      </c>
    </row>
    <row r="4985" spans="1:2" x14ac:dyDescent="0.25">
      <c r="A4985" t="s">
        <v>10052</v>
      </c>
      <c r="B4985" t="s">
        <v>10053</v>
      </c>
    </row>
    <row r="4986" spans="1:2" x14ac:dyDescent="0.25">
      <c r="A4986" t="s">
        <v>10054</v>
      </c>
      <c r="B4986" t="s">
        <v>10055</v>
      </c>
    </row>
    <row r="4987" spans="1:2" x14ac:dyDescent="0.25">
      <c r="A4987" t="s">
        <v>10056</v>
      </c>
      <c r="B4987" t="s">
        <v>10057</v>
      </c>
    </row>
    <row r="4988" spans="1:2" x14ac:dyDescent="0.25">
      <c r="A4988" t="s">
        <v>10058</v>
      </c>
      <c r="B4988" t="s">
        <v>10059</v>
      </c>
    </row>
    <row r="4989" spans="1:2" x14ac:dyDescent="0.25">
      <c r="A4989" t="s">
        <v>10060</v>
      </c>
      <c r="B4989" t="s">
        <v>10061</v>
      </c>
    </row>
    <row r="4990" spans="1:2" x14ac:dyDescent="0.25">
      <c r="A4990" t="s">
        <v>10062</v>
      </c>
      <c r="B4990" t="s">
        <v>10063</v>
      </c>
    </row>
    <row r="4991" spans="1:2" x14ac:dyDescent="0.25">
      <c r="A4991" t="s">
        <v>10064</v>
      </c>
      <c r="B4991" t="s">
        <v>10065</v>
      </c>
    </row>
    <row r="4992" spans="1:2" x14ac:dyDescent="0.25">
      <c r="A4992" t="s">
        <v>10066</v>
      </c>
      <c r="B4992" t="s">
        <v>898</v>
      </c>
    </row>
    <row r="4993" spans="1:2" x14ac:dyDescent="0.25">
      <c r="A4993" t="s">
        <v>10067</v>
      </c>
      <c r="B4993" t="s">
        <v>971</v>
      </c>
    </row>
    <row r="4994" spans="1:2" x14ac:dyDescent="0.25">
      <c r="A4994" t="s">
        <v>10068</v>
      </c>
      <c r="B4994" t="s">
        <v>10069</v>
      </c>
    </row>
    <row r="4995" spans="1:2" x14ac:dyDescent="0.25">
      <c r="A4995" t="s">
        <v>10070</v>
      </c>
      <c r="B4995" t="s">
        <v>10071</v>
      </c>
    </row>
    <row r="4996" spans="1:2" x14ac:dyDescent="0.25">
      <c r="A4996" t="s">
        <v>10072</v>
      </c>
      <c r="B4996" t="s">
        <v>8971</v>
      </c>
    </row>
    <row r="4997" spans="1:2" x14ac:dyDescent="0.25">
      <c r="A4997" t="s">
        <v>10073</v>
      </c>
      <c r="B4997" t="s">
        <v>10074</v>
      </c>
    </row>
    <row r="4998" spans="1:2" x14ac:dyDescent="0.25">
      <c r="A4998" t="s">
        <v>10075</v>
      </c>
      <c r="B4998" t="s">
        <v>10076</v>
      </c>
    </row>
    <row r="4999" spans="1:2" x14ac:dyDescent="0.25">
      <c r="A4999" t="s">
        <v>10077</v>
      </c>
      <c r="B4999" t="s">
        <v>10078</v>
      </c>
    </row>
    <row r="5000" spans="1:2" x14ac:dyDescent="0.25">
      <c r="A5000" t="s">
        <v>10079</v>
      </c>
      <c r="B5000" t="s">
        <v>10080</v>
      </c>
    </row>
    <row r="5001" spans="1:2" x14ac:dyDescent="0.25">
      <c r="A5001" t="s">
        <v>10081</v>
      </c>
      <c r="B5001" t="s">
        <v>10082</v>
      </c>
    </row>
    <row r="5002" spans="1:2" x14ac:dyDescent="0.25">
      <c r="A5002" t="s">
        <v>10083</v>
      </c>
      <c r="B5002" t="s">
        <v>10084</v>
      </c>
    </row>
    <row r="5003" spans="1:2" x14ac:dyDescent="0.25">
      <c r="A5003" t="s">
        <v>10085</v>
      </c>
      <c r="B5003" t="s">
        <v>10086</v>
      </c>
    </row>
    <row r="5004" spans="1:2" x14ac:dyDescent="0.25">
      <c r="A5004" t="s">
        <v>10087</v>
      </c>
      <c r="B5004" t="s">
        <v>10088</v>
      </c>
    </row>
    <row r="5005" spans="1:2" x14ac:dyDescent="0.25">
      <c r="A5005" t="s">
        <v>10089</v>
      </c>
      <c r="B5005" t="s">
        <v>10090</v>
      </c>
    </row>
    <row r="5006" spans="1:2" x14ac:dyDescent="0.25">
      <c r="A5006" t="s">
        <v>10091</v>
      </c>
      <c r="B5006" t="s">
        <v>10092</v>
      </c>
    </row>
    <row r="5007" spans="1:2" x14ac:dyDescent="0.25">
      <c r="A5007" t="s">
        <v>10093</v>
      </c>
      <c r="B5007" t="s">
        <v>10094</v>
      </c>
    </row>
    <row r="5008" spans="1:2" x14ac:dyDescent="0.25">
      <c r="A5008" t="s">
        <v>10095</v>
      </c>
      <c r="B5008" t="s">
        <v>10096</v>
      </c>
    </row>
    <row r="5009" spans="1:2" x14ac:dyDescent="0.25">
      <c r="A5009" t="s">
        <v>10097</v>
      </c>
      <c r="B5009" t="s">
        <v>972</v>
      </c>
    </row>
    <row r="5010" spans="1:2" x14ac:dyDescent="0.25">
      <c r="A5010" t="s">
        <v>10098</v>
      </c>
      <c r="B5010" t="s">
        <v>10099</v>
      </c>
    </row>
    <row r="5011" spans="1:2" x14ac:dyDescent="0.25">
      <c r="A5011" t="s">
        <v>10100</v>
      </c>
      <c r="B5011" t="s">
        <v>10101</v>
      </c>
    </row>
    <row r="5012" spans="1:2" x14ac:dyDescent="0.25">
      <c r="A5012" t="s">
        <v>10102</v>
      </c>
      <c r="B5012" t="s">
        <v>10103</v>
      </c>
    </row>
    <row r="5013" spans="1:2" x14ac:dyDescent="0.25">
      <c r="A5013" t="s">
        <v>10104</v>
      </c>
      <c r="B5013" t="s">
        <v>10105</v>
      </c>
    </row>
    <row r="5014" spans="1:2" x14ac:dyDescent="0.25">
      <c r="A5014" t="s">
        <v>10106</v>
      </c>
      <c r="B5014" t="s">
        <v>10107</v>
      </c>
    </row>
    <row r="5015" spans="1:2" x14ac:dyDescent="0.25">
      <c r="A5015" t="s">
        <v>10108</v>
      </c>
      <c r="B5015" t="s">
        <v>10109</v>
      </c>
    </row>
    <row r="5016" spans="1:2" x14ac:dyDescent="0.25">
      <c r="A5016" t="s">
        <v>10110</v>
      </c>
      <c r="B5016" t="s">
        <v>10111</v>
      </c>
    </row>
    <row r="5017" spans="1:2" x14ac:dyDescent="0.25">
      <c r="A5017" t="s">
        <v>10112</v>
      </c>
      <c r="B5017" t="s">
        <v>8759</v>
      </c>
    </row>
    <row r="5018" spans="1:2" x14ac:dyDescent="0.25">
      <c r="A5018" t="s">
        <v>10113</v>
      </c>
      <c r="B5018" t="s">
        <v>953</v>
      </c>
    </row>
    <row r="5019" spans="1:2" x14ac:dyDescent="0.25">
      <c r="A5019" t="s">
        <v>10114</v>
      </c>
      <c r="B5019" t="s">
        <v>10115</v>
      </c>
    </row>
    <row r="5020" spans="1:2" x14ac:dyDescent="0.25">
      <c r="A5020" t="s">
        <v>10116</v>
      </c>
      <c r="B5020" t="s">
        <v>10117</v>
      </c>
    </row>
    <row r="5021" spans="1:2" x14ac:dyDescent="0.25">
      <c r="A5021" t="s">
        <v>10118</v>
      </c>
      <c r="B5021" t="s">
        <v>10119</v>
      </c>
    </row>
    <row r="5022" spans="1:2" x14ac:dyDescent="0.25">
      <c r="A5022" t="s">
        <v>10120</v>
      </c>
      <c r="B5022" t="s">
        <v>969</v>
      </c>
    </row>
    <row r="5023" spans="1:2" x14ac:dyDescent="0.25">
      <c r="A5023" t="s">
        <v>10121</v>
      </c>
      <c r="B5023" t="s">
        <v>10122</v>
      </c>
    </row>
    <row r="5024" spans="1:2" x14ac:dyDescent="0.25">
      <c r="A5024" t="s">
        <v>10123</v>
      </c>
      <c r="B5024" t="s">
        <v>10124</v>
      </c>
    </row>
    <row r="5025" spans="1:2" x14ac:dyDescent="0.25">
      <c r="A5025" t="s">
        <v>10125</v>
      </c>
      <c r="B5025" t="s">
        <v>10126</v>
      </c>
    </row>
    <row r="5026" spans="1:2" x14ac:dyDescent="0.25">
      <c r="A5026" t="s">
        <v>10127</v>
      </c>
      <c r="B5026" t="s">
        <v>10128</v>
      </c>
    </row>
    <row r="5027" spans="1:2" x14ac:dyDescent="0.25">
      <c r="A5027" t="s">
        <v>10129</v>
      </c>
      <c r="B5027" t="s">
        <v>10130</v>
      </c>
    </row>
    <row r="5028" spans="1:2" x14ac:dyDescent="0.25">
      <c r="A5028" t="s">
        <v>10131</v>
      </c>
      <c r="B5028" t="s">
        <v>10132</v>
      </c>
    </row>
    <row r="5029" spans="1:2" x14ac:dyDescent="0.25">
      <c r="A5029" t="s">
        <v>10133</v>
      </c>
      <c r="B5029" t="s">
        <v>10134</v>
      </c>
    </row>
    <row r="5030" spans="1:2" x14ac:dyDescent="0.25">
      <c r="A5030" t="s">
        <v>10135</v>
      </c>
      <c r="B5030" t="s">
        <v>10136</v>
      </c>
    </row>
    <row r="5031" spans="1:2" x14ac:dyDescent="0.25">
      <c r="A5031" t="s">
        <v>10137</v>
      </c>
      <c r="B5031" t="s">
        <v>10138</v>
      </c>
    </row>
    <row r="5032" spans="1:2" x14ac:dyDescent="0.25">
      <c r="A5032" t="s">
        <v>10139</v>
      </c>
      <c r="B5032" t="s">
        <v>10140</v>
      </c>
    </row>
    <row r="5033" spans="1:2" x14ac:dyDescent="0.25">
      <c r="A5033" t="s">
        <v>10141</v>
      </c>
      <c r="B5033" t="s">
        <v>10142</v>
      </c>
    </row>
    <row r="5034" spans="1:2" x14ac:dyDescent="0.25">
      <c r="A5034" t="s">
        <v>10143</v>
      </c>
      <c r="B5034" t="s">
        <v>10144</v>
      </c>
    </row>
    <row r="5035" spans="1:2" x14ac:dyDescent="0.25">
      <c r="A5035" t="s">
        <v>10145</v>
      </c>
      <c r="B5035" t="s">
        <v>10146</v>
      </c>
    </row>
    <row r="5036" spans="1:2" x14ac:dyDescent="0.25">
      <c r="A5036" t="s">
        <v>10147</v>
      </c>
      <c r="B5036" t="s">
        <v>10148</v>
      </c>
    </row>
    <row r="5037" spans="1:2" x14ac:dyDescent="0.25">
      <c r="A5037" t="s">
        <v>10149</v>
      </c>
      <c r="B5037" t="s">
        <v>10150</v>
      </c>
    </row>
    <row r="5038" spans="1:2" x14ac:dyDescent="0.25">
      <c r="A5038" t="s">
        <v>10151</v>
      </c>
      <c r="B5038" t="s">
        <v>8637</v>
      </c>
    </row>
    <row r="5039" spans="1:2" x14ac:dyDescent="0.25">
      <c r="A5039" t="s">
        <v>10152</v>
      </c>
      <c r="B5039" t="s">
        <v>10153</v>
      </c>
    </row>
    <row r="5040" spans="1:2" x14ac:dyDescent="0.25">
      <c r="A5040" t="s">
        <v>10154</v>
      </c>
      <c r="B5040" t="s">
        <v>10155</v>
      </c>
    </row>
    <row r="5041" spans="1:2" x14ac:dyDescent="0.25">
      <c r="A5041" t="s">
        <v>10156</v>
      </c>
      <c r="B5041" t="s">
        <v>10157</v>
      </c>
    </row>
    <row r="5042" spans="1:2" x14ac:dyDescent="0.25">
      <c r="A5042" t="s">
        <v>10158</v>
      </c>
      <c r="B5042" t="s">
        <v>10159</v>
      </c>
    </row>
    <row r="5043" spans="1:2" x14ac:dyDescent="0.25">
      <c r="A5043" t="s">
        <v>10160</v>
      </c>
      <c r="B5043" t="s">
        <v>8719</v>
      </c>
    </row>
    <row r="5044" spans="1:2" x14ac:dyDescent="0.25">
      <c r="A5044" t="s">
        <v>10161</v>
      </c>
      <c r="B5044" t="s">
        <v>10162</v>
      </c>
    </row>
    <row r="5045" spans="1:2" x14ac:dyDescent="0.25">
      <c r="A5045" t="s">
        <v>10163</v>
      </c>
      <c r="B5045" t="s">
        <v>10164</v>
      </c>
    </row>
    <row r="5046" spans="1:2" x14ac:dyDescent="0.25">
      <c r="A5046" t="s">
        <v>10165</v>
      </c>
      <c r="B5046" t="s">
        <v>10166</v>
      </c>
    </row>
    <row r="5047" spans="1:2" x14ac:dyDescent="0.25">
      <c r="A5047" t="s">
        <v>10167</v>
      </c>
      <c r="B5047" t="s">
        <v>10168</v>
      </c>
    </row>
    <row r="5048" spans="1:2" x14ac:dyDescent="0.25">
      <c r="A5048" t="s">
        <v>10169</v>
      </c>
      <c r="B5048" t="s">
        <v>10170</v>
      </c>
    </row>
    <row r="5049" spans="1:2" x14ac:dyDescent="0.25">
      <c r="A5049" t="s">
        <v>10171</v>
      </c>
      <c r="B5049" t="s">
        <v>665</v>
      </c>
    </row>
    <row r="5050" spans="1:2" x14ac:dyDescent="0.25">
      <c r="A5050" t="s">
        <v>10172</v>
      </c>
      <c r="B5050" t="s">
        <v>10173</v>
      </c>
    </row>
    <row r="5051" spans="1:2" x14ac:dyDescent="0.25">
      <c r="A5051" t="s">
        <v>10174</v>
      </c>
      <c r="B5051" t="s">
        <v>10175</v>
      </c>
    </row>
    <row r="5052" spans="1:2" x14ac:dyDescent="0.25">
      <c r="A5052" t="s">
        <v>10176</v>
      </c>
      <c r="B5052" t="s">
        <v>10177</v>
      </c>
    </row>
    <row r="5053" spans="1:2" x14ac:dyDescent="0.25">
      <c r="A5053" t="s">
        <v>10178</v>
      </c>
      <c r="B5053" t="s">
        <v>10179</v>
      </c>
    </row>
    <row r="5054" spans="1:2" x14ac:dyDescent="0.25">
      <c r="A5054" t="s">
        <v>10180</v>
      </c>
      <c r="B5054" t="s">
        <v>10181</v>
      </c>
    </row>
    <row r="5055" spans="1:2" x14ac:dyDescent="0.25">
      <c r="A5055" t="s">
        <v>10182</v>
      </c>
      <c r="B5055" t="s">
        <v>10183</v>
      </c>
    </row>
    <row r="5056" spans="1:2" x14ac:dyDescent="0.25">
      <c r="A5056" t="s">
        <v>10184</v>
      </c>
      <c r="B5056" t="s">
        <v>10185</v>
      </c>
    </row>
    <row r="5057" spans="1:2" x14ac:dyDescent="0.25">
      <c r="A5057" t="s">
        <v>10186</v>
      </c>
      <c r="B5057" t="s">
        <v>940</v>
      </c>
    </row>
    <row r="5058" spans="1:2" x14ac:dyDescent="0.25">
      <c r="A5058" t="s">
        <v>10187</v>
      </c>
      <c r="B5058" t="s">
        <v>934</v>
      </c>
    </row>
    <row r="5059" spans="1:2" x14ac:dyDescent="0.25">
      <c r="A5059" t="s">
        <v>10188</v>
      </c>
      <c r="B5059" t="s">
        <v>9013</v>
      </c>
    </row>
    <row r="5060" spans="1:2" x14ac:dyDescent="0.25">
      <c r="A5060" t="s">
        <v>10189</v>
      </c>
      <c r="B5060" t="s">
        <v>10190</v>
      </c>
    </row>
    <row r="5061" spans="1:2" x14ac:dyDescent="0.25">
      <c r="A5061" t="s">
        <v>10191</v>
      </c>
      <c r="B5061" t="s">
        <v>10192</v>
      </c>
    </row>
    <row r="5062" spans="1:2" x14ac:dyDescent="0.25">
      <c r="A5062" t="s">
        <v>10193</v>
      </c>
      <c r="B5062" t="s">
        <v>939</v>
      </c>
    </row>
    <row r="5063" spans="1:2" x14ac:dyDescent="0.25">
      <c r="A5063" t="s">
        <v>10194</v>
      </c>
      <c r="B5063" t="s">
        <v>10195</v>
      </c>
    </row>
    <row r="5064" spans="1:2" x14ac:dyDescent="0.25">
      <c r="A5064" t="s">
        <v>10196</v>
      </c>
      <c r="B5064" t="s">
        <v>10197</v>
      </c>
    </row>
    <row r="5065" spans="1:2" x14ac:dyDescent="0.25">
      <c r="A5065" t="s">
        <v>10198</v>
      </c>
      <c r="B5065" t="s">
        <v>10199</v>
      </c>
    </row>
    <row r="5066" spans="1:2" x14ac:dyDescent="0.25">
      <c r="A5066" t="s">
        <v>10200</v>
      </c>
      <c r="B5066" t="s">
        <v>10201</v>
      </c>
    </row>
    <row r="5067" spans="1:2" x14ac:dyDescent="0.25">
      <c r="A5067" t="s">
        <v>10202</v>
      </c>
      <c r="B5067" t="s">
        <v>938</v>
      </c>
    </row>
    <row r="5068" spans="1:2" x14ac:dyDescent="0.25">
      <c r="A5068" t="s">
        <v>10203</v>
      </c>
      <c r="B5068" t="s">
        <v>927</v>
      </c>
    </row>
    <row r="5069" spans="1:2" x14ac:dyDescent="0.25">
      <c r="A5069" t="s">
        <v>10204</v>
      </c>
      <c r="B5069" t="s">
        <v>10205</v>
      </c>
    </row>
    <row r="5070" spans="1:2" x14ac:dyDescent="0.25">
      <c r="A5070" t="s">
        <v>10206</v>
      </c>
      <c r="B5070" t="s">
        <v>10207</v>
      </c>
    </row>
    <row r="5071" spans="1:2" x14ac:dyDescent="0.25">
      <c r="A5071" t="s">
        <v>10208</v>
      </c>
      <c r="B5071" t="s">
        <v>10209</v>
      </c>
    </row>
    <row r="5072" spans="1:2" x14ac:dyDescent="0.25">
      <c r="A5072" t="s">
        <v>10210</v>
      </c>
      <c r="B5072" t="s">
        <v>10211</v>
      </c>
    </row>
    <row r="5073" spans="1:2" x14ac:dyDescent="0.25">
      <c r="A5073" t="s">
        <v>10212</v>
      </c>
      <c r="B5073" t="s">
        <v>10213</v>
      </c>
    </row>
    <row r="5074" spans="1:2" x14ac:dyDescent="0.25">
      <c r="A5074" t="s">
        <v>10214</v>
      </c>
      <c r="B5074" t="s">
        <v>10215</v>
      </c>
    </row>
    <row r="5075" spans="1:2" x14ac:dyDescent="0.25">
      <c r="A5075" t="s">
        <v>10216</v>
      </c>
      <c r="B5075" t="s">
        <v>943</v>
      </c>
    </row>
    <row r="5076" spans="1:2" x14ac:dyDescent="0.25">
      <c r="A5076" t="s">
        <v>10217</v>
      </c>
      <c r="B5076" t="s">
        <v>10218</v>
      </c>
    </row>
    <row r="5077" spans="1:2" x14ac:dyDescent="0.25">
      <c r="A5077" t="s">
        <v>10219</v>
      </c>
      <c r="B5077" t="s">
        <v>955</v>
      </c>
    </row>
    <row r="5078" spans="1:2" x14ac:dyDescent="0.25">
      <c r="A5078" t="s">
        <v>10220</v>
      </c>
      <c r="B5078" t="s">
        <v>10221</v>
      </c>
    </row>
    <row r="5079" spans="1:2" x14ac:dyDescent="0.25">
      <c r="A5079" t="s">
        <v>10222</v>
      </c>
      <c r="B5079" t="s">
        <v>942</v>
      </c>
    </row>
    <row r="5080" spans="1:2" x14ac:dyDescent="0.25">
      <c r="A5080" t="s">
        <v>10223</v>
      </c>
      <c r="B5080" t="s">
        <v>924</v>
      </c>
    </row>
    <row r="5081" spans="1:2" x14ac:dyDescent="0.25">
      <c r="A5081" t="s">
        <v>10224</v>
      </c>
      <c r="B5081" t="s">
        <v>10225</v>
      </c>
    </row>
    <row r="5082" spans="1:2" x14ac:dyDescent="0.25">
      <c r="A5082" t="s">
        <v>10226</v>
      </c>
      <c r="B5082" t="s">
        <v>10227</v>
      </c>
    </row>
    <row r="5083" spans="1:2" x14ac:dyDescent="0.25">
      <c r="A5083" t="s">
        <v>10228</v>
      </c>
      <c r="B5083" t="s">
        <v>968</v>
      </c>
    </row>
    <row r="5084" spans="1:2" x14ac:dyDescent="0.25">
      <c r="A5084" t="s">
        <v>10229</v>
      </c>
      <c r="B5084" t="s">
        <v>965</v>
      </c>
    </row>
    <row r="5085" spans="1:2" x14ac:dyDescent="0.25">
      <c r="A5085" t="s">
        <v>10230</v>
      </c>
      <c r="B5085" t="s">
        <v>10231</v>
      </c>
    </row>
    <row r="5086" spans="1:2" x14ac:dyDescent="0.25">
      <c r="A5086" t="s">
        <v>10232</v>
      </c>
      <c r="B5086" t="s">
        <v>10233</v>
      </c>
    </row>
    <row r="5087" spans="1:2" x14ac:dyDescent="0.25">
      <c r="A5087" t="s">
        <v>10234</v>
      </c>
      <c r="B5087" t="s">
        <v>10235</v>
      </c>
    </row>
    <row r="5088" spans="1:2" x14ac:dyDescent="0.25">
      <c r="A5088" t="s">
        <v>10236</v>
      </c>
      <c r="B5088" t="s">
        <v>930</v>
      </c>
    </row>
    <row r="5089" spans="1:2" x14ac:dyDescent="0.25">
      <c r="A5089" t="s">
        <v>10237</v>
      </c>
      <c r="B5089" t="s">
        <v>903</v>
      </c>
    </row>
    <row r="5090" spans="1:2" x14ac:dyDescent="0.25">
      <c r="A5090" t="s">
        <v>10238</v>
      </c>
      <c r="B5090" t="s">
        <v>949</v>
      </c>
    </row>
    <row r="5091" spans="1:2" x14ac:dyDescent="0.25">
      <c r="A5091" t="s">
        <v>10239</v>
      </c>
      <c r="B5091" t="s">
        <v>10240</v>
      </c>
    </row>
    <row r="5092" spans="1:2" x14ac:dyDescent="0.25">
      <c r="A5092" t="s">
        <v>10241</v>
      </c>
      <c r="B5092" t="s">
        <v>10242</v>
      </c>
    </row>
    <row r="5093" spans="1:2" x14ac:dyDescent="0.25">
      <c r="A5093" t="s">
        <v>10243</v>
      </c>
      <c r="B5093" t="s">
        <v>10244</v>
      </c>
    </row>
    <row r="5094" spans="1:2" x14ac:dyDescent="0.25">
      <c r="A5094" t="s">
        <v>10245</v>
      </c>
      <c r="B5094" t="s">
        <v>10246</v>
      </c>
    </row>
    <row r="5095" spans="1:2" x14ac:dyDescent="0.25">
      <c r="A5095" t="s">
        <v>10247</v>
      </c>
      <c r="B5095" t="s">
        <v>10248</v>
      </c>
    </row>
    <row r="5096" spans="1:2" x14ac:dyDescent="0.25">
      <c r="A5096" t="s">
        <v>10249</v>
      </c>
      <c r="B5096" t="s">
        <v>10250</v>
      </c>
    </row>
    <row r="5097" spans="1:2" x14ac:dyDescent="0.25">
      <c r="A5097" t="s">
        <v>10251</v>
      </c>
      <c r="B5097" t="s">
        <v>897</v>
      </c>
    </row>
    <row r="5098" spans="1:2" x14ac:dyDescent="0.25">
      <c r="A5098" t="s">
        <v>10252</v>
      </c>
      <c r="B5098" t="s">
        <v>10253</v>
      </c>
    </row>
    <row r="5099" spans="1:2" x14ac:dyDescent="0.25">
      <c r="A5099" t="s">
        <v>10254</v>
      </c>
      <c r="B5099" t="s">
        <v>10255</v>
      </c>
    </row>
    <row r="5100" spans="1:2" x14ac:dyDescent="0.25">
      <c r="A5100" t="s">
        <v>10256</v>
      </c>
      <c r="B5100" t="s">
        <v>10257</v>
      </c>
    </row>
    <row r="5101" spans="1:2" x14ac:dyDescent="0.25">
      <c r="A5101" t="s">
        <v>10258</v>
      </c>
      <c r="B5101" t="s">
        <v>10259</v>
      </c>
    </row>
    <row r="5102" spans="1:2" x14ac:dyDescent="0.25">
      <c r="A5102" t="s">
        <v>10260</v>
      </c>
      <c r="B5102" t="s">
        <v>10261</v>
      </c>
    </row>
    <row r="5103" spans="1:2" x14ac:dyDescent="0.25">
      <c r="A5103" t="s">
        <v>10262</v>
      </c>
      <c r="B5103" t="s">
        <v>10263</v>
      </c>
    </row>
    <row r="5104" spans="1:2" x14ac:dyDescent="0.25">
      <c r="A5104" t="s">
        <v>10264</v>
      </c>
      <c r="B5104" t="s">
        <v>10265</v>
      </c>
    </row>
    <row r="5105" spans="1:2" x14ac:dyDescent="0.25">
      <c r="A5105" t="s">
        <v>10266</v>
      </c>
      <c r="B5105" t="s">
        <v>10267</v>
      </c>
    </row>
    <row r="5106" spans="1:2" x14ac:dyDescent="0.25">
      <c r="A5106" t="s">
        <v>10268</v>
      </c>
      <c r="B5106" t="s">
        <v>10269</v>
      </c>
    </row>
    <row r="5107" spans="1:2" x14ac:dyDescent="0.25">
      <c r="A5107" t="s">
        <v>10270</v>
      </c>
      <c r="B5107" t="s">
        <v>10271</v>
      </c>
    </row>
    <row r="5108" spans="1:2" x14ac:dyDescent="0.25">
      <c r="A5108" t="s">
        <v>10272</v>
      </c>
      <c r="B5108" t="s">
        <v>10273</v>
      </c>
    </row>
    <row r="5109" spans="1:2" x14ac:dyDescent="0.25">
      <c r="A5109" t="s">
        <v>10274</v>
      </c>
      <c r="B5109" t="s">
        <v>10275</v>
      </c>
    </row>
    <row r="5110" spans="1:2" x14ac:dyDescent="0.25">
      <c r="A5110" t="s">
        <v>10276</v>
      </c>
      <c r="B5110" t="s">
        <v>10277</v>
      </c>
    </row>
    <row r="5111" spans="1:2" x14ac:dyDescent="0.25">
      <c r="A5111" t="s">
        <v>10278</v>
      </c>
      <c r="B5111" t="s">
        <v>766</v>
      </c>
    </row>
    <row r="5112" spans="1:2" x14ac:dyDescent="0.25">
      <c r="A5112" t="s">
        <v>10279</v>
      </c>
      <c r="B5112" t="s">
        <v>10280</v>
      </c>
    </row>
    <row r="5113" spans="1:2" x14ac:dyDescent="0.25">
      <c r="A5113" t="s">
        <v>10281</v>
      </c>
      <c r="B5113" t="s">
        <v>10282</v>
      </c>
    </row>
    <row r="5114" spans="1:2" x14ac:dyDescent="0.25">
      <c r="A5114" t="s">
        <v>10283</v>
      </c>
      <c r="B5114" t="s">
        <v>10284</v>
      </c>
    </row>
    <row r="5115" spans="1:2" x14ac:dyDescent="0.25">
      <c r="A5115" t="s">
        <v>10285</v>
      </c>
      <c r="B5115" t="s">
        <v>10286</v>
      </c>
    </row>
    <row r="5116" spans="1:2" x14ac:dyDescent="0.25">
      <c r="A5116" t="s">
        <v>10287</v>
      </c>
      <c r="B5116" t="s">
        <v>10288</v>
      </c>
    </row>
    <row r="5117" spans="1:2" x14ac:dyDescent="0.25">
      <c r="A5117" t="s">
        <v>10289</v>
      </c>
      <c r="B5117" t="s">
        <v>941</v>
      </c>
    </row>
    <row r="5118" spans="1:2" x14ac:dyDescent="0.25">
      <c r="A5118" t="s">
        <v>10290</v>
      </c>
      <c r="B5118" t="s">
        <v>10291</v>
      </c>
    </row>
    <row r="5119" spans="1:2" x14ac:dyDescent="0.25">
      <c r="A5119" t="s">
        <v>10292</v>
      </c>
      <c r="B5119" t="s">
        <v>10293</v>
      </c>
    </row>
    <row r="5120" spans="1:2" x14ac:dyDescent="0.25">
      <c r="A5120" t="s">
        <v>10294</v>
      </c>
      <c r="B5120" t="s">
        <v>10295</v>
      </c>
    </row>
    <row r="5121" spans="1:2" x14ac:dyDescent="0.25">
      <c r="A5121" t="s">
        <v>10296</v>
      </c>
      <c r="B5121" t="s">
        <v>10297</v>
      </c>
    </row>
    <row r="5122" spans="1:2" x14ac:dyDescent="0.25">
      <c r="A5122" t="s">
        <v>10298</v>
      </c>
      <c r="B5122" t="s">
        <v>10299</v>
      </c>
    </row>
    <row r="5123" spans="1:2" x14ac:dyDescent="0.25">
      <c r="A5123" t="s">
        <v>10300</v>
      </c>
      <c r="B5123" t="s">
        <v>10301</v>
      </c>
    </row>
    <row r="5124" spans="1:2" x14ac:dyDescent="0.25">
      <c r="A5124" t="s">
        <v>10302</v>
      </c>
      <c r="B5124" t="s">
        <v>10303</v>
      </c>
    </row>
    <row r="5125" spans="1:2" x14ac:dyDescent="0.25">
      <c r="A5125" t="s">
        <v>10304</v>
      </c>
      <c r="B5125" t="s">
        <v>10305</v>
      </c>
    </row>
    <row r="5126" spans="1:2" x14ac:dyDescent="0.25">
      <c r="A5126" t="s">
        <v>10306</v>
      </c>
      <c r="B5126" t="s">
        <v>10307</v>
      </c>
    </row>
    <row r="5127" spans="1:2" x14ac:dyDescent="0.25">
      <c r="A5127" t="s">
        <v>10308</v>
      </c>
      <c r="B5127" t="s">
        <v>10309</v>
      </c>
    </row>
    <row r="5128" spans="1:2" x14ac:dyDescent="0.25">
      <c r="A5128" t="s">
        <v>10310</v>
      </c>
      <c r="B5128" t="s">
        <v>10311</v>
      </c>
    </row>
    <row r="5129" spans="1:2" x14ac:dyDescent="0.25">
      <c r="A5129" t="s">
        <v>10312</v>
      </c>
      <c r="B5129" t="s">
        <v>10313</v>
      </c>
    </row>
    <row r="5130" spans="1:2" x14ac:dyDescent="0.25">
      <c r="A5130" t="s">
        <v>10314</v>
      </c>
      <c r="B5130" t="s">
        <v>10315</v>
      </c>
    </row>
    <row r="5131" spans="1:2" x14ac:dyDescent="0.25">
      <c r="A5131" t="s">
        <v>10316</v>
      </c>
      <c r="B5131" t="s">
        <v>10317</v>
      </c>
    </row>
    <row r="5132" spans="1:2" x14ac:dyDescent="0.25">
      <c r="A5132" t="s">
        <v>10318</v>
      </c>
      <c r="B5132" t="s">
        <v>10319</v>
      </c>
    </row>
    <row r="5133" spans="1:2" x14ac:dyDescent="0.25">
      <c r="A5133" t="s">
        <v>10320</v>
      </c>
      <c r="B5133" t="s">
        <v>10321</v>
      </c>
    </row>
    <row r="5134" spans="1:2" x14ac:dyDescent="0.25">
      <c r="A5134" t="s">
        <v>10322</v>
      </c>
      <c r="B5134" t="s">
        <v>10323</v>
      </c>
    </row>
    <row r="5135" spans="1:2" x14ac:dyDescent="0.25">
      <c r="A5135" t="s">
        <v>10324</v>
      </c>
      <c r="B5135" t="s">
        <v>10325</v>
      </c>
    </row>
    <row r="5136" spans="1:2" x14ac:dyDescent="0.25">
      <c r="A5136" t="s">
        <v>10326</v>
      </c>
      <c r="B5136" t="s">
        <v>10327</v>
      </c>
    </row>
    <row r="5137" spans="1:2" x14ac:dyDescent="0.25">
      <c r="A5137" t="s">
        <v>10328</v>
      </c>
      <c r="B5137" t="s">
        <v>10329</v>
      </c>
    </row>
    <row r="5138" spans="1:2" x14ac:dyDescent="0.25">
      <c r="A5138" t="s">
        <v>10330</v>
      </c>
      <c r="B5138" t="s">
        <v>10331</v>
      </c>
    </row>
    <row r="5139" spans="1:2" x14ac:dyDescent="0.25">
      <c r="A5139" t="s">
        <v>10332</v>
      </c>
      <c r="B5139" t="s">
        <v>10333</v>
      </c>
    </row>
    <row r="5140" spans="1:2" x14ac:dyDescent="0.25">
      <c r="A5140" t="s">
        <v>10334</v>
      </c>
      <c r="B5140" t="s">
        <v>10335</v>
      </c>
    </row>
    <row r="5141" spans="1:2" x14ac:dyDescent="0.25">
      <c r="A5141" t="s">
        <v>10336</v>
      </c>
      <c r="B5141" t="s">
        <v>10337</v>
      </c>
    </row>
    <row r="5142" spans="1:2" x14ac:dyDescent="0.25">
      <c r="A5142" t="s">
        <v>10338</v>
      </c>
      <c r="B5142" t="s">
        <v>935</v>
      </c>
    </row>
    <row r="5143" spans="1:2" x14ac:dyDescent="0.25">
      <c r="A5143" t="s">
        <v>10339</v>
      </c>
      <c r="B5143" t="s">
        <v>10340</v>
      </c>
    </row>
    <row r="5144" spans="1:2" x14ac:dyDescent="0.25">
      <c r="A5144" t="s">
        <v>10341</v>
      </c>
      <c r="B5144" t="s">
        <v>10342</v>
      </c>
    </row>
    <row r="5145" spans="1:2" x14ac:dyDescent="0.25">
      <c r="A5145" t="s">
        <v>10343</v>
      </c>
      <c r="B5145" t="s">
        <v>10344</v>
      </c>
    </row>
    <row r="5146" spans="1:2" x14ac:dyDescent="0.25">
      <c r="A5146" t="s">
        <v>10345</v>
      </c>
      <c r="B5146" t="s">
        <v>10346</v>
      </c>
    </row>
    <row r="5147" spans="1:2" x14ac:dyDescent="0.25">
      <c r="A5147" t="s">
        <v>10347</v>
      </c>
      <c r="B5147" t="s">
        <v>960</v>
      </c>
    </row>
    <row r="5148" spans="1:2" x14ac:dyDescent="0.25">
      <c r="A5148" t="s">
        <v>10348</v>
      </c>
      <c r="B5148" t="s">
        <v>8942</v>
      </c>
    </row>
    <row r="5149" spans="1:2" x14ac:dyDescent="0.25">
      <c r="A5149" t="s">
        <v>10349</v>
      </c>
      <c r="B5149" t="s">
        <v>10350</v>
      </c>
    </row>
    <row r="5150" spans="1:2" x14ac:dyDescent="0.25">
      <c r="A5150" t="s">
        <v>10351</v>
      </c>
      <c r="B5150" t="s">
        <v>10352</v>
      </c>
    </row>
    <row r="5151" spans="1:2" x14ac:dyDescent="0.25">
      <c r="A5151" t="s">
        <v>10353</v>
      </c>
      <c r="B5151" t="s">
        <v>10354</v>
      </c>
    </row>
    <row r="5152" spans="1:2" x14ac:dyDescent="0.25">
      <c r="A5152" t="s">
        <v>10355</v>
      </c>
      <c r="B5152" t="s">
        <v>10356</v>
      </c>
    </row>
    <row r="5153" spans="1:2" x14ac:dyDescent="0.25">
      <c r="A5153" t="s">
        <v>10357</v>
      </c>
      <c r="B5153" t="s">
        <v>10358</v>
      </c>
    </row>
    <row r="5154" spans="1:2" x14ac:dyDescent="0.25">
      <c r="A5154" t="s">
        <v>10359</v>
      </c>
      <c r="B5154" t="s">
        <v>10360</v>
      </c>
    </row>
    <row r="5155" spans="1:2" x14ac:dyDescent="0.25">
      <c r="A5155" t="s">
        <v>10361</v>
      </c>
      <c r="B5155" t="s">
        <v>909</v>
      </c>
    </row>
    <row r="5156" spans="1:2" x14ac:dyDescent="0.25">
      <c r="A5156" t="s">
        <v>10362</v>
      </c>
      <c r="B5156" t="s">
        <v>10363</v>
      </c>
    </row>
    <row r="5157" spans="1:2" x14ac:dyDescent="0.25">
      <c r="A5157" t="s">
        <v>10364</v>
      </c>
      <c r="B5157" t="s">
        <v>10365</v>
      </c>
    </row>
    <row r="5158" spans="1:2" x14ac:dyDescent="0.25">
      <c r="A5158" t="s">
        <v>10366</v>
      </c>
      <c r="B5158" t="s">
        <v>10367</v>
      </c>
    </row>
    <row r="5159" spans="1:2" x14ac:dyDescent="0.25">
      <c r="A5159" t="s">
        <v>10368</v>
      </c>
      <c r="B5159" t="s">
        <v>10369</v>
      </c>
    </row>
    <row r="5160" spans="1:2" x14ac:dyDescent="0.25">
      <c r="A5160" t="s">
        <v>10370</v>
      </c>
      <c r="B5160" t="s">
        <v>10371</v>
      </c>
    </row>
    <row r="5161" spans="1:2" x14ac:dyDescent="0.25">
      <c r="A5161" t="s">
        <v>10372</v>
      </c>
      <c r="B5161" t="s">
        <v>10373</v>
      </c>
    </row>
    <row r="5162" spans="1:2" x14ac:dyDescent="0.25">
      <c r="A5162" t="s">
        <v>10374</v>
      </c>
      <c r="B5162" t="s">
        <v>10375</v>
      </c>
    </row>
    <row r="5163" spans="1:2" x14ac:dyDescent="0.25">
      <c r="A5163" t="s">
        <v>10376</v>
      </c>
      <c r="B5163" t="s">
        <v>10377</v>
      </c>
    </row>
    <row r="5164" spans="1:2" x14ac:dyDescent="0.25">
      <c r="A5164" t="s">
        <v>10378</v>
      </c>
      <c r="B5164" t="s">
        <v>10379</v>
      </c>
    </row>
    <row r="5165" spans="1:2" x14ac:dyDescent="0.25">
      <c r="A5165" t="s">
        <v>10380</v>
      </c>
      <c r="B5165" t="s">
        <v>10381</v>
      </c>
    </row>
    <row r="5166" spans="1:2" x14ac:dyDescent="0.25">
      <c r="A5166" t="s">
        <v>10382</v>
      </c>
      <c r="B5166" t="s">
        <v>9026</v>
      </c>
    </row>
    <row r="5167" spans="1:2" x14ac:dyDescent="0.25">
      <c r="A5167" t="s">
        <v>10383</v>
      </c>
      <c r="B5167" t="s">
        <v>911</v>
      </c>
    </row>
    <row r="5168" spans="1:2" x14ac:dyDescent="0.25">
      <c r="A5168" t="s">
        <v>10384</v>
      </c>
      <c r="B5168" t="s">
        <v>10385</v>
      </c>
    </row>
    <row r="5169" spans="1:2" x14ac:dyDescent="0.25">
      <c r="A5169" t="s">
        <v>10386</v>
      </c>
      <c r="B5169" t="s">
        <v>10387</v>
      </c>
    </row>
    <row r="5170" spans="1:2" x14ac:dyDescent="0.25">
      <c r="A5170" t="s">
        <v>10388</v>
      </c>
      <c r="B5170" t="s">
        <v>10389</v>
      </c>
    </row>
    <row r="5171" spans="1:2" x14ac:dyDescent="0.25">
      <c r="A5171" t="s">
        <v>10390</v>
      </c>
      <c r="B5171" t="s">
        <v>10391</v>
      </c>
    </row>
    <row r="5172" spans="1:2" x14ac:dyDescent="0.25">
      <c r="A5172" t="s">
        <v>10392</v>
      </c>
      <c r="B5172" t="s">
        <v>10393</v>
      </c>
    </row>
    <row r="5173" spans="1:2" x14ac:dyDescent="0.25">
      <c r="A5173" t="s">
        <v>10394</v>
      </c>
      <c r="B5173" t="s">
        <v>10395</v>
      </c>
    </row>
    <row r="5174" spans="1:2" x14ac:dyDescent="0.25">
      <c r="A5174" t="s">
        <v>10396</v>
      </c>
      <c r="B5174" t="s">
        <v>10397</v>
      </c>
    </row>
    <row r="5175" spans="1:2" x14ac:dyDescent="0.25">
      <c r="A5175" t="s">
        <v>10398</v>
      </c>
      <c r="B5175" t="s">
        <v>10399</v>
      </c>
    </row>
    <row r="5176" spans="1:2" x14ac:dyDescent="0.25">
      <c r="A5176" t="s">
        <v>10400</v>
      </c>
      <c r="B5176" t="s">
        <v>10401</v>
      </c>
    </row>
    <row r="5177" spans="1:2" x14ac:dyDescent="0.25">
      <c r="A5177" t="s">
        <v>10402</v>
      </c>
      <c r="B5177" t="s">
        <v>970</v>
      </c>
    </row>
    <row r="5178" spans="1:2" x14ac:dyDescent="0.25">
      <c r="A5178" t="s">
        <v>10403</v>
      </c>
      <c r="B5178" t="s">
        <v>10404</v>
      </c>
    </row>
    <row r="5179" spans="1:2" x14ac:dyDescent="0.25">
      <c r="A5179" t="s">
        <v>10405</v>
      </c>
      <c r="B5179" t="s">
        <v>10406</v>
      </c>
    </row>
    <row r="5180" spans="1:2" x14ac:dyDescent="0.25">
      <c r="A5180" t="s">
        <v>10407</v>
      </c>
      <c r="B5180" t="s">
        <v>10408</v>
      </c>
    </row>
    <row r="5181" spans="1:2" x14ac:dyDescent="0.25">
      <c r="A5181" t="s">
        <v>10409</v>
      </c>
      <c r="B5181" t="s">
        <v>10410</v>
      </c>
    </row>
    <row r="5182" spans="1:2" x14ac:dyDescent="0.25">
      <c r="A5182" t="s">
        <v>10411</v>
      </c>
      <c r="B5182" t="s">
        <v>8828</v>
      </c>
    </row>
    <row r="5183" spans="1:2" x14ac:dyDescent="0.25">
      <c r="A5183" t="s">
        <v>10412</v>
      </c>
      <c r="B5183" t="s">
        <v>922</v>
      </c>
    </row>
    <row r="5184" spans="1:2" x14ac:dyDescent="0.25">
      <c r="A5184" t="s">
        <v>10413</v>
      </c>
      <c r="B5184" t="s">
        <v>10414</v>
      </c>
    </row>
    <row r="5185" spans="1:2" x14ac:dyDescent="0.25">
      <c r="A5185" t="s">
        <v>10415</v>
      </c>
      <c r="B5185" t="s">
        <v>10416</v>
      </c>
    </row>
    <row r="5186" spans="1:2" x14ac:dyDescent="0.25">
      <c r="A5186" t="s">
        <v>10417</v>
      </c>
      <c r="B5186" t="s">
        <v>10418</v>
      </c>
    </row>
    <row r="5187" spans="1:2" x14ac:dyDescent="0.25">
      <c r="A5187" t="s">
        <v>10419</v>
      </c>
      <c r="B5187" t="s">
        <v>10420</v>
      </c>
    </row>
    <row r="5188" spans="1:2" x14ac:dyDescent="0.25">
      <c r="A5188" t="s">
        <v>10421</v>
      </c>
      <c r="B5188" t="s">
        <v>10422</v>
      </c>
    </row>
    <row r="5189" spans="1:2" x14ac:dyDescent="0.25">
      <c r="A5189" t="s">
        <v>10423</v>
      </c>
      <c r="B5189" t="s">
        <v>10424</v>
      </c>
    </row>
    <row r="5190" spans="1:2" x14ac:dyDescent="0.25">
      <c r="A5190" t="s">
        <v>10425</v>
      </c>
      <c r="B5190" t="s">
        <v>920</v>
      </c>
    </row>
    <row r="5191" spans="1:2" x14ac:dyDescent="0.25">
      <c r="A5191" t="s">
        <v>10426</v>
      </c>
      <c r="B5191" t="s">
        <v>928</v>
      </c>
    </row>
    <row r="5192" spans="1:2" x14ac:dyDescent="0.25">
      <c r="A5192" t="s">
        <v>10427</v>
      </c>
      <c r="B5192" t="s">
        <v>948</v>
      </c>
    </row>
    <row r="5193" spans="1:2" x14ac:dyDescent="0.25">
      <c r="A5193" t="s">
        <v>10428</v>
      </c>
      <c r="B5193" t="s">
        <v>931</v>
      </c>
    </row>
    <row r="5194" spans="1:2" x14ac:dyDescent="0.25">
      <c r="A5194" t="s">
        <v>10429</v>
      </c>
      <c r="B5194" t="s">
        <v>902</v>
      </c>
    </row>
    <row r="5195" spans="1:2" x14ac:dyDescent="0.25">
      <c r="A5195" t="s">
        <v>10430</v>
      </c>
      <c r="B5195" t="s">
        <v>959</v>
      </c>
    </row>
    <row r="5196" spans="1:2" x14ac:dyDescent="0.25">
      <c r="A5196" t="s">
        <v>10431</v>
      </c>
      <c r="B5196" t="s">
        <v>952</v>
      </c>
    </row>
    <row r="5197" spans="1:2" x14ac:dyDescent="0.25">
      <c r="A5197" t="s">
        <v>10432</v>
      </c>
      <c r="B5197" t="s">
        <v>910</v>
      </c>
    </row>
    <row r="5198" spans="1:2" x14ac:dyDescent="0.25">
      <c r="A5198" t="s">
        <v>10433</v>
      </c>
      <c r="B5198" t="s">
        <v>900</v>
      </c>
    </row>
    <row r="5199" spans="1:2" x14ac:dyDescent="0.25">
      <c r="A5199" t="s">
        <v>10434</v>
      </c>
      <c r="B5199" t="s">
        <v>933</v>
      </c>
    </row>
    <row r="5200" spans="1:2" x14ac:dyDescent="0.25">
      <c r="A5200" t="s">
        <v>10435</v>
      </c>
      <c r="B5200" t="s">
        <v>967</v>
      </c>
    </row>
    <row r="5201" spans="1:2" x14ac:dyDescent="0.25">
      <c r="A5201" t="s">
        <v>10436</v>
      </c>
      <c r="B5201" t="s">
        <v>962</v>
      </c>
    </row>
    <row r="5202" spans="1:2" x14ac:dyDescent="0.25">
      <c r="A5202" t="s">
        <v>10437</v>
      </c>
      <c r="B5202" t="s">
        <v>904</v>
      </c>
    </row>
    <row r="5203" spans="1:2" x14ac:dyDescent="0.25">
      <c r="A5203" t="s">
        <v>10438</v>
      </c>
      <c r="B5203" t="s">
        <v>946</v>
      </c>
    </row>
    <row r="5204" spans="1:2" x14ac:dyDescent="0.25">
      <c r="A5204" t="s">
        <v>10439</v>
      </c>
      <c r="B5204" t="s">
        <v>895</v>
      </c>
    </row>
    <row r="5205" spans="1:2" x14ac:dyDescent="0.25">
      <c r="A5205" t="s">
        <v>10440</v>
      </c>
      <c r="B5205" t="s">
        <v>901</v>
      </c>
    </row>
    <row r="5206" spans="1:2" x14ac:dyDescent="0.25">
      <c r="A5206" t="s">
        <v>10441</v>
      </c>
      <c r="B5206" t="s">
        <v>889</v>
      </c>
    </row>
    <row r="5207" spans="1:2" x14ac:dyDescent="0.25">
      <c r="A5207" t="s">
        <v>10442</v>
      </c>
      <c r="B5207" t="s">
        <v>963</v>
      </c>
    </row>
    <row r="5208" spans="1:2" x14ac:dyDescent="0.25">
      <c r="A5208" t="s">
        <v>10443</v>
      </c>
      <c r="B5208" t="s">
        <v>944</v>
      </c>
    </row>
    <row r="5209" spans="1:2" x14ac:dyDescent="0.25">
      <c r="A5209" t="s">
        <v>10444</v>
      </c>
      <c r="B5209" t="s">
        <v>899</v>
      </c>
    </row>
    <row r="5210" spans="1:2" x14ac:dyDescent="0.25">
      <c r="A5210" t="s">
        <v>10445</v>
      </c>
      <c r="B5210" t="s">
        <v>896</v>
      </c>
    </row>
    <row r="5211" spans="1:2" x14ac:dyDescent="0.25">
      <c r="A5211" t="s">
        <v>10446</v>
      </c>
      <c r="B5211" t="s">
        <v>932</v>
      </c>
    </row>
    <row r="5212" spans="1:2" x14ac:dyDescent="0.25">
      <c r="A5212" t="s">
        <v>10447</v>
      </c>
      <c r="B5212" t="s">
        <v>908</v>
      </c>
    </row>
    <row r="5213" spans="1:2" x14ac:dyDescent="0.25">
      <c r="A5213" t="s">
        <v>10448</v>
      </c>
      <c r="B5213" t="s">
        <v>947</v>
      </c>
    </row>
    <row r="5214" spans="1:2" x14ac:dyDescent="0.25">
      <c r="A5214" t="s">
        <v>10449</v>
      </c>
      <c r="B5214" t="s">
        <v>957</v>
      </c>
    </row>
    <row r="5215" spans="1:2" x14ac:dyDescent="0.25">
      <c r="A5215" t="s">
        <v>10450</v>
      </c>
      <c r="B5215" t="s">
        <v>929</v>
      </c>
    </row>
    <row r="5216" spans="1:2" x14ac:dyDescent="0.25">
      <c r="A5216" t="s">
        <v>10451</v>
      </c>
      <c r="B5216" t="s">
        <v>925</v>
      </c>
    </row>
    <row r="5217" spans="1:2" x14ac:dyDescent="0.25">
      <c r="A5217" t="s">
        <v>10452</v>
      </c>
      <c r="B5217" t="s">
        <v>906</v>
      </c>
    </row>
    <row r="5218" spans="1:2" x14ac:dyDescent="0.25">
      <c r="A5218" t="s">
        <v>10453</v>
      </c>
      <c r="B5218" t="s">
        <v>905</v>
      </c>
    </row>
    <row r="5219" spans="1:2" x14ac:dyDescent="0.25">
      <c r="A5219" t="s">
        <v>10454</v>
      </c>
      <c r="B5219" t="s">
        <v>951</v>
      </c>
    </row>
    <row r="5220" spans="1:2" x14ac:dyDescent="0.25">
      <c r="A5220" t="s">
        <v>10455</v>
      </c>
      <c r="B5220" t="s">
        <v>10456</v>
      </c>
    </row>
    <row r="5221" spans="1:2" x14ac:dyDescent="0.25">
      <c r="A5221" t="s">
        <v>10457</v>
      </c>
      <c r="B5221" t="s">
        <v>10458</v>
      </c>
    </row>
    <row r="5222" spans="1:2" x14ac:dyDescent="0.25">
      <c r="A5222" t="s">
        <v>10459</v>
      </c>
      <c r="B5222" t="s">
        <v>10460</v>
      </c>
    </row>
    <row r="5223" spans="1:2" x14ac:dyDescent="0.25">
      <c r="A5223" t="s">
        <v>10461</v>
      </c>
      <c r="B5223" t="s">
        <v>10462</v>
      </c>
    </row>
    <row r="5224" spans="1:2" x14ac:dyDescent="0.25">
      <c r="A5224" t="s">
        <v>10463</v>
      </c>
      <c r="B5224" t="s">
        <v>10464</v>
      </c>
    </row>
    <row r="5225" spans="1:2" x14ac:dyDescent="0.25">
      <c r="A5225" t="s">
        <v>10465</v>
      </c>
      <c r="B5225" t="s">
        <v>10466</v>
      </c>
    </row>
    <row r="5226" spans="1:2" x14ac:dyDescent="0.25">
      <c r="A5226" t="s">
        <v>10467</v>
      </c>
      <c r="B5226" t="s">
        <v>10468</v>
      </c>
    </row>
    <row r="5227" spans="1:2" x14ac:dyDescent="0.25">
      <c r="A5227" t="s">
        <v>10469</v>
      </c>
      <c r="B5227" t="s">
        <v>10470</v>
      </c>
    </row>
    <row r="5228" spans="1:2" x14ac:dyDescent="0.25">
      <c r="A5228" t="s">
        <v>10471</v>
      </c>
      <c r="B5228" t="s">
        <v>10472</v>
      </c>
    </row>
    <row r="5229" spans="1:2" x14ac:dyDescent="0.25">
      <c r="A5229" t="s">
        <v>10473</v>
      </c>
      <c r="B5229" t="s">
        <v>10474</v>
      </c>
    </row>
    <row r="5230" spans="1:2" x14ac:dyDescent="0.25">
      <c r="A5230" t="s">
        <v>10475</v>
      </c>
      <c r="B5230" t="s">
        <v>10476</v>
      </c>
    </row>
    <row r="5231" spans="1:2" x14ac:dyDescent="0.25">
      <c r="A5231" t="s">
        <v>10477</v>
      </c>
      <c r="B5231" t="s">
        <v>10478</v>
      </c>
    </row>
    <row r="5232" spans="1:2" x14ac:dyDescent="0.25">
      <c r="A5232" t="s">
        <v>10479</v>
      </c>
      <c r="B5232" t="s">
        <v>10480</v>
      </c>
    </row>
    <row r="5233" spans="1:2" x14ac:dyDescent="0.25">
      <c r="A5233" t="s">
        <v>10481</v>
      </c>
      <c r="B5233" t="s">
        <v>10482</v>
      </c>
    </row>
    <row r="5234" spans="1:2" x14ac:dyDescent="0.25">
      <c r="A5234" t="s">
        <v>10483</v>
      </c>
      <c r="B5234" t="s">
        <v>10484</v>
      </c>
    </row>
    <row r="5235" spans="1:2" x14ac:dyDescent="0.25">
      <c r="A5235" t="s">
        <v>10485</v>
      </c>
      <c r="B5235" t="s">
        <v>10486</v>
      </c>
    </row>
    <row r="5236" spans="1:2" x14ac:dyDescent="0.25">
      <c r="A5236" t="s">
        <v>10487</v>
      </c>
      <c r="B5236" t="s">
        <v>10488</v>
      </c>
    </row>
    <row r="5237" spans="1:2" x14ac:dyDescent="0.25">
      <c r="A5237" t="s">
        <v>10489</v>
      </c>
      <c r="B5237" t="s">
        <v>10490</v>
      </c>
    </row>
    <row r="5238" spans="1:2" x14ac:dyDescent="0.25">
      <c r="A5238" t="s">
        <v>10491</v>
      </c>
      <c r="B5238" t="s">
        <v>10492</v>
      </c>
    </row>
    <row r="5239" spans="1:2" x14ac:dyDescent="0.25">
      <c r="A5239" t="s">
        <v>10493</v>
      </c>
      <c r="B5239" t="s">
        <v>10494</v>
      </c>
    </row>
    <row r="5240" spans="1:2" x14ac:dyDescent="0.25">
      <c r="A5240" t="s">
        <v>10495</v>
      </c>
      <c r="B5240" t="s">
        <v>10496</v>
      </c>
    </row>
    <row r="5241" spans="1:2" x14ac:dyDescent="0.25">
      <c r="A5241" t="s">
        <v>10497</v>
      </c>
      <c r="B5241" t="s">
        <v>10498</v>
      </c>
    </row>
    <row r="5242" spans="1:2" x14ac:dyDescent="0.25">
      <c r="A5242" t="s">
        <v>10499</v>
      </c>
      <c r="B5242" t="s">
        <v>10500</v>
      </c>
    </row>
    <row r="5243" spans="1:2" x14ac:dyDescent="0.25">
      <c r="A5243" t="s">
        <v>10501</v>
      </c>
      <c r="B5243" t="s">
        <v>10502</v>
      </c>
    </row>
    <row r="5244" spans="1:2" x14ac:dyDescent="0.25">
      <c r="A5244" t="s">
        <v>10503</v>
      </c>
      <c r="B5244" t="s">
        <v>10504</v>
      </c>
    </row>
    <row r="5245" spans="1:2" x14ac:dyDescent="0.25">
      <c r="A5245" t="s">
        <v>10505</v>
      </c>
      <c r="B5245" t="s">
        <v>10506</v>
      </c>
    </row>
    <row r="5246" spans="1:2" x14ac:dyDescent="0.25">
      <c r="A5246" t="s">
        <v>10507</v>
      </c>
      <c r="B5246" t="s">
        <v>10508</v>
      </c>
    </row>
    <row r="5247" spans="1:2" x14ac:dyDescent="0.25">
      <c r="A5247" t="s">
        <v>10509</v>
      </c>
      <c r="B5247" t="s">
        <v>10510</v>
      </c>
    </row>
    <row r="5248" spans="1:2" x14ac:dyDescent="0.25">
      <c r="A5248" t="s">
        <v>10511</v>
      </c>
      <c r="B5248" t="s">
        <v>10512</v>
      </c>
    </row>
    <row r="5249" spans="1:2" x14ac:dyDescent="0.25">
      <c r="A5249" t="s">
        <v>10513</v>
      </c>
      <c r="B5249" t="s">
        <v>10514</v>
      </c>
    </row>
    <row r="5250" spans="1:2" x14ac:dyDescent="0.25">
      <c r="A5250" t="s">
        <v>10515</v>
      </c>
      <c r="B5250" t="s">
        <v>10516</v>
      </c>
    </row>
    <row r="5251" spans="1:2" x14ac:dyDescent="0.25">
      <c r="A5251" t="s">
        <v>10517</v>
      </c>
      <c r="B5251" t="s">
        <v>10518</v>
      </c>
    </row>
    <row r="5252" spans="1:2" x14ac:dyDescent="0.25">
      <c r="A5252" t="s">
        <v>10519</v>
      </c>
      <c r="B5252" t="s">
        <v>10520</v>
      </c>
    </row>
    <row r="5253" spans="1:2" x14ac:dyDescent="0.25">
      <c r="A5253" t="s">
        <v>10521</v>
      </c>
      <c r="B5253" t="s">
        <v>10522</v>
      </c>
    </row>
    <row r="5254" spans="1:2" x14ac:dyDescent="0.25">
      <c r="A5254" t="s">
        <v>10523</v>
      </c>
      <c r="B5254" t="s">
        <v>10524</v>
      </c>
    </row>
    <row r="5255" spans="1:2" x14ac:dyDescent="0.25">
      <c r="A5255" t="s">
        <v>10525</v>
      </c>
      <c r="B5255" t="s">
        <v>10526</v>
      </c>
    </row>
    <row r="5256" spans="1:2" x14ac:dyDescent="0.25">
      <c r="A5256" t="s">
        <v>10527</v>
      </c>
      <c r="B5256" t="s">
        <v>10528</v>
      </c>
    </row>
    <row r="5257" spans="1:2" x14ac:dyDescent="0.25">
      <c r="A5257" t="s">
        <v>10529</v>
      </c>
      <c r="B5257" t="s">
        <v>10530</v>
      </c>
    </row>
    <row r="5258" spans="1:2" x14ac:dyDescent="0.25">
      <c r="A5258" t="s">
        <v>10531</v>
      </c>
      <c r="B5258" t="s">
        <v>10532</v>
      </c>
    </row>
    <row r="5259" spans="1:2" x14ac:dyDescent="0.25">
      <c r="A5259" t="s">
        <v>10533</v>
      </c>
      <c r="B5259" t="s">
        <v>10534</v>
      </c>
    </row>
    <row r="5260" spans="1:2" x14ac:dyDescent="0.25">
      <c r="A5260" t="s">
        <v>10535</v>
      </c>
      <c r="B5260" t="s">
        <v>10536</v>
      </c>
    </row>
    <row r="5261" spans="1:2" x14ac:dyDescent="0.25">
      <c r="A5261" t="s">
        <v>10537</v>
      </c>
      <c r="B5261" t="s">
        <v>10538</v>
      </c>
    </row>
    <row r="5262" spans="1:2" x14ac:dyDescent="0.25">
      <c r="A5262" t="s">
        <v>10539</v>
      </c>
      <c r="B5262" t="s">
        <v>10540</v>
      </c>
    </row>
    <row r="5263" spans="1:2" x14ac:dyDescent="0.25">
      <c r="A5263" t="s">
        <v>10541</v>
      </c>
      <c r="B5263" t="s">
        <v>10542</v>
      </c>
    </row>
    <row r="5264" spans="1:2" x14ac:dyDescent="0.25">
      <c r="A5264" t="s">
        <v>10543</v>
      </c>
      <c r="B5264" t="s">
        <v>10544</v>
      </c>
    </row>
    <row r="5265" spans="1:2" x14ac:dyDescent="0.25">
      <c r="A5265" t="s">
        <v>10545</v>
      </c>
      <c r="B5265" t="s">
        <v>10546</v>
      </c>
    </row>
    <row r="5266" spans="1:2" x14ac:dyDescent="0.25">
      <c r="A5266" t="s">
        <v>10547</v>
      </c>
      <c r="B5266" t="s">
        <v>10548</v>
      </c>
    </row>
    <row r="5267" spans="1:2" x14ac:dyDescent="0.25">
      <c r="A5267" t="s">
        <v>10549</v>
      </c>
      <c r="B5267" t="s">
        <v>10550</v>
      </c>
    </row>
    <row r="5268" spans="1:2" x14ac:dyDescent="0.25">
      <c r="A5268" t="s">
        <v>10551</v>
      </c>
      <c r="B5268" t="s">
        <v>10552</v>
      </c>
    </row>
    <row r="5269" spans="1:2" x14ac:dyDescent="0.25">
      <c r="A5269" t="s">
        <v>10553</v>
      </c>
      <c r="B5269" t="s">
        <v>10554</v>
      </c>
    </row>
    <row r="5270" spans="1:2" x14ac:dyDescent="0.25">
      <c r="A5270" t="s">
        <v>10555</v>
      </c>
      <c r="B5270" t="s">
        <v>10556</v>
      </c>
    </row>
    <row r="5271" spans="1:2" x14ac:dyDescent="0.25">
      <c r="A5271" t="s">
        <v>10557</v>
      </c>
      <c r="B5271" t="s">
        <v>10558</v>
      </c>
    </row>
    <row r="5272" spans="1:2" x14ac:dyDescent="0.25">
      <c r="A5272" t="s">
        <v>10559</v>
      </c>
      <c r="B5272" t="s">
        <v>10560</v>
      </c>
    </row>
    <row r="5273" spans="1:2" x14ac:dyDescent="0.25">
      <c r="A5273" t="s">
        <v>10561</v>
      </c>
      <c r="B5273" t="s">
        <v>10562</v>
      </c>
    </row>
    <row r="5274" spans="1:2" x14ac:dyDescent="0.25">
      <c r="A5274" t="s">
        <v>10563</v>
      </c>
      <c r="B5274" t="s">
        <v>10564</v>
      </c>
    </row>
    <row r="5275" spans="1:2" x14ac:dyDescent="0.25">
      <c r="A5275" t="s">
        <v>10565</v>
      </c>
      <c r="B5275" t="s">
        <v>10566</v>
      </c>
    </row>
    <row r="5276" spans="1:2" x14ac:dyDescent="0.25">
      <c r="A5276" t="s">
        <v>10567</v>
      </c>
      <c r="B5276" t="s">
        <v>10568</v>
      </c>
    </row>
    <row r="5277" spans="1:2" x14ac:dyDescent="0.25">
      <c r="A5277" t="s">
        <v>10569</v>
      </c>
      <c r="B5277" t="s">
        <v>10570</v>
      </c>
    </row>
    <row r="5278" spans="1:2" x14ac:dyDescent="0.25">
      <c r="A5278" t="s">
        <v>10571</v>
      </c>
      <c r="B5278" t="s">
        <v>10572</v>
      </c>
    </row>
    <row r="5279" spans="1:2" x14ac:dyDescent="0.25">
      <c r="A5279" t="s">
        <v>10573</v>
      </c>
      <c r="B5279" t="s">
        <v>10574</v>
      </c>
    </row>
    <row r="5280" spans="1:2" x14ac:dyDescent="0.25">
      <c r="A5280" t="s">
        <v>10575</v>
      </c>
      <c r="B5280" t="s">
        <v>10576</v>
      </c>
    </row>
    <row r="5281" spans="1:2" x14ac:dyDescent="0.25">
      <c r="A5281" t="s">
        <v>10577</v>
      </c>
      <c r="B5281" t="s">
        <v>10578</v>
      </c>
    </row>
    <row r="5282" spans="1:2" x14ac:dyDescent="0.25">
      <c r="A5282" t="s">
        <v>10579</v>
      </c>
      <c r="B5282" t="s">
        <v>10580</v>
      </c>
    </row>
    <row r="5283" spans="1:2" x14ac:dyDescent="0.25">
      <c r="A5283" t="s">
        <v>10581</v>
      </c>
      <c r="B5283" t="s">
        <v>10582</v>
      </c>
    </row>
    <row r="5284" spans="1:2" x14ac:dyDescent="0.25">
      <c r="A5284" t="s">
        <v>10583</v>
      </c>
      <c r="B5284" t="s">
        <v>10584</v>
      </c>
    </row>
    <row r="5285" spans="1:2" x14ac:dyDescent="0.25">
      <c r="A5285" t="s">
        <v>10585</v>
      </c>
      <c r="B5285" t="s">
        <v>10586</v>
      </c>
    </row>
    <row r="5286" spans="1:2" x14ac:dyDescent="0.25">
      <c r="A5286" t="s">
        <v>10587</v>
      </c>
      <c r="B5286" t="s">
        <v>10588</v>
      </c>
    </row>
    <row r="5287" spans="1:2" x14ac:dyDescent="0.25">
      <c r="A5287" t="s">
        <v>10589</v>
      </c>
      <c r="B5287" t="s">
        <v>10590</v>
      </c>
    </row>
    <row r="5288" spans="1:2" x14ac:dyDescent="0.25">
      <c r="A5288" t="s">
        <v>10591</v>
      </c>
      <c r="B5288" t="s">
        <v>10592</v>
      </c>
    </row>
    <row r="5289" spans="1:2" x14ac:dyDescent="0.25">
      <c r="A5289" t="s">
        <v>10593</v>
      </c>
      <c r="B5289" t="s">
        <v>10594</v>
      </c>
    </row>
    <row r="5290" spans="1:2" x14ac:dyDescent="0.25">
      <c r="A5290" t="s">
        <v>10595</v>
      </c>
      <c r="B5290" t="s">
        <v>10596</v>
      </c>
    </row>
    <row r="5291" spans="1:2" x14ac:dyDescent="0.25">
      <c r="A5291" t="s">
        <v>10597</v>
      </c>
      <c r="B5291" t="s">
        <v>10598</v>
      </c>
    </row>
    <row r="5292" spans="1:2" x14ac:dyDescent="0.25">
      <c r="A5292" t="s">
        <v>10599</v>
      </c>
      <c r="B5292" t="s">
        <v>10600</v>
      </c>
    </row>
    <row r="5293" spans="1:2" x14ac:dyDescent="0.25">
      <c r="A5293" t="s">
        <v>10601</v>
      </c>
      <c r="B5293" t="s">
        <v>10602</v>
      </c>
    </row>
    <row r="5294" spans="1:2" x14ac:dyDescent="0.25">
      <c r="A5294" t="s">
        <v>10603</v>
      </c>
      <c r="B5294" t="s">
        <v>10604</v>
      </c>
    </row>
    <row r="5295" spans="1:2" x14ac:dyDescent="0.25">
      <c r="A5295" t="s">
        <v>10605</v>
      </c>
      <c r="B5295" t="s">
        <v>10606</v>
      </c>
    </row>
    <row r="5296" spans="1:2" x14ac:dyDescent="0.25">
      <c r="A5296" t="s">
        <v>10607</v>
      </c>
      <c r="B5296" t="s">
        <v>10608</v>
      </c>
    </row>
    <row r="5297" spans="1:2" x14ac:dyDescent="0.25">
      <c r="A5297" t="s">
        <v>10609</v>
      </c>
      <c r="B5297" t="s">
        <v>10610</v>
      </c>
    </row>
    <row r="5298" spans="1:2" x14ac:dyDescent="0.25">
      <c r="A5298" t="s">
        <v>10611</v>
      </c>
      <c r="B5298" t="s">
        <v>10612</v>
      </c>
    </row>
    <row r="5299" spans="1:2" x14ac:dyDescent="0.25">
      <c r="A5299" t="s">
        <v>10613</v>
      </c>
      <c r="B5299" t="s">
        <v>10614</v>
      </c>
    </row>
    <row r="5300" spans="1:2" x14ac:dyDescent="0.25">
      <c r="A5300" t="s">
        <v>10615</v>
      </c>
      <c r="B5300" t="s">
        <v>10616</v>
      </c>
    </row>
    <row r="5301" spans="1:2" x14ac:dyDescent="0.25">
      <c r="A5301" t="s">
        <v>10617</v>
      </c>
      <c r="B5301" t="s">
        <v>10618</v>
      </c>
    </row>
    <row r="5302" spans="1:2" x14ac:dyDescent="0.25">
      <c r="A5302" t="s">
        <v>10619</v>
      </c>
      <c r="B5302" t="s">
        <v>10620</v>
      </c>
    </row>
    <row r="5303" spans="1:2" x14ac:dyDescent="0.25">
      <c r="A5303" t="s">
        <v>10621</v>
      </c>
      <c r="B5303" t="s">
        <v>10622</v>
      </c>
    </row>
    <row r="5304" spans="1:2" x14ac:dyDescent="0.25">
      <c r="A5304" t="s">
        <v>10623</v>
      </c>
      <c r="B5304" t="s">
        <v>10624</v>
      </c>
    </row>
    <row r="5305" spans="1:2" x14ac:dyDescent="0.25">
      <c r="A5305" t="s">
        <v>10625</v>
      </c>
      <c r="B5305" t="s">
        <v>10626</v>
      </c>
    </row>
    <row r="5306" spans="1:2" x14ac:dyDescent="0.25">
      <c r="A5306" t="s">
        <v>10627</v>
      </c>
      <c r="B5306" t="s">
        <v>10628</v>
      </c>
    </row>
    <row r="5307" spans="1:2" x14ac:dyDescent="0.25">
      <c r="A5307" t="s">
        <v>10629</v>
      </c>
      <c r="B5307" t="s">
        <v>10630</v>
      </c>
    </row>
    <row r="5308" spans="1:2" x14ac:dyDescent="0.25">
      <c r="A5308" t="s">
        <v>10631</v>
      </c>
      <c r="B5308" t="s">
        <v>10632</v>
      </c>
    </row>
    <row r="5309" spans="1:2" x14ac:dyDescent="0.25">
      <c r="A5309" t="s">
        <v>10633</v>
      </c>
      <c r="B5309" t="s">
        <v>10634</v>
      </c>
    </row>
    <row r="5310" spans="1:2" x14ac:dyDescent="0.25">
      <c r="A5310" t="s">
        <v>10635</v>
      </c>
      <c r="B5310" t="s">
        <v>10636</v>
      </c>
    </row>
    <row r="5311" spans="1:2" x14ac:dyDescent="0.25">
      <c r="A5311" t="s">
        <v>10637</v>
      </c>
      <c r="B5311" t="s">
        <v>10638</v>
      </c>
    </row>
    <row r="5312" spans="1:2" x14ac:dyDescent="0.25">
      <c r="A5312" t="s">
        <v>10639</v>
      </c>
      <c r="B5312" t="s">
        <v>10640</v>
      </c>
    </row>
    <row r="5313" spans="1:2" x14ac:dyDescent="0.25">
      <c r="A5313" t="s">
        <v>10641</v>
      </c>
      <c r="B5313" t="s">
        <v>10642</v>
      </c>
    </row>
    <row r="5314" spans="1:2" x14ac:dyDescent="0.25">
      <c r="A5314" t="s">
        <v>10643</v>
      </c>
      <c r="B5314" t="s">
        <v>10644</v>
      </c>
    </row>
    <row r="5315" spans="1:2" x14ac:dyDescent="0.25">
      <c r="A5315" t="s">
        <v>10645</v>
      </c>
      <c r="B5315" t="s">
        <v>10646</v>
      </c>
    </row>
    <row r="5316" spans="1:2" x14ac:dyDescent="0.25">
      <c r="A5316" t="s">
        <v>10647</v>
      </c>
      <c r="B5316" t="s">
        <v>10648</v>
      </c>
    </row>
    <row r="5317" spans="1:2" x14ac:dyDescent="0.25">
      <c r="A5317" t="s">
        <v>10649</v>
      </c>
      <c r="B5317" t="s">
        <v>10650</v>
      </c>
    </row>
    <row r="5318" spans="1:2" x14ac:dyDescent="0.25">
      <c r="A5318" t="s">
        <v>10651</v>
      </c>
      <c r="B5318" t="s">
        <v>10652</v>
      </c>
    </row>
    <row r="5319" spans="1:2" x14ac:dyDescent="0.25">
      <c r="A5319" t="s">
        <v>10653</v>
      </c>
      <c r="B5319" t="s">
        <v>10654</v>
      </c>
    </row>
    <row r="5320" spans="1:2" x14ac:dyDescent="0.25">
      <c r="A5320" t="s">
        <v>10655</v>
      </c>
      <c r="B5320" t="s">
        <v>10656</v>
      </c>
    </row>
    <row r="5321" spans="1:2" x14ac:dyDescent="0.25">
      <c r="A5321" t="s">
        <v>10657</v>
      </c>
      <c r="B5321" t="s">
        <v>10658</v>
      </c>
    </row>
    <row r="5322" spans="1:2" x14ac:dyDescent="0.25">
      <c r="A5322" t="s">
        <v>10659</v>
      </c>
      <c r="B5322" t="s">
        <v>10660</v>
      </c>
    </row>
    <row r="5323" spans="1:2" x14ac:dyDescent="0.25">
      <c r="A5323" t="s">
        <v>10661</v>
      </c>
      <c r="B5323" t="s">
        <v>10662</v>
      </c>
    </row>
    <row r="5324" spans="1:2" x14ac:dyDescent="0.25">
      <c r="A5324" t="s">
        <v>10663</v>
      </c>
      <c r="B5324" t="s">
        <v>10664</v>
      </c>
    </row>
    <row r="5325" spans="1:2" x14ac:dyDescent="0.25">
      <c r="A5325" t="s">
        <v>10665</v>
      </c>
      <c r="B5325" t="s">
        <v>10666</v>
      </c>
    </row>
    <row r="5326" spans="1:2" x14ac:dyDescent="0.25">
      <c r="A5326" t="s">
        <v>10667</v>
      </c>
      <c r="B5326" t="s">
        <v>9728</v>
      </c>
    </row>
    <row r="5327" spans="1:2" x14ac:dyDescent="0.25">
      <c r="A5327" t="s">
        <v>10668</v>
      </c>
      <c r="B5327" t="s">
        <v>10669</v>
      </c>
    </row>
    <row r="5328" spans="1:2" x14ac:dyDescent="0.25">
      <c r="A5328" t="s">
        <v>10670</v>
      </c>
      <c r="B5328" t="s">
        <v>10671</v>
      </c>
    </row>
    <row r="5329" spans="1:2" x14ac:dyDescent="0.25">
      <c r="A5329" t="s">
        <v>10672</v>
      </c>
      <c r="B5329" t="s">
        <v>10673</v>
      </c>
    </row>
    <row r="5330" spans="1:2" x14ac:dyDescent="0.25">
      <c r="A5330" t="s">
        <v>10674</v>
      </c>
      <c r="B5330" t="s">
        <v>10675</v>
      </c>
    </row>
    <row r="5331" spans="1:2" x14ac:dyDescent="0.25">
      <c r="A5331" t="s">
        <v>10676</v>
      </c>
      <c r="B5331" t="s">
        <v>10677</v>
      </c>
    </row>
    <row r="5332" spans="1:2" x14ac:dyDescent="0.25">
      <c r="A5332" t="s">
        <v>10678</v>
      </c>
      <c r="B5332" t="s">
        <v>10679</v>
      </c>
    </row>
    <row r="5333" spans="1:2" x14ac:dyDescent="0.25">
      <c r="A5333" t="s">
        <v>10680</v>
      </c>
      <c r="B5333" t="s">
        <v>10681</v>
      </c>
    </row>
    <row r="5334" spans="1:2" x14ac:dyDescent="0.25">
      <c r="A5334" t="s">
        <v>10682</v>
      </c>
      <c r="B5334" t="s">
        <v>10683</v>
      </c>
    </row>
    <row r="5335" spans="1:2" x14ac:dyDescent="0.25">
      <c r="A5335" t="s">
        <v>10684</v>
      </c>
      <c r="B5335" t="s">
        <v>10685</v>
      </c>
    </row>
    <row r="5336" spans="1:2" x14ac:dyDescent="0.25">
      <c r="A5336" t="s">
        <v>10686</v>
      </c>
      <c r="B5336" t="s">
        <v>10687</v>
      </c>
    </row>
    <row r="5337" spans="1:2" x14ac:dyDescent="0.25">
      <c r="A5337" t="s">
        <v>10688</v>
      </c>
      <c r="B5337" t="s">
        <v>10689</v>
      </c>
    </row>
    <row r="5338" spans="1:2" x14ac:dyDescent="0.25">
      <c r="A5338" t="s">
        <v>10690</v>
      </c>
      <c r="B5338" t="s">
        <v>10691</v>
      </c>
    </row>
    <row r="5339" spans="1:2" x14ac:dyDescent="0.25">
      <c r="A5339" t="s">
        <v>10692</v>
      </c>
      <c r="B5339" t="s">
        <v>10693</v>
      </c>
    </row>
    <row r="5340" spans="1:2" x14ac:dyDescent="0.25">
      <c r="A5340" t="s">
        <v>10694</v>
      </c>
      <c r="B5340" t="s">
        <v>10695</v>
      </c>
    </row>
    <row r="5341" spans="1:2" x14ac:dyDescent="0.25">
      <c r="A5341" t="s">
        <v>10696</v>
      </c>
      <c r="B5341" t="s">
        <v>10697</v>
      </c>
    </row>
    <row r="5342" spans="1:2" x14ac:dyDescent="0.25">
      <c r="A5342" t="s">
        <v>10698</v>
      </c>
      <c r="B5342" t="s">
        <v>10699</v>
      </c>
    </row>
    <row r="5343" spans="1:2" x14ac:dyDescent="0.25">
      <c r="A5343" t="s">
        <v>10700</v>
      </c>
      <c r="B5343" t="s">
        <v>10701</v>
      </c>
    </row>
    <row r="5344" spans="1:2" x14ac:dyDescent="0.25">
      <c r="A5344" t="s">
        <v>10702</v>
      </c>
      <c r="B5344" t="s">
        <v>10703</v>
      </c>
    </row>
    <row r="5345" spans="1:2" x14ac:dyDescent="0.25">
      <c r="A5345" t="s">
        <v>10704</v>
      </c>
      <c r="B5345" t="s">
        <v>10705</v>
      </c>
    </row>
    <row r="5346" spans="1:2" x14ac:dyDescent="0.25">
      <c r="A5346" t="s">
        <v>10706</v>
      </c>
      <c r="B5346" t="s">
        <v>10707</v>
      </c>
    </row>
    <row r="5347" spans="1:2" x14ac:dyDescent="0.25">
      <c r="A5347" t="s">
        <v>10708</v>
      </c>
      <c r="B5347" t="s">
        <v>10709</v>
      </c>
    </row>
    <row r="5348" spans="1:2" x14ac:dyDescent="0.25">
      <c r="A5348" t="s">
        <v>10710</v>
      </c>
      <c r="B5348" t="s">
        <v>10711</v>
      </c>
    </row>
    <row r="5349" spans="1:2" x14ac:dyDescent="0.25">
      <c r="A5349" t="s">
        <v>10712</v>
      </c>
      <c r="B5349" t="s">
        <v>10713</v>
      </c>
    </row>
    <row r="5350" spans="1:2" x14ac:dyDescent="0.25">
      <c r="A5350" t="s">
        <v>10714</v>
      </c>
      <c r="B5350" t="s">
        <v>10715</v>
      </c>
    </row>
    <row r="5351" spans="1:2" x14ac:dyDescent="0.25">
      <c r="A5351" t="s">
        <v>10716</v>
      </c>
      <c r="B5351" t="s">
        <v>10717</v>
      </c>
    </row>
    <row r="5352" spans="1:2" x14ac:dyDescent="0.25">
      <c r="A5352" t="s">
        <v>10718</v>
      </c>
      <c r="B5352" t="s">
        <v>10719</v>
      </c>
    </row>
    <row r="5353" spans="1:2" x14ac:dyDescent="0.25">
      <c r="A5353" t="s">
        <v>10720</v>
      </c>
      <c r="B5353" t="s">
        <v>10721</v>
      </c>
    </row>
    <row r="5354" spans="1:2" x14ac:dyDescent="0.25">
      <c r="A5354" t="s">
        <v>10722</v>
      </c>
      <c r="B5354" t="s">
        <v>10723</v>
      </c>
    </row>
    <row r="5355" spans="1:2" x14ac:dyDescent="0.25">
      <c r="A5355" t="s">
        <v>10724</v>
      </c>
      <c r="B5355" t="s">
        <v>10725</v>
      </c>
    </row>
    <row r="5356" spans="1:2" x14ac:dyDescent="0.25">
      <c r="A5356" t="s">
        <v>10726</v>
      </c>
      <c r="B5356" t="s">
        <v>10727</v>
      </c>
    </row>
    <row r="5357" spans="1:2" x14ac:dyDescent="0.25">
      <c r="A5357" t="s">
        <v>10728</v>
      </c>
      <c r="B5357" t="s">
        <v>10729</v>
      </c>
    </row>
    <row r="5358" spans="1:2" x14ac:dyDescent="0.25">
      <c r="A5358" t="s">
        <v>10730</v>
      </c>
      <c r="B5358" t="s">
        <v>10731</v>
      </c>
    </row>
    <row r="5359" spans="1:2" x14ac:dyDescent="0.25">
      <c r="A5359" t="s">
        <v>10732</v>
      </c>
      <c r="B5359" t="s">
        <v>10733</v>
      </c>
    </row>
    <row r="5360" spans="1:2" x14ac:dyDescent="0.25">
      <c r="A5360" t="s">
        <v>10734</v>
      </c>
      <c r="B5360" t="s">
        <v>10735</v>
      </c>
    </row>
    <row r="5361" spans="1:2" x14ac:dyDescent="0.25">
      <c r="A5361" t="s">
        <v>10736</v>
      </c>
      <c r="B5361" t="s">
        <v>10737</v>
      </c>
    </row>
    <row r="5362" spans="1:2" x14ac:dyDescent="0.25">
      <c r="A5362" t="s">
        <v>10738</v>
      </c>
      <c r="B5362" t="s">
        <v>10739</v>
      </c>
    </row>
    <row r="5363" spans="1:2" x14ac:dyDescent="0.25">
      <c r="A5363" t="s">
        <v>10740</v>
      </c>
      <c r="B5363" t="s">
        <v>10741</v>
      </c>
    </row>
    <row r="5364" spans="1:2" x14ac:dyDescent="0.25">
      <c r="A5364" t="s">
        <v>10742</v>
      </c>
      <c r="B5364" t="s">
        <v>10743</v>
      </c>
    </row>
    <row r="5365" spans="1:2" x14ac:dyDescent="0.25">
      <c r="A5365" t="s">
        <v>10744</v>
      </c>
      <c r="B5365" t="s">
        <v>10745</v>
      </c>
    </row>
    <row r="5366" spans="1:2" x14ac:dyDescent="0.25">
      <c r="A5366" t="s">
        <v>10746</v>
      </c>
      <c r="B5366" t="s">
        <v>10747</v>
      </c>
    </row>
    <row r="5367" spans="1:2" x14ac:dyDescent="0.25">
      <c r="A5367" t="s">
        <v>10748</v>
      </c>
      <c r="B5367" t="s">
        <v>10749</v>
      </c>
    </row>
    <row r="5368" spans="1:2" x14ac:dyDescent="0.25">
      <c r="A5368" t="s">
        <v>10750</v>
      </c>
      <c r="B5368" t="s">
        <v>10751</v>
      </c>
    </row>
    <row r="5369" spans="1:2" x14ac:dyDescent="0.25">
      <c r="A5369" t="s">
        <v>10752</v>
      </c>
      <c r="B5369" t="s">
        <v>10753</v>
      </c>
    </row>
    <row r="5370" spans="1:2" x14ac:dyDescent="0.25">
      <c r="A5370" t="s">
        <v>10754</v>
      </c>
      <c r="B5370" t="s">
        <v>10755</v>
      </c>
    </row>
    <row r="5371" spans="1:2" x14ac:dyDescent="0.25">
      <c r="A5371" t="s">
        <v>10756</v>
      </c>
      <c r="B5371" t="s">
        <v>10757</v>
      </c>
    </row>
    <row r="5372" spans="1:2" x14ac:dyDescent="0.25">
      <c r="A5372" t="s">
        <v>10758</v>
      </c>
      <c r="B5372" t="s">
        <v>10759</v>
      </c>
    </row>
    <row r="5373" spans="1:2" x14ac:dyDescent="0.25">
      <c r="A5373" t="s">
        <v>10760</v>
      </c>
      <c r="B5373" t="s">
        <v>10761</v>
      </c>
    </row>
    <row r="5374" spans="1:2" x14ac:dyDescent="0.25">
      <c r="A5374" t="s">
        <v>10762</v>
      </c>
      <c r="B5374" t="s">
        <v>10763</v>
      </c>
    </row>
    <row r="5375" spans="1:2" x14ac:dyDescent="0.25">
      <c r="A5375" t="s">
        <v>10764</v>
      </c>
      <c r="B5375" t="s">
        <v>10765</v>
      </c>
    </row>
    <row r="5376" spans="1:2" x14ac:dyDescent="0.25">
      <c r="A5376" t="s">
        <v>10766</v>
      </c>
      <c r="B5376" t="s">
        <v>10767</v>
      </c>
    </row>
    <row r="5377" spans="1:2" x14ac:dyDescent="0.25">
      <c r="A5377" t="s">
        <v>10768</v>
      </c>
      <c r="B5377" t="s">
        <v>10769</v>
      </c>
    </row>
    <row r="5378" spans="1:2" x14ac:dyDescent="0.25">
      <c r="A5378" t="s">
        <v>10770</v>
      </c>
      <c r="B5378" t="s">
        <v>10771</v>
      </c>
    </row>
    <row r="5379" spans="1:2" x14ac:dyDescent="0.25">
      <c r="A5379" t="s">
        <v>10772</v>
      </c>
      <c r="B5379" t="s">
        <v>10773</v>
      </c>
    </row>
    <row r="5380" spans="1:2" x14ac:dyDescent="0.25">
      <c r="A5380" t="s">
        <v>10774</v>
      </c>
      <c r="B5380" t="s">
        <v>10775</v>
      </c>
    </row>
    <row r="5381" spans="1:2" x14ac:dyDescent="0.25">
      <c r="A5381" t="s">
        <v>10776</v>
      </c>
      <c r="B5381" t="s">
        <v>10777</v>
      </c>
    </row>
    <row r="5382" spans="1:2" x14ac:dyDescent="0.25">
      <c r="A5382" t="s">
        <v>10778</v>
      </c>
      <c r="B5382" t="s">
        <v>10779</v>
      </c>
    </row>
    <row r="5383" spans="1:2" x14ac:dyDescent="0.25">
      <c r="A5383" t="s">
        <v>10780</v>
      </c>
      <c r="B5383" t="s">
        <v>10781</v>
      </c>
    </row>
    <row r="5384" spans="1:2" x14ac:dyDescent="0.25">
      <c r="A5384" t="s">
        <v>10782</v>
      </c>
      <c r="B5384" t="s">
        <v>10783</v>
      </c>
    </row>
    <row r="5385" spans="1:2" x14ac:dyDescent="0.25">
      <c r="A5385" t="s">
        <v>10784</v>
      </c>
      <c r="B5385" t="s">
        <v>10785</v>
      </c>
    </row>
    <row r="5386" spans="1:2" x14ac:dyDescent="0.25">
      <c r="A5386" t="s">
        <v>10786</v>
      </c>
      <c r="B5386" t="s">
        <v>10787</v>
      </c>
    </row>
    <row r="5387" spans="1:2" x14ac:dyDescent="0.25">
      <c r="A5387" t="s">
        <v>10788</v>
      </c>
      <c r="B5387" t="s">
        <v>10789</v>
      </c>
    </row>
    <row r="5388" spans="1:2" x14ac:dyDescent="0.25">
      <c r="A5388" t="s">
        <v>10790</v>
      </c>
      <c r="B5388" t="s">
        <v>10791</v>
      </c>
    </row>
    <row r="5389" spans="1:2" x14ac:dyDescent="0.25">
      <c r="A5389" t="s">
        <v>10792</v>
      </c>
      <c r="B5389" t="s">
        <v>10793</v>
      </c>
    </row>
    <row r="5390" spans="1:2" x14ac:dyDescent="0.25">
      <c r="A5390" t="s">
        <v>10794</v>
      </c>
      <c r="B5390" t="s">
        <v>10795</v>
      </c>
    </row>
    <row r="5391" spans="1:2" x14ac:dyDescent="0.25">
      <c r="A5391" t="s">
        <v>10796</v>
      </c>
      <c r="B5391" t="s">
        <v>10797</v>
      </c>
    </row>
    <row r="5392" spans="1:2" x14ac:dyDescent="0.25">
      <c r="A5392" t="s">
        <v>10798</v>
      </c>
      <c r="B5392" t="s">
        <v>10799</v>
      </c>
    </row>
    <row r="5393" spans="1:2" x14ac:dyDescent="0.25">
      <c r="A5393" t="s">
        <v>10800</v>
      </c>
      <c r="B5393" t="s">
        <v>10801</v>
      </c>
    </row>
    <row r="5394" spans="1:2" x14ac:dyDescent="0.25">
      <c r="A5394" t="s">
        <v>10802</v>
      </c>
      <c r="B5394" t="s">
        <v>10803</v>
      </c>
    </row>
    <row r="5395" spans="1:2" x14ac:dyDescent="0.25">
      <c r="A5395" t="s">
        <v>10804</v>
      </c>
      <c r="B5395" t="s">
        <v>10805</v>
      </c>
    </row>
    <row r="5396" spans="1:2" x14ac:dyDescent="0.25">
      <c r="A5396" t="s">
        <v>10806</v>
      </c>
      <c r="B5396" t="s">
        <v>10807</v>
      </c>
    </row>
    <row r="5397" spans="1:2" x14ac:dyDescent="0.25">
      <c r="A5397" t="s">
        <v>10808</v>
      </c>
      <c r="B5397" t="s">
        <v>10809</v>
      </c>
    </row>
    <row r="5398" spans="1:2" x14ac:dyDescent="0.25">
      <c r="A5398" t="s">
        <v>10810</v>
      </c>
      <c r="B5398" t="s">
        <v>10811</v>
      </c>
    </row>
    <row r="5399" spans="1:2" x14ac:dyDescent="0.25">
      <c r="A5399" t="s">
        <v>10812</v>
      </c>
      <c r="B5399" t="s">
        <v>10813</v>
      </c>
    </row>
    <row r="5400" spans="1:2" x14ac:dyDescent="0.25">
      <c r="A5400" t="s">
        <v>10814</v>
      </c>
      <c r="B5400" t="s">
        <v>10815</v>
      </c>
    </row>
    <row r="5401" spans="1:2" x14ac:dyDescent="0.25">
      <c r="A5401" t="s">
        <v>10816</v>
      </c>
      <c r="B5401" t="s">
        <v>10817</v>
      </c>
    </row>
    <row r="5402" spans="1:2" x14ac:dyDescent="0.25">
      <c r="A5402" t="s">
        <v>10818</v>
      </c>
      <c r="B5402" t="s">
        <v>10819</v>
      </c>
    </row>
    <row r="5403" spans="1:2" x14ac:dyDescent="0.25">
      <c r="A5403" t="s">
        <v>10820</v>
      </c>
      <c r="B5403" t="s">
        <v>10821</v>
      </c>
    </row>
    <row r="5404" spans="1:2" x14ac:dyDescent="0.25">
      <c r="A5404" t="s">
        <v>10822</v>
      </c>
      <c r="B5404" t="s">
        <v>10823</v>
      </c>
    </row>
    <row r="5405" spans="1:2" x14ac:dyDescent="0.25">
      <c r="A5405" t="s">
        <v>10824</v>
      </c>
      <c r="B5405" t="s">
        <v>10825</v>
      </c>
    </row>
    <row r="5406" spans="1:2" x14ac:dyDescent="0.25">
      <c r="A5406" t="s">
        <v>10826</v>
      </c>
      <c r="B5406" t="s">
        <v>10827</v>
      </c>
    </row>
    <row r="5407" spans="1:2" x14ac:dyDescent="0.25">
      <c r="A5407" t="s">
        <v>10828</v>
      </c>
      <c r="B5407" t="s">
        <v>10829</v>
      </c>
    </row>
    <row r="5408" spans="1:2" x14ac:dyDescent="0.25">
      <c r="A5408" t="s">
        <v>10830</v>
      </c>
      <c r="B5408" t="s">
        <v>10831</v>
      </c>
    </row>
    <row r="5409" spans="1:2" x14ac:dyDescent="0.25">
      <c r="A5409" t="s">
        <v>10832</v>
      </c>
      <c r="B5409" t="s">
        <v>10833</v>
      </c>
    </row>
    <row r="5410" spans="1:2" x14ac:dyDescent="0.25">
      <c r="A5410" t="s">
        <v>10834</v>
      </c>
      <c r="B5410" t="s">
        <v>10835</v>
      </c>
    </row>
    <row r="5411" spans="1:2" x14ac:dyDescent="0.25">
      <c r="A5411" t="s">
        <v>10836</v>
      </c>
      <c r="B5411" t="s">
        <v>10837</v>
      </c>
    </row>
    <row r="5412" spans="1:2" x14ac:dyDescent="0.25">
      <c r="A5412" t="s">
        <v>10838</v>
      </c>
      <c r="B5412" t="s">
        <v>10839</v>
      </c>
    </row>
    <row r="5413" spans="1:2" x14ac:dyDescent="0.25">
      <c r="A5413" t="s">
        <v>10840</v>
      </c>
      <c r="B5413" t="s">
        <v>10841</v>
      </c>
    </row>
    <row r="5414" spans="1:2" x14ac:dyDescent="0.25">
      <c r="A5414" t="s">
        <v>10842</v>
      </c>
      <c r="B5414" t="s">
        <v>10843</v>
      </c>
    </row>
    <row r="5415" spans="1:2" x14ac:dyDescent="0.25">
      <c r="A5415" t="s">
        <v>10844</v>
      </c>
      <c r="B5415" t="s">
        <v>10845</v>
      </c>
    </row>
    <row r="5416" spans="1:2" x14ac:dyDescent="0.25">
      <c r="A5416" t="s">
        <v>10846</v>
      </c>
      <c r="B5416" t="s">
        <v>10847</v>
      </c>
    </row>
    <row r="5417" spans="1:2" x14ac:dyDescent="0.25">
      <c r="A5417" t="s">
        <v>10848</v>
      </c>
      <c r="B5417" t="s">
        <v>10849</v>
      </c>
    </row>
    <row r="5418" spans="1:2" x14ac:dyDescent="0.25">
      <c r="A5418" t="s">
        <v>10850</v>
      </c>
      <c r="B5418" t="s">
        <v>10851</v>
      </c>
    </row>
    <row r="5419" spans="1:2" x14ac:dyDescent="0.25">
      <c r="A5419" t="s">
        <v>10852</v>
      </c>
      <c r="B5419" t="s">
        <v>10853</v>
      </c>
    </row>
    <row r="5420" spans="1:2" x14ac:dyDescent="0.25">
      <c r="A5420" t="s">
        <v>10854</v>
      </c>
      <c r="B5420" t="s">
        <v>10855</v>
      </c>
    </row>
    <row r="5421" spans="1:2" x14ac:dyDescent="0.25">
      <c r="A5421" t="s">
        <v>10856</v>
      </c>
      <c r="B5421" t="s">
        <v>10857</v>
      </c>
    </row>
    <row r="5422" spans="1:2" x14ac:dyDescent="0.25">
      <c r="A5422" t="s">
        <v>10858</v>
      </c>
      <c r="B5422" t="s">
        <v>10859</v>
      </c>
    </row>
    <row r="5423" spans="1:2" x14ac:dyDescent="0.25">
      <c r="A5423" t="s">
        <v>10860</v>
      </c>
      <c r="B5423" t="s">
        <v>10861</v>
      </c>
    </row>
    <row r="5424" spans="1:2" x14ac:dyDescent="0.25">
      <c r="A5424" t="s">
        <v>10862</v>
      </c>
      <c r="B5424" t="s">
        <v>10863</v>
      </c>
    </row>
    <row r="5425" spans="1:2" x14ac:dyDescent="0.25">
      <c r="A5425" t="s">
        <v>10864</v>
      </c>
      <c r="B5425" t="s">
        <v>10865</v>
      </c>
    </row>
    <row r="5426" spans="1:2" x14ac:dyDescent="0.25">
      <c r="A5426" t="s">
        <v>10866</v>
      </c>
      <c r="B5426" t="s">
        <v>10867</v>
      </c>
    </row>
    <row r="5427" spans="1:2" x14ac:dyDescent="0.25">
      <c r="A5427" t="s">
        <v>10868</v>
      </c>
      <c r="B5427" t="s">
        <v>10869</v>
      </c>
    </row>
    <row r="5428" spans="1:2" x14ac:dyDescent="0.25">
      <c r="A5428" t="s">
        <v>10870</v>
      </c>
      <c r="B5428" t="s">
        <v>10871</v>
      </c>
    </row>
    <row r="5429" spans="1:2" x14ac:dyDescent="0.25">
      <c r="A5429" t="s">
        <v>10872</v>
      </c>
      <c r="B5429" t="s">
        <v>10873</v>
      </c>
    </row>
    <row r="5430" spans="1:2" x14ac:dyDescent="0.25">
      <c r="A5430" t="s">
        <v>10874</v>
      </c>
      <c r="B5430" t="s">
        <v>10875</v>
      </c>
    </row>
    <row r="5431" spans="1:2" x14ac:dyDescent="0.25">
      <c r="A5431" t="s">
        <v>10876</v>
      </c>
      <c r="B5431" t="s">
        <v>10877</v>
      </c>
    </row>
    <row r="5432" spans="1:2" x14ac:dyDescent="0.25">
      <c r="A5432" t="s">
        <v>10878</v>
      </c>
      <c r="B5432" t="s">
        <v>10879</v>
      </c>
    </row>
    <row r="5433" spans="1:2" x14ac:dyDescent="0.25">
      <c r="A5433" t="s">
        <v>10880</v>
      </c>
      <c r="B5433" t="s">
        <v>10881</v>
      </c>
    </row>
    <row r="5434" spans="1:2" x14ac:dyDescent="0.25">
      <c r="A5434" t="s">
        <v>10882</v>
      </c>
      <c r="B5434" t="s">
        <v>10883</v>
      </c>
    </row>
    <row r="5435" spans="1:2" x14ac:dyDescent="0.25">
      <c r="A5435" t="s">
        <v>10884</v>
      </c>
      <c r="B5435" t="s">
        <v>10885</v>
      </c>
    </row>
    <row r="5436" spans="1:2" x14ac:dyDescent="0.25">
      <c r="A5436" t="s">
        <v>10886</v>
      </c>
      <c r="B5436" t="s">
        <v>10887</v>
      </c>
    </row>
    <row r="5437" spans="1:2" x14ac:dyDescent="0.25">
      <c r="A5437" t="s">
        <v>10888</v>
      </c>
      <c r="B5437" t="s">
        <v>10889</v>
      </c>
    </row>
    <row r="5438" spans="1:2" x14ac:dyDescent="0.25">
      <c r="A5438" t="s">
        <v>10890</v>
      </c>
      <c r="B5438" t="s">
        <v>10891</v>
      </c>
    </row>
    <row r="5439" spans="1:2" x14ac:dyDescent="0.25">
      <c r="A5439" t="s">
        <v>10892</v>
      </c>
      <c r="B5439" t="s">
        <v>10893</v>
      </c>
    </row>
    <row r="5440" spans="1:2" x14ac:dyDescent="0.25">
      <c r="A5440" t="s">
        <v>10894</v>
      </c>
      <c r="B5440" t="s">
        <v>10895</v>
      </c>
    </row>
    <row r="5441" spans="1:2" x14ac:dyDescent="0.25">
      <c r="A5441" t="s">
        <v>10896</v>
      </c>
      <c r="B5441" t="s">
        <v>10897</v>
      </c>
    </row>
    <row r="5442" spans="1:2" x14ac:dyDescent="0.25">
      <c r="A5442" t="s">
        <v>10898</v>
      </c>
      <c r="B5442" t="s">
        <v>10899</v>
      </c>
    </row>
    <row r="5443" spans="1:2" x14ac:dyDescent="0.25">
      <c r="A5443" t="s">
        <v>10900</v>
      </c>
      <c r="B5443" t="s">
        <v>10901</v>
      </c>
    </row>
    <row r="5444" spans="1:2" x14ac:dyDescent="0.25">
      <c r="A5444" t="s">
        <v>10902</v>
      </c>
      <c r="B5444" t="s">
        <v>10903</v>
      </c>
    </row>
    <row r="5445" spans="1:2" x14ac:dyDescent="0.25">
      <c r="A5445" t="s">
        <v>10904</v>
      </c>
      <c r="B5445" t="s">
        <v>10905</v>
      </c>
    </row>
    <row r="5446" spans="1:2" x14ac:dyDescent="0.25">
      <c r="A5446" t="s">
        <v>10906</v>
      </c>
      <c r="B5446" t="s">
        <v>10907</v>
      </c>
    </row>
    <row r="5447" spans="1:2" x14ac:dyDescent="0.25">
      <c r="A5447" t="s">
        <v>10908</v>
      </c>
      <c r="B5447" t="s">
        <v>10909</v>
      </c>
    </row>
    <row r="5448" spans="1:2" x14ac:dyDescent="0.25">
      <c r="A5448" t="s">
        <v>10910</v>
      </c>
      <c r="B5448" t="s">
        <v>10911</v>
      </c>
    </row>
    <row r="5449" spans="1:2" x14ac:dyDescent="0.25">
      <c r="A5449" t="s">
        <v>10912</v>
      </c>
      <c r="B5449" t="s">
        <v>10913</v>
      </c>
    </row>
    <row r="5450" spans="1:2" x14ac:dyDescent="0.25">
      <c r="A5450" t="s">
        <v>10914</v>
      </c>
      <c r="B5450" t="s">
        <v>10915</v>
      </c>
    </row>
    <row r="5451" spans="1:2" x14ac:dyDescent="0.25">
      <c r="A5451" t="s">
        <v>10916</v>
      </c>
      <c r="B5451" t="s">
        <v>10917</v>
      </c>
    </row>
    <row r="5452" spans="1:2" x14ac:dyDescent="0.25">
      <c r="A5452" t="s">
        <v>10918</v>
      </c>
      <c r="B5452" t="s">
        <v>10919</v>
      </c>
    </row>
    <row r="5453" spans="1:2" x14ac:dyDescent="0.25">
      <c r="A5453" t="s">
        <v>10920</v>
      </c>
      <c r="B5453" t="s">
        <v>10921</v>
      </c>
    </row>
    <row r="5454" spans="1:2" x14ac:dyDescent="0.25">
      <c r="A5454" t="s">
        <v>10922</v>
      </c>
      <c r="B5454" t="s">
        <v>10923</v>
      </c>
    </row>
    <row r="5455" spans="1:2" x14ac:dyDescent="0.25">
      <c r="A5455" t="s">
        <v>10924</v>
      </c>
      <c r="B5455" t="s">
        <v>10925</v>
      </c>
    </row>
    <row r="5456" spans="1:2" x14ac:dyDescent="0.25">
      <c r="A5456" t="s">
        <v>10926</v>
      </c>
      <c r="B5456" t="s">
        <v>10927</v>
      </c>
    </row>
    <row r="5457" spans="1:2" x14ac:dyDescent="0.25">
      <c r="A5457" t="s">
        <v>10928</v>
      </c>
      <c r="B5457" t="s">
        <v>10929</v>
      </c>
    </row>
    <row r="5458" spans="1:2" x14ac:dyDescent="0.25">
      <c r="A5458" t="s">
        <v>10930</v>
      </c>
      <c r="B5458" t="s">
        <v>10931</v>
      </c>
    </row>
    <row r="5459" spans="1:2" x14ac:dyDescent="0.25">
      <c r="A5459" t="s">
        <v>10932</v>
      </c>
      <c r="B5459" t="s">
        <v>10933</v>
      </c>
    </row>
    <row r="5460" spans="1:2" x14ac:dyDescent="0.25">
      <c r="A5460" t="s">
        <v>10934</v>
      </c>
      <c r="B5460" t="s">
        <v>10935</v>
      </c>
    </row>
    <row r="5461" spans="1:2" x14ac:dyDescent="0.25">
      <c r="A5461" t="s">
        <v>10936</v>
      </c>
      <c r="B5461" t="s">
        <v>10937</v>
      </c>
    </row>
    <row r="5462" spans="1:2" x14ac:dyDescent="0.25">
      <c r="A5462" t="s">
        <v>10938</v>
      </c>
      <c r="B5462" t="s">
        <v>10939</v>
      </c>
    </row>
    <row r="5463" spans="1:2" x14ac:dyDescent="0.25">
      <c r="A5463" t="s">
        <v>10940</v>
      </c>
      <c r="B5463" t="s">
        <v>10941</v>
      </c>
    </row>
    <row r="5464" spans="1:2" x14ac:dyDescent="0.25">
      <c r="A5464" t="s">
        <v>10942</v>
      </c>
      <c r="B5464" t="s">
        <v>10943</v>
      </c>
    </row>
    <row r="5465" spans="1:2" x14ac:dyDescent="0.25">
      <c r="A5465" t="s">
        <v>10944</v>
      </c>
      <c r="B5465" t="s">
        <v>10945</v>
      </c>
    </row>
    <row r="5466" spans="1:2" x14ac:dyDescent="0.25">
      <c r="A5466" t="s">
        <v>10946</v>
      </c>
      <c r="B5466" t="s">
        <v>10947</v>
      </c>
    </row>
    <row r="5467" spans="1:2" x14ac:dyDescent="0.25">
      <c r="A5467" t="s">
        <v>10948</v>
      </c>
      <c r="B5467" t="s">
        <v>10949</v>
      </c>
    </row>
    <row r="5468" spans="1:2" x14ac:dyDescent="0.25">
      <c r="A5468" t="s">
        <v>10950</v>
      </c>
      <c r="B5468" t="s">
        <v>10951</v>
      </c>
    </row>
    <row r="5469" spans="1:2" x14ac:dyDescent="0.25">
      <c r="A5469" t="s">
        <v>10952</v>
      </c>
      <c r="B5469" t="s">
        <v>10953</v>
      </c>
    </row>
    <row r="5470" spans="1:2" x14ac:dyDescent="0.25">
      <c r="A5470" t="s">
        <v>10954</v>
      </c>
      <c r="B5470" t="s">
        <v>10955</v>
      </c>
    </row>
    <row r="5471" spans="1:2" x14ac:dyDescent="0.25">
      <c r="A5471" t="s">
        <v>10956</v>
      </c>
      <c r="B5471" t="s">
        <v>10957</v>
      </c>
    </row>
    <row r="5472" spans="1:2" x14ac:dyDescent="0.25">
      <c r="A5472" t="s">
        <v>10958</v>
      </c>
      <c r="B5472" t="s">
        <v>10959</v>
      </c>
    </row>
    <row r="5473" spans="1:2" x14ac:dyDescent="0.25">
      <c r="A5473" t="s">
        <v>10960</v>
      </c>
      <c r="B5473" t="s">
        <v>10961</v>
      </c>
    </row>
    <row r="5474" spans="1:2" x14ac:dyDescent="0.25">
      <c r="A5474" t="s">
        <v>10962</v>
      </c>
      <c r="B5474" t="s">
        <v>10963</v>
      </c>
    </row>
    <row r="5475" spans="1:2" x14ac:dyDescent="0.25">
      <c r="A5475" t="s">
        <v>10964</v>
      </c>
      <c r="B5475" t="s">
        <v>10965</v>
      </c>
    </row>
    <row r="5476" spans="1:2" x14ac:dyDescent="0.25">
      <c r="A5476" t="s">
        <v>10966</v>
      </c>
      <c r="B5476" t="s">
        <v>10967</v>
      </c>
    </row>
    <row r="5477" spans="1:2" x14ac:dyDescent="0.25">
      <c r="A5477" t="s">
        <v>10968</v>
      </c>
      <c r="B5477" t="s">
        <v>10969</v>
      </c>
    </row>
    <row r="5478" spans="1:2" x14ac:dyDescent="0.25">
      <c r="A5478" t="s">
        <v>10970</v>
      </c>
      <c r="B5478" t="s">
        <v>10971</v>
      </c>
    </row>
    <row r="5479" spans="1:2" x14ac:dyDescent="0.25">
      <c r="A5479" t="s">
        <v>10972</v>
      </c>
      <c r="B5479" t="s">
        <v>10973</v>
      </c>
    </row>
    <row r="5480" spans="1:2" x14ac:dyDescent="0.25">
      <c r="A5480" t="s">
        <v>10974</v>
      </c>
      <c r="B5480" t="s">
        <v>10975</v>
      </c>
    </row>
    <row r="5481" spans="1:2" x14ac:dyDescent="0.25">
      <c r="A5481" t="s">
        <v>10976</v>
      </c>
      <c r="B5481" t="s">
        <v>10977</v>
      </c>
    </row>
    <row r="5482" spans="1:2" x14ac:dyDescent="0.25">
      <c r="A5482" t="s">
        <v>10978</v>
      </c>
      <c r="B5482" t="s">
        <v>10979</v>
      </c>
    </row>
    <row r="5483" spans="1:2" x14ac:dyDescent="0.25">
      <c r="A5483" t="s">
        <v>10980</v>
      </c>
      <c r="B5483" t="s">
        <v>10981</v>
      </c>
    </row>
    <row r="5484" spans="1:2" x14ac:dyDescent="0.25">
      <c r="A5484" t="s">
        <v>10982</v>
      </c>
      <c r="B5484" t="s">
        <v>8893</v>
      </c>
    </row>
    <row r="5485" spans="1:2" x14ac:dyDescent="0.25">
      <c r="A5485" t="s">
        <v>10983</v>
      </c>
      <c r="B5485" t="s">
        <v>10984</v>
      </c>
    </row>
    <row r="5486" spans="1:2" x14ac:dyDescent="0.25">
      <c r="A5486" t="s">
        <v>10985</v>
      </c>
      <c r="B5486" t="s">
        <v>10986</v>
      </c>
    </row>
    <row r="5487" spans="1:2" x14ac:dyDescent="0.25">
      <c r="A5487" t="s">
        <v>10987</v>
      </c>
      <c r="B5487" t="s">
        <v>10988</v>
      </c>
    </row>
    <row r="5488" spans="1:2" x14ac:dyDescent="0.25">
      <c r="A5488" t="s">
        <v>10989</v>
      </c>
      <c r="B5488" t="s">
        <v>10990</v>
      </c>
    </row>
    <row r="5489" spans="1:2" x14ac:dyDescent="0.25">
      <c r="A5489" t="s">
        <v>10991</v>
      </c>
      <c r="B5489" t="s">
        <v>10992</v>
      </c>
    </row>
    <row r="5490" spans="1:2" x14ac:dyDescent="0.25">
      <c r="A5490" t="s">
        <v>10993</v>
      </c>
      <c r="B5490" t="s">
        <v>10994</v>
      </c>
    </row>
    <row r="5491" spans="1:2" x14ac:dyDescent="0.25">
      <c r="A5491" t="s">
        <v>10995</v>
      </c>
      <c r="B5491" t="s">
        <v>10996</v>
      </c>
    </row>
    <row r="5492" spans="1:2" x14ac:dyDescent="0.25">
      <c r="A5492" t="s">
        <v>10997</v>
      </c>
      <c r="B5492" t="s">
        <v>10998</v>
      </c>
    </row>
    <row r="5493" spans="1:2" x14ac:dyDescent="0.25">
      <c r="A5493" t="s">
        <v>10999</v>
      </c>
      <c r="B5493" t="s">
        <v>11000</v>
      </c>
    </row>
    <row r="5494" spans="1:2" x14ac:dyDescent="0.25">
      <c r="A5494" t="s">
        <v>11001</v>
      </c>
      <c r="B5494" t="s">
        <v>11002</v>
      </c>
    </row>
    <row r="5495" spans="1:2" x14ac:dyDescent="0.25">
      <c r="A5495" t="s">
        <v>11003</v>
      </c>
      <c r="B5495" t="s">
        <v>11004</v>
      </c>
    </row>
    <row r="5496" spans="1:2" x14ac:dyDescent="0.25">
      <c r="A5496" t="s">
        <v>11005</v>
      </c>
      <c r="B5496" t="s">
        <v>11006</v>
      </c>
    </row>
    <row r="5497" spans="1:2" x14ac:dyDescent="0.25">
      <c r="A5497" t="s">
        <v>11007</v>
      </c>
      <c r="B5497" t="s">
        <v>11008</v>
      </c>
    </row>
    <row r="5498" spans="1:2" x14ac:dyDescent="0.25">
      <c r="A5498" t="s">
        <v>11009</v>
      </c>
      <c r="B5498" t="s">
        <v>11010</v>
      </c>
    </row>
    <row r="5499" spans="1:2" x14ac:dyDescent="0.25">
      <c r="A5499" t="s">
        <v>11011</v>
      </c>
      <c r="B5499" t="s">
        <v>11012</v>
      </c>
    </row>
    <row r="5500" spans="1:2" x14ac:dyDescent="0.25">
      <c r="A5500" t="s">
        <v>11013</v>
      </c>
      <c r="B5500" t="s">
        <v>11014</v>
      </c>
    </row>
    <row r="5501" spans="1:2" x14ac:dyDescent="0.25">
      <c r="A5501" t="s">
        <v>11015</v>
      </c>
      <c r="B5501" t="s">
        <v>11016</v>
      </c>
    </row>
    <row r="5502" spans="1:2" x14ac:dyDescent="0.25">
      <c r="A5502" t="s">
        <v>11017</v>
      </c>
      <c r="B5502" t="s">
        <v>11018</v>
      </c>
    </row>
    <row r="5503" spans="1:2" x14ac:dyDescent="0.25">
      <c r="A5503" t="s">
        <v>11019</v>
      </c>
      <c r="B5503" t="s">
        <v>11020</v>
      </c>
    </row>
    <row r="5504" spans="1:2" x14ac:dyDescent="0.25">
      <c r="A5504" t="s">
        <v>11021</v>
      </c>
      <c r="B5504" t="s">
        <v>11022</v>
      </c>
    </row>
    <row r="5505" spans="1:2" x14ac:dyDescent="0.25">
      <c r="A5505" t="s">
        <v>11023</v>
      </c>
      <c r="B5505" t="s">
        <v>11024</v>
      </c>
    </row>
    <row r="5506" spans="1:2" x14ac:dyDescent="0.25">
      <c r="A5506" t="s">
        <v>11025</v>
      </c>
      <c r="B5506" t="s">
        <v>11026</v>
      </c>
    </row>
    <row r="5507" spans="1:2" x14ac:dyDescent="0.25">
      <c r="A5507" t="s">
        <v>11027</v>
      </c>
      <c r="B5507" t="s">
        <v>11028</v>
      </c>
    </row>
    <row r="5508" spans="1:2" x14ac:dyDescent="0.25">
      <c r="A5508" t="s">
        <v>11029</v>
      </c>
      <c r="B5508" t="s">
        <v>11030</v>
      </c>
    </row>
    <row r="5509" spans="1:2" x14ac:dyDescent="0.25">
      <c r="A5509" t="s">
        <v>11031</v>
      </c>
      <c r="B5509" t="s">
        <v>11032</v>
      </c>
    </row>
    <row r="5510" spans="1:2" x14ac:dyDescent="0.25">
      <c r="A5510" t="s">
        <v>11033</v>
      </c>
      <c r="B5510" t="s">
        <v>11034</v>
      </c>
    </row>
    <row r="5511" spans="1:2" x14ac:dyDescent="0.25">
      <c r="A5511" t="s">
        <v>11035</v>
      </c>
      <c r="B5511" t="s">
        <v>11036</v>
      </c>
    </row>
    <row r="5512" spans="1:2" x14ac:dyDescent="0.25">
      <c r="A5512" t="s">
        <v>11037</v>
      </c>
      <c r="B5512" t="s">
        <v>11038</v>
      </c>
    </row>
    <row r="5513" spans="1:2" x14ac:dyDescent="0.25">
      <c r="A5513" t="s">
        <v>11039</v>
      </c>
      <c r="B5513" t="s">
        <v>11040</v>
      </c>
    </row>
    <row r="5514" spans="1:2" x14ac:dyDescent="0.25">
      <c r="A5514" t="s">
        <v>11041</v>
      </c>
      <c r="B5514" t="s">
        <v>11042</v>
      </c>
    </row>
    <row r="5515" spans="1:2" x14ac:dyDescent="0.25">
      <c r="A5515" t="s">
        <v>11043</v>
      </c>
      <c r="B5515" t="s">
        <v>11044</v>
      </c>
    </row>
    <row r="5516" spans="1:2" x14ac:dyDescent="0.25">
      <c r="A5516" t="s">
        <v>11045</v>
      </c>
      <c r="B5516" t="s">
        <v>11046</v>
      </c>
    </row>
    <row r="5517" spans="1:2" x14ac:dyDescent="0.25">
      <c r="A5517" t="s">
        <v>11047</v>
      </c>
      <c r="B5517" t="s">
        <v>11048</v>
      </c>
    </row>
    <row r="5518" spans="1:2" x14ac:dyDescent="0.25">
      <c r="A5518" t="s">
        <v>11049</v>
      </c>
      <c r="B5518" t="s">
        <v>11050</v>
      </c>
    </row>
    <row r="5519" spans="1:2" x14ac:dyDescent="0.25">
      <c r="A5519" t="s">
        <v>11051</v>
      </c>
      <c r="B5519" t="s">
        <v>11052</v>
      </c>
    </row>
    <row r="5520" spans="1:2" x14ac:dyDescent="0.25">
      <c r="A5520" t="s">
        <v>11053</v>
      </c>
      <c r="B5520" t="s">
        <v>11054</v>
      </c>
    </row>
    <row r="5521" spans="1:2" x14ac:dyDescent="0.25">
      <c r="A5521" t="s">
        <v>11055</v>
      </c>
      <c r="B5521" t="s">
        <v>11056</v>
      </c>
    </row>
    <row r="5522" spans="1:2" x14ac:dyDescent="0.25">
      <c r="A5522" t="s">
        <v>11057</v>
      </c>
      <c r="B5522" t="s">
        <v>11058</v>
      </c>
    </row>
    <row r="5523" spans="1:2" x14ac:dyDescent="0.25">
      <c r="A5523" t="s">
        <v>11059</v>
      </c>
      <c r="B5523" t="s">
        <v>11060</v>
      </c>
    </row>
    <row r="5524" spans="1:2" x14ac:dyDescent="0.25">
      <c r="A5524" t="s">
        <v>11061</v>
      </c>
      <c r="B5524" t="s">
        <v>11062</v>
      </c>
    </row>
    <row r="5525" spans="1:2" x14ac:dyDescent="0.25">
      <c r="A5525" t="s">
        <v>11063</v>
      </c>
      <c r="B5525" t="s">
        <v>11064</v>
      </c>
    </row>
    <row r="5526" spans="1:2" x14ac:dyDescent="0.25">
      <c r="A5526" t="s">
        <v>11065</v>
      </c>
      <c r="B5526" t="s">
        <v>11066</v>
      </c>
    </row>
    <row r="5527" spans="1:2" x14ac:dyDescent="0.25">
      <c r="A5527" t="s">
        <v>11067</v>
      </c>
      <c r="B5527" t="s">
        <v>11068</v>
      </c>
    </row>
    <row r="5528" spans="1:2" x14ac:dyDescent="0.25">
      <c r="A5528" t="s">
        <v>11069</v>
      </c>
      <c r="B5528" t="s">
        <v>11070</v>
      </c>
    </row>
    <row r="5529" spans="1:2" x14ac:dyDescent="0.25">
      <c r="A5529" t="s">
        <v>11071</v>
      </c>
      <c r="B5529" t="s">
        <v>11072</v>
      </c>
    </row>
    <row r="5530" spans="1:2" x14ac:dyDescent="0.25">
      <c r="A5530" t="s">
        <v>11073</v>
      </c>
      <c r="B5530" t="s">
        <v>11074</v>
      </c>
    </row>
    <row r="5531" spans="1:2" x14ac:dyDescent="0.25">
      <c r="A5531" t="s">
        <v>11075</v>
      </c>
      <c r="B5531" t="s">
        <v>11076</v>
      </c>
    </row>
    <row r="5532" spans="1:2" x14ac:dyDescent="0.25">
      <c r="A5532" t="s">
        <v>11077</v>
      </c>
      <c r="B5532" t="s">
        <v>11078</v>
      </c>
    </row>
    <row r="5533" spans="1:2" x14ac:dyDescent="0.25">
      <c r="A5533" t="s">
        <v>11079</v>
      </c>
      <c r="B5533" t="s">
        <v>11080</v>
      </c>
    </row>
    <row r="5534" spans="1:2" x14ac:dyDescent="0.25">
      <c r="A5534" t="s">
        <v>11081</v>
      </c>
      <c r="B5534" t="s">
        <v>11082</v>
      </c>
    </row>
    <row r="5535" spans="1:2" x14ac:dyDescent="0.25">
      <c r="A5535" t="s">
        <v>11083</v>
      </c>
      <c r="B5535" t="s">
        <v>11084</v>
      </c>
    </row>
    <row r="5536" spans="1:2" x14ac:dyDescent="0.25">
      <c r="A5536" t="s">
        <v>11085</v>
      </c>
      <c r="B5536" t="s">
        <v>11086</v>
      </c>
    </row>
    <row r="5537" spans="1:2" x14ac:dyDescent="0.25">
      <c r="A5537" t="s">
        <v>11087</v>
      </c>
      <c r="B5537" t="s">
        <v>11088</v>
      </c>
    </row>
    <row r="5538" spans="1:2" x14ac:dyDescent="0.25">
      <c r="A5538" t="s">
        <v>11089</v>
      </c>
      <c r="B5538" t="s">
        <v>11090</v>
      </c>
    </row>
    <row r="5539" spans="1:2" x14ac:dyDescent="0.25">
      <c r="A5539" t="s">
        <v>11091</v>
      </c>
      <c r="B5539" t="s">
        <v>11092</v>
      </c>
    </row>
    <row r="5540" spans="1:2" x14ac:dyDescent="0.25">
      <c r="A5540" t="s">
        <v>11093</v>
      </c>
      <c r="B5540" t="s">
        <v>11094</v>
      </c>
    </row>
    <row r="5541" spans="1:2" x14ac:dyDescent="0.25">
      <c r="A5541" t="s">
        <v>11095</v>
      </c>
      <c r="B5541" t="s">
        <v>11096</v>
      </c>
    </row>
    <row r="5542" spans="1:2" x14ac:dyDescent="0.25">
      <c r="A5542" t="s">
        <v>11097</v>
      </c>
      <c r="B5542" t="s">
        <v>11098</v>
      </c>
    </row>
    <row r="5543" spans="1:2" x14ac:dyDescent="0.25">
      <c r="A5543" t="s">
        <v>11099</v>
      </c>
      <c r="B5543" t="s">
        <v>11100</v>
      </c>
    </row>
    <row r="5544" spans="1:2" x14ac:dyDescent="0.25">
      <c r="A5544" t="s">
        <v>11101</v>
      </c>
      <c r="B5544" t="s">
        <v>11102</v>
      </c>
    </row>
    <row r="5545" spans="1:2" x14ac:dyDescent="0.25">
      <c r="A5545" t="s">
        <v>11103</v>
      </c>
      <c r="B5545" t="s">
        <v>11104</v>
      </c>
    </row>
    <row r="5546" spans="1:2" x14ac:dyDescent="0.25">
      <c r="A5546" t="s">
        <v>11105</v>
      </c>
      <c r="B5546" t="s">
        <v>11106</v>
      </c>
    </row>
    <row r="5547" spans="1:2" x14ac:dyDescent="0.25">
      <c r="A5547" t="s">
        <v>11107</v>
      </c>
      <c r="B5547" t="s">
        <v>11108</v>
      </c>
    </row>
    <row r="5548" spans="1:2" x14ac:dyDescent="0.25">
      <c r="A5548" t="s">
        <v>11109</v>
      </c>
      <c r="B5548" t="s">
        <v>11110</v>
      </c>
    </row>
    <row r="5549" spans="1:2" x14ac:dyDescent="0.25">
      <c r="A5549" t="s">
        <v>11111</v>
      </c>
      <c r="B5549" t="s">
        <v>11112</v>
      </c>
    </row>
    <row r="5550" spans="1:2" x14ac:dyDescent="0.25">
      <c r="A5550" t="s">
        <v>11113</v>
      </c>
      <c r="B5550" t="s">
        <v>11114</v>
      </c>
    </row>
    <row r="5551" spans="1:2" x14ac:dyDescent="0.25">
      <c r="A5551" t="s">
        <v>11115</v>
      </c>
      <c r="B5551" t="s">
        <v>11116</v>
      </c>
    </row>
    <row r="5552" spans="1:2" x14ac:dyDescent="0.25">
      <c r="A5552" t="s">
        <v>11117</v>
      </c>
      <c r="B5552" t="s">
        <v>11118</v>
      </c>
    </row>
    <row r="5553" spans="1:2" x14ac:dyDescent="0.25">
      <c r="A5553" t="s">
        <v>11119</v>
      </c>
      <c r="B5553" t="s">
        <v>11120</v>
      </c>
    </row>
    <row r="5554" spans="1:2" x14ac:dyDescent="0.25">
      <c r="A5554" t="s">
        <v>11121</v>
      </c>
      <c r="B5554" t="s">
        <v>11122</v>
      </c>
    </row>
    <row r="5555" spans="1:2" x14ac:dyDescent="0.25">
      <c r="A5555" t="s">
        <v>11123</v>
      </c>
      <c r="B5555" t="s">
        <v>11124</v>
      </c>
    </row>
    <row r="5556" spans="1:2" x14ac:dyDescent="0.25">
      <c r="A5556" t="s">
        <v>11125</v>
      </c>
      <c r="B5556" t="s">
        <v>11126</v>
      </c>
    </row>
    <row r="5557" spans="1:2" x14ac:dyDescent="0.25">
      <c r="A5557" t="s">
        <v>11127</v>
      </c>
      <c r="B5557" t="s">
        <v>11128</v>
      </c>
    </row>
    <row r="5558" spans="1:2" x14ac:dyDescent="0.25">
      <c r="A5558" t="s">
        <v>11129</v>
      </c>
      <c r="B5558" t="s">
        <v>11130</v>
      </c>
    </row>
    <row r="5559" spans="1:2" x14ac:dyDescent="0.25">
      <c r="A5559" t="s">
        <v>11131</v>
      </c>
      <c r="B5559" t="s">
        <v>11132</v>
      </c>
    </row>
    <row r="5560" spans="1:2" x14ac:dyDescent="0.25">
      <c r="A5560" t="s">
        <v>11133</v>
      </c>
      <c r="B5560" t="s">
        <v>11134</v>
      </c>
    </row>
    <row r="5561" spans="1:2" x14ac:dyDescent="0.25">
      <c r="A5561" t="s">
        <v>11135</v>
      </c>
      <c r="B5561" t="s">
        <v>11136</v>
      </c>
    </row>
    <row r="5562" spans="1:2" x14ac:dyDescent="0.25">
      <c r="A5562" t="s">
        <v>11137</v>
      </c>
      <c r="B5562" t="s">
        <v>11138</v>
      </c>
    </row>
    <row r="5563" spans="1:2" x14ac:dyDescent="0.25">
      <c r="A5563" t="s">
        <v>11139</v>
      </c>
      <c r="B5563" t="s">
        <v>11140</v>
      </c>
    </row>
    <row r="5564" spans="1:2" x14ac:dyDescent="0.25">
      <c r="A5564" t="s">
        <v>11141</v>
      </c>
      <c r="B5564" t="s">
        <v>11142</v>
      </c>
    </row>
    <row r="5565" spans="1:2" x14ac:dyDescent="0.25">
      <c r="A5565" t="s">
        <v>11143</v>
      </c>
      <c r="B5565" t="s">
        <v>11144</v>
      </c>
    </row>
    <row r="5566" spans="1:2" x14ac:dyDescent="0.25">
      <c r="A5566" t="s">
        <v>11145</v>
      </c>
      <c r="B5566" t="s">
        <v>11146</v>
      </c>
    </row>
    <row r="5567" spans="1:2" x14ac:dyDescent="0.25">
      <c r="A5567" t="s">
        <v>11147</v>
      </c>
      <c r="B5567" t="s">
        <v>11148</v>
      </c>
    </row>
    <row r="5568" spans="1:2" x14ac:dyDescent="0.25">
      <c r="A5568" t="s">
        <v>11149</v>
      </c>
      <c r="B5568" t="s">
        <v>11150</v>
      </c>
    </row>
    <row r="5569" spans="1:2" x14ac:dyDescent="0.25">
      <c r="A5569" t="s">
        <v>11151</v>
      </c>
      <c r="B5569" t="s">
        <v>11152</v>
      </c>
    </row>
    <row r="5570" spans="1:2" x14ac:dyDescent="0.25">
      <c r="A5570" t="s">
        <v>11153</v>
      </c>
      <c r="B5570" t="s">
        <v>11154</v>
      </c>
    </row>
    <row r="5571" spans="1:2" x14ac:dyDescent="0.25">
      <c r="A5571" t="s">
        <v>11155</v>
      </c>
      <c r="B5571" t="s">
        <v>11156</v>
      </c>
    </row>
    <row r="5572" spans="1:2" x14ac:dyDescent="0.25">
      <c r="A5572" t="s">
        <v>11157</v>
      </c>
      <c r="B5572" t="s">
        <v>11158</v>
      </c>
    </row>
    <row r="5573" spans="1:2" x14ac:dyDescent="0.25">
      <c r="A5573" t="s">
        <v>11159</v>
      </c>
      <c r="B5573" t="s">
        <v>11160</v>
      </c>
    </row>
    <row r="5574" spans="1:2" x14ac:dyDescent="0.25">
      <c r="A5574" t="s">
        <v>11161</v>
      </c>
      <c r="B5574" t="s">
        <v>11162</v>
      </c>
    </row>
    <row r="5575" spans="1:2" x14ac:dyDescent="0.25">
      <c r="A5575" t="s">
        <v>11163</v>
      </c>
      <c r="B5575" t="s">
        <v>11164</v>
      </c>
    </row>
    <row r="5576" spans="1:2" x14ac:dyDescent="0.25">
      <c r="A5576" t="s">
        <v>11165</v>
      </c>
      <c r="B5576" t="s">
        <v>11166</v>
      </c>
    </row>
    <row r="5577" spans="1:2" x14ac:dyDescent="0.25">
      <c r="A5577" t="s">
        <v>11167</v>
      </c>
      <c r="B5577" t="s">
        <v>11168</v>
      </c>
    </row>
    <row r="5578" spans="1:2" x14ac:dyDescent="0.25">
      <c r="A5578" t="s">
        <v>11169</v>
      </c>
      <c r="B5578" t="s">
        <v>11170</v>
      </c>
    </row>
    <row r="5579" spans="1:2" x14ac:dyDescent="0.25">
      <c r="A5579" t="s">
        <v>11171</v>
      </c>
      <c r="B5579" t="s">
        <v>11172</v>
      </c>
    </row>
    <row r="5580" spans="1:2" x14ac:dyDescent="0.25">
      <c r="A5580" t="s">
        <v>11173</v>
      </c>
      <c r="B5580" t="s">
        <v>11174</v>
      </c>
    </row>
    <row r="5581" spans="1:2" x14ac:dyDescent="0.25">
      <c r="A5581" t="s">
        <v>11175</v>
      </c>
      <c r="B5581" t="s">
        <v>11176</v>
      </c>
    </row>
    <row r="5582" spans="1:2" x14ac:dyDescent="0.25">
      <c r="A5582" t="s">
        <v>11177</v>
      </c>
      <c r="B5582" t="s">
        <v>11178</v>
      </c>
    </row>
    <row r="5583" spans="1:2" x14ac:dyDescent="0.25">
      <c r="A5583" t="s">
        <v>11179</v>
      </c>
      <c r="B5583" t="s">
        <v>11180</v>
      </c>
    </row>
    <row r="5584" spans="1:2" x14ac:dyDescent="0.25">
      <c r="A5584" t="s">
        <v>11181</v>
      </c>
      <c r="B5584" t="s">
        <v>11182</v>
      </c>
    </row>
    <row r="5585" spans="1:2" x14ac:dyDescent="0.25">
      <c r="A5585" t="s">
        <v>11183</v>
      </c>
      <c r="B5585" t="s">
        <v>11184</v>
      </c>
    </row>
    <row r="5586" spans="1:2" x14ac:dyDescent="0.25">
      <c r="A5586" t="s">
        <v>11185</v>
      </c>
      <c r="B5586" t="s">
        <v>11186</v>
      </c>
    </row>
    <row r="5587" spans="1:2" x14ac:dyDescent="0.25">
      <c r="A5587" t="s">
        <v>11187</v>
      </c>
      <c r="B5587" t="s">
        <v>11188</v>
      </c>
    </row>
    <row r="5588" spans="1:2" x14ac:dyDescent="0.25">
      <c r="A5588" t="s">
        <v>11189</v>
      </c>
      <c r="B5588" t="s">
        <v>11190</v>
      </c>
    </row>
    <row r="5589" spans="1:2" x14ac:dyDescent="0.25">
      <c r="A5589" t="s">
        <v>11191</v>
      </c>
      <c r="B5589" t="s">
        <v>11192</v>
      </c>
    </row>
    <row r="5590" spans="1:2" x14ac:dyDescent="0.25">
      <c r="A5590" t="s">
        <v>11193</v>
      </c>
      <c r="B5590" t="s">
        <v>11194</v>
      </c>
    </row>
    <row r="5591" spans="1:2" x14ac:dyDescent="0.25">
      <c r="A5591" t="s">
        <v>11195</v>
      </c>
      <c r="B5591" t="s">
        <v>11196</v>
      </c>
    </row>
    <row r="5592" spans="1:2" x14ac:dyDescent="0.25">
      <c r="A5592" t="s">
        <v>11197</v>
      </c>
      <c r="B5592" t="s">
        <v>11198</v>
      </c>
    </row>
    <row r="5593" spans="1:2" x14ac:dyDescent="0.25">
      <c r="A5593" t="s">
        <v>11199</v>
      </c>
      <c r="B5593" t="s">
        <v>11200</v>
      </c>
    </row>
    <row r="5594" spans="1:2" x14ac:dyDescent="0.25">
      <c r="A5594" t="s">
        <v>11201</v>
      </c>
      <c r="B5594" t="s">
        <v>11202</v>
      </c>
    </row>
    <row r="5595" spans="1:2" x14ac:dyDescent="0.25">
      <c r="A5595" t="s">
        <v>11203</v>
      </c>
      <c r="B5595" t="s">
        <v>11204</v>
      </c>
    </row>
    <row r="5596" spans="1:2" x14ac:dyDescent="0.25">
      <c r="A5596" t="s">
        <v>11205</v>
      </c>
      <c r="B5596" t="s">
        <v>11206</v>
      </c>
    </row>
    <row r="5597" spans="1:2" x14ac:dyDescent="0.25">
      <c r="A5597" t="s">
        <v>11207</v>
      </c>
      <c r="B5597" t="s">
        <v>11208</v>
      </c>
    </row>
    <row r="5598" spans="1:2" x14ac:dyDescent="0.25">
      <c r="A5598" t="s">
        <v>11209</v>
      </c>
      <c r="B5598" t="s">
        <v>11210</v>
      </c>
    </row>
    <row r="5599" spans="1:2" x14ac:dyDescent="0.25">
      <c r="A5599" t="s">
        <v>11211</v>
      </c>
      <c r="B5599" t="s">
        <v>11212</v>
      </c>
    </row>
    <row r="5600" spans="1:2" x14ac:dyDescent="0.25">
      <c r="A5600" t="s">
        <v>11213</v>
      </c>
      <c r="B5600" t="s">
        <v>11214</v>
      </c>
    </row>
    <row r="5601" spans="1:2" x14ac:dyDescent="0.25">
      <c r="A5601" t="s">
        <v>11215</v>
      </c>
      <c r="B5601" t="s">
        <v>11216</v>
      </c>
    </row>
    <row r="5602" spans="1:2" x14ac:dyDescent="0.25">
      <c r="A5602" t="s">
        <v>11217</v>
      </c>
      <c r="B5602" t="s">
        <v>11218</v>
      </c>
    </row>
    <row r="5603" spans="1:2" x14ac:dyDescent="0.25">
      <c r="A5603" t="s">
        <v>11219</v>
      </c>
      <c r="B5603" t="s">
        <v>11220</v>
      </c>
    </row>
    <row r="5604" spans="1:2" x14ac:dyDescent="0.25">
      <c r="A5604" t="s">
        <v>11221</v>
      </c>
      <c r="B5604" t="s">
        <v>11222</v>
      </c>
    </row>
    <row r="5605" spans="1:2" x14ac:dyDescent="0.25">
      <c r="A5605" t="s">
        <v>11223</v>
      </c>
      <c r="B5605" t="s">
        <v>11224</v>
      </c>
    </row>
    <row r="5606" spans="1:2" x14ac:dyDescent="0.25">
      <c r="A5606" t="s">
        <v>11225</v>
      </c>
      <c r="B5606" t="s">
        <v>11226</v>
      </c>
    </row>
    <row r="5607" spans="1:2" x14ac:dyDescent="0.25">
      <c r="A5607" t="s">
        <v>11227</v>
      </c>
      <c r="B5607" t="s">
        <v>8948</v>
      </c>
    </row>
    <row r="5608" spans="1:2" x14ac:dyDescent="0.25">
      <c r="A5608" t="s">
        <v>11228</v>
      </c>
      <c r="B5608" t="s">
        <v>11229</v>
      </c>
    </row>
    <row r="5609" spans="1:2" x14ac:dyDescent="0.25">
      <c r="A5609" t="s">
        <v>11230</v>
      </c>
      <c r="B5609" t="s">
        <v>11231</v>
      </c>
    </row>
    <row r="5610" spans="1:2" x14ac:dyDescent="0.25">
      <c r="A5610" t="s">
        <v>11232</v>
      </c>
      <c r="B5610" t="s">
        <v>11233</v>
      </c>
    </row>
    <row r="5611" spans="1:2" x14ac:dyDescent="0.25">
      <c r="A5611" t="s">
        <v>11234</v>
      </c>
      <c r="B5611" t="s">
        <v>11235</v>
      </c>
    </row>
    <row r="5612" spans="1:2" x14ac:dyDescent="0.25">
      <c r="A5612" t="s">
        <v>11236</v>
      </c>
      <c r="B5612" t="s">
        <v>11237</v>
      </c>
    </row>
    <row r="5613" spans="1:2" x14ac:dyDescent="0.25">
      <c r="A5613" t="s">
        <v>11238</v>
      </c>
      <c r="B5613" t="s">
        <v>11239</v>
      </c>
    </row>
    <row r="5614" spans="1:2" x14ac:dyDescent="0.25">
      <c r="A5614" t="s">
        <v>11240</v>
      </c>
      <c r="B5614" t="s">
        <v>11241</v>
      </c>
    </row>
    <row r="5615" spans="1:2" x14ac:dyDescent="0.25">
      <c r="A5615" t="s">
        <v>11242</v>
      </c>
      <c r="B5615" t="s">
        <v>11243</v>
      </c>
    </row>
    <row r="5616" spans="1:2" x14ac:dyDescent="0.25">
      <c r="A5616" t="s">
        <v>11244</v>
      </c>
      <c r="B5616" t="s">
        <v>11245</v>
      </c>
    </row>
    <row r="5617" spans="1:2" x14ac:dyDescent="0.25">
      <c r="A5617" t="s">
        <v>11246</v>
      </c>
      <c r="B5617" t="s">
        <v>11247</v>
      </c>
    </row>
    <row r="5618" spans="1:2" x14ac:dyDescent="0.25">
      <c r="A5618" t="s">
        <v>11248</v>
      </c>
      <c r="B5618" t="s">
        <v>11249</v>
      </c>
    </row>
    <row r="5619" spans="1:2" x14ac:dyDescent="0.25">
      <c r="A5619" t="s">
        <v>11250</v>
      </c>
      <c r="B5619" t="s">
        <v>11251</v>
      </c>
    </row>
    <row r="5620" spans="1:2" x14ac:dyDescent="0.25">
      <c r="A5620" t="s">
        <v>11252</v>
      </c>
      <c r="B5620" t="s">
        <v>11253</v>
      </c>
    </row>
    <row r="5621" spans="1:2" x14ac:dyDescent="0.25">
      <c r="A5621" t="s">
        <v>11254</v>
      </c>
      <c r="B5621" t="s">
        <v>11255</v>
      </c>
    </row>
    <row r="5622" spans="1:2" x14ac:dyDescent="0.25">
      <c r="A5622" t="s">
        <v>11256</v>
      </c>
      <c r="B5622" t="s">
        <v>11257</v>
      </c>
    </row>
    <row r="5623" spans="1:2" x14ac:dyDescent="0.25">
      <c r="A5623" t="s">
        <v>11258</v>
      </c>
      <c r="B5623" t="s">
        <v>11259</v>
      </c>
    </row>
    <row r="5624" spans="1:2" x14ac:dyDescent="0.25">
      <c r="A5624" t="s">
        <v>11260</v>
      </c>
      <c r="B5624" t="s">
        <v>11261</v>
      </c>
    </row>
    <row r="5625" spans="1:2" x14ac:dyDescent="0.25">
      <c r="A5625" t="s">
        <v>11262</v>
      </c>
      <c r="B5625" t="s">
        <v>11263</v>
      </c>
    </row>
    <row r="5626" spans="1:2" x14ac:dyDescent="0.25">
      <c r="A5626" t="s">
        <v>11264</v>
      </c>
      <c r="B5626" t="s">
        <v>11265</v>
      </c>
    </row>
    <row r="5627" spans="1:2" x14ac:dyDescent="0.25">
      <c r="A5627" t="s">
        <v>11266</v>
      </c>
      <c r="B5627" t="s">
        <v>11267</v>
      </c>
    </row>
    <row r="5628" spans="1:2" x14ac:dyDescent="0.25">
      <c r="A5628" t="s">
        <v>11268</v>
      </c>
      <c r="B5628" t="s">
        <v>11269</v>
      </c>
    </row>
    <row r="5629" spans="1:2" x14ac:dyDescent="0.25">
      <c r="A5629" t="s">
        <v>11270</v>
      </c>
      <c r="B5629" t="s">
        <v>11271</v>
      </c>
    </row>
    <row r="5630" spans="1:2" x14ac:dyDescent="0.25">
      <c r="A5630" t="s">
        <v>11272</v>
      </c>
      <c r="B5630" t="s">
        <v>11273</v>
      </c>
    </row>
    <row r="5631" spans="1:2" x14ac:dyDescent="0.25">
      <c r="A5631" t="s">
        <v>11274</v>
      </c>
      <c r="B5631" t="s">
        <v>11275</v>
      </c>
    </row>
    <row r="5632" spans="1:2" x14ac:dyDescent="0.25">
      <c r="A5632" t="s">
        <v>11276</v>
      </c>
      <c r="B5632" t="s">
        <v>11277</v>
      </c>
    </row>
    <row r="5633" spans="1:2" x14ac:dyDescent="0.25">
      <c r="A5633" t="s">
        <v>11278</v>
      </c>
      <c r="B5633" t="s">
        <v>11279</v>
      </c>
    </row>
    <row r="5634" spans="1:2" x14ac:dyDescent="0.25">
      <c r="A5634" t="s">
        <v>11280</v>
      </c>
      <c r="B5634" t="s">
        <v>11281</v>
      </c>
    </row>
    <row r="5635" spans="1:2" x14ac:dyDescent="0.25">
      <c r="A5635" t="s">
        <v>11282</v>
      </c>
      <c r="B5635" t="s">
        <v>11283</v>
      </c>
    </row>
    <row r="5636" spans="1:2" x14ac:dyDescent="0.25">
      <c r="A5636" t="s">
        <v>11284</v>
      </c>
      <c r="B5636" t="s">
        <v>11285</v>
      </c>
    </row>
    <row r="5637" spans="1:2" x14ac:dyDescent="0.25">
      <c r="A5637" t="s">
        <v>11286</v>
      </c>
      <c r="B5637" t="s">
        <v>11287</v>
      </c>
    </row>
    <row r="5638" spans="1:2" x14ac:dyDescent="0.25">
      <c r="A5638" t="s">
        <v>11288</v>
      </c>
      <c r="B5638" t="s">
        <v>11289</v>
      </c>
    </row>
    <row r="5639" spans="1:2" x14ac:dyDescent="0.25">
      <c r="A5639" t="s">
        <v>11290</v>
      </c>
      <c r="B5639" t="s">
        <v>11291</v>
      </c>
    </row>
    <row r="5640" spans="1:2" x14ac:dyDescent="0.25">
      <c r="A5640" t="s">
        <v>11292</v>
      </c>
      <c r="B5640" t="s">
        <v>11293</v>
      </c>
    </row>
    <row r="5641" spans="1:2" x14ac:dyDescent="0.25">
      <c r="A5641" t="s">
        <v>11294</v>
      </c>
      <c r="B5641" t="s">
        <v>11295</v>
      </c>
    </row>
    <row r="5642" spans="1:2" x14ac:dyDescent="0.25">
      <c r="A5642" t="s">
        <v>11296</v>
      </c>
      <c r="B5642" t="s">
        <v>11297</v>
      </c>
    </row>
    <row r="5643" spans="1:2" x14ac:dyDescent="0.25">
      <c r="A5643" t="s">
        <v>11298</v>
      </c>
      <c r="B5643" t="s">
        <v>11299</v>
      </c>
    </row>
    <row r="5644" spans="1:2" x14ac:dyDescent="0.25">
      <c r="A5644" t="s">
        <v>11300</v>
      </c>
      <c r="B5644" t="s">
        <v>11301</v>
      </c>
    </row>
    <row r="5645" spans="1:2" x14ac:dyDescent="0.25">
      <c r="A5645" t="s">
        <v>11302</v>
      </c>
      <c r="B5645" t="s">
        <v>11303</v>
      </c>
    </row>
    <row r="5646" spans="1:2" x14ac:dyDescent="0.25">
      <c r="A5646" t="s">
        <v>11304</v>
      </c>
      <c r="B5646" t="s">
        <v>11305</v>
      </c>
    </row>
    <row r="5647" spans="1:2" x14ac:dyDescent="0.25">
      <c r="A5647" t="s">
        <v>11306</v>
      </c>
      <c r="B5647" t="s">
        <v>11307</v>
      </c>
    </row>
    <row r="5648" spans="1:2" x14ac:dyDescent="0.25">
      <c r="A5648" t="s">
        <v>11308</v>
      </c>
      <c r="B5648" t="s">
        <v>11309</v>
      </c>
    </row>
    <row r="5649" spans="1:2" x14ac:dyDescent="0.25">
      <c r="A5649" t="s">
        <v>11310</v>
      </c>
      <c r="B5649" t="s">
        <v>11311</v>
      </c>
    </row>
    <row r="5650" spans="1:2" x14ac:dyDescent="0.25">
      <c r="A5650" t="s">
        <v>11312</v>
      </c>
      <c r="B5650" t="s">
        <v>11313</v>
      </c>
    </row>
    <row r="5651" spans="1:2" x14ac:dyDescent="0.25">
      <c r="A5651" t="s">
        <v>11314</v>
      </c>
      <c r="B5651" t="s">
        <v>11315</v>
      </c>
    </row>
    <row r="5652" spans="1:2" x14ac:dyDescent="0.25">
      <c r="A5652" t="s">
        <v>11316</v>
      </c>
      <c r="B5652" t="s">
        <v>11317</v>
      </c>
    </row>
    <row r="5653" spans="1:2" x14ac:dyDescent="0.25">
      <c r="A5653" t="s">
        <v>11318</v>
      </c>
      <c r="B5653" t="s">
        <v>11319</v>
      </c>
    </row>
    <row r="5654" spans="1:2" x14ac:dyDescent="0.25">
      <c r="A5654" t="s">
        <v>11320</v>
      </c>
      <c r="B5654" t="s">
        <v>11321</v>
      </c>
    </row>
    <row r="5655" spans="1:2" x14ac:dyDescent="0.25">
      <c r="A5655" t="s">
        <v>11322</v>
      </c>
      <c r="B5655" t="s">
        <v>11323</v>
      </c>
    </row>
    <row r="5656" spans="1:2" x14ac:dyDescent="0.25">
      <c r="A5656" t="s">
        <v>11324</v>
      </c>
      <c r="B5656" t="s">
        <v>11325</v>
      </c>
    </row>
    <row r="5657" spans="1:2" x14ac:dyDescent="0.25">
      <c r="A5657" t="s">
        <v>11326</v>
      </c>
      <c r="B5657" t="s">
        <v>11327</v>
      </c>
    </row>
    <row r="5658" spans="1:2" x14ac:dyDescent="0.25">
      <c r="A5658" t="s">
        <v>11328</v>
      </c>
      <c r="B5658" t="s">
        <v>11329</v>
      </c>
    </row>
    <row r="5659" spans="1:2" x14ac:dyDescent="0.25">
      <c r="A5659" t="s">
        <v>11330</v>
      </c>
      <c r="B5659" t="s">
        <v>11331</v>
      </c>
    </row>
    <row r="5660" spans="1:2" x14ac:dyDescent="0.25">
      <c r="A5660" t="s">
        <v>11332</v>
      </c>
      <c r="B5660" t="s">
        <v>11333</v>
      </c>
    </row>
    <row r="5661" spans="1:2" x14ac:dyDescent="0.25">
      <c r="A5661" t="s">
        <v>11334</v>
      </c>
      <c r="B5661" t="s">
        <v>11335</v>
      </c>
    </row>
    <row r="5662" spans="1:2" x14ac:dyDescent="0.25">
      <c r="A5662" t="s">
        <v>11336</v>
      </c>
      <c r="B5662" t="s">
        <v>11337</v>
      </c>
    </row>
    <row r="5663" spans="1:2" x14ac:dyDescent="0.25">
      <c r="A5663" t="s">
        <v>11338</v>
      </c>
      <c r="B5663" t="s">
        <v>11339</v>
      </c>
    </row>
    <row r="5664" spans="1:2" x14ac:dyDescent="0.25">
      <c r="A5664" t="s">
        <v>11340</v>
      </c>
      <c r="B5664" t="s">
        <v>11341</v>
      </c>
    </row>
    <row r="5665" spans="1:2" x14ac:dyDescent="0.25">
      <c r="A5665" t="s">
        <v>11342</v>
      </c>
      <c r="B5665" t="s">
        <v>11343</v>
      </c>
    </row>
    <row r="5666" spans="1:2" x14ac:dyDescent="0.25">
      <c r="A5666" t="s">
        <v>11344</v>
      </c>
      <c r="B5666" t="s">
        <v>11345</v>
      </c>
    </row>
    <row r="5667" spans="1:2" x14ac:dyDescent="0.25">
      <c r="A5667" t="s">
        <v>11346</v>
      </c>
      <c r="B5667" t="s">
        <v>11347</v>
      </c>
    </row>
    <row r="5668" spans="1:2" x14ac:dyDescent="0.25">
      <c r="A5668" t="s">
        <v>11348</v>
      </c>
      <c r="B5668" t="s">
        <v>11349</v>
      </c>
    </row>
    <row r="5669" spans="1:2" x14ac:dyDescent="0.25">
      <c r="A5669" t="s">
        <v>11350</v>
      </c>
      <c r="B5669" t="s">
        <v>11351</v>
      </c>
    </row>
    <row r="5670" spans="1:2" x14ac:dyDescent="0.25">
      <c r="A5670" t="s">
        <v>11352</v>
      </c>
      <c r="B5670" t="s">
        <v>11353</v>
      </c>
    </row>
    <row r="5671" spans="1:2" x14ac:dyDescent="0.25">
      <c r="A5671" t="s">
        <v>11354</v>
      </c>
      <c r="B5671" t="s">
        <v>11355</v>
      </c>
    </row>
    <row r="5672" spans="1:2" x14ac:dyDescent="0.25">
      <c r="A5672" t="s">
        <v>11356</v>
      </c>
      <c r="B5672" t="s">
        <v>11357</v>
      </c>
    </row>
    <row r="5673" spans="1:2" x14ac:dyDescent="0.25">
      <c r="A5673" t="s">
        <v>11358</v>
      </c>
      <c r="B5673" t="s">
        <v>11359</v>
      </c>
    </row>
    <row r="5674" spans="1:2" x14ac:dyDescent="0.25">
      <c r="A5674" t="s">
        <v>11360</v>
      </c>
      <c r="B5674" t="s">
        <v>11361</v>
      </c>
    </row>
    <row r="5675" spans="1:2" x14ac:dyDescent="0.25">
      <c r="A5675" t="s">
        <v>11362</v>
      </c>
      <c r="B5675" t="s">
        <v>11363</v>
      </c>
    </row>
    <row r="5676" spans="1:2" x14ac:dyDescent="0.25">
      <c r="A5676" t="s">
        <v>11364</v>
      </c>
      <c r="B5676" t="s">
        <v>11365</v>
      </c>
    </row>
    <row r="5677" spans="1:2" x14ac:dyDescent="0.25">
      <c r="A5677" t="s">
        <v>11366</v>
      </c>
      <c r="B5677" t="s">
        <v>11367</v>
      </c>
    </row>
    <row r="5678" spans="1:2" x14ac:dyDescent="0.25">
      <c r="A5678" t="s">
        <v>11368</v>
      </c>
      <c r="B5678" t="s">
        <v>11369</v>
      </c>
    </row>
    <row r="5679" spans="1:2" x14ac:dyDescent="0.25">
      <c r="A5679" t="s">
        <v>11370</v>
      </c>
      <c r="B5679" t="s">
        <v>11371</v>
      </c>
    </row>
    <row r="5680" spans="1:2" x14ac:dyDescent="0.25">
      <c r="A5680" t="s">
        <v>11372</v>
      </c>
      <c r="B5680" t="s">
        <v>11373</v>
      </c>
    </row>
    <row r="5681" spans="1:2" x14ac:dyDescent="0.25">
      <c r="A5681" t="s">
        <v>11374</v>
      </c>
      <c r="B5681" t="s">
        <v>11375</v>
      </c>
    </row>
    <row r="5682" spans="1:2" x14ac:dyDescent="0.25">
      <c r="A5682" t="s">
        <v>11376</v>
      </c>
      <c r="B5682" t="s">
        <v>11377</v>
      </c>
    </row>
    <row r="5683" spans="1:2" x14ac:dyDescent="0.25">
      <c r="A5683" t="s">
        <v>11378</v>
      </c>
      <c r="B5683" t="s">
        <v>8936</v>
      </c>
    </row>
    <row r="5684" spans="1:2" x14ac:dyDescent="0.25">
      <c r="A5684" t="s">
        <v>11379</v>
      </c>
      <c r="B5684" t="s">
        <v>11380</v>
      </c>
    </row>
    <row r="5685" spans="1:2" x14ac:dyDescent="0.25">
      <c r="A5685" t="s">
        <v>11381</v>
      </c>
      <c r="B5685" t="s">
        <v>11382</v>
      </c>
    </row>
    <row r="5686" spans="1:2" x14ac:dyDescent="0.25">
      <c r="A5686" t="s">
        <v>11383</v>
      </c>
      <c r="B5686" t="s">
        <v>11384</v>
      </c>
    </row>
    <row r="5687" spans="1:2" x14ac:dyDescent="0.25">
      <c r="A5687" t="s">
        <v>11385</v>
      </c>
      <c r="B5687" t="s">
        <v>11386</v>
      </c>
    </row>
    <row r="5688" spans="1:2" x14ac:dyDescent="0.25">
      <c r="A5688" t="s">
        <v>11387</v>
      </c>
      <c r="B5688" t="s">
        <v>11388</v>
      </c>
    </row>
    <row r="5689" spans="1:2" x14ac:dyDescent="0.25">
      <c r="A5689" t="s">
        <v>11389</v>
      </c>
      <c r="B5689" t="s">
        <v>681</v>
      </c>
    </row>
    <row r="5690" spans="1:2" x14ac:dyDescent="0.25">
      <c r="A5690" t="s">
        <v>11390</v>
      </c>
      <c r="B5690" t="s">
        <v>11391</v>
      </c>
    </row>
    <row r="5691" spans="1:2" x14ac:dyDescent="0.25">
      <c r="A5691" t="s">
        <v>11392</v>
      </c>
      <c r="B5691" t="s">
        <v>11393</v>
      </c>
    </row>
    <row r="5692" spans="1:2" x14ac:dyDescent="0.25">
      <c r="A5692" t="s">
        <v>11394</v>
      </c>
      <c r="B5692" t="s">
        <v>11395</v>
      </c>
    </row>
    <row r="5693" spans="1:2" x14ac:dyDescent="0.25">
      <c r="A5693" t="s">
        <v>11396</v>
      </c>
      <c r="B5693" t="s">
        <v>11397</v>
      </c>
    </row>
    <row r="5694" spans="1:2" x14ac:dyDescent="0.25">
      <c r="A5694" t="s">
        <v>11398</v>
      </c>
      <c r="B5694" t="s">
        <v>11399</v>
      </c>
    </row>
    <row r="5695" spans="1:2" x14ac:dyDescent="0.25">
      <c r="A5695" t="s">
        <v>11400</v>
      </c>
      <c r="B5695" t="s">
        <v>11401</v>
      </c>
    </row>
    <row r="5696" spans="1:2" x14ac:dyDescent="0.25">
      <c r="A5696" t="s">
        <v>11402</v>
      </c>
      <c r="B5696" t="s">
        <v>11403</v>
      </c>
    </row>
    <row r="5697" spans="1:2" x14ac:dyDescent="0.25">
      <c r="A5697" t="s">
        <v>11404</v>
      </c>
      <c r="B5697" t="s">
        <v>11405</v>
      </c>
    </row>
    <row r="5698" spans="1:2" x14ac:dyDescent="0.25">
      <c r="A5698" t="s">
        <v>11406</v>
      </c>
      <c r="B5698" t="s">
        <v>11407</v>
      </c>
    </row>
    <row r="5699" spans="1:2" x14ac:dyDescent="0.25">
      <c r="A5699" t="s">
        <v>11408</v>
      </c>
      <c r="B5699" t="s">
        <v>11409</v>
      </c>
    </row>
    <row r="5700" spans="1:2" x14ac:dyDescent="0.25">
      <c r="A5700" t="s">
        <v>11410</v>
      </c>
      <c r="B5700" t="s">
        <v>11411</v>
      </c>
    </row>
    <row r="5701" spans="1:2" x14ac:dyDescent="0.25">
      <c r="A5701" t="s">
        <v>11412</v>
      </c>
      <c r="B5701" t="s">
        <v>11413</v>
      </c>
    </row>
    <row r="5702" spans="1:2" x14ac:dyDescent="0.25">
      <c r="A5702" t="s">
        <v>11414</v>
      </c>
      <c r="B5702" t="s">
        <v>11415</v>
      </c>
    </row>
    <row r="5703" spans="1:2" x14ac:dyDescent="0.25">
      <c r="A5703" t="s">
        <v>11416</v>
      </c>
      <c r="B5703" t="s">
        <v>11417</v>
      </c>
    </row>
    <row r="5704" spans="1:2" x14ac:dyDescent="0.25">
      <c r="A5704" t="s">
        <v>11418</v>
      </c>
      <c r="B5704" t="s">
        <v>11419</v>
      </c>
    </row>
    <row r="5705" spans="1:2" x14ac:dyDescent="0.25">
      <c r="A5705" t="s">
        <v>11420</v>
      </c>
      <c r="B5705" t="s">
        <v>11421</v>
      </c>
    </row>
    <row r="5706" spans="1:2" x14ac:dyDescent="0.25">
      <c r="A5706" t="s">
        <v>11422</v>
      </c>
      <c r="B5706" t="s">
        <v>11423</v>
      </c>
    </row>
    <row r="5707" spans="1:2" x14ac:dyDescent="0.25">
      <c r="A5707" t="s">
        <v>11424</v>
      </c>
      <c r="B5707" t="s">
        <v>11425</v>
      </c>
    </row>
    <row r="5708" spans="1:2" x14ac:dyDescent="0.25">
      <c r="A5708" t="s">
        <v>11426</v>
      </c>
      <c r="B5708" t="s">
        <v>11427</v>
      </c>
    </row>
    <row r="5709" spans="1:2" x14ac:dyDescent="0.25">
      <c r="A5709" t="s">
        <v>11428</v>
      </c>
      <c r="B5709" t="s">
        <v>11429</v>
      </c>
    </row>
    <row r="5710" spans="1:2" x14ac:dyDescent="0.25">
      <c r="A5710" t="s">
        <v>11430</v>
      </c>
      <c r="B5710" t="s">
        <v>11431</v>
      </c>
    </row>
    <row r="5711" spans="1:2" x14ac:dyDescent="0.25">
      <c r="A5711" t="s">
        <v>11432</v>
      </c>
      <c r="B5711" t="s">
        <v>11433</v>
      </c>
    </row>
    <row r="5712" spans="1:2" x14ac:dyDescent="0.25">
      <c r="A5712" t="s">
        <v>11434</v>
      </c>
      <c r="B5712" t="s">
        <v>11435</v>
      </c>
    </row>
    <row r="5713" spans="1:2" x14ac:dyDescent="0.25">
      <c r="A5713" t="s">
        <v>11436</v>
      </c>
      <c r="B5713" t="s">
        <v>11437</v>
      </c>
    </row>
    <row r="5714" spans="1:2" x14ac:dyDescent="0.25">
      <c r="A5714" t="s">
        <v>11438</v>
      </c>
      <c r="B5714" t="s">
        <v>11439</v>
      </c>
    </row>
    <row r="5715" spans="1:2" x14ac:dyDescent="0.25">
      <c r="A5715" t="s">
        <v>11440</v>
      </c>
      <c r="B5715" t="s">
        <v>11441</v>
      </c>
    </row>
    <row r="5716" spans="1:2" x14ac:dyDescent="0.25">
      <c r="A5716" t="s">
        <v>11442</v>
      </c>
      <c r="B5716" t="s">
        <v>11443</v>
      </c>
    </row>
    <row r="5717" spans="1:2" x14ac:dyDescent="0.25">
      <c r="A5717" t="s">
        <v>11444</v>
      </c>
      <c r="B5717" t="s">
        <v>11445</v>
      </c>
    </row>
    <row r="5718" spans="1:2" x14ac:dyDescent="0.25">
      <c r="A5718" t="s">
        <v>11446</v>
      </c>
      <c r="B5718" t="s">
        <v>11447</v>
      </c>
    </row>
    <row r="5719" spans="1:2" x14ac:dyDescent="0.25">
      <c r="A5719" t="s">
        <v>11448</v>
      </c>
      <c r="B5719" t="s">
        <v>11449</v>
      </c>
    </row>
    <row r="5720" spans="1:2" x14ac:dyDescent="0.25">
      <c r="A5720" t="s">
        <v>11450</v>
      </c>
      <c r="B5720" t="s">
        <v>11451</v>
      </c>
    </row>
    <row r="5721" spans="1:2" x14ac:dyDescent="0.25">
      <c r="A5721" t="s">
        <v>11452</v>
      </c>
      <c r="B5721" t="s">
        <v>11453</v>
      </c>
    </row>
    <row r="5722" spans="1:2" x14ac:dyDescent="0.25">
      <c r="A5722" t="s">
        <v>11454</v>
      </c>
      <c r="B5722" t="s">
        <v>11455</v>
      </c>
    </row>
    <row r="5723" spans="1:2" x14ac:dyDescent="0.25">
      <c r="A5723" t="s">
        <v>11456</v>
      </c>
      <c r="B5723" t="s">
        <v>11457</v>
      </c>
    </row>
    <row r="5724" spans="1:2" x14ac:dyDescent="0.25">
      <c r="A5724" t="s">
        <v>11458</v>
      </c>
      <c r="B5724" t="s">
        <v>11459</v>
      </c>
    </row>
    <row r="5725" spans="1:2" x14ac:dyDescent="0.25">
      <c r="A5725" t="s">
        <v>11460</v>
      </c>
      <c r="B5725" t="s">
        <v>11461</v>
      </c>
    </row>
    <row r="5726" spans="1:2" x14ac:dyDescent="0.25">
      <c r="A5726" t="s">
        <v>11462</v>
      </c>
      <c r="B5726" t="s">
        <v>11463</v>
      </c>
    </row>
    <row r="5727" spans="1:2" x14ac:dyDescent="0.25">
      <c r="A5727" t="s">
        <v>11464</v>
      </c>
      <c r="B5727" t="s">
        <v>11465</v>
      </c>
    </row>
    <row r="5728" spans="1:2" x14ac:dyDescent="0.25">
      <c r="A5728" t="s">
        <v>11466</v>
      </c>
      <c r="B5728" t="s">
        <v>11467</v>
      </c>
    </row>
    <row r="5729" spans="1:2" x14ac:dyDescent="0.25">
      <c r="A5729" t="s">
        <v>11468</v>
      </c>
      <c r="B5729" t="s">
        <v>11469</v>
      </c>
    </row>
    <row r="5730" spans="1:2" x14ac:dyDescent="0.25">
      <c r="A5730" t="s">
        <v>11470</v>
      </c>
      <c r="B5730" t="s">
        <v>11471</v>
      </c>
    </row>
    <row r="5731" spans="1:2" x14ac:dyDescent="0.25">
      <c r="A5731" t="s">
        <v>11472</v>
      </c>
      <c r="B5731" t="s">
        <v>11473</v>
      </c>
    </row>
    <row r="5732" spans="1:2" x14ac:dyDescent="0.25">
      <c r="A5732" t="s">
        <v>11474</v>
      </c>
      <c r="B5732" t="s">
        <v>11475</v>
      </c>
    </row>
    <row r="5733" spans="1:2" x14ac:dyDescent="0.25">
      <c r="A5733" t="s">
        <v>11476</v>
      </c>
      <c r="B5733" t="s">
        <v>11477</v>
      </c>
    </row>
    <row r="5734" spans="1:2" x14ac:dyDescent="0.25">
      <c r="A5734" t="s">
        <v>11478</v>
      </c>
      <c r="B5734" t="s">
        <v>11479</v>
      </c>
    </row>
    <row r="5735" spans="1:2" x14ac:dyDescent="0.25">
      <c r="A5735" t="s">
        <v>11480</v>
      </c>
      <c r="B5735" t="s">
        <v>11481</v>
      </c>
    </row>
    <row r="5736" spans="1:2" x14ac:dyDescent="0.25">
      <c r="A5736" t="s">
        <v>11482</v>
      </c>
      <c r="B5736" t="s">
        <v>11483</v>
      </c>
    </row>
    <row r="5737" spans="1:2" x14ac:dyDescent="0.25">
      <c r="A5737" t="s">
        <v>11484</v>
      </c>
      <c r="B5737" t="s">
        <v>11485</v>
      </c>
    </row>
    <row r="5738" spans="1:2" x14ac:dyDescent="0.25">
      <c r="A5738" t="s">
        <v>11486</v>
      </c>
      <c r="B5738" t="s">
        <v>11487</v>
      </c>
    </row>
    <row r="5739" spans="1:2" x14ac:dyDescent="0.25">
      <c r="A5739" t="s">
        <v>11488</v>
      </c>
      <c r="B5739" t="s">
        <v>11489</v>
      </c>
    </row>
    <row r="5740" spans="1:2" x14ac:dyDescent="0.25">
      <c r="A5740" t="s">
        <v>11490</v>
      </c>
      <c r="B5740" t="s">
        <v>11491</v>
      </c>
    </row>
    <row r="5741" spans="1:2" x14ac:dyDescent="0.25">
      <c r="A5741" t="s">
        <v>11492</v>
      </c>
      <c r="B5741" t="s">
        <v>11493</v>
      </c>
    </row>
    <row r="5742" spans="1:2" x14ac:dyDescent="0.25">
      <c r="A5742" t="s">
        <v>11494</v>
      </c>
      <c r="B5742" t="s">
        <v>11495</v>
      </c>
    </row>
    <row r="5743" spans="1:2" x14ac:dyDescent="0.25">
      <c r="A5743" t="s">
        <v>11496</v>
      </c>
      <c r="B5743" t="s">
        <v>11497</v>
      </c>
    </row>
    <row r="5744" spans="1:2" x14ac:dyDescent="0.25">
      <c r="A5744" t="s">
        <v>11498</v>
      </c>
      <c r="B5744" t="s">
        <v>11499</v>
      </c>
    </row>
    <row r="5745" spans="1:2" x14ac:dyDescent="0.25">
      <c r="A5745" t="s">
        <v>11500</v>
      </c>
      <c r="B5745" t="s">
        <v>11501</v>
      </c>
    </row>
    <row r="5746" spans="1:2" x14ac:dyDescent="0.25">
      <c r="A5746" t="s">
        <v>11502</v>
      </c>
      <c r="B5746" t="s">
        <v>11503</v>
      </c>
    </row>
    <row r="5747" spans="1:2" x14ac:dyDescent="0.25">
      <c r="A5747" t="s">
        <v>11504</v>
      </c>
      <c r="B5747" t="s">
        <v>11505</v>
      </c>
    </row>
    <row r="5748" spans="1:2" x14ac:dyDescent="0.25">
      <c r="A5748" t="s">
        <v>11506</v>
      </c>
      <c r="B5748" t="s">
        <v>11507</v>
      </c>
    </row>
    <row r="5749" spans="1:2" x14ac:dyDescent="0.25">
      <c r="A5749" t="s">
        <v>11508</v>
      </c>
      <c r="B5749" t="s">
        <v>11509</v>
      </c>
    </row>
    <row r="5750" spans="1:2" x14ac:dyDescent="0.25">
      <c r="A5750" t="s">
        <v>11510</v>
      </c>
      <c r="B5750" t="s">
        <v>11511</v>
      </c>
    </row>
    <row r="5751" spans="1:2" x14ac:dyDescent="0.25">
      <c r="A5751" t="s">
        <v>11512</v>
      </c>
      <c r="B5751" t="s">
        <v>11513</v>
      </c>
    </row>
    <row r="5752" spans="1:2" x14ac:dyDescent="0.25">
      <c r="A5752" t="s">
        <v>11514</v>
      </c>
      <c r="B5752" t="s">
        <v>11515</v>
      </c>
    </row>
    <row r="5753" spans="1:2" x14ac:dyDescent="0.25">
      <c r="A5753" t="s">
        <v>11516</v>
      </c>
      <c r="B5753" t="s">
        <v>11517</v>
      </c>
    </row>
    <row r="5754" spans="1:2" x14ac:dyDescent="0.25">
      <c r="A5754" t="s">
        <v>11518</v>
      </c>
      <c r="B5754" t="s">
        <v>11519</v>
      </c>
    </row>
    <row r="5755" spans="1:2" x14ac:dyDescent="0.25">
      <c r="A5755" t="s">
        <v>11520</v>
      </c>
      <c r="B5755" t="s">
        <v>11521</v>
      </c>
    </row>
    <row r="5756" spans="1:2" x14ac:dyDescent="0.25">
      <c r="A5756" t="s">
        <v>11522</v>
      </c>
      <c r="B5756" t="s">
        <v>11523</v>
      </c>
    </row>
    <row r="5757" spans="1:2" x14ac:dyDescent="0.25">
      <c r="A5757" t="s">
        <v>11524</v>
      </c>
      <c r="B5757" t="s">
        <v>11525</v>
      </c>
    </row>
    <row r="5758" spans="1:2" x14ac:dyDescent="0.25">
      <c r="A5758" t="s">
        <v>11526</v>
      </c>
      <c r="B5758" t="s">
        <v>11527</v>
      </c>
    </row>
    <row r="5759" spans="1:2" x14ac:dyDescent="0.25">
      <c r="A5759" t="s">
        <v>11528</v>
      </c>
      <c r="B5759" t="s">
        <v>11529</v>
      </c>
    </row>
    <row r="5760" spans="1:2" x14ac:dyDescent="0.25">
      <c r="A5760" t="s">
        <v>11530</v>
      </c>
      <c r="B5760" t="s">
        <v>11531</v>
      </c>
    </row>
    <row r="5761" spans="1:2" x14ac:dyDescent="0.25">
      <c r="A5761" t="s">
        <v>11532</v>
      </c>
      <c r="B5761" t="s">
        <v>11533</v>
      </c>
    </row>
    <row r="5762" spans="1:2" x14ac:dyDescent="0.25">
      <c r="A5762" t="s">
        <v>11534</v>
      </c>
      <c r="B5762" t="s">
        <v>11535</v>
      </c>
    </row>
    <row r="5763" spans="1:2" x14ac:dyDescent="0.25">
      <c r="A5763" t="s">
        <v>11536</v>
      </c>
      <c r="B5763" t="s">
        <v>11537</v>
      </c>
    </row>
    <row r="5764" spans="1:2" x14ac:dyDescent="0.25">
      <c r="A5764" t="s">
        <v>11538</v>
      </c>
      <c r="B5764" t="s">
        <v>11539</v>
      </c>
    </row>
    <row r="5765" spans="1:2" x14ac:dyDescent="0.25">
      <c r="A5765" t="s">
        <v>11540</v>
      </c>
      <c r="B5765" t="s">
        <v>11541</v>
      </c>
    </row>
    <row r="5766" spans="1:2" x14ac:dyDescent="0.25">
      <c r="A5766" t="s">
        <v>11542</v>
      </c>
      <c r="B5766" t="s">
        <v>11543</v>
      </c>
    </row>
    <row r="5767" spans="1:2" x14ac:dyDescent="0.25">
      <c r="A5767" t="s">
        <v>11544</v>
      </c>
      <c r="B5767" t="s">
        <v>11545</v>
      </c>
    </row>
    <row r="5768" spans="1:2" x14ac:dyDescent="0.25">
      <c r="A5768" t="s">
        <v>11546</v>
      </c>
      <c r="B5768" t="s">
        <v>11547</v>
      </c>
    </row>
    <row r="5769" spans="1:2" x14ac:dyDescent="0.25">
      <c r="A5769" t="s">
        <v>11548</v>
      </c>
      <c r="B5769" t="s">
        <v>11549</v>
      </c>
    </row>
    <row r="5770" spans="1:2" x14ac:dyDescent="0.25">
      <c r="A5770" t="s">
        <v>11550</v>
      </c>
      <c r="B5770" t="s">
        <v>11551</v>
      </c>
    </row>
    <row r="5771" spans="1:2" x14ac:dyDescent="0.25">
      <c r="A5771" t="s">
        <v>11552</v>
      </c>
      <c r="B5771" t="s">
        <v>11553</v>
      </c>
    </row>
    <row r="5772" spans="1:2" x14ac:dyDescent="0.25">
      <c r="A5772" t="s">
        <v>11554</v>
      </c>
      <c r="B5772" t="s">
        <v>11555</v>
      </c>
    </row>
    <row r="5773" spans="1:2" x14ac:dyDescent="0.25">
      <c r="A5773" t="s">
        <v>11556</v>
      </c>
      <c r="B5773" t="s">
        <v>11557</v>
      </c>
    </row>
    <row r="5774" spans="1:2" x14ac:dyDescent="0.25">
      <c r="A5774" t="s">
        <v>11558</v>
      </c>
      <c r="B5774" t="s">
        <v>11559</v>
      </c>
    </row>
    <row r="5775" spans="1:2" x14ac:dyDescent="0.25">
      <c r="A5775" t="s">
        <v>11560</v>
      </c>
      <c r="B5775" t="s">
        <v>11561</v>
      </c>
    </row>
    <row r="5776" spans="1:2" x14ac:dyDescent="0.25">
      <c r="A5776" t="s">
        <v>11562</v>
      </c>
      <c r="B5776" t="s">
        <v>11563</v>
      </c>
    </row>
    <row r="5777" spans="1:2" x14ac:dyDescent="0.25">
      <c r="A5777" t="s">
        <v>11564</v>
      </c>
      <c r="B5777" t="s">
        <v>11565</v>
      </c>
    </row>
    <row r="5778" spans="1:2" x14ac:dyDescent="0.25">
      <c r="A5778" t="s">
        <v>11566</v>
      </c>
      <c r="B5778" t="s">
        <v>8786</v>
      </c>
    </row>
    <row r="5779" spans="1:2" x14ac:dyDescent="0.25">
      <c r="A5779" t="s">
        <v>11567</v>
      </c>
      <c r="B5779" t="s">
        <v>11568</v>
      </c>
    </row>
    <row r="5780" spans="1:2" x14ac:dyDescent="0.25">
      <c r="A5780" t="s">
        <v>11569</v>
      </c>
      <c r="B5780" t="s">
        <v>11570</v>
      </c>
    </row>
    <row r="5781" spans="1:2" x14ac:dyDescent="0.25">
      <c r="A5781" t="s">
        <v>11571</v>
      </c>
      <c r="B5781" t="s">
        <v>11572</v>
      </c>
    </row>
    <row r="5782" spans="1:2" x14ac:dyDescent="0.25">
      <c r="A5782" t="s">
        <v>11573</v>
      </c>
      <c r="B5782" t="s">
        <v>11574</v>
      </c>
    </row>
    <row r="5783" spans="1:2" x14ac:dyDescent="0.25">
      <c r="A5783" t="s">
        <v>11575</v>
      </c>
      <c r="B5783" t="s">
        <v>11576</v>
      </c>
    </row>
    <row r="5784" spans="1:2" x14ac:dyDescent="0.25">
      <c r="A5784" t="s">
        <v>11577</v>
      </c>
      <c r="B5784" t="s">
        <v>11578</v>
      </c>
    </row>
    <row r="5785" spans="1:2" x14ac:dyDescent="0.25">
      <c r="A5785" t="s">
        <v>11579</v>
      </c>
      <c r="B5785" t="s">
        <v>11580</v>
      </c>
    </row>
    <row r="5786" spans="1:2" x14ac:dyDescent="0.25">
      <c r="A5786" t="s">
        <v>11581</v>
      </c>
      <c r="B5786" t="s">
        <v>11582</v>
      </c>
    </row>
    <row r="5787" spans="1:2" x14ac:dyDescent="0.25">
      <c r="A5787" t="s">
        <v>11583</v>
      </c>
      <c r="B5787" t="s">
        <v>11584</v>
      </c>
    </row>
    <row r="5788" spans="1:2" x14ac:dyDescent="0.25">
      <c r="A5788" t="s">
        <v>11585</v>
      </c>
      <c r="B5788" t="s">
        <v>11586</v>
      </c>
    </row>
    <row r="5789" spans="1:2" x14ac:dyDescent="0.25">
      <c r="A5789" t="s">
        <v>11587</v>
      </c>
      <c r="B5789" t="s">
        <v>11588</v>
      </c>
    </row>
    <row r="5790" spans="1:2" x14ac:dyDescent="0.25">
      <c r="A5790" t="s">
        <v>11589</v>
      </c>
      <c r="B5790" t="s">
        <v>11590</v>
      </c>
    </row>
    <row r="5791" spans="1:2" x14ac:dyDescent="0.25">
      <c r="A5791" t="s">
        <v>11591</v>
      </c>
      <c r="B5791" t="s">
        <v>11592</v>
      </c>
    </row>
    <row r="5792" spans="1:2" x14ac:dyDescent="0.25">
      <c r="A5792" t="s">
        <v>11593</v>
      </c>
      <c r="B5792" t="s">
        <v>11594</v>
      </c>
    </row>
    <row r="5793" spans="1:2" x14ac:dyDescent="0.25">
      <c r="A5793" t="s">
        <v>11595</v>
      </c>
      <c r="B5793" t="s">
        <v>11596</v>
      </c>
    </row>
    <row r="5794" spans="1:2" x14ac:dyDescent="0.25">
      <c r="A5794" t="s">
        <v>11597</v>
      </c>
      <c r="B5794" t="s">
        <v>11598</v>
      </c>
    </row>
    <row r="5795" spans="1:2" x14ac:dyDescent="0.25">
      <c r="A5795" t="s">
        <v>11599</v>
      </c>
      <c r="B5795" t="s">
        <v>11600</v>
      </c>
    </row>
    <row r="5796" spans="1:2" x14ac:dyDescent="0.25">
      <c r="A5796" t="s">
        <v>11601</v>
      </c>
      <c r="B5796" t="s">
        <v>11602</v>
      </c>
    </row>
    <row r="5797" spans="1:2" x14ac:dyDescent="0.25">
      <c r="A5797" t="s">
        <v>11603</v>
      </c>
      <c r="B5797" t="s">
        <v>11604</v>
      </c>
    </row>
    <row r="5798" spans="1:2" x14ac:dyDescent="0.25">
      <c r="A5798" t="s">
        <v>11605</v>
      </c>
      <c r="B5798" t="s">
        <v>11606</v>
      </c>
    </row>
    <row r="5799" spans="1:2" x14ac:dyDescent="0.25">
      <c r="A5799" t="s">
        <v>11607</v>
      </c>
      <c r="B5799" t="s">
        <v>11608</v>
      </c>
    </row>
    <row r="5800" spans="1:2" x14ac:dyDescent="0.25">
      <c r="A5800" t="s">
        <v>11609</v>
      </c>
      <c r="B5800" t="s">
        <v>11610</v>
      </c>
    </row>
    <row r="5801" spans="1:2" x14ac:dyDescent="0.25">
      <c r="A5801" t="s">
        <v>11611</v>
      </c>
      <c r="B5801" t="s">
        <v>11612</v>
      </c>
    </row>
    <row r="5802" spans="1:2" x14ac:dyDescent="0.25">
      <c r="A5802" t="s">
        <v>11613</v>
      </c>
      <c r="B5802" t="s">
        <v>11614</v>
      </c>
    </row>
    <row r="5803" spans="1:2" x14ac:dyDescent="0.25">
      <c r="A5803" t="s">
        <v>11615</v>
      </c>
      <c r="B5803" t="s">
        <v>11616</v>
      </c>
    </row>
    <row r="5804" spans="1:2" x14ac:dyDescent="0.25">
      <c r="A5804" t="s">
        <v>11617</v>
      </c>
      <c r="B5804" t="s">
        <v>11618</v>
      </c>
    </row>
    <row r="5805" spans="1:2" x14ac:dyDescent="0.25">
      <c r="A5805" t="s">
        <v>11619</v>
      </c>
      <c r="B5805" t="s">
        <v>11620</v>
      </c>
    </row>
    <row r="5806" spans="1:2" x14ac:dyDescent="0.25">
      <c r="A5806" t="s">
        <v>11621</v>
      </c>
      <c r="B5806" t="s">
        <v>11622</v>
      </c>
    </row>
    <row r="5807" spans="1:2" x14ac:dyDescent="0.25">
      <c r="A5807" t="s">
        <v>11623</v>
      </c>
      <c r="B5807" t="s">
        <v>11624</v>
      </c>
    </row>
    <row r="5808" spans="1:2" x14ac:dyDescent="0.25">
      <c r="A5808" t="s">
        <v>11625</v>
      </c>
      <c r="B5808" t="s">
        <v>11626</v>
      </c>
    </row>
    <row r="5809" spans="1:2" x14ac:dyDescent="0.25">
      <c r="A5809" t="s">
        <v>11627</v>
      </c>
      <c r="B5809" t="s">
        <v>11628</v>
      </c>
    </row>
    <row r="5810" spans="1:2" x14ac:dyDescent="0.25">
      <c r="A5810" t="s">
        <v>11629</v>
      </c>
      <c r="B5810" t="s">
        <v>11630</v>
      </c>
    </row>
    <row r="5811" spans="1:2" x14ac:dyDescent="0.25">
      <c r="A5811" t="s">
        <v>11631</v>
      </c>
      <c r="B5811" t="s">
        <v>11632</v>
      </c>
    </row>
    <row r="5812" spans="1:2" x14ac:dyDescent="0.25">
      <c r="A5812" t="s">
        <v>11633</v>
      </c>
      <c r="B5812" t="s">
        <v>11634</v>
      </c>
    </row>
    <row r="5813" spans="1:2" x14ac:dyDescent="0.25">
      <c r="A5813" t="s">
        <v>11635</v>
      </c>
      <c r="B5813" t="s">
        <v>11636</v>
      </c>
    </row>
    <row r="5814" spans="1:2" x14ac:dyDescent="0.25">
      <c r="A5814" t="s">
        <v>11637</v>
      </c>
      <c r="B5814" t="s">
        <v>11638</v>
      </c>
    </row>
    <row r="5815" spans="1:2" x14ac:dyDescent="0.25">
      <c r="A5815" t="s">
        <v>11639</v>
      </c>
      <c r="B5815" t="s">
        <v>11640</v>
      </c>
    </row>
    <row r="5816" spans="1:2" x14ac:dyDescent="0.25">
      <c r="A5816" t="s">
        <v>11641</v>
      </c>
      <c r="B5816" t="s">
        <v>11642</v>
      </c>
    </row>
    <row r="5817" spans="1:2" x14ac:dyDescent="0.25">
      <c r="A5817" t="s">
        <v>11643</v>
      </c>
      <c r="B5817" t="s">
        <v>11644</v>
      </c>
    </row>
    <row r="5818" spans="1:2" x14ac:dyDescent="0.25">
      <c r="A5818" t="s">
        <v>11645</v>
      </c>
      <c r="B5818" t="s">
        <v>11646</v>
      </c>
    </row>
    <row r="5819" spans="1:2" x14ac:dyDescent="0.25">
      <c r="A5819" t="s">
        <v>11647</v>
      </c>
      <c r="B5819" t="s">
        <v>11648</v>
      </c>
    </row>
    <row r="5820" spans="1:2" x14ac:dyDescent="0.25">
      <c r="A5820" t="s">
        <v>11649</v>
      </c>
      <c r="B5820" t="s">
        <v>11650</v>
      </c>
    </row>
    <row r="5821" spans="1:2" x14ac:dyDescent="0.25">
      <c r="A5821" t="s">
        <v>11651</v>
      </c>
      <c r="B5821" t="s">
        <v>11652</v>
      </c>
    </row>
    <row r="5822" spans="1:2" x14ac:dyDescent="0.25">
      <c r="A5822" t="s">
        <v>11653</v>
      </c>
      <c r="B5822" t="s">
        <v>11654</v>
      </c>
    </row>
    <row r="5823" spans="1:2" x14ac:dyDescent="0.25">
      <c r="A5823" t="s">
        <v>11655</v>
      </c>
      <c r="B5823" t="s">
        <v>11656</v>
      </c>
    </row>
    <row r="5824" spans="1:2" x14ac:dyDescent="0.25">
      <c r="A5824" t="s">
        <v>11657</v>
      </c>
      <c r="B5824" t="s">
        <v>11658</v>
      </c>
    </row>
    <row r="5825" spans="1:2" x14ac:dyDescent="0.25">
      <c r="A5825" t="s">
        <v>11659</v>
      </c>
      <c r="B5825" t="s">
        <v>11660</v>
      </c>
    </row>
    <row r="5826" spans="1:2" x14ac:dyDescent="0.25">
      <c r="A5826" t="s">
        <v>11661</v>
      </c>
      <c r="B5826" t="s">
        <v>11662</v>
      </c>
    </row>
    <row r="5827" spans="1:2" x14ac:dyDescent="0.25">
      <c r="A5827" t="s">
        <v>11663</v>
      </c>
      <c r="B5827" t="s">
        <v>11664</v>
      </c>
    </row>
    <row r="5828" spans="1:2" x14ac:dyDescent="0.25">
      <c r="A5828" t="s">
        <v>11665</v>
      </c>
      <c r="B5828" t="s">
        <v>11666</v>
      </c>
    </row>
    <row r="5829" spans="1:2" x14ac:dyDescent="0.25">
      <c r="A5829" t="s">
        <v>11667</v>
      </c>
      <c r="B5829" t="s">
        <v>11668</v>
      </c>
    </row>
    <row r="5830" spans="1:2" x14ac:dyDescent="0.25">
      <c r="A5830" t="s">
        <v>11669</v>
      </c>
      <c r="B5830" t="s">
        <v>11670</v>
      </c>
    </row>
    <row r="5831" spans="1:2" x14ac:dyDescent="0.25">
      <c r="A5831" t="s">
        <v>11671</v>
      </c>
      <c r="B5831" t="s">
        <v>11672</v>
      </c>
    </row>
    <row r="5832" spans="1:2" x14ac:dyDescent="0.25">
      <c r="A5832" t="s">
        <v>11673</v>
      </c>
      <c r="B5832" t="s">
        <v>11674</v>
      </c>
    </row>
    <row r="5833" spans="1:2" x14ac:dyDescent="0.25">
      <c r="A5833" t="s">
        <v>11675</v>
      </c>
      <c r="B5833" t="s">
        <v>11676</v>
      </c>
    </row>
    <row r="5834" spans="1:2" x14ac:dyDescent="0.25">
      <c r="A5834" t="s">
        <v>11677</v>
      </c>
      <c r="B5834" t="s">
        <v>11678</v>
      </c>
    </row>
    <row r="5835" spans="1:2" x14ac:dyDescent="0.25">
      <c r="A5835" t="s">
        <v>11679</v>
      </c>
      <c r="B5835" t="s">
        <v>11680</v>
      </c>
    </row>
    <row r="5836" spans="1:2" x14ac:dyDescent="0.25">
      <c r="A5836" t="s">
        <v>11681</v>
      </c>
      <c r="B5836" t="s">
        <v>11682</v>
      </c>
    </row>
    <row r="5837" spans="1:2" x14ac:dyDescent="0.25">
      <c r="A5837" t="s">
        <v>11683</v>
      </c>
      <c r="B5837" t="s">
        <v>11684</v>
      </c>
    </row>
    <row r="5838" spans="1:2" x14ac:dyDescent="0.25">
      <c r="A5838" t="s">
        <v>11685</v>
      </c>
      <c r="B5838" t="s">
        <v>11686</v>
      </c>
    </row>
    <row r="5839" spans="1:2" x14ac:dyDescent="0.25">
      <c r="A5839" t="s">
        <v>11687</v>
      </c>
      <c r="B5839" t="s">
        <v>11688</v>
      </c>
    </row>
    <row r="5840" spans="1:2" x14ac:dyDescent="0.25">
      <c r="A5840" t="s">
        <v>11689</v>
      </c>
      <c r="B5840" t="s">
        <v>11690</v>
      </c>
    </row>
    <row r="5841" spans="1:2" x14ac:dyDescent="0.25">
      <c r="A5841" t="s">
        <v>11691</v>
      </c>
      <c r="B5841" t="s">
        <v>11692</v>
      </c>
    </row>
    <row r="5842" spans="1:2" x14ac:dyDescent="0.25">
      <c r="A5842" t="s">
        <v>11693</v>
      </c>
      <c r="B5842" t="s">
        <v>11694</v>
      </c>
    </row>
    <row r="5843" spans="1:2" x14ac:dyDescent="0.25">
      <c r="A5843" t="s">
        <v>11695</v>
      </c>
      <c r="B5843" t="s">
        <v>11696</v>
      </c>
    </row>
    <row r="5844" spans="1:2" x14ac:dyDescent="0.25">
      <c r="A5844" t="s">
        <v>11697</v>
      </c>
      <c r="B5844" t="s">
        <v>11698</v>
      </c>
    </row>
    <row r="5845" spans="1:2" x14ac:dyDescent="0.25">
      <c r="A5845" t="s">
        <v>11699</v>
      </c>
      <c r="B5845" t="s">
        <v>11700</v>
      </c>
    </row>
    <row r="5846" spans="1:2" x14ac:dyDescent="0.25">
      <c r="A5846" t="s">
        <v>11701</v>
      </c>
      <c r="B5846" t="s">
        <v>11702</v>
      </c>
    </row>
    <row r="5847" spans="1:2" x14ac:dyDescent="0.25">
      <c r="A5847" t="s">
        <v>11703</v>
      </c>
      <c r="B5847" t="s">
        <v>11704</v>
      </c>
    </row>
    <row r="5848" spans="1:2" x14ac:dyDescent="0.25">
      <c r="A5848" t="s">
        <v>11705</v>
      </c>
      <c r="B5848" t="s">
        <v>11706</v>
      </c>
    </row>
    <row r="5849" spans="1:2" x14ac:dyDescent="0.25">
      <c r="A5849" t="s">
        <v>11707</v>
      </c>
      <c r="B5849" t="s">
        <v>11708</v>
      </c>
    </row>
    <row r="5850" spans="1:2" x14ac:dyDescent="0.25">
      <c r="A5850" t="s">
        <v>11709</v>
      </c>
      <c r="B5850" t="s">
        <v>11710</v>
      </c>
    </row>
    <row r="5851" spans="1:2" x14ac:dyDescent="0.25">
      <c r="A5851" t="s">
        <v>11711</v>
      </c>
      <c r="B5851" t="s">
        <v>11712</v>
      </c>
    </row>
    <row r="5852" spans="1:2" x14ac:dyDescent="0.25">
      <c r="A5852" t="s">
        <v>11713</v>
      </c>
      <c r="B5852" t="s">
        <v>11714</v>
      </c>
    </row>
    <row r="5853" spans="1:2" x14ac:dyDescent="0.25">
      <c r="A5853" t="s">
        <v>11715</v>
      </c>
      <c r="B5853" t="s">
        <v>11716</v>
      </c>
    </row>
    <row r="5854" spans="1:2" x14ac:dyDescent="0.25">
      <c r="A5854" t="s">
        <v>11717</v>
      </c>
      <c r="B5854" t="s">
        <v>11718</v>
      </c>
    </row>
    <row r="5855" spans="1:2" x14ac:dyDescent="0.25">
      <c r="A5855" t="s">
        <v>11719</v>
      </c>
      <c r="B5855" t="s">
        <v>11720</v>
      </c>
    </row>
    <row r="5856" spans="1:2" x14ac:dyDescent="0.25">
      <c r="A5856" t="s">
        <v>11721</v>
      </c>
      <c r="B5856" t="s">
        <v>11722</v>
      </c>
    </row>
    <row r="5857" spans="1:2" x14ac:dyDescent="0.25">
      <c r="A5857" t="s">
        <v>11723</v>
      </c>
      <c r="B5857" t="s">
        <v>11724</v>
      </c>
    </row>
    <row r="5858" spans="1:2" x14ac:dyDescent="0.25">
      <c r="A5858" t="s">
        <v>11725</v>
      </c>
      <c r="B5858" t="s">
        <v>11726</v>
      </c>
    </row>
    <row r="5859" spans="1:2" x14ac:dyDescent="0.25">
      <c r="A5859" t="s">
        <v>11727</v>
      </c>
      <c r="B5859" t="s">
        <v>11728</v>
      </c>
    </row>
    <row r="5860" spans="1:2" x14ac:dyDescent="0.25">
      <c r="A5860" t="s">
        <v>11729</v>
      </c>
      <c r="B5860" t="s">
        <v>11730</v>
      </c>
    </row>
    <row r="5861" spans="1:2" x14ac:dyDescent="0.25">
      <c r="A5861" t="s">
        <v>11731</v>
      </c>
      <c r="B5861" t="s">
        <v>11732</v>
      </c>
    </row>
    <row r="5862" spans="1:2" x14ac:dyDescent="0.25">
      <c r="A5862" t="s">
        <v>11733</v>
      </c>
      <c r="B5862" t="s">
        <v>11734</v>
      </c>
    </row>
    <row r="5863" spans="1:2" x14ac:dyDescent="0.25">
      <c r="A5863" t="s">
        <v>11735</v>
      </c>
      <c r="B5863" t="s">
        <v>11736</v>
      </c>
    </row>
    <row r="5864" spans="1:2" x14ac:dyDescent="0.25">
      <c r="A5864" t="s">
        <v>11737</v>
      </c>
      <c r="B5864" t="s">
        <v>11738</v>
      </c>
    </row>
    <row r="5865" spans="1:2" x14ac:dyDescent="0.25">
      <c r="A5865" t="s">
        <v>11739</v>
      </c>
      <c r="B5865" t="s">
        <v>11740</v>
      </c>
    </row>
    <row r="5866" spans="1:2" x14ac:dyDescent="0.25">
      <c r="A5866" t="s">
        <v>11741</v>
      </c>
      <c r="B5866" t="s">
        <v>11742</v>
      </c>
    </row>
    <row r="5867" spans="1:2" x14ac:dyDescent="0.25">
      <c r="A5867" t="s">
        <v>11743</v>
      </c>
      <c r="B5867" t="s">
        <v>11744</v>
      </c>
    </row>
    <row r="5868" spans="1:2" x14ac:dyDescent="0.25">
      <c r="A5868" t="s">
        <v>11745</v>
      </c>
      <c r="B5868" t="s">
        <v>11746</v>
      </c>
    </row>
    <row r="5869" spans="1:2" x14ac:dyDescent="0.25">
      <c r="A5869" t="s">
        <v>11747</v>
      </c>
      <c r="B5869" t="s">
        <v>11748</v>
      </c>
    </row>
    <row r="5870" spans="1:2" x14ac:dyDescent="0.25">
      <c r="A5870" t="s">
        <v>11749</v>
      </c>
      <c r="B5870" t="s">
        <v>11750</v>
      </c>
    </row>
    <row r="5871" spans="1:2" x14ac:dyDescent="0.25">
      <c r="A5871" t="s">
        <v>11751</v>
      </c>
      <c r="B5871" t="s">
        <v>11752</v>
      </c>
    </row>
    <row r="5872" spans="1:2" x14ac:dyDescent="0.25">
      <c r="A5872" t="s">
        <v>11753</v>
      </c>
      <c r="B5872" t="s">
        <v>11754</v>
      </c>
    </row>
    <row r="5873" spans="1:2" x14ac:dyDescent="0.25">
      <c r="A5873" t="s">
        <v>11755</v>
      </c>
      <c r="B5873" t="s">
        <v>11756</v>
      </c>
    </row>
    <row r="5874" spans="1:2" x14ac:dyDescent="0.25">
      <c r="A5874" t="s">
        <v>11757</v>
      </c>
      <c r="B5874" t="s">
        <v>11758</v>
      </c>
    </row>
    <row r="5875" spans="1:2" x14ac:dyDescent="0.25">
      <c r="A5875" t="s">
        <v>11759</v>
      </c>
      <c r="B5875" t="s">
        <v>8854</v>
      </c>
    </row>
    <row r="5876" spans="1:2" x14ac:dyDescent="0.25">
      <c r="A5876" t="s">
        <v>11760</v>
      </c>
      <c r="B5876" t="s">
        <v>11761</v>
      </c>
    </row>
    <row r="5877" spans="1:2" x14ac:dyDescent="0.25">
      <c r="A5877" t="s">
        <v>11762</v>
      </c>
      <c r="B5877" t="s">
        <v>11763</v>
      </c>
    </row>
    <row r="5878" spans="1:2" x14ac:dyDescent="0.25">
      <c r="A5878" t="s">
        <v>11764</v>
      </c>
      <c r="B5878" t="s">
        <v>11765</v>
      </c>
    </row>
    <row r="5879" spans="1:2" x14ac:dyDescent="0.25">
      <c r="A5879" t="s">
        <v>11766</v>
      </c>
      <c r="B5879" t="s">
        <v>11767</v>
      </c>
    </row>
    <row r="5880" spans="1:2" x14ac:dyDescent="0.25">
      <c r="A5880" t="s">
        <v>11768</v>
      </c>
      <c r="B5880" t="s">
        <v>11769</v>
      </c>
    </row>
    <row r="5881" spans="1:2" x14ac:dyDescent="0.25">
      <c r="A5881" t="s">
        <v>11770</v>
      </c>
      <c r="B5881" t="s">
        <v>11771</v>
      </c>
    </row>
    <row r="5882" spans="1:2" x14ac:dyDescent="0.25">
      <c r="A5882" t="s">
        <v>11772</v>
      </c>
      <c r="B5882" t="s">
        <v>11773</v>
      </c>
    </row>
    <row r="5883" spans="1:2" x14ac:dyDescent="0.25">
      <c r="A5883" t="s">
        <v>11774</v>
      </c>
      <c r="B5883" t="s">
        <v>11775</v>
      </c>
    </row>
    <row r="5884" spans="1:2" x14ac:dyDescent="0.25">
      <c r="A5884" t="s">
        <v>11776</v>
      </c>
      <c r="B5884" t="s">
        <v>11777</v>
      </c>
    </row>
    <row r="5885" spans="1:2" x14ac:dyDescent="0.25">
      <c r="A5885" t="s">
        <v>11778</v>
      </c>
      <c r="B5885" t="s">
        <v>11779</v>
      </c>
    </row>
    <row r="5886" spans="1:2" x14ac:dyDescent="0.25">
      <c r="A5886" t="s">
        <v>11780</v>
      </c>
      <c r="B5886" t="s">
        <v>11781</v>
      </c>
    </row>
    <row r="5887" spans="1:2" x14ac:dyDescent="0.25">
      <c r="A5887" t="s">
        <v>11782</v>
      </c>
      <c r="B5887" t="s">
        <v>11783</v>
      </c>
    </row>
    <row r="5888" spans="1:2" x14ac:dyDescent="0.25">
      <c r="A5888" t="s">
        <v>11784</v>
      </c>
      <c r="B5888" t="s">
        <v>11785</v>
      </c>
    </row>
    <row r="5889" spans="1:2" x14ac:dyDescent="0.25">
      <c r="A5889" t="s">
        <v>11786</v>
      </c>
      <c r="B5889" t="s">
        <v>11787</v>
      </c>
    </row>
    <row r="5890" spans="1:2" x14ac:dyDescent="0.25">
      <c r="A5890" t="s">
        <v>11788</v>
      </c>
      <c r="B5890" t="s">
        <v>11789</v>
      </c>
    </row>
    <row r="5891" spans="1:2" x14ac:dyDescent="0.25">
      <c r="A5891" t="s">
        <v>11790</v>
      </c>
      <c r="B5891" t="s">
        <v>11791</v>
      </c>
    </row>
    <row r="5892" spans="1:2" x14ac:dyDescent="0.25">
      <c r="A5892" t="s">
        <v>11792</v>
      </c>
      <c r="B5892" t="s">
        <v>11793</v>
      </c>
    </row>
    <row r="5893" spans="1:2" x14ac:dyDescent="0.25">
      <c r="A5893" t="s">
        <v>11794</v>
      </c>
      <c r="B5893" t="s">
        <v>11795</v>
      </c>
    </row>
    <row r="5894" spans="1:2" x14ac:dyDescent="0.25">
      <c r="A5894" t="s">
        <v>11796</v>
      </c>
      <c r="B5894" t="s">
        <v>11797</v>
      </c>
    </row>
    <row r="5895" spans="1:2" x14ac:dyDescent="0.25">
      <c r="A5895" t="s">
        <v>11798</v>
      </c>
      <c r="B5895" t="s">
        <v>11799</v>
      </c>
    </row>
    <row r="5896" spans="1:2" x14ac:dyDescent="0.25">
      <c r="A5896" t="s">
        <v>11800</v>
      </c>
      <c r="B5896" t="s">
        <v>11801</v>
      </c>
    </row>
    <row r="5897" spans="1:2" x14ac:dyDescent="0.25">
      <c r="A5897" t="s">
        <v>11802</v>
      </c>
      <c r="B5897" t="s">
        <v>11803</v>
      </c>
    </row>
    <row r="5898" spans="1:2" x14ac:dyDescent="0.25">
      <c r="A5898" t="s">
        <v>11804</v>
      </c>
      <c r="B5898" t="s">
        <v>11805</v>
      </c>
    </row>
    <row r="5899" spans="1:2" x14ac:dyDescent="0.25">
      <c r="A5899" t="s">
        <v>11806</v>
      </c>
      <c r="B5899" t="s">
        <v>11807</v>
      </c>
    </row>
    <row r="5900" spans="1:2" x14ac:dyDescent="0.25">
      <c r="A5900" t="s">
        <v>11808</v>
      </c>
      <c r="B5900" t="s">
        <v>11809</v>
      </c>
    </row>
    <row r="5901" spans="1:2" x14ac:dyDescent="0.25">
      <c r="A5901" t="s">
        <v>11810</v>
      </c>
      <c r="B5901" t="s">
        <v>11811</v>
      </c>
    </row>
    <row r="5902" spans="1:2" x14ac:dyDescent="0.25">
      <c r="A5902" t="s">
        <v>11812</v>
      </c>
      <c r="B5902" t="s">
        <v>11813</v>
      </c>
    </row>
    <row r="5903" spans="1:2" x14ac:dyDescent="0.25">
      <c r="A5903" t="s">
        <v>11814</v>
      </c>
      <c r="B5903" t="s">
        <v>11815</v>
      </c>
    </row>
    <row r="5904" spans="1:2" x14ac:dyDescent="0.25">
      <c r="A5904" t="s">
        <v>11816</v>
      </c>
      <c r="B5904" t="s">
        <v>11817</v>
      </c>
    </row>
    <row r="5905" spans="1:2" x14ac:dyDescent="0.25">
      <c r="A5905" t="s">
        <v>11818</v>
      </c>
      <c r="B5905" t="s">
        <v>11819</v>
      </c>
    </row>
    <row r="5906" spans="1:2" x14ac:dyDescent="0.25">
      <c r="A5906" t="s">
        <v>11820</v>
      </c>
      <c r="B5906" t="s">
        <v>11821</v>
      </c>
    </row>
    <row r="5907" spans="1:2" x14ac:dyDescent="0.25">
      <c r="A5907" t="s">
        <v>11822</v>
      </c>
      <c r="B5907" t="s">
        <v>11823</v>
      </c>
    </row>
    <row r="5908" spans="1:2" x14ac:dyDescent="0.25">
      <c r="A5908" t="s">
        <v>11824</v>
      </c>
      <c r="B5908" t="s">
        <v>11825</v>
      </c>
    </row>
    <row r="5909" spans="1:2" x14ac:dyDescent="0.25">
      <c r="A5909" t="s">
        <v>11826</v>
      </c>
      <c r="B5909" t="s">
        <v>11827</v>
      </c>
    </row>
    <row r="5910" spans="1:2" x14ac:dyDescent="0.25">
      <c r="A5910" t="s">
        <v>11828</v>
      </c>
      <c r="B5910" t="s">
        <v>11829</v>
      </c>
    </row>
    <row r="5911" spans="1:2" x14ac:dyDescent="0.25">
      <c r="A5911" t="s">
        <v>11830</v>
      </c>
      <c r="B5911" t="s">
        <v>11831</v>
      </c>
    </row>
    <row r="5912" spans="1:2" x14ac:dyDescent="0.25">
      <c r="A5912" t="s">
        <v>11832</v>
      </c>
      <c r="B5912" t="s">
        <v>11833</v>
      </c>
    </row>
    <row r="5913" spans="1:2" x14ac:dyDescent="0.25">
      <c r="A5913" t="s">
        <v>11834</v>
      </c>
      <c r="B5913" t="s">
        <v>11835</v>
      </c>
    </row>
    <row r="5914" spans="1:2" x14ac:dyDescent="0.25">
      <c r="A5914" t="s">
        <v>11836</v>
      </c>
      <c r="B5914" t="s">
        <v>11837</v>
      </c>
    </row>
    <row r="5915" spans="1:2" x14ac:dyDescent="0.25">
      <c r="A5915" t="s">
        <v>11838</v>
      </c>
      <c r="B5915" t="s">
        <v>11839</v>
      </c>
    </row>
    <row r="5916" spans="1:2" x14ac:dyDescent="0.25">
      <c r="A5916" t="s">
        <v>11840</v>
      </c>
      <c r="B5916" t="s">
        <v>11841</v>
      </c>
    </row>
    <row r="5917" spans="1:2" x14ac:dyDescent="0.25">
      <c r="A5917" t="s">
        <v>11842</v>
      </c>
      <c r="B5917" t="s">
        <v>11843</v>
      </c>
    </row>
    <row r="5918" spans="1:2" x14ac:dyDescent="0.25">
      <c r="A5918" t="s">
        <v>11844</v>
      </c>
      <c r="B5918" t="s">
        <v>11845</v>
      </c>
    </row>
    <row r="5919" spans="1:2" x14ac:dyDescent="0.25">
      <c r="A5919" t="s">
        <v>11846</v>
      </c>
      <c r="B5919" t="s">
        <v>11847</v>
      </c>
    </row>
    <row r="5920" spans="1:2" x14ac:dyDescent="0.25">
      <c r="A5920" t="s">
        <v>11848</v>
      </c>
      <c r="B5920" t="s">
        <v>11849</v>
      </c>
    </row>
    <row r="5921" spans="1:2" x14ac:dyDescent="0.25">
      <c r="A5921" t="s">
        <v>11850</v>
      </c>
      <c r="B5921" t="s">
        <v>11851</v>
      </c>
    </row>
    <row r="5922" spans="1:2" x14ac:dyDescent="0.25">
      <c r="A5922" t="s">
        <v>11852</v>
      </c>
      <c r="B5922" t="s">
        <v>11853</v>
      </c>
    </row>
    <row r="5923" spans="1:2" x14ac:dyDescent="0.25">
      <c r="A5923" t="s">
        <v>11854</v>
      </c>
      <c r="B5923" t="s">
        <v>11855</v>
      </c>
    </row>
    <row r="5924" spans="1:2" x14ac:dyDescent="0.25">
      <c r="A5924" t="s">
        <v>11856</v>
      </c>
      <c r="B5924" t="s">
        <v>11857</v>
      </c>
    </row>
    <row r="5925" spans="1:2" x14ac:dyDescent="0.25">
      <c r="A5925" t="s">
        <v>11858</v>
      </c>
      <c r="B5925" t="s">
        <v>11859</v>
      </c>
    </row>
    <row r="5926" spans="1:2" x14ac:dyDescent="0.25">
      <c r="A5926" t="s">
        <v>11860</v>
      </c>
      <c r="B5926" t="s">
        <v>11861</v>
      </c>
    </row>
    <row r="5927" spans="1:2" x14ac:dyDescent="0.25">
      <c r="A5927" t="s">
        <v>11862</v>
      </c>
      <c r="B5927" t="s">
        <v>11863</v>
      </c>
    </row>
    <row r="5928" spans="1:2" x14ac:dyDescent="0.25">
      <c r="A5928" t="s">
        <v>11864</v>
      </c>
      <c r="B5928" t="s">
        <v>11865</v>
      </c>
    </row>
    <row r="5929" spans="1:2" x14ac:dyDescent="0.25">
      <c r="A5929" t="s">
        <v>11866</v>
      </c>
      <c r="B5929" t="s">
        <v>11867</v>
      </c>
    </row>
    <row r="5930" spans="1:2" x14ac:dyDescent="0.25">
      <c r="A5930" t="s">
        <v>11868</v>
      </c>
      <c r="B5930" t="s">
        <v>11869</v>
      </c>
    </row>
    <row r="5931" spans="1:2" x14ac:dyDescent="0.25">
      <c r="A5931" t="s">
        <v>11870</v>
      </c>
      <c r="B5931" t="s">
        <v>11871</v>
      </c>
    </row>
    <row r="5932" spans="1:2" x14ac:dyDescent="0.25">
      <c r="A5932" t="s">
        <v>11872</v>
      </c>
      <c r="B5932" t="s">
        <v>11873</v>
      </c>
    </row>
    <row r="5933" spans="1:2" x14ac:dyDescent="0.25">
      <c r="A5933" t="s">
        <v>11874</v>
      </c>
      <c r="B5933" t="s">
        <v>11875</v>
      </c>
    </row>
    <row r="5934" spans="1:2" x14ac:dyDescent="0.25">
      <c r="A5934" t="s">
        <v>11876</v>
      </c>
      <c r="B5934" t="s">
        <v>11877</v>
      </c>
    </row>
    <row r="5935" spans="1:2" x14ac:dyDescent="0.25">
      <c r="A5935" t="s">
        <v>11878</v>
      </c>
      <c r="B5935" t="s">
        <v>11879</v>
      </c>
    </row>
    <row r="5936" spans="1:2" x14ac:dyDescent="0.25">
      <c r="A5936" t="s">
        <v>11880</v>
      </c>
      <c r="B5936" t="s">
        <v>11881</v>
      </c>
    </row>
    <row r="5937" spans="1:2" x14ac:dyDescent="0.25">
      <c r="A5937" t="s">
        <v>11882</v>
      </c>
      <c r="B5937" t="s">
        <v>11883</v>
      </c>
    </row>
    <row r="5938" spans="1:2" x14ac:dyDescent="0.25">
      <c r="A5938" t="s">
        <v>11884</v>
      </c>
      <c r="B5938" t="s">
        <v>11885</v>
      </c>
    </row>
    <row r="5939" spans="1:2" x14ac:dyDescent="0.25">
      <c r="A5939" t="s">
        <v>11886</v>
      </c>
      <c r="B5939" t="s">
        <v>11887</v>
      </c>
    </row>
    <row r="5940" spans="1:2" x14ac:dyDescent="0.25">
      <c r="A5940" t="s">
        <v>11888</v>
      </c>
      <c r="B5940" t="s">
        <v>11889</v>
      </c>
    </row>
    <row r="5941" spans="1:2" x14ac:dyDescent="0.25">
      <c r="A5941" t="s">
        <v>11890</v>
      </c>
      <c r="B5941" t="s">
        <v>11891</v>
      </c>
    </row>
    <row r="5942" spans="1:2" x14ac:dyDescent="0.25">
      <c r="A5942" t="s">
        <v>11892</v>
      </c>
      <c r="B5942" t="s">
        <v>11893</v>
      </c>
    </row>
    <row r="5943" spans="1:2" x14ac:dyDescent="0.25">
      <c r="A5943" t="s">
        <v>11894</v>
      </c>
      <c r="B5943" t="s">
        <v>11895</v>
      </c>
    </row>
    <row r="5944" spans="1:2" x14ac:dyDescent="0.25">
      <c r="A5944" t="s">
        <v>11896</v>
      </c>
      <c r="B5944" t="s">
        <v>11897</v>
      </c>
    </row>
    <row r="5945" spans="1:2" x14ac:dyDescent="0.25">
      <c r="A5945" t="s">
        <v>11898</v>
      </c>
      <c r="B5945" t="s">
        <v>11899</v>
      </c>
    </row>
    <row r="5946" spans="1:2" x14ac:dyDescent="0.25">
      <c r="A5946" t="s">
        <v>11900</v>
      </c>
      <c r="B5946" t="s">
        <v>11901</v>
      </c>
    </row>
    <row r="5947" spans="1:2" x14ac:dyDescent="0.25">
      <c r="A5947" t="s">
        <v>11902</v>
      </c>
      <c r="B5947" t="s">
        <v>11903</v>
      </c>
    </row>
    <row r="5948" spans="1:2" x14ac:dyDescent="0.25">
      <c r="A5948" t="s">
        <v>11904</v>
      </c>
      <c r="B5948" t="s">
        <v>11905</v>
      </c>
    </row>
    <row r="5949" spans="1:2" x14ac:dyDescent="0.25">
      <c r="A5949" t="s">
        <v>11906</v>
      </c>
      <c r="B5949" t="s">
        <v>11907</v>
      </c>
    </row>
    <row r="5950" spans="1:2" x14ac:dyDescent="0.25">
      <c r="A5950" t="s">
        <v>11908</v>
      </c>
      <c r="B5950" t="s">
        <v>11909</v>
      </c>
    </row>
    <row r="5951" spans="1:2" x14ac:dyDescent="0.25">
      <c r="A5951" t="s">
        <v>11910</v>
      </c>
      <c r="B5951" t="s">
        <v>11911</v>
      </c>
    </row>
    <row r="5952" spans="1:2" x14ac:dyDescent="0.25">
      <c r="A5952" t="s">
        <v>11912</v>
      </c>
      <c r="B5952" t="s">
        <v>11913</v>
      </c>
    </row>
    <row r="5953" spans="1:2" x14ac:dyDescent="0.25">
      <c r="A5953" t="s">
        <v>11914</v>
      </c>
      <c r="B5953" t="s">
        <v>11915</v>
      </c>
    </row>
    <row r="5954" spans="1:2" x14ac:dyDescent="0.25">
      <c r="A5954" t="s">
        <v>11916</v>
      </c>
      <c r="B5954" t="s">
        <v>11917</v>
      </c>
    </row>
    <row r="5955" spans="1:2" x14ac:dyDescent="0.25">
      <c r="A5955" t="s">
        <v>11918</v>
      </c>
      <c r="B5955" t="s">
        <v>11919</v>
      </c>
    </row>
    <row r="5956" spans="1:2" x14ac:dyDescent="0.25">
      <c r="A5956" t="s">
        <v>11920</v>
      </c>
      <c r="B5956" t="s">
        <v>11921</v>
      </c>
    </row>
    <row r="5957" spans="1:2" x14ac:dyDescent="0.25">
      <c r="A5957" t="s">
        <v>11922</v>
      </c>
      <c r="B5957" t="s">
        <v>11923</v>
      </c>
    </row>
    <row r="5958" spans="1:2" x14ac:dyDescent="0.25">
      <c r="A5958" t="s">
        <v>11924</v>
      </c>
      <c r="B5958" t="s">
        <v>11925</v>
      </c>
    </row>
    <row r="5959" spans="1:2" x14ac:dyDescent="0.25">
      <c r="A5959" t="s">
        <v>11926</v>
      </c>
      <c r="B5959" t="s">
        <v>11927</v>
      </c>
    </row>
    <row r="5960" spans="1:2" x14ac:dyDescent="0.25">
      <c r="A5960" t="s">
        <v>11928</v>
      </c>
      <c r="B5960" t="s">
        <v>11929</v>
      </c>
    </row>
    <row r="5961" spans="1:2" x14ac:dyDescent="0.25">
      <c r="A5961" t="s">
        <v>11930</v>
      </c>
      <c r="B5961" t="s">
        <v>11931</v>
      </c>
    </row>
    <row r="5962" spans="1:2" x14ac:dyDescent="0.25">
      <c r="A5962" t="s">
        <v>11932</v>
      </c>
      <c r="B5962" t="s">
        <v>11933</v>
      </c>
    </row>
    <row r="5963" spans="1:2" x14ac:dyDescent="0.25">
      <c r="A5963" t="s">
        <v>11934</v>
      </c>
      <c r="B5963" t="s">
        <v>11935</v>
      </c>
    </row>
    <row r="5964" spans="1:2" x14ac:dyDescent="0.25">
      <c r="A5964" t="s">
        <v>11936</v>
      </c>
      <c r="B5964" t="s">
        <v>11937</v>
      </c>
    </row>
    <row r="5965" spans="1:2" x14ac:dyDescent="0.25">
      <c r="A5965" t="s">
        <v>11938</v>
      </c>
      <c r="B5965" t="s">
        <v>11939</v>
      </c>
    </row>
    <row r="5966" spans="1:2" x14ac:dyDescent="0.25">
      <c r="A5966" t="s">
        <v>11940</v>
      </c>
      <c r="B5966" t="s">
        <v>11941</v>
      </c>
    </row>
    <row r="5967" spans="1:2" x14ac:dyDescent="0.25">
      <c r="A5967" t="s">
        <v>11942</v>
      </c>
      <c r="B5967" t="s">
        <v>11943</v>
      </c>
    </row>
    <row r="5968" spans="1:2" x14ac:dyDescent="0.25">
      <c r="A5968" t="s">
        <v>11944</v>
      </c>
      <c r="B5968" t="s">
        <v>11945</v>
      </c>
    </row>
    <row r="5969" spans="1:2" x14ac:dyDescent="0.25">
      <c r="A5969" t="s">
        <v>11946</v>
      </c>
      <c r="B5969" t="s">
        <v>11947</v>
      </c>
    </row>
    <row r="5970" spans="1:2" x14ac:dyDescent="0.25">
      <c r="A5970" t="s">
        <v>11948</v>
      </c>
      <c r="B5970" t="s">
        <v>11949</v>
      </c>
    </row>
    <row r="5971" spans="1:2" x14ac:dyDescent="0.25">
      <c r="A5971" t="s">
        <v>11950</v>
      </c>
      <c r="B5971" t="s">
        <v>11951</v>
      </c>
    </row>
    <row r="5972" spans="1:2" x14ac:dyDescent="0.25">
      <c r="A5972" t="s">
        <v>11952</v>
      </c>
      <c r="B5972" t="s">
        <v>11953</v>
      </c>
    </row>
    <row r="5973" spans="1:2" x14ac:dyDescent="0.25">
      <c r="A5973" t="s">
        <v>11954</v>
      </c>
      <c r="B5973" t="s">
        <v>11955</v>
      </c>
    </row>
    <row r="5974" spans="1:2" x14ac:dyDescent="0.25">
      <c r="A5974" t="s">
        <v>11956</v>
      </c>
      <c r="B5974" t="s">
        <v>11957</v>
      </c>
    </row>
    <row r="5975" spans="1:2" x14ac:dyDescent="0.25">
      <c r="A5975" t="s">
        <v>11958</v>
      </c>
      <c r="B5975" t="s">
        <v>11959</v>
      </c>
    </row>
    <row r="5976" spans="1:2" x14ac:dyDescent="0.25">
      <c r="A5976" t="s">
        <v>11960</v>
      </c>
      <c r="B5976" t="s">
        <v>11961</v>
      </c>
    </row>
    <row r="5977" spans="1:2" x14ac:dyDescent="0.25">
      <c r="A5977" t="s">
        <v>11962</v>
      </c>
      <c r="B5977" t="s">
        <v>11963</v>
      </c>
    </row>
    <row r="5978" spans="1:2" x14ac:dyDescent="0.25">
      <c r="A5978" t="s">
        <v>11964</v>
      </c>
      <c r="B5978" t="s">
        <v>11965</v>
      </c>
    </row>
    <row r="5979" spans="1:2" x14ac:dyDescent="0.25">
      <c r="A5979" t="s">
        <v>11966</v>
      </c>
      <c r="B5979" t="s">
        <v>11967</v>
      </c>
    </row>
    <row r="5980" spans="1:2" x14ac:dyDescent="0.25">
      <c r="A5980" t="s">
        <v>11968</v>
      </c>
      <c r="B5980" t="s">
        <v>11969</v>
      </c>
    </row>
    <row r="5981" spans="1:2" x14ac:dyDescent="0.25">
      <c r="A5981" t="s">
        <v>11970</v>
      </c>
      <c r="B5981" t="s">
        <v>11971</v>
      </c>
    </row>
    <row r="5982" spans="1:2" x14ac:dyDescent="0.25">
      <c r="A5982" t="s">
        <v>11972</v>
      </c>
      <c r="B5982" t="s">
        <v>11973</v>
      </c>
    </row>
    <row r="5983" spans="1:2" x14ac:dyDescent="0.25">
      <c r="A5983" t="s">
        <v>11974</v>
      </c>
      <c r="B5983" t="s">
        <v>11975</v>
      </c>
    </row>
    <row r="5984" spans="1:2" x14ac:dyDescent="0.25">
      <c r="A5984" t="s">
        <v>11976</v>
      </c>
      <c r="B5984" t="s">
        <v>11977</v>
      </c>
    </row>
    <row r="5985" spans="1:2" x14ac:dyDescent="0.25">
      <c r="A5985" t="s">
        <v>11978</v>
      </c>
      <c r="B5985" t="s">
        <v>8804</v>
      </c>
    </row>
    <row r="5986" spans="1:2" x14ac:dyDescent="0.25">
      <c r="A5986" t="s">
        <v>11979</v>
      </c>
      <c r="B5986" t="s">
        <v>11980</v>
      </c>
    </row>
    <row r="5987" spans="1:2" x14ac:dyDescent="0.25">
      <c r="A5987" t="s">
        <v>11981</v>
      </c>
      <c r="B5987" t="s">
        <v>11982</v>
      </c>
    </row>
    <row r="5988" spans="1:2" x14ac:dyDescent="0.25">
      <c r="A5988" t="s">
        <v>11983</v>
      </c>
      <c r="B5988" t="s">
        <v>11984</v>
      </c>
    </row>
    <row r="5989" spans="1:2" x14ac:dyDescent="0.25">
      <c r="A5989" t="s">
        <v>11985</v>
      </c>
      <c r="B5989" t="s">
        <v>11986</v>
      </c>
    </row>
    <row r="5990" spans="1:2" x14ac:dyDescent="0.25">
      <c r="A5990" t="s">
        <v>11987</v>
      </c>
      <c r="B5990" t="s">
        <v>11988</v>
      </c>
    </row>
    <row r="5991" spans="1:2" x14ac:dyDescent="0.25">
      <c r="A5991" t="s">
        <v>11989</v>
      </c>
      <c r="B5991" t="s">
        <v>11990</v>
      </c>
    </row>
    <row r="5992" spans="1:2" x14ac:dyDescent="0.25">
      <c r="A5992" t="s">
        <v>11991</v>
      </c>
      <c r="B5992" t="s">
        <v>11992</v>
      </c>
    </row>
    <row r="5993" spans="1:2" x14ac:dyDescent="0.25">
      <c r="A5993" t="s">
        <v>11993</v>
      </c>
      <c r="B5993" t="s">
        <v>11994</v>
      </c>
    </row>
    <row r="5994" spans="1:2" x14ac:dyDescent="0.25">
      <c r="A5994" t="s">
        <v>11995</v>
      </c>
      <c r="B5994" t="s">
        <v>11996</v>
      </c>
    </row>
    <row r="5995" spans="1:2" x14ac:dyDescent="0.25">
      <c r="A5995" t="s">
        <v>11997</v>
      </c>
      <c r="B5995" t="s">
        <v>11998</v>
      </c>
    </row>
    <row r="5996" spans="1:2" x14ac:dyDescent="0.25">
      <c r="A5996" t="s">
        <v>11999</v>
      </c>
      <c r="B5996" t="s">
        <v>12000</v>
      </c>
    </row>
    <row r="5997" spans="1:2" x14ac:dyDescent="0.25">
      <c r="A5997" t="s">
        <v>12001</v>
      </c>
      <c r="B5997" t="s">
        <v>12002</v>
      </c>
    </row>
    <row r="5998" spans="1:2" x14ac:dyDescent="0.25">
      <c r="A5998" t="s">
        <v>12003</v>
      </c>
      <c r="B5998" t="s">
        <v>12004</v>
      </c>
    </row>
    <row r="5999" spans="1:2" x14ac:dyDescent="0.25">
      <c r="A5999" t="s">
        <v>12005</v>
      </c>
      <c r="B5999" t="s">
        <v>12006</v>
      </c>
    </row>
    <row r="6000" spans="1:2" x14ac:dyDescent="0.25">
      <c r="A6000" t="s">
        <v>12007</v>
      </c>
      <c r="B6000" t="s">
        <v>12008</v>
      </c>
    </row>
    <row r="6001" spans="1:2" x14ac:dyDescent="0.25">
      <c r="A6001" t="s">
        <v>12009</v>
      </c>
      <c r="B6001" t="s">
        <v>12010</v>
      </c>
    </row>
    <row r="6002" spans="1:2" x14ac:dyDescent="0.25">
      <c r="A6002" t="s">
        <v>12011</v>
      </c>
      <c r="B6002" t="s">
        <v>12012</v>
      </c>
    </row>
    <row r="6003" spans="1:2" x14ac:dyDescent="0.25">
      <c r="A6003" t="s">
        <v>12013</v>
      </c>
      <c r="B6003" t="s">
        <v>12014</v>
      </c>
    </row>
    <row r="6004" spans="1:2" x14ac:dyDescent="0.25">
      <c r="A6004" t="s">
        <v>12015</v>
      </c>
      <c r="B6004" t="s">
        <v>12016</v>
      </c>
    </row>
    <row r="6005" spans="1:2" x14ac:dyDescent="0.25">
      <c r="A6005" t="s">
        <v>12017</v>
      </c>
      <c r="B6005" t="s">
        <v>12018</v>
      </c>
    </row>
    <row r="6006" spans="1:2" x14ac:dyDescent="0.25">
      <c r="A6006" t="s">
        <v>12019</v>
      </c>
      <c r="B6006" t="s">
        <v>12020</v>
      </c>
    </row>
    <row r="6007" spans="1:2" x14ac:dyDescent="0.25">
      <c r="A6007" t="s">
        <v>12021</v>
      </c>
      <c r="B6007" t="s">
        <v>12022</v>
      </c>
    </row>
    <row r="6008" spans="1:2" x14ac:dyDescent="0.25">
      <c r="A6008" t="s">
        <v>12023</v>
      </c>
      <c r="B6008" t="s">
        <v>12024</v>
      </c>
    </row>
    <row r="6009" spans="1:2" x14ac:dyDescent="0.25">
      <c r="A6009" t="s">
        <v>12025</v>
      </c>
      <c r="B6009" t="s">
        <v>12026</v>
      </c>
    </row>
    <row r="6010" spans="1:2" x14ac:dyDescent="0.25">
      <c r="A6010" t="s">
        <v>12027</v>
      </c>
      <c r="B6010" t="s">
        <v>12028</v>
      </c>
    </row>
    <row r="6011" spans="1:2" x14ac:dyDescent="0.25">
      <c r="A6011" t="s">
        <v>12029</v>
      </c>
      <c r="B6011" t="s">
        <v>12030</v>
      </c>
    </row>
    <row r="6012" spans="1:2" x14ac:dyDescent="0.25">
      <c r="A6012" t="s">
        <v>12031</v>
      </c>
      <c r="B6012" t="s">
        <v>12032</v>
      </c>
    </row>
    <row r="6013" spans="1:2" x14ac:dyDescent="0.25">
      <c r="A6013" t="s">
        <v>12033</v>
      </c>
      <c r="B6013" t="s">
        <v>12034</v>
      </c>
    </row>
    <row r="6014" spans="1:2" x14ac:dyDescent="0.25">
      <c r="A6014" t="s">
        <v>12035</v>
      </c>
      <c r="B6014" t="s">
        <v>12036</v>
      </c>
    </row>
    <row r="6015" spans="1:2" x14ac:dyDescent="0.25">
      <c r="A6015" t="s">
        <v>12037</v>
      </c>
      <c r="B6015" t="s">
        <v>12038</v>
      </c>
    </row>
    <row r="6016" spans="1:2" x14ac:dyDescent="0.25">
      <c r="A6016" t="s">
        <v>12039</v>
      </c>
      <c r="B6016" t="s">
        <v>12040</v>
      </c>
    </row>
    <row r="6017" spans="1:2" x14ac:dyDescent="0.25">
      <c r="A6017" t="s">
        <v>12041</v>
      </c>
      <c r="B6017" t="s">
        <v>12042</v>
      </c>
    </row>
    <row r="6018" spans="1:2" x14ac:dyDescent="0.25">
      <c r="A6018" t="s">
        <v>12043</v>
      </c>
      <c r="B6018" t="s">
        <v>12044</v>
      </c>
    </row>
    <row r="6019" spans="1:2" x14ac:dyDescent="0.25">
      <c r="A6019" t="s">
        <v>12045</v>
      </c>
      <c r="B6019" t="s">
        <v>12046</v>
      </c>
    </row>
    <row r="6020" spans="1:2" x14ac:dyDescent="0.25">
      <c r="A6020" t="s">
        <v>12047</v>
      </c>
      <c r="B6020" t="s">
        <v>12048</v>
      </c>
    </row>
    <row r="6021" spans="1:2" x14ac:dyDescent="0.25">
      <c r="A6021" t="s">
        <v>12049</v>
      </c>
      <c r="B6021" t="s">
        <v>12050</v>
      </c>
    </row>
    <row r="6022" spans="1:2" x14ac:dyDescent="0.25">
      <c r="A6022" t="s">
        <v>12051</v>
      </c>
      <c r="B6022" t="s">
        <v>12052</v>
      </c>
    </row>
    <row r="6023" spans="1:2" x14ac:dyDescent="0.25">
      <c r="A6023" t="s">
        <v>12053</v>
      </c>
      <c r="B6023" t="s">
        <v>12054</v>
      </c>
    </row>
    <row r="6024" spans="1:2" x14ac:dyDescent="0.25">
      <c r="A6024" t="s">
        <v>12055</v>
      </c>
      <c r="B6024" t="s">
        <v>12056</v>
      </c>
    </row>
    <row r="6025" spans="1:2" x14ac:dyDescent="0.25">
      <c r="A6025" t="s">
        <v>12057</v>
      </c>
      <c r="B6025" t="s">
        <v>12058</v>
      </c>
    </row>
    <row r="6026" spans="1:2" x14ac:dyDescent="0.25">
      <c r="A6026" t="s">
        <v>12059</v>
      </c>
      <c r="B6026" t="s">
        <v>12060</v>
      </c>
    </row>
    <row r="6027" spans="1:2" x14ac:dyDescent="0.25">
      <c r="A6027" t="s">
        <v>12061</v>
      </c>
      <c r="B6027" t="s">
        <v>12062</v>
      </c>
    </row>
    <row r="6028" spans="1:2" x14ac:dyDescent="0.25">
      <c r="A6028" t="s">
        <v>12063</v>
      </c>
      <c r="B6028" t="s">
        <v>12064</v>
      </c>
    </row>
    <row r="6029" spans="1:2" x14ac:dyDescent="0.25">
      <c r="A6029" t="s">
        <v>12065</v>
      </c>
      <c r="B6029" t="s">
        <v>12066</v>
      </c>
    </row>
    <row r="6030" spans="1:2" x14ac:dyDescent="0.25">
      <c r="A6030" t="s">
        <v>12067</v>
      </c>
      <c r="B6030" t="s">
        <v>12068</v>
      </c>
    </row>
    <row r="6031" spans="1:2" x14ac:dyDescent="0.25">
      <c r="A6031" t="s">
        <v>12069</v>
      </c>
      <c r="B6031" t="s">
        <v>12070</v>
      </c>
    </row>
    <row r="6032" spans="1:2" x14ac:dyDescent="0.25">
      <c r="A6032" t="s">
        <v>12071</v>
      </c>
      <c r="B6032" t="s">
        <v>12072</v>
      </c>
    </row>
    <row r="6033" spans="1:2" x14ac:dyDescent="0.25">
      <c r="A6033" t="s">
        <v>12073</v>
      </c>
      <c r="B6033" t="s">
        <v>12074</v>
      </c>
    </row>
    <row r="6034" spans="1:2" x14ac:dyDescent="0.25">
      <c r="A6034" t="s">
        <v>12075</v>
      </c>
      <c r="B6034" t="s">
        <v>12076</v>
      </c>
    </row>
    <row r="6035" spans="1:2" x14ac:dyDescent="0.25">
      <c r="A6035" t="s">
        <v>12077</v>
      </c>
      <c r="B6035" t="s">
        <v>12078</v>
      </c>
    </row>
    <row r="6036" spans="1:2" x14ac:dyDescent="0.25">
      <c r="A6036" t="s">
        <v>12079</v>
      </c>
      <c r="B6036" t="s">
        <v>9110</v>
      </c>
    </row>
    <row r="6037" spans="1:2" x14ac:dyDescent="0.25">
      <c r="A6037" t="s">
        <v>12080</v>
      </c>
      <c r="B6037" t="s">
        <v>12081</v>
      </c>
    </row>
    <row r="6038" spans="1:2" x14ac:dyDescent="0.25">
      <c r="A6038" t="s">
        <v>12082</v>
      </c>
      <c r="B6038" t="s">
        <v>12083</v>
      </c>
    </row>
    <row r="6039" spans="1:2" x14ac:dyDescent="0.25">
      <c r="A6039" t="s">
        <v>12084</v>
      </c>
      <c r="B6039" t="s">
        <v>12085</v>
      </c>
    </row>
    <row r="6040" spans="1:2" x14ac:dyDescent="0.25">
      <c r="A6040" t="s">
        <v>12086</v>
      </c>
      <c r="B6040" t="s">
        <v>12087</v>
      </c>
    </row>
    <row r="6041" spans="1:2" x14ac:dyDescent="0.25">
      <c r="A6041" t="s">
        <v>12088</v>
      </c>
      <c r="B6041" t="s">
        <v>12089</v>
      </c>
    </row>
    <row r="6042" spans="1:2" x14ac:dyDescent="0.25">
      <c r="A6042" t="s">
        <v>12090</v>
      </c>
      <c r="B6042" t="s">
        <v>12091</v>
      </c>
    </row>
    <row r="6043" spans="1:2" x14ac:dyDescent="0.25">
      <c r="A6043" t="s">
        <v>12092</v>
      </c>
      <c r="B6043" t="s">
        <v>12093</v>
      </c>
    </row>
    <row r="6044" spans="1:2" x14ac:dyDescent="0.25">
      <c r="A6044" t="s">
        <v>12094</v>
      </c>
      <c r="B6044" t="s">
        <v>12095</v>
      </c>
    </row>
    <row r="6045" spans="1:2" x14ac:dyDescent="0.25">
      <c r="A6045" t="s">
        <v>12096</v>
      </c>
      <c r="B6045" t="s">
        <v>12097</v>
      </c>
    </row>
    <row r="6046" spans="1:2" x14ac:dyDescent="0.25">
      <c r="A6046" t="s">
        <v>12098</v>
      </c>
      <c r="B6046" t="s">
        <v>12099</v>
      </c>
    </row>
    <row r="6047" spans="1:2" x14ac:dyDescent="0.25">
      <c r="A6047" t="s">
        <v>12100</v>
      </c>
      <c r="B6047" t="s">
        <v>12101</v>
      </c>
    </row>
    <row r="6048" spans="1:2" x14ac:dyDescent="0.25">
      <c r="A6048" t="s">
        <v>12102</v>
      </c>
      <c r="B6048" t="s">
        <v>12103</v>
      </c>
    </row>
    <row r="6049" spans="1:2" x14ac:dyDescent="0.25">
      <c r="A6049" t="s">
        <v>12104</v>
      </c>
      <c r="B6049" t="s">
        <v>12105</v>
      </c>
    </row>
    <row r="6050" spans="1:2" x14ac:dyDescent="0.25">
      <c r="A6050" t="s">
        <v>12106</v>
      </c>
      <c r="B6050" t="s">
        <v>12107</v>
      </c>
    </row>
    <row r="6051" spans="1:2" x14ac:dyDescent="0.25">
      <c r="A6051" t="s">
        <v>12108</v>
      </c>
      <c r="B6051" t="s">
        <v>12109</v>
      </c>
    </row>
    <row r="6052" spans="1:2" x14ac:dyDescent="0.25">
      <c r="A6052" t="s">
        <v>12110</v>
      </c>
      <c r="B6052" t="s">
        <v>12111</v>
      </c>
    </row>
    <row r="6053" spans="1:2" x14ac:dyDescent="0.25">
      <c r="A6053" t="s">
        <v>12112</v>
      </c>
      <c r="B6053" t="s">
        <v>12113</v>
      </c>
    </row>
    <row r="6054" spans="1:2" x14ac:dyDescent="0.25">
      <c r="A6054" t="s">
        <v>12114</v>
      </c>
      <c r="B6054" t="s">
        <v>12115</v>
      </c>
    </row>
    <row r="6055" spans="1:2" x14ac:dyDescent="0.25">
      <c r="A6055" t="s">
        <v>12116</v>
      </c>
      <c r="B6055" t="s">
        <v>12117</v>
      </c>
    </row>
    <row r="6056" spans="1:2" x14ac:dyDescent="0.25">
      <c r="A6056" t="s">
        <v>12118</v>
      </c>
      <c r="B6056" t="s">
        <v>12119</v>
      </c>
    </row>
    <row r="6057" spans="1:2" x14ac:dyDescent="0.25">
      <c r="A6057" t="s">
        <v>12120</v>
      </c>
      <c r="B6057" t="s">
        <v>12121</v>
      </c>
    </row>
    <row r="6058" spans="1:2" x14ac:dyDescent="0.25">
      <c r="A6058" t="s">
        <v>12122</v>
      </c>
      <c r="B6058" t="s">
        <v>12123</v>
      </c>
    </row>
    <row r="6059" spans="1:2" x14ac:dyDescent="0.25">
      <c r="A6059" t="s">
        <v>12124</v>
      </c>
      <c r="B6059" t="s">
        <v>12125</v>
      </c>
    </row>
    <row r="6060" spans="1:2" x14ac:dyDescent="0.25">
      <c r="A6060" t="s">
        <v>12126</v>
      </c>
      <c r="B6060" t="s">
        <v>12127</v>
      </c>
    </row>
    <row r="6061" spans="1:2" x14ac:dyDescent="0.25">
      <c r="A6061" t="s">
        <v>12128</v>
      </c>
      <c r="B6061" t="s">
        <v>12129</v>
      </c>
    </row>
    <row r="6062" spans="1:2" x14ac:dyDescent="0.25">
      <c r="A6062" t="s">
        <v>12130</v>
      </c>
      <c r="B6062" t="s">
        <v>8715</v>
      </c>
    </row>
    <row r="6063" spans="1:2" x14ac:dyDescent="0.25">
      <c r="A6063" t="s">
        <v>12131</v>
      </c>
      <c r="B6063" t="s">
        <v>12132</v>
      </c>
    </row>
    <row r="6064" spans="1:2" x14ac:dyDescent="0.25">
      <c r="A6064" t="s">
        <v>12133</v>
      </c>
      <c r="B6064" t="s">
        <v>12134</v>
      </c>
    </row>
    <row r="6065" spans="1:2" x14ac:dyDescent="0.25">
      <c r="A6065" t="s">
        <v>12135</v>
      </c>
      <c r="B6065" t="s">
        <v>12136</v>
      </c>
    </row>
    <row r="6066" spans="1:2" x14ac:dyDescent="0.25">
      <c r="A6066" t="s">
        <v>12137</v>
      </c>
      <c r="B6066" t="s">
        <v>12138</v>
      </c>
    </row>
    <row r="6067" spans="1:2" x14ac:dyDescent="0.25">
      <c r="A6067" t="s">
        <v>12139</v>
      </c>
      <c r="B6067" t="s">
        <v>12140</v>
      </c>
    </row>
    <row r="6068" spans="1:2" x14ac:dyDescent="0.25">
      <c r="A6068" t="s">
        <v>12141</v>
      </c>
      <c r="B6068" t="s">
        <v>12142</v>
      </c>
    </row>
    <row r="6069" spans="1:2" x14ac:dyDescent="0.25">
      <c r="A6069" t="s">
        <v>12143</v>
      </c>
      <c r="B6069" t="s">
        <v>12144</v>
      </c>
    </row>
    <row r="6070" spans="1:2" x14ac:dyDescent="0.25">
      <c r="A6070" t="s">
        <v>12145</v>
      </c>
      <c r="B6070" t="s">
        <v>12146</v>
      </c>
    </row>
    <row r="6071" spans="1:2" x14ac:dyDescent="0.25">
      <c r="A6071" t="s">
        <v>12147</v>
      </c>
      <c r="B6071" t="s">
        <v>12148</v>
      </c>
    </row>
    <row r="6072" spans="1:2" x14ac:dyDescent="0.25">
      <c r="A6072" t="s">
        <v>12149</v>
      </c>
      <c r="B6072" t="s">
        <v>12150</v>
      </c>
    </row>
    <row r="6073" spans="1:2" x14ac:dyDescent="0.25">
      <c r="A6073" t="s">
        <v>12151</v>
      </c>
      <c r="B6073" t="s">
        <v>12152</v>
      </c>
    </row>
    <row r="6074" spans="1:2" x14ac:dyDescent="0.25">
      <c r="A6074" t="s">
        <v>12153</v>
      </c>
      <c r="B6074" t="s">
        <v>12154</v>
      </c>
    </row>
    <row r="6075" spans="1:2" x14ac:dyDescent="0.25">
      <c r="A6075" t="s">
        <v>12155</v>
      </c>
      <c r="B6075" t="s">
        <v>12156</v>
      </c>
    </row>
    <row r="6076" spans="1:2" x14ac:dyDescent="0.25">
      <c r="A6076" t="s">
        <v>12157</v>
      </c>
      <c r="B6076" t="s">
        <v>12158</v>
      </c>
    </row>
    <row r="6077" spans="1:2" x14ac:dyDescent="0.25">
      <c r="A6077" t="s">
        <v>12159</v>
      </c>
      <c r="B6077" t="s">
        <v>12160</v>
      </c>
    </row>
    <row r="6078" spans="1:2" x14ac:dyDescent="0.25">
      <c r="A6078" t="s">
        <v>12161</v>
      </c>
      <c r="B6078" t="s">
        <v>12162</v>
      </c>
    </row>
    <row r="6079" spans="1:2" x14ac:dyDescent="0.25">
      <c r="A6079" t="s">
        <v>12163</v>
      </c>
      <c r="B6079" t="s">
        <v>12164</v>
      </c>
    </row>
    <row r="6080" spans="1:2" x14ac:dyDescent="0.25">
      <c r="A6080" t="s">
        <v>12165</v>
      </c>
      <c r="B6080" t="s">
        <v>12166</v>
      </c>
    </row>
    <row r="6081" spans="1:2" x14ac:dyDescent="0.25">
      <c r="A6081" t="s">
        <v>12167</v>
      </c>
      <c r="B6081" t="s">
        <v>12168</v>
      </c>
    </row>
    <row r="6082" spans="1:2" x14ac:dyDescent="0.25">
      <c r="A6082" t="s">
        <v>12169</v>
      </c>
      <c r="B6082" t="s">
        <v>12170</v>
      </c>
    </row>
    <row r="6083" spans="1:2" x14ac:dyDescent="0.25">
      <c r="A6083" t="s">
        <v>12171</v>
      </c>
      <c r="B6083" t="s">
        <v>12172</v>
      </c>
    </row>
    <row r="6084" spans="1:2" x14ac:dyDescent="0.25">
      <c r="A6084" t="s">
        <v>12173</v>
      </c>
      <c r="B6084" t="s">
        <v>12174</v>
      </c>
    </row>
    <row r="6085" spans="1:2" x14ac:dyDescent="0.25">
      <c r="A6085" t="s">
        <v>12175</v>
      </c>
      <c r="B6085" t="s">
        <v>12176</v>
      </c>
    </row>
    <row r="6086" spans="1:2" x14ac:dyDescent="0.25">
      <c r="A6086" t="s">
        <v>12177</v>
      </c>
      <c r="B6086" t="s">
        <v>12178</v>
      </c>
    </row>
    <row r="6087" spans="1:2" x14ac:dyDescent="0.25">
      <c r="A6087" t="s">
        <v>12179</v>
      </c>
      <c r="B6087" t="s">
        <v>12180</v>
      </c>
    </row>
    <row r="6088" spans="1:2" x14ac:dyDescent="0.25">
      <c r="A6088" t="s">
        <v>12181</v>
      </c>
      <c r="B6088" t="s">
        <v>12182</v>
      </c>
    </row>
    <row r="6089" spans="1:2" x14ac:dyDescent="0.25">
      <c r="A6089" t="s">
        <v>12183</v>
      </c>
      <c r="B6089" t="s">
        <v>12184</v>
      </c>
    </row>
    <row r="6090" spans="1:2" x14ac:dyDescent="0.25">
      <c r="A6090" t="s">
        <v>12185</v>
      </c>
      <c r="B6090" t="s">
        <v>12186</v>
      </c>
    </row>
    <row r="6091" spans="1:2" x14ac:dyDescent="0.25">
      <c r="A6091" t="s">
        <v>12187</v>
      </c>
      <c r="B6091" t="s">
        <v>12188</v>
      </c>
    </row>
    <row r="6092" spans="1:2" x14ac:dyDescent="0.25">
      <c r="A6092" t="s">
        <v>12189</v>
      </c>
      <c r="B6092" t="s">
        <v>12190</v>
      </c>
    </row>
    <row r="6093" spans="1:2" x14ac:dyDescent="0.25">
      <c r="A6093" t="s">
        <v>12191</v>
      </c>
      <c r="B6093" t="s">
        <v>12192</v>
      </c>
    </row>
    <row r="6094" spans="1:2" x14ac:dyDescent="0.25">
      <c r="A6094" t="s">
        <v>12193</v>
      </c>
      <c r="B6094" t="s">
        <v>12194</v>
      </c>
    </row>
    <row r="6095" spans="1:2" x14ac:dyDescent="0.25">
      <c r="A6095" t="s">
        <v>12195</v>
      </c>
      <c r="B6095" t="s">
        <v>12196</v>
      </c>
    </row>
    <row r="6096" spans="1:2" x14ac:dyDescent="0.25">
      <c r="A6096" t="s">
        <v>12197</v>
      </c>
      <c r="B6096" t="s">
        <v>12198</v>
      </c>
    </row>
    <row r="6097" spans="1:2" x14ac:dyDescent="0.25">
      <c r="A6097" t="s">
        <v>12199</v>
      </c>
      <c r="B6097" t="s">
        <v>12200</v>
      </c>
    </row>
    <row r="6098" spans="1:2" x14ac:dyDescent="0.25">
      <c r="A6098" t="s">
        <v>12201</v>
      </c>
      <c r="B6098" t="s">
        <v>12202</v>
      </c>
    </row>
    <row r="6099" spans="1:2" x14ac:dyDescent="0.25">
      <c r="A6099" t="s">
        <v>12203</v>
      </c>
      <c r="B6099" t="s">
        <v>12204</v>
      </c>
    </row>
    <row r="6100" spans="1:2" x14ac:dyDescent="0.25">
      <c r="A6100" t="s">
        <v>12205</v>
      </c>
      <c r="B6100" t="s">
        <v>12206</v>
      </c>
    </row>
    <row r="6101" spans="1:2" x14ac:dyDescent="0.25">
      <c r="A6101" t="s">
        <v>12207</v>
      </c>
      <c r="B6101" t="s">
        <v>12208</v>
      </c>
    </row>
    <row r="6102" spans="1:2" x14ac:dyDescent="0.25">
      <c r="A6102" t="s">
        <v>12209</v>
      </c>
      <c r="B6102" t="s">
        <v>12210</v>
      </c>
    </row>
    <row r="6103" spans="1:2" x14ac:dyDescent="0.25">
      <c r="A6103" t="s">
        <v>12211</v>
      </c>
      <c r="B6103" t="s">
        <v>12212</v>
      </c>
    </row>
    <row r="6104" spans="1:2" x14ac:dyDescent="0.25">
      <c r="A6104" t="s">
        <v>12213</v>
      </c>
      <c r="B6104" t="s">
        <v>12214</v>
      </c>
    </row>
    <row r="6105" spans="1:2" x14ac:dyDescent="0.25">
      <c r="A6105" t="s">
        <v>12215</v>
      </c>
      <c r="B6105" t="s">
        <v>12216</v>
      </c>
    </row>
    <row r="6106" spans="1:2" x14ac:dyDescent="0.25">
      <c r="A6106" t="s">
        <v>12217</v>
      </c>
      <c r="B6106" t="s">
        <v>12218</v>
      </c>
    </row>
    <row r="6107" spans="1:2" x14ac:dyDescent="0.25">
      <c r="A6107" t="s">
        <v>12219</v>
      </c>
      <c r="B6107" t="s">
        <v>12220</v>
      </c>
    </row>
    <row r="6108" spans="1:2" x14ac:dyDescent="0.25">
      <c r="A6108" t="s">
        <v>12221</v>
      </c>
      <c r="B6108" t="s">
        <v>12222</v>
      </c>
    </row>
    <row r="6109" spans="1:2" x14ac:dyDescent="0.25">
      <c r="A6109" t="s">
        <v>12223</v>
      </c>
      <c r="B6109" t="s">
        <v>12224</v>
      </c>
    </row>
    <row r="6110" spans="1:2" x14ac:dyDescent="0.25">
      <c r="A6110" t="s">
        <v>12225</v>
      </c>
      <c r="B6110" t="s">
        <v>12226</v>
      </c>
    </row>
    <row r="6111" spans="1:2" x14ac:dyDescent="0.25">
      <c r="A6111" t="s">
        <v>12227</v>
      </c>
      <c r="B6111" t="s">
        <v>12228</v>
      </c>
    </row>
    <row r="6112" spans="1:2" x14ac:dyDescent="0.25">
      <c r="A6112" t="s">
        <v>12229</v>
      </c>
      <c r="B6112" t="s">
        <v>12230</v>
      </c>
    </row>
    <row r="6113" spans="1:2" x14ac:dyDescent="0.25">
      <c r="A6113" t="s">
        <v>12231</v>
      </c>
      <c r="B6113" t="s">
        <v>12232</v>
      </c>
    </row>
    <row r="6114" spans="1:2" x14ac:dyDescent="0.25">
      <c r="A6114" t="s">
        <v>12233</v>
      </c>
      <c r="B6114" t="s">
        <v>12234</v>
      </c>
    </row>
    <row r="6115" spans="1:2" x14ac:dyDescent="0.25">
      <c r="A6115" t="s">
        <v>12235</v>
      </c>
      <c r="B6115" t="s">
        <v>12236</v>
      </c>
    </row>
    <row r="6116" spans="1:2" x14ac:dyDescent="0.25">
      <c r="A6116" t="s">
        <v>12237</v>
      </c>
      <c r="B6116" t="s">
        <v>12238</v>
      </c>
    </row>
    <row r="6117" spans="1:2" x14ac:dyDescent="0.25">
      <c r="A6117" t="s">
        <v>12239</v>
      </c>
      <c r="B6117" t="s">
        <v>12240</v>
      </c>
    </row>
    <row r="6118" spans="1:2" x14ac:dyDescent="0.25">
      <c r="A6118" t="s">
        <v>12241</v>
      </c>
      <c r="B6118" t="s">
        <v>12242</v>
      </c>
    </row>
    <row r="6119" spans="1:2" x14ac:dyDescent="0.25">
      <c r="A6119" t="s">
        <v>12243</v>
      </c>
      <c r="B6119" t="s">
        <v>12244</v>
      </c>
    </row>
    <row r="6120" spans="1:2" x14ac:dyDescent="0.25">
      <c r="A6120" t="s">
        <v>12245</v>
      </c>
      <c r="B6120" t="s">
        <v>12246</v>
      </c>
    </row>
    <row r="6121" spans="1:2" x14ac:dyDescent="0.25">
      <c r="A6121" t="s">
        <v>12247</v>
      </c>
      <c r="B6121" t="s">
        <v>8869</v>
      </c>
    </row>
    <row r="6122" spans="1:2" x14ac:dyDescent="0.25">
      <c r="A6122" t="s">
        <v>12248</v>
      </c>
      <c r="B6122" t="s">
        <v>12249</v>
      </c>
    </row>
    <row r="6123" spans="1:2" x14ac:dyDescent="0.25">
      <c r="A6123" t="s">
        <v>12250</v>
      </c>
      <c r="B6123" t="s">
        <v>12251</v>
      </c>
    </row>
    <row r="6124" spans="1:2" x14ac:dyDescent="0.25">
      <c r="A6124" t="s">
        <v>12252</v>
      </c>
      <c r="B6124" t="s">
        <v>12253</v>
      </c>
    </row>
    <row r="6125" spans="1:2" x14ac:dyDescent="0.25">
      <c r="A6125" t="s">
        <v>12254</v>
      </c>
      <c r="B6125" t="s">
        <v>12255</v>
      </c>
    </row>
    <row r="6126" spans="1:2" x14ac:dyDescent="0.25">
      <c r="A6126" t="s">
        <v>12256</v>
      </c>
      <c r="B6126" t="s">
        <v>12257</v>
      </c>
    </row>
    <row r="6127" spans="1:2" x14ac:dyDescent="0.25">
      <c r="A6127" t="s">
        <v>12258</v>
      </c>
      <c r="B6127" t="s">
        <v>12259</v>
      </c>
    </row>
    <row r="6128" spans="1:2" x14ac:dyDescent="0.25">
      <c r="A6128" t="s">
        <v>12260</v>
      </c>
      <c r="B6128" t="s">
        <v>12261</v>
      </c>
    </row>
    <row r="6129" spans="1:2" x14ac:dyDescent="0.25">
      <c r="A6129" t="s">
        <v>12262</v>
      </c>
      <c r="B6129" t="s">
        <v>12263</v>
      </c>
    </row>
    <row r="6130" spans="1:2" x14ac:dyDescent="0.25">
      <c r="A6130" t="s">
        <v>12264</v>
      </c>
      <c r="B6130" t="s">
        <v>12265</v>
      </c>
    </row>
    <row r="6131" spans="1:2" x14ac:dyDescent="0.25">
      <c r="A6131" t="s">
        <v>12266</v>
      </c>
      <c r="B6131" t="s">
        <v>12267</v>
      </c>
    </row>
    <row r="6132" spans="1:2" x14ac:dyDescent="0.25">
      <c r="A6132" t="s">
        <v>12268</v>
      </c>
      <c r="B6132" t="s">
        <v>12269</v>
      </c>
    </row>
    <row r="6133" spans="1:2" x14ac:dyDescent="0.25">
      <c r="A6133" t="s">
        <v>12270</v>
      </c>
      <c r="B6133" t="s">
        <v>12271</v>
      </c>
    </row>
    <row r="6134" spans="1:2" x14ac:dyDescent="0.25">
      <c r="A6134" t="s">
        <v>12272</v>
      </c>
      <c r="B6134" t="s">
        <v>12273</v>
      </c>
    </row>
    <row r="6135" spans="1:2" x14ac:dyDescent="0.25">
      <c r="A6135" t="s">
        <v>12274</v>
      </c>
      <c r="B6135" t="s">
        <v>12275</v>
      </c>
    </row>
    <row r="6136" spans="1:2" x14ac:dyDescent="0.25">
      <c r="A6136" t="s">
        <v>12276</v>
      </c>
      <c r="B6136" t="s">
        <v>12277</v>
      </c>
    </row>
    <row r="6137" spans="1:2" x14ac:dyDescent="0.25">
      <c r="A6137" t="s">
        <v>12278</v>
      </c>
      <c r="B6137" t="s">
        <v>12279</v>
      </c>
    </row>
    <row r="6138" spans="1:2" x14ac:dyDescent="0.25">
      <c r="A6138" t="s">
        <v>12280</v>
      </c>
      <c r="B6138" t="s">
        <v>12281</v>
      </c>
    </row>
    <row r="6139" spans="1:2" x14ac:dyDescent="0.25">
      <c r="A6139" t="s">
        <v>12282</v>
      </c>
      <c r="B6139" t="s">
        <v>12283</v>
      </c>
    </row>
    <row r="6140" spans="1:2" x14ac:dyDescent="0.25">
      <c r="A6140" t="s">
        <v>12284</v>
      </c>
      <c r="B6140" t="s">
        <v>12285</v>
      </c>
    </row>
    <row r="6141" spans="1:2" x14ac:dyDescent="0.25">
      <c r="A6141" t="s">
        <v>12286</v>
      </c>
      <c r="B6141" t="s">
        <v>12287</v>
      </c>
    </row>
    <row r="6142" spans="1:2" x14ac:dyDescent="0.25">
      <c r="A6142" t="s">
        <v>12288</v>
      </c>
      <c r="B6142" t="s">
        <v>12289</v>
      </c>
    </row>
    <row r="6143" spans="1:2" x14ac:dyDescent="0.25">
      <c r="A6143" t="s">
        <v>12290</v>
      </c>
      <c r="B6143" t="s">
        <v>12291</v>
      </c>
    </row>
    <row r="6144" spans="1:2" x14ac:dyDescent="0.25">
      <c r="A6144" t="s">
        <v>12292</v>
      </c>
      <c r="B6144" t="s">
        <v>12293</v>
      </c>
    </row>
    <row r="6145" spans="1:2" x14ac:dyDescent="0.25">
      <c r="A6145" t="s">
        <v>12294</v>
      </c>
      <c r="B6145" t="s">
        <v>12295</v>
      </c>
    </row>
    <row r="6146" spans="1:2" x14ac:dyDescent="0.25">
      <c r="A6146" t="s">
        <v>12296</v>
      </c>
      <c r="B6146" t="s">
        <v>12297</v>
      </c>
    </row>
    <row r="6147" spans="1:2" x14ac:dyDescent="0.25">
      <c r="A6147" t="s">
        <v>12298</v>
      </c>
      <c r="B6147" t="s">
        <v>12299</v>
      </c>
    </row>
    <row r="6148" spans="1:2" x14ac:dyDescent="0.25">
      <c r="A6148" t="s">
        <v>12300</v>
      </c>
      <c r="B6148" t="s">
        <v>12301</v>
      </c>
    </row>
    <row r="6149" spans="1:2" x14ac:dyDescent="0.25">
      <c r="A6149" t="s">
        <v>12302</v>
      </c>
      <c r="B6149" t="s">
        <v>8689</v>
      </c>
    </row>
    <row r="6150" spans="1:2" x14ac:dyDescent="0.25">
      <c r="A6150" t="s">
        <v>12303</v>
      </c>
      <c r="B6150" t="s">
        <v>12304</v>
      </c>
    </row>
    <row r="6151" spans="1:2" x14ac:dyDescent="0.25">
      <c r="A6151" t="s">
        <v>12305</v>
      </c>
      <c r="B6151" t="s">
        <v>12306</v>
      </c>
    </row>
    <row r="6152" spans="1:2" x14ac:dyDescent="0.25">
      <c r="A6152" t="s">
        <v>12307</v>
      </c>
      <c r="B6152" t="s">
        <v>12308</v>
      </c>
    </row>
    <row r="6153" spans="1:2" x14ac:dyDescent="0.25">
      <c r="A6153" t="s">
        <v>12309</v>
      </c>
      <c r="B6153" t="s">
        <v>12310</v>
      </c>
    </row>
    <row r="6154" spans="1:2" x14ac:dyDescent="0.25">
      <c r="A6154" t="s">
        <v>12311</v>
      </c>
      <c r="B6154" t="s">
        <v>12312</v>
      </c>
    </row>
    <row r="6155" spans="1:2" x14ac:dyDescent="0.25">
      <c r="A6155" t="s">
        <v>12313</v>
      </c>
      <c r="B6155" t="s">
        <v>12314</v>
      </c>
    </row>
    <row r="6156" spans="1:2" x14ac:dyDescent="0.25">
      <c r="A6156" t="s">
        <v>12315</v>
      </c>
      <c r="B6156" t="s">
        <v>12316</v>
      </c>
    </row>
    <row r="6157" spans="1:2" x14ac:dyDescent="0.25">
      <c r="A6157" t="s">
        <v>12317</v>
      </c>
      <c r="B6157" t="s">
        <v>12318</v>
      </c>
    </row>
    <row r="6158" spans="1:2" x14ac:dyDescent="0.25">
      <c r="A6158" t="s">
        <v>12319</v>
      </c>
      <c r="B6158" t="s">
        <v>12320</v>
      </c>
    </row>
    <row r="6159" spans="1:2" x14ac:dyDescent="0.25">
      <c r="A6159" t="s">
        <v>12321</v>
      </c>
      <c r="B6159" t="s">
        <v>12322</v>
      </c>
    </row>
    <row r="6160" spans="1:2" x14ac:dyDescent="0.25">
      <c r="A6160" t="s">
        <v>12323</v>
      </c>
      <c r="B6160" t="s">
        <v>12324</v>
      </c>
    </row>
    <row r="6161" spans="1:2" x14ac:dyDescent="0.25">
      <c r="A6161" t="s">
        <v>12325</v>
      </c>
      <c r="B6161" t="s">
        <v>12326</v>
      </c>
    </row>
    <row r="6162" spans="1:2" x14ac:dyDescent="0.25">
      <c r="A6162" t="s">
        <v>12327</v>
      </c>
      <c r="B6162" t="s">
        <v>12328</v>
      </c>
    </row>
    <row r="6163" spans="1:2" x14ac:dyDescent="0.25">
      <c r="A6163" t="s">
        <v>12329</v>
      </c>
      <c r="B6163" t="s">
        <v>12330</v>
      </c>
    </row>
    <row r="6164" spans="1:2" x14ac:dyDescent="0.25">
      <c r="A6164" t="s">
        <v>12331</v>
      </c>
      <c r="B6164" t="s">
        <v>12332</v>
      </c>
    </row>
    <row r="6165" spans="1:2" x14ac:dyDescent="0.25">
      <c r="A6165" t="s">
        <v>12333</v>
      </c>
      <c r="B6165" t="s">
        <v>12334</v>
      </c>
    </row>
    <row r="6166" spans="1:2" x14ac:dyDescent="0.25">
      <c r="A6166" t="s">
        <v>12335</v>
      </c>
      <c r="B6166" t="s">
        <v>12336</v>
      </c>
    </row>
    <row r="6167" spans="1:2" x14ac:dyDescent="0.25">
      <c r="A6167" t="s">
        <v>12337</v>
      </c>
      <c r="B6167" t="s">
        <v>12338</v>
      </c>
    </row>
    <row r="6168" spans="1:2" x14ac:dyDescent="0.25">
      <c r="A6168" t="s">
        <v>12339</v>
      </c>
      <c r="B6168" t="s">
        <v>12340</v>
      </c>
    </row>
    <row r="6169" spans="1:2" x14ac:dyDescent="0.25">
      <c r="A6169" t="s">
        <v>12341</v>
      </c>
      <c r="B6169" t="s">
        <v>12342</v>
      </c>
    </row>
    <row r="6170" spans="1:2" x14ac:dyDescent="0.25">
      <c r="A6170" t="s">
        <v>12343</v>
      </c>
      <c r="B6170" t="s">
        <v>12344</v>
      </c>
    </row>
    <row r="6171" spans="1:2" x14ac:dyDescent="0.25">
      <c r="A6171" t="s">
        <v>12345</v>
      </c>
      <c r="B6171" t="s">
        <v>12346</v>
      </c>
    </row>
    <row r="6172" spans="1:2" x14ac:dyDescent="0.25">
      <c r="A6172" t="s">
        <v>12347</v>
      </c>
      <c r="B6172" t="s">
        <v>12348</v>
      </c>
    </row>
    <row r="6173" spans="1:2" x14ac:dyDescent="0.25">
      <c r="A6173" t="s">
        <v>12349</v>
      </c>
      <c r="B6173" t="s">
        <v>12350</v>
      </c>
    </row>
    <row r="6174" spans="1:2" x14ac:dyDescent="0.25">
      <c r="A6174" t="s">
        <v>12351</v>
      </c>
      <c r="B6174" t="s">
        <v>12352</v>
      </c>
    </row>
    <row r="6175" spans="1:2" x14ac:dyDescent="0.25">
      <c r="A6175" t="s">
        <v>12353</v>
      </c>
      <c r="B6175" t="s">
        <v>12354</v>
      </c>
    </row>
    <row r="6176" spans="1:2" x14ac:dyDescent="0.25">
      <c r="A6176" t="s">
        <v>12355</v>
      </c>
      <c r="B6176" t="s">
        <v>12356</v>
      </c>
    </row>
    <row r="6177" spans="1:2" x14ac:dyDescent="0.25">
      <c r="A6177" t="s">
        <v>12357</v>
      </c>
      <c r="B6177" t="s">
        <v>12358</v>
      </c>
    </row>
    <row r="6178" spans="1:2" x14ac:dyDescent="0.25">
      <c r="A6178" t="s">
        <v>12359</v>
      </c>
      <c r="B6178" t="s">
        <v>12360</v>
      </c>
    </row>
    <row r="6179" spans="1:2" x14ac:dyDescent="0.25">
      <c r="A6179" t="s">
        <v>12361</v>
      </c>
      <c r="B6179" t="s">
        <v>705</v>
      </c>
    </row>
    <row r="6180" spans="1:2" x14ac:dyDescent="0.25">
      <c r="A6180" t="s">
        <v>12362</v>
      </c>
      <c r="B6180" t="s">
        <v>12363</v>
      </c>
    </row>
    <row r="6181" spans="1:2" x14ac:dyDescent="0.25">
      <c r="A6181" t="s">
        <v>12364</v>
      </c>
      <c r="B6181" t="s">
        <v>12365</v>
      </c>
    </row>
    <row r="6182" spans="1:2" x14ac:dyDescent="0.25">
      <c r="A6182" t="s">
        <v>12366</v>
      </c>
      <c r="B6182" t="s">
        <v>12367</v>
      </c>
    </row>
    <row r="6183" spans="1:2" x14ac:dyDescent="0.25">
      <c r="A6183" t="s">
        <v>12368</v>
      </c>
      <c r="B6183" t="s">
        <v>12369</v>
      </c>
    </row>
    <row r="6184" spans="1:2" x14ac:dyDescent="0.25">
      <c r="A6184" t="s">
        <v>12370</v>
      </c>
      <c r="B6184" t="s">
        <v>12371</v>
      </c>
    </row>
    <row r="6185" spans="1:2" x14ac:dyDescent="0.25">
      <c r="A6185" t="s">
        <v>12372</v>
      </c>
      <c r="B6185" t="s">
        <v>12373</v>
      </c>
    </row>
    <row r="6186" spans="1:2" x14ac:dyDescent="0.25">
      <c r="A6186" t="s">
        <v>12374</v>
      </c>
      <c r="B6186" t="s">
        <v>12375</v>
      </c>
    </row>
    <row r="6187" spans="1:2" x14ac:dyDescent="0.25">
      <c r="A6187" t="s">
        <v>12376</v>
      </c>
      <c r="B6187" t="s">
        <v>12377</v>
      </c>
    </row>
    <row r="6188" spans="1:2" x14ac:dyDescent="0.25">
      <c r="A6188" t="s">
        <v>12378</v>
      </c>
      <c r="B6188" t="s">
        <v>12379</v>
      </c>
    </row>
    <row r="6189" spans="1:2" x14ac:dyDescent="0.25">
      <c r="A6189" t="s">
        <v>12380</v>
      </c>
      <c r="B6189" t="s">
        <v>12381</v>
      </c>
    </row>
    <row r="6190" spans="1:2" x14ac:dyDescent="0.25">
      <c r="A6190" t="s">
        <v>12382</v>
      </c>
      <c r="B6190" t="s">
        <v>12383</v>
      </c>
    </row>
    <row r="6191" spans="1:2" x14ac:dyDescent="0.25">
      <c r="A6191" t="s">
        <v>12384</v>
      </c>
      <c r="B6191" t="s">
        <v>12385</v>
      </c>
    </row>
  </sheetData>
  <autoFilter ref="A1:C6191" xr:uid="{E6FDDF8E-7B5B-482F-BC9C-DF07AB3130C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752EC59EA7D4684F279554614E29D" ma:contentTypeVersion="15" ma:contentTypeDescription="Create a new document." ma:contentTypeScope="" ma:versionID="1b2a0d42b34a18c8e81c83232a5af2a9">
  <xsd:schema xmlns:xsd="http://www.w3.org/2001/XMLSchema" xmlns:xs="http://www.w3.org/2001/XMLSchema" xmlns:p="http://schemas.microsoft.com/office/2006/metadata/properties" xmlns:ns2="2c232603-c91b-426f-bcc5-da19c1e8bdfc" xmlns:ns3="b7305817-eca8-460b-924d-9e03df7570c2" targetNamespace="http://schemas.microsoft.com/office/2006/metadata/properties" ma:root="true" ma:fieldsID="1bbb2b4b2134e1f86103056998de1c2b" ns2:_="" ns3:_="">
    <xsd:import namespace="2c232603-c91b-426f-bcc5-da19c1e8bdfc"/>
    <xsd:import namespace="b7305817-eca8-460b-924d-9e03df757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32603-c91b-426f-bcc5-da19c1e8bd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d8f01ef-47bc-4d24-bb57-d29127975b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05817-eca8-460b-924d-9e03df7570c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819d5cb-438d-483d-8da7-fd56050d9635}" ma:internalName="TaxCatchAll" ma:showField="CatchAllData" ma:web="b7305817-eca8-460b-924d-9e03df757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305817-eca8-460b-924d-9e03df7570c2" xsi:nil="true"/>
    <lcf76f155ced4ddcb4097134ff3c332f xmlns="2c232603-c91b-426f-bcc5-da19c1e8bd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5FD968-C8A1-4F29-ABA5-A756A2A7E55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DE9ED95-0EFF-433A-8AD1-67AC79E02C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232603-c91b-426f-bcc5-da19c1e8bdfc"/>
    <ds:schemaRef ds:uri="b7305817-eca8-460b-924d-9e03df7570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3DF47C-A8DF-4052-A0F6-310D0EFD509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0E4C593-1041-451E-8B03-866BC2931517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b7305817-eca8-460b-924d-9e03df7570c2"/>
    <ds:schemaRef ds:uri="2c232603-c91b-426f-bcc5-da19c1e8bdf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Write off</vt:lpstr>
      <vt:lpstr>Indicadores Modelo Nuevo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Cabral</dc:creator>
  <cp:keywords/>
  <dc:description/>
  <cp:lastModifiedBy>Nicolas Cabral</cp:lastModifiedBy>
  <cp:revision/>
  <dcterms:created xsi:type="dcterms:W3CDTF">2024-11-13T12:16:08Z</dcterms:created>
  <dcterms:modified xsi:type="dcterms:W3CDTF">2025-10-03T16:11:02Z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0x010100D4A752EC59EA7D4684F279554614E29D</vt:lpwstr>
  </property>
  <property fmtid="{D5CDD505-2E9C-101B-9397-08002B2CF9AE}" pid="3" name="MediaServiceImageTags">
    <vt:lpwstr/>
  </property>
</Properties>
</file>